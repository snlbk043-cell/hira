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Data Quality" sheetId="28" r:id="rId28"/>
    <sheet name="Investigation Log" sheetId="29" r:id="rId29"/>
    <sheet name="Change Log" sheetId="30" r:id="rId30"/>
    <sheet name="Calculations" sheetId="31" r:id="rId31"/>
    <sheet name="Cover Page" sheetId="32" r:id="rId32"/>
    <sheet name="Home" sheetId="33" r:id="rId33"/>
    <sheet name="Executive Dashboard" sheetId="34" r:id="rId34"/>
    <sheet name="Leadership Review" sheetId="35" r:id="rId35"/>
    <sheet name="Dash · Toolbox Talks" sheetId="36" r:id="rId36"/>
    <sheet name="Dash · JSA Risk Assessment" sheetId="37" r:id="rId37"/>
    <sheet name="Dash · Training" sheetId="38" r:id="rId38"/>
    <sheet name="Dash · HSE Observations" sheetId="39" r:id="rId39"/>
    <sheet name="Dash · Workplace Inspections" sheetId="40" r:id="rId40"/>
    <sheet name="Dash · Equipment Inspections" sheetId="41" r:id="rId41"/>
    <sheet name="Dash · Safety Walkthroughs" sheetId="42" r:id="rId42"/>
    <sheet name="Dash · Safety Meetings" sheetId="43" r:id="rId43"/>
    <sheet name="Dash · Safety Bulletins" sheetId="44" r:id="rId44"/>
    <sheet name="Dash · Emergency Drills" sheetId="45" r:id="rId45"/>
    <sheet name="Dash · Internal Audits" sheetId="46" r:id="rId46"/>
    <sheet name="Dash · External Audits" sheetId="47" r:id="rId47"/>
    <sheet name="Dash · Management Visits" sheetId="48" r:id="rId48"/>
    <sheet name="Dash · Management Reviews" sheetId="49" r:id="rId49"/>
    <sheet name="Dash · Disciplinary Actions" sheetId="50" r:id="rId50"/>
    <sheet name="Dash · Safety Awards" sheetId="51" r:id="rId51"/>
    <sheet name="Dash · Stop Work Authority" sheetId="52" r:id="rId52"/>
    <sheet name="Dash · Alcohol Tests" sheetId="53" r:id="rId53"/>
    <sheet name="Dash · PTW Audits" sheetId="54" r:id="rId54"/>
    <sheet name="Dash · Corrective Actions" sheetId="55" r:id="rId55"/>
    <sheet name="Dash · NC Management" sheetId="56" r:id="rId56"/>
    <sheet name="Dash · Unsafe Acts" sheetId="57" r:id="rId57"/>
    <sheet name="Dash · Unsafe Conditions" sheetId="58" r:id="rId58"/>
    <sheet name="Dash · Incident" sheetId="59" r:id="rId59"/>
  </sheets>
  <definedNames>
    <definedName name="AmberBand">Settings!$C$40</definedName>
    <definedName name="BenchLTIFR">Settings!$C$48</definedName>
    <definedName name="BenchTRIR">Settings!$C$47</definedName>
    <definedName name="CAClosure">Calculations!$DK$57</definedName>
    <definedName name="CertValidityDays">Settings!$C$51</definedName>
    <definedName name="CostPerDowntimeMin">Settings!$C$43</definedName>
    <definedName name="CostPerLostDay">Settings!$C$44</definedName>
    <definedName name="CurMonthNo">Calculations!$I$10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Calculations!$DN$23</definedName>
    <definedName name="gdAlcoholTests">Calculations!$DN$53</definedName>
    <definedName name="gdBulletinReach">Calculations!$DN$40</definedName>
    <definedName name="gdCAClosure">Calculations!$DN$57</definedName>
    <definedName name="gdCorrectiveActions">Calculations!$DN$56</definedName>
    <definedName name="gdDisciplinary">Calculations!$DN$20</definedName>
    <definedName name="gdDrillParticipation">Calculations!$DN$42</definedName>
    <definedName name="gdEmergencyDrills">Calculations!$DN$41</definedName>
    <definedName name="gdEquipmentCriticalFindings">Calculations!$DN$35</definedName>
    <definedName name="gdEquipmentInspections">Calculations!$DN$34</definedName>
    <definedName name="gdExternalAuditNCs">Calculations!$DN$46</definedName>
    <definedName name="gdExternalAudits">Calculations!$DN$45</definedName>
    <definedName name="gdFirstAid">Calculations!$DN$18</definedName>
    <definedName name="gdHSEObservations">Calculations!$DN$30</definedName>
    <definedName name="gdInternalAuditNCs">Calculations!$DN$44</definedName>
    <definedName name="gdInternalAudits">Calculations!$DN$43</definedName>
    <definedName name="gdJSAApproved">Calculations!$DN$27</definedName>
    <definedName name="gdJSAAssessments">Calculations!$DN$26</definedName>
    <definedName name="gdLostDays">Calculations!$DN$19</definedName>
    <definedName name="gdLTIFatality">Calculations!$DN$16</definedName>
    <definedName name="gdLTIFR">Calculations!$DN$13</definedName>
    <definedName name="gdManagementReviews">Calculations!$DN$49</definedName>
    <definedName name="gdManagementVisits">Calculations!$DN$47</definedName>
    <definedName name="gdMeetingsCloseout">Calculations!$DN$38</definedName>
    <definedName name="gdMgmtReviewAttendance">Calculations!$DN$50</definedName>
    <definedName name="gdMgmtVisitCloseout">Calculations!$DN$48</definedName>
    <definedName name="gdNCClosure">Calculations!$DN$22</definedName>
    <definedName name="gdNearMiss">Calculations!$DN$17</definedName>
    <definedName name="gdObsClosure">Calculations!$DN$31</definedName>
    <definedName name="gdOpenNCs">Calculations!$DN$21</definedName>
    <definedName name="gdPTWAudits">Calculations!$DN$54</definedName>
    <definedName name="gdPTWCompliance">Calculations!$DN$55</definedName>
    <definedName name="gdRecordable">Calculations!$DN$15</definedName>
    <definedName name="gdSafetyAwards">Calculations!$DN$51</definedName>
    <definedName name="gdSafetyBulletins">Calculations!$DN$39</definedName>
    <definedName name="gdSafetyMeetings">Calculations!$DN$37</definedName>
    <definedName name="gdSafetyWalkthroughs">Calculations!$DN$36</definedName>
    <definedName name="gdStopWorkAuthority">Calculations!$DN$52</definedName>
    <definedName name="gdToolboxAvgAttendance">Calculations!$DN$25</definedName>
    <definedName name="gdToolboxTalks">Calculations!$DN$24</definedName>
    <definedName name="gdTotalIncidents">Calculations!$DN$14</definedName>
    <definedName name="gdTrainingCompliance">Calculations!$DN$29</definedName>
    <definedName name="gdTrainings">Calculations!$DN$28</definedName>
    <definedName name="gdTRIR">Calculations!$DN$12</definedName>
    <definedName name="gdUnsafeActClosure">Calculations!$DN$59</definedName>
    <definedName name="gdUnsafeActsReported">Calculations!$DN$58</definedName>
    <definedName name="gdUnsafeConditionClosure">Calculations!$DN$61</definedName>
    <definedName name="gdUnsafeConditionsReported">Calculations!$DN$60</definedName>
    <definedName name="gdWorkplaceInspClosure">Calculations!$DN$33</definedName>
    <definedName name="gdWorkplaceInspections">Calculations!$DN$32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Calculations!$DK$19</definedName>
    <definedName name="LTIfat">Calculations!$DK$16</definedName>
    <definedName name="LTIFR">Calculations!$DK$13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Calculations!$DK$17</definedName>
    <definedName name="ObsClosure">Calculations!$DK$31</definedName>
    <definedName name="_xlnm.Print_Area" localSheetId="31">'Cover Page'!$A$1:$M$32</definedName>
    <definedName name="_xlnm.Print_Area" localSheetId="52">'Dash · Alcohol Tests'!$A$1:$S$72</definedName>
    <definedName name="_xlnm.Print_Area" localSheetId="54">'Dash · Corrective Actions'!$A$1:$S$89</definedName>
    <definedName name="_xlnm.Print_Area" localSheetId="49">'Dash · Disciplinary Actions'!$A$1:$S$72</definedName>
    <definedName name="_xlnm.Print_Area" localSheetId="44">'Dash · Emergency Drills'!$A$1:$S$89</definedName>
    <definedName name="_xlnm.Print_Area" localSheetId="40">'Dash · Equipment Inspections'!$A$1:$S$89</definedName>
    <definedName name="_xlnm.Print_Area" localSheetId="46">'Dash · External Audits'!$A$1:$S$72</definedName>
    <definedName name="_xlnm.Print_Area" localSheetId="38">'Dash · HSE Observations'!$A$1:$S$89</definedName>
    <definedName name="_xlnm.Print_Area" localSheetId="58">'Dash · Incident'!$A$1:$S$77</definedName>
    <definedName name="_xlnm.Print_Area" localSheetId="45">'Dash · Internal Audits'!$A$1:$S$72</definedName>
    <definedName name="_xlnm.Print_Area" localSheetId="36">'Dash · JSA Risk Assessment'!$A$1:$S$81</definedName>
    <definedName name="_xlnm.Print_Area" localSheetId="48">'Dash · Management Reviews'!$A$1:$S$89</definedName>
    <definedName name="_xlnm.Print_Area" localSheetId="47">'Dash · Management Visits'!$A$1:$S$72</definedName>
    <definedName name="_xlnm.Print_Area" localSheetId="55">'Dash · NC Management'!$A$1:$S$89</definedName>
    <definedName name="_xlnm.Print_Area" localSheetId="53">'Dash · PTW Audits'!$A$1:$S$72</definedName>
    <definedName name="_xlnm.Print_Area" localSheetId="50">'Dash · Safety Awards'!$A$1:$S$72</definedName>
    <definedName name="_xlnm.Print_Area" localSheetId="43">'Dash · Safety Bulletins'!$A$1:$S$89</definedName>
    <definedName name="_xlnm.Print_Area" localSheetId="42">'Dash · Safety Meetings'!$A$1:$S$72</definedName>
    <definedName name="_xlnm.Print_Area" localSheetId="41">'Dash · Safety Walkthroughs'!$A$1:$S$89</definedName>
    <definedName name="_xlnm.Print_Area" localSheetId="51">'Dash · Stop Work Authority'!$A$1:$S$85</definedName>
    <definedName name="_xlnm.Print_Area" localSheetId="35">'Dash · Toolbox Talks'!$A$1:$S$101</definedName>
    <definedName name="_xlnm.Print_Area" localSheetId="37">'Dash · Training'!$A$1:$S$92</definedName>
    <definedName name="_xlnm.Print_Area" localSheetId="56">'Dash · Unsafe Acts'!$A$1:$S$89</definedName>
    <definedName name="_xlnm.Print_Area" localSheetId="57">'Dash · Unsafe Conditions'!$A$1:$S$89</definedName>
    <definedName name="_xlnm.Print_Area" localSheetId="39">'Dash · Workplace Inspections'!$A$1:$S$89</definedName>
    <definedName name="_xlnm.Print_Area" localSheetId="33">'Executive Dashboard'!$A$1:$S$191</definedName>
    <definedName name="_xlnm.Print_Area" localSheetId="32">Home!$A$1:$M$41</definedName>
    <definedName name="_xlnm.Print_Area" localSheetId="34">'Leadership Review'!$A$1:$S$141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28">'Investigation Log'!$1:$3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Calculations!$DK$55</definedName>
    <definedName name="PYCA">Settings!$C$59</definedName>
    <definedName name="PYLTIFR">Settings!$C$55</definedName>
    <definedName name="PYObs">Settings!$C$58</definedName>
    <definedName name="PYTotalInc">Settings!$C$56</definedName>
    <definedName name="PYTrain">Settings!$C$57</definedName>
    <definedName name="PYTRIR">Settings!$C$54</definedName>
    <definedName name="Recordable">Calculations!$DK$15</definedName>
    <definedName name="ReportYear">Settings!$C$9</definedName>
    <definedName name="rgAlcoholPositive">Calculations!$DP$23</definedName>
    <definedName name="rgAlcoholTests">Calculations!$DP$53</definedName>
    <definedName name="rgBulletinReach">Calculations!$DP$40</definedName>
    <definedName name="rgCAClosure">Calculations!$DP$57</definedName>
    <definedName name="rgCorrectiveActions">Calculations!$DP$56</definedName>
    <definedName name="rgDisciplinary">Calculations!$DP$20</definedName>
    <definedName name="rgDrillParticipation">Calculations!$DP$42</definedName>
    <definedName name="rgEmergencyDrills">Calculations!$DP$41</definedName>
    <definedName name="rgEquipmentCriticalFindings">Calculations!$DP$35</definedName>
    <definedName name="rgEquipmentInspections">Calculations!$DP$34</definedName>
    <definedName name="rgExternalAuditNCs">Calculations!$DP$46</definedName>
    <definedName name="rgExternalAudits">Calculations!$DP$45</definedName>
    <definedName name="rgFirstAid">Calculations!$DP$18</definedName>
    <definedName name="rgHSEObservations">Calculations!$DP$30</definedName>
    <definedName name="rgInternalAuditNCs">Calculations!$DP$44</definedName>
    <definedName name="rgInternalAudits">Calculations!$DP$43</definedName>
    <definedName name="rgJSAApproved">Calculations!$DP$27</definedName>
    <definedName name="rgJSAAssessments">Calculations!$DP$26</definedName>
    <definedName name="rgLostDays">Calculations!$DP$19</definedName>
    <definedName name="rgLTIFatality">Calculations!$DP$16</definedName>
    <definedName name="rgLTIFR">Calculations!$DP$13</definedName>
    <definedName name="rgManagementReviews">Calculations!$DP$49</definedName>
    <definedName name="rgManagementVisits">Calculations!$DP$47</definedName>
    <definedName name="rgMeetingsCloseout">Calculations!$DP$38</definedName>
    <definedName name="rgMgmtReviewAttendance">Calculations!$DP$50</definedName>
    <definedName name="rgMgmtVisitCloseout">Calculations!$DP$48</definedName>
    <definedName name="rgNCClosure">Calculations!$DP$22</definedName>
    <definedName name="rgNearMiss">Calculations!$DP$17</definedName>
    <definedName name="rgObsClosure">Calculations!$DP$31</definedName>
    <definedName name="rgOpenNCs">Calculations!$DP$21</definedName>
    <definedName name="rgPTWAudits">Calculations!$DP$54</definedName>
    <definedName name="rgPTWCompliance">Calculations!$DP$55</definedName>
    <definedName name="rgRecordable">Calculations!$DP$15</definedName>
    <definedName name="rgSafetyAwards">Calculations!$DP$51</definedName>
    <definedName name="rgSafetyBulletins">Calculations!$DP$39</definedName>
    <definedName name="rgSafetyMeetings">Calculations!$DP$37</definedName>
    <definedName name="rgSafetyWalkthroughs">Calculations!$DP$36</definedName>
    <definedName name="rgStopWorkAuthority">Calculations!$DP$52</definedName>
    <definedName name="rgToolboxAvgAttendance">Calculations!$DP$25</definedName>
    <definedName name="rgToolboxTalks">Calculations!$DP$24</definedName>
    <definedName name="rgTotalIncidents">Calculations!$DP$14</definedName>
    <definedName name="rgTrainingCompliance">Calculations!$DP$29</definedName>
    <definedName name="rgTrainings">Calculations!$DP$28</definedName>
    <definedName name="rgTRIR">Calculations!$DP$12</definedName>
    <definedName name="rgUnsafeActClosure">Calculations!$DP$59</definedName>
    <definedName name="rgUnsafeActsReported">Calculations!$DP$58</definedName>
    <definedName name="rgUnsafeConditionClosure">Calculations!$DP$61</definedName>
    <definedName name="rgUnsafeConditionsReported">Calculations!$DP$60</definedName>
    <definedName name="rgWorkplaceInspClosure">Calculations!$DP$33</definedName>
    <definedName name="rgWorkplaceInspections">Calculations!$DP$32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Calculations!$DK$14</definedName>
    <definedName name="TrainCompliance">Calculations!$DK$29</definedName>
    <definedName name="TRIR">Calculations!$DK$12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<sst xmlns="http://schemas.openxmlformats.org/spreadsheetml/2006/main" count="15920" uniqueCount="2357">
  <si>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</si>
  <si>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</si>
  <si>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</si>
  <si>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</si>
  <si>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</si>
  <si>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</si>
  <si>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</si>
  <si>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</si>
  <si>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</si>
  <si>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</si>
  <si>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</si>
  <si>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</si>
  <si>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</si>
  <si>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</si>
  <si>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</si>
  <si>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</si>
  <si>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</si>
  <si>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</si>
  <si>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</si>
  <si>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</si>
  <si>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</si>
  <si>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</si>
  <si>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</si>
  <si>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</si>
  <si>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</si>
  <si>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</si>
  <si>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</si>
  <si>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</si>
  <si>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</si>
  <si>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</si>
  <si>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</si>
  <si>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</si>
  <si>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</si>
  <si>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</si>
  <si>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</si>
  <si>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</si>
  <si>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</si>
  <si>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</si>
  <si>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</si>
  <si>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</si>
  <si>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</si>
  <si>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</si>
  <si>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</si>
  <si>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</si>
  <si>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</si>
  <si>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</si>
  <si>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</si>
  <si>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</si>
  <si>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</si>
  <si>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</si>
  <si>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</si>
  <si>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</si>
  <si>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</si>
  <si>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</si>
  <si>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</si>
  <si>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</si>
  <si>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</si>
  <si>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</si>
  <si>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</si>
  <si>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</si>
  <si>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</si>
  <si>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</si>
  <si>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</si>
  <si>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</si>
  <si>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</si>
  <si>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</si>
  <si>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</si>
  <si>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</si>
  <si>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</si>
  <si>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</si>
  <si>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</si>
  <si>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</si>
  <si>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</si>
  <si>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</si>
  <si>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</si>
  <si>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</si>
  <si>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</si>
  <si>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</si>
  <si>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</si>
  <si>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</si>
  <si>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</si>
  <si>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</si>
  <si>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</si>
  <si>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</si>
  <si>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</si>
  <si>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</si>
  <si>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</si>
  <si>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</si>
  <si>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</si>
  <si>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</si>
  <si>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</si>
  <si>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</si>
  <si>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</si>
  <si>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</si>
  <si>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</si>
  <si>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</si>
  <si>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</si>
  <si>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</si>
  <si>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</si>
  <si>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</si>
  <si>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</si>
  <si>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</si>
  <si>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</si>
  <si>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</si>
  <si>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</si>
  <si>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</si>
  <si>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</si>
  <si>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</si>
  <si>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</si>
  <si>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</si>
  <si>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</si>
  <si>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</si>
  <si>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</si>
  <si>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</si>
  <si>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</si>
  <si>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</si>
  <si>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</si>
  <si>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</si>
  <si>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</si>
  <si>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</si>
  <si>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</si>
  <si>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</si>
  <si>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</si>
  <si>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</si>
  <si>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</si>
  <si>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</si>
  <si>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</si>
  <si>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</si>
  <si>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</si>
  <si>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</si>
  <si>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</si>
  <si>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</si>
  <si>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</si>
  <si>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</si>
  <si>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</si>
  <si>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</si>
  <si>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</si>
  <si>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</si>
  <si>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</si>
  <si>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</si>
  <si>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</si>
  <si>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JSA-1013</t>
  </si>
  <si>
    <t>Medium</t>
  </si>
  <si>
    <t>JSA</t>
  </si>
  <si>
    <t>Approved</t>
  </si>
  <si>
    <t>Non-Compliant</t>
  </si>
  <si>
    <t>JSA-1020</t>
  </si>
  <si>
    <t>Task RA</t>
  </si>
  <si>
    <t>Pending Review</t>
  </si>
  <si>
    <t>Partially Compliant</t>
  </si>
  <si>
    <t>JSA-1041</t>
  </si>
  <si>
    <t>High</t>
  </si>
  <si>
    <t>HAZOP</t>
  </si>
  <si>
    <t>Compliant</t>
  </si>
  <si>
    <t>JSA-1044</t>
  </si>
  <si>
    <t>Bow Tie</t>
  </si>
  <si>
    <t>JSA-1033</t>
  </si>
  <si>
    <t>Critical</t>
  </si>
  <si>
    <t>What-If</t>
  </si>
  <si>
    <t>JSA-1001</t>
  </si>
  <si>
    <t>JSA-1022</t>
  </si>
  <si>
    <t>Low</t>
  </si>
  <si>
    <t>JSA-1023</t>
  </si>
  <si>
    <t>JSA-1025</t>
  </si>
  <si>
    <t>JSA-1047</t>
  </si>
  <si>
    <t>Revision Required</t>
  </si>
  <si>
    <t>JSA-1048</t>
  </si>
  <si>
    <t>HIRA</t>
  </si>
  <si>
    <t>Rejected</t>
  </si>
  <si>
    <t>JSA-1005</t>
  </si>
  <si>
    <t>JSA-1006</t>
  </si>
  <si>
    <t>JSA-1015</t>
  </si>
  <si>
    <t>JSA-1027</t>
  </si>
  <si>
    <t>JSA-1042</t>
  </si>
  <si>
    <t>JSA-1008</t>
  </si>
  <si>
    <t>JSA-1026</t>
  </si>
  <si>
    <t>JSA-1039</t>
  </si>
  <si>
    <t>JSA-1010</t>
  </si>
  <si>
    <t>JSA-1012</t>
  </si>
  <si>
    <t>JSA-1029</t>
  </si>
  <si>
    <t>JSA-1040</t>
  </si>
  <si>
    <t>JSA-1003</t>
  </si>
  <si>
    <t>JSA-1011</t>
  </si>
  <si>
    <t>JSA-1017</t>
  </si>
  <si>
    <t>JSA-1037</t>
  </si>
  <si>
    <t>JSA-1016</t>
  </si>
  <si>
    <t>JSA-1018</t>
  </si>
  <si>
    <t>JSA-1021</t>
  </si>
  <si>
    <t>JSA-1031</t>
  </si>
  <si>
    <t>JSA-1002</t>
  </si>
  <si>
    <t>JSA-1019</t>
  </si>
  <si>
    <t>JSA-1030</t>
  </si>
  <si>
    <t>JSA-1035</t>
  </si>
  <si>
    <t>JSA-1038</t>
  </si>
  <si>
    <t>JSA-1045</t>
  </si>
  <si>
    <t>JSA-1024</t>
  </si>
  <si>
    <t>JSA-1034</t>
  </si>
  <si>
    <t>JSA-1004</t>
  </si>
  <si>
    <t>JSA-1007</t>
  </si>
  <si>
    <t>JSA-1043</t>
  </si>
  <si>
    <t>JSA-1046</t>
  </si>
  <si>
    <t>JSA-1009</t>
  </si>
  <si>
    <t>JSA-1014</t>
  </si>
  <si>
    <t>JSA-1028</t>
  </si>
  <si>
    <t>JSA-1032</t>
  </si>
  <si>
    <t>JSA-1036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</si>
  <si>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</si>
  <si>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</si>
  <si>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</si>
  <si>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</si>
  <si>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</si>
  <si>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</si>
  <si>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</si>
  <si>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</si>
  <si>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</si>
  <si>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</si>
  <si>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</si>
  <si>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TRN-1021</t>
  </si>
  <si>
    <t>Awareness</t>
  </si>
  <si>
    <t>Online</t>
  </si>
  <si>
    <t>Completed</t>
  </si>
  <si>
    <t>N/A</t>
  </si>
  <si>
    <t>TRN-1042</t>
  </si>
  <si>
    <t>On-the-Job</t>
  </si>
  <si>
    <t>In Progress</t>
  </si>
  <si>
    <t>Fail</t>
  </si>
  <si>
    <t>TRN-1004</t>
  </si>
  <si>
    <t>External</t>
  </si>
  <si>
    <t>TRN-1020</t>
  </si>
  <si>
    <t>Advanced</t>
  </si>
  <si>
    <t>Scheduled</t>
  </si>
  <si>
    <t>Pass</t>
  </si>
  <si>
    <t>TRN-1028</t>
  </si>
  <si>
    <t>Competency</t>
  </si>
  <si>
    <t>TRN-1031</t>
  </si>
  <si>
    <t>Refresher</t>
  </si>
  <si>
    <t>TRN-1032</t>
  </si>
  <si>
    <t>Induction</t>
  </si>
  <si>
    <t>TRN-1043</t>
  </si>
  <si>
    <t>TRN-1048</t>
  </si>
  <si>
    <t>Internal</t>
  </si>
  <si>
    <t>TRN-1003</t>
  </si>
  <si>
    <t>TRN-1017</t>
  </si>
  <si>
    <t>TRN-1034</t>
  </si>
  <si>
    <t>TRN-1035</t>
  </si>
  <si>
    <t>TRN-1044</t>
  </si>
  <si>
    <t>TRN-1047</t>
  </si>
  <si>
    <t>TRN-1007</t>
  </si>
  <si>
    <t>TRN-1033</t>
  </si>
  <si>
    <t>TRN-1025</t>
  </si>
  <si>
    <t>TRN-1029</t>
  </si>
  <si>
    <t>TRN-1037</t>
  </si>
  <si>
    <t>TRN-1038</t>
  </si>
  <si>
    <t>TRN-1041</t>
  </si>
  <si>
    <t>TRN-1015</t>
  </si>
  <si>
    <t>TRN-1022</t>
  </si>
  <si>
    <t>TRN-1023</t>
  </si>
  <si>
    <t>TRN-1026</t>
  </si>
  <si>
    <t>TRN-1036</t>
  </si>
  <si>
    <t>TRN-1039</t>
  </si>
  <si>
    <t>TRN-1046</t>
  </si>
  <si>
    <t>TRN-1001</t>
  </si>
  <si>
    <t>TRN-1002</t>
  </si>
  <si>
    <t>TRN-1012</t>
  </si>
  <si>
    <t>TRN-1014</t>
  </si>
  <si>
    <t>TRN-1018</t>
  </si>
  <si>
    <t>TRN-1024</t>
  </si>
  <si>
    <t>TRN-1030</t>
  </si>
  <si>
    <t>TRN-1045</t>
  </si>
  <si>
    <t>TRN-1006</t>
  </si>
  <si>
    <t>TRN-1008</t>
  </si>
  <si>
    <t>TRN-1009</t>
  </si>
  <si>
    <t>TRN-1013</t>
  </si>
  <si>
    <t>TRN-1016</t>
  </si>
  <si>
    <t>TRN-1019</t>
  </si>
  <si>
    <t>TRN-1005</t>
  </si>
  <si>
    <t>TRN-1010</t>
  </si>
  <si>
    <t>TRN-1011</t>
  </si>
  <si>
    <t>TRN-1040</t>
  </si>
  <si>
    <t>TRN-1027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</si>
  <si>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</si>
  <si>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</si>
  <si>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</si>
  <si>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</si>
  <si>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</si>
  <si>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</si>
  <si>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</si>
  <si>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</si>
  <si>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</si>
  <si>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Certificate Expiry</t>
  </si>
  <si>
    <t>👁️  HSE OBSERVATIONS — DATA ENTRY</t>
  </si>
  <si>
    <t>OBS-1004</t>
  </si>
  <si>
    <t>Near Miss</t>
  </si>
  <si>
    <t>Verbal Warning</t>
  </si>
  <si>
    <t>OBS-1037</t>
  </si>
  <si>
    <t>Safe Act</t>
  </si>
  <si>
    <t>OBS-1041</t>
  </si>
  <si>
    <t>Unsafe Condition</t>
  </si>
  <si>
    <t>Retraining</t>
  </si>
  <si>
    <t>OBS-1046</t>
  </si>
  <si>
    <t>Fine</t>
  </si>
  <si>
    <t>OBS-1001</t>
  </si>
  <si>
    <t>Pending</t>
  </si>
  <si>
    <t>Suspension</t>
  </si>
  <si>
    <t>OBS-1007</t>
  </si>
  <si>
    <t>Unsafe Act</t>
  </si>
  <si>
    <t>OBS-1009</t>
  </si>
  <si>
    <t>OBS-1014</t>
  </si>
  <si>
    <t>OBS-1019</t>
  </si>
  <si>
    <t>OBS-1027</t>
  </si>
  <si>
    <t>Written Warning</t>
  </si>
  <si>
    <t>OBS-1029</t>
  </si>
  <si>
    <t>OBS-1003</t>
  </si>
  <si>
    <t>OBS-1015</t>
  </si>
  <si>
    <t>OBS-1016</t>
  </si>
  <si>
    <t>Safe Condition</t>
  </si>
  <si>
    <t>OBS-1017</t>
  </si>
  <si>
    <t>OBS-1039</t>
  </si>
  <si>
    <t>OBS-1042</t>
  </si>
  <si>
    <t>OBS-1047</t>
  </si>
  <si>
    <t>OBS-1006</t>
  </si>
  <si>
    <t>OBS-1011</t>
  </si>
  <si>
    <t>OBS-1024</t>
  </si>
  <si>
    <t>OBS-1034</t>
  </si>
  <si>
    <t>OBS-1040</t>
  </si>
  <si>
    <t>OBS-1002</t>
  </si>
  <si>
    <t>Overdue</t>
  </si>
  <si>
    <t>OBS-1008</t>
  </si>
  <si>
    <t>OBS-1043</t>
  </si>
  <si>
    <t>OBS-1045</t>
  </si>
  <si>
    <t>OBS-1026</t>
  </si>
  <si>
    <t>OBS-1028</t>
  </si>
  <si>
    <t>OBS-1038</t>
  </si>
  <si>
    <t>OBS-1012</t>
  </si>
  <si>
    <t>OBS-1020</t>
  </si>
  <si>
    <t>OBS-1021</t>
  </si>
  <si>
    <t>OBS-1036</t>
  </si>
  <si>
    <t>OBS-1044</t>
  </si>
  <si>
    <t>OBS-1022</t>
  </si>
  <si>
    <t>OBS-1031</t>
  </si>
  <si>
    <t>OBS-1005</t>
  </si>
  <si>
    <t>OBS-1010</t>
  </si>
  <si>
    <t>OBS-1023</t>
  </si>
  <si>
    <t>OBS-1035</t>
  </si>
  <si>
    <t>OBS-1013</t>
  </si>
  <si>
    <t>OBS-1018</t>
  </si>
  <si>
    <t>OBS-1033</t>
  </si>
  <si>
    <t>OBS-1048</t>
  </si>
  <si>
    <t>OBS-1025</t>
  </si>
  <si>
    <t>OBS-1030</t>
  </si>
  <si>
    <t>OBS-1032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</si>
  <si>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</si>
  <si>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</si>
  <si>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</si>
  <si>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</si>
  <si>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</si>
  <si>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</si>
  <si>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</si>
  <si>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</si>
  <si>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</si>
  <si>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WPI-1019</t>
  </si>
  <si>
    <t>WPI-1016</t>
  </si>
  <si>
    <t>WPI-1017</t>
  </si>
  <si>
    <t>WPI-1032</t>
  </si>
  <si>
    <t>WPI-1034</t>
  </si>
  <si>
    <t>WPI-1042</t>
  </si>
  <si>
    <t>WPI-1025</t>
  </si>
  <si>
    <t>WPI-1035</t>
  </si>
  <si>
    <t>WPI-1036</t>
  </si>
  <si>
    <t>WPI-1039</t>
  </si>
  <si>
    <t>WPI-1048</t>
  </si>
  <si>
    <t>WPI-1030</t>
  </si>
  <si>
    <t>WPI-1040</t>
  </si>
  <si>
    <t>WPI-1009</t>
  </si>
  <si>
    <t>WPI-1031</t>
  </si>
  <si>
    <t>WPI-1007</t>
  </si>
  <si>
    <t>WPI-1013</t>
  </si>
  <si>
    <t>WPI-1018</t>
  </si>
  <si>
    <t>WPI-1028</t>
  </si>
  <si>
    <t>WPI-1033</t>
  </si>
  <si>
    <t>WPI-1041</t>
  </si>
  <si>
    <t>WPI-1044</t>
  </si>
  <si>
    <t>WPI-1003</t>
  </si>
  <si>
    <t>WPI-1005</t>
  </si>
  <si>
    <t>WPI-1006</t>
  </si>
  <si>
    <t>WPI-1012</t>
  </si>
  <si>
    <t>WPI-1022</t>
  </si>
  <si>
    <t>WPI-1015</t>
  </si>
  <si>
    <t>WPI-1026</t>
  </si>
  <si>
    <t>WPI-1038</t>
  </si>
  <si>
    <t>WPI-1043</t>
  </si>
  <si>
    <t>WPI-1010</t>
  </si>
  <si>
    <t>WPI-1011</t>
  </si>
  <si>
    <t>WPI-1023</t>
  </si>
  <si>
    <t>WPI-1024</t>
  </si>
  <si>
    <t>WPI-1029</t>
  </si>
  <si>
    <t>WPI-1037</t>
  </si>
  <si>
    <t>WPI-1001</t>
  </si>
  <si>
    <t>WPI-1021</t>
  </si>
  <si>
    <t>WPI-1027</t>
  </si>
  <si>
    <t>WPI-1047</t>
  </si>
  <si>
    <t>WPI-1008</t>
  </si>
  <si>
    <t>WPI-1014</t>
  </si>
  <si>
    <t>WPI-1020</t>
  </si>
  <si>
    <t>WPI-1045</t>
  </si>
  <si>
    <t>WPI-1002</t>
  </si>
  <si>
    <t>WPI-1004</t>
  </si>
  <si>
    <t>WPI-1046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</si>
  <si>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</si>
  <si>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</si>
  <si>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</si>
  <si>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</si>
  <si>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</si>
  <si>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</si>
  <si>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</si>
  <si>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</si>
  <si>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EQI-1018</t>
  </si>
  <si>
    <t>EQI-1022</t>
  </si>
  <si>
    <t>EQI-1025</t>
  </si>
  <si>
    <t>EQI-1030</t>
  </si>
  <si>
    <t>EQI-1033</t>
  </si>
  <si>
    <t>EQI-1005</t>
  </si>
  <si>
    <t>EQI-1026</t>
  </si>
  <si>
    <t>EQI-1032</t>
  </si>
  <si>
    <t>EQI-1042</t>
  </si>
  <si>
    <t>EQI-1043</t>
  </si>
  <si>
    <t>EQI-1007</t>
  </si>
  <si>
    <t>EQI-1020</t>
  </si>
  <si>
    <t>EQI-1027</t>
  </si>
  <si>
    <t>EQI-1010</t>
  </si>
  <si>
    <t>EQI-1023</t>
  </si>
  <si>
    <t>EQI-1039</t>
  </si>
  <si>
    <t>EQI-1011</t>
  </si>
  <si>
    <t>EQI-1013</t>
  </si>
  <si>
    <t>EQI-1028</t>
  </si>
  <si>
    <t>EQI-1002</t>
  </si>
  <si>
    <t>EQI-1019</t>
  </si>
  <si>
    <t>EQI-1031</t>
  </si>
  <si>
    <t>EQI-1038</t>
  </si>
  <si>
    <t>EQI-1001</t>
  </si>
  <si>
    <t>EQI-1004</t>
  </si>
  <si>
    <t>EQI-1006</t>
  </si>
  <si>
    <t>EQI-1008</t>
  </si>
  <si>
    <t>EQI-1012</t>
  </si>
  <si>
    <t>EQI-1014</t>
  </si>
  <si>
    <t>EQI-1029</t>
  </si>
  <si>
    <t>EQI-1035</t>
  </si>
  <si>
    <t>EQI-1040</t>
  </si>
  <si>
    <t>EQI-1045</t>
  </si>
  <si>
    <t>EQI-1003</t>
  </si>
  <si>
    <t>EQI-1047</t>
  </si>
  <si>
    <t>EQI-1048</t>
  </si>
  <si>
    <t>EQI-1015</t>
  </si>
  <si>
    <t>EQI-1017</t>
  </si>
  <si>
    <t>EQI-1041</t>
  </si>
  <si>
    <t>EQI-1009</t>
  </si>
  <si>
    <t>EQI-1016</t>
  </si>
  <si>
    <t>EQI-1034</t>
  </si>
  <si>
    <t>EQI-1037</t>
  </si>
  <si>
    <t>EQI-1046</t>
  </si>
  <si>
    <t>EQI-1021</t>
  </si>
  <si>
    <t>EQI-1024</t>
  </si>
  <si>
    <t>EQI-1036</t>
  </si>
  <si>
    <t>EQI-1044</t>
  </si>
  <si>
    <t>🚶  SAFETY WALKTHROUGHS — DATA ENTRY</t>
  </si>
  <si>
    <t>SW-1001</t>
  </si>
  <si>
    <t>SW-1005</t>
  </si>
  <si>
    <t>SW-1007</t>
  </si>
  <si>
    <t>SW-1029</t>
  </si>
  <si>
    <t>SW-1042</t>
  </si>
  <si>
    <t>SW-1045</t>
  </si>
  <si>
    <t>SW-1024</t>
  </si>
  <si>
    <t>SW-1032</t>
  </si>
  <si>
    <t>SW-1043</t>
  </si>
  <si>
    <t>SW-1025</t>
  </si>
  <si>
    <t>SW-1038</t>
  </si>
  <si>
    <t>SW-1048</t>
  </si>
  <si>
    <t>SW-1004</t>
  </si>
  <si>
    <t>SW-1010</t>
  </si>
  <si>
    <t>SW-1015</t>
  </si>
  <si>
    <t>SW-1018</t>
  </si>
  <si>
    <t>SW-1019</t>
  </si>
  <si>
    <t>SW-1044</t>
  </si>
  <si>
    <t>SW-1013</t>
  </si>
  <si>
    <t>SW-1022</t>
  </si>
  <si>
    <t>SW-1034</t>
  </si>
  <si>
    <t>SW-1036</t>
  </si>
  <si>
    <t>SW-1046</t>
  </si>
  <si>
    <t>SW-1003</t>
  </si>
  <si>
    <t>SW-1027</t>
  </si>
  <si>
    <t>SW-1031</t>
  </si>
  <si>
    <t>SW-1033</t>
  </si>
  <si>
    <t>SW-1017</t>
  </si>
  <si>
    <t>SW-1020</t>
  </si>
  <si>
    <t>SW-1021</t>
  </si>
  <si>
    <t>SW-1028</t>
  </si>
  <si>
    <t>SW-1035</t>
  </si>
  <si>
    <t>SW-1041</t>
  </si>
  <si>
    <t>SW-1047</t>
  </si>
  <si>
    <t>SW-1002</t>
  </si>
  <si>
    <t>SW-1014</t>
  </si>
  <si>
    <t>SW-1039</t>
  </si>
  <si>
    <t>SW-1040</t>
  </si>
  <si>
    <t>SW-1023</t>
  </si>
  <si>
    <t>SW-1006</t>
  </si>
  <si>
    <t>SW-1011</t>
  </si>
  <si>
    <t>SW-1012</t>
  </si>
  <si>
    <t>SW-1008</t>
  </si>
  <si>
    <t>SW-1009</t>
  </si>
  <si>
    <t>SW-1037</t>
  </si>
  <si>
    <t>SW-1016</t>
  </si>
  <si>
    <t>SW-1026</t>
  </si>
  <si>
    <t>SW-1030</t>
  </si>
  <si>
    <t>👥  SAFETY MEETINGS — DATA ENTRY</t>
  </si>
  <si>
    <t>SM-1022</t>
  </si>
  <si>
    <t>Annual</t>
  </si>
  <si>
    <t>SM-1025</t>
  </si>
  <si>
    <t>Weekly</t>
  </si>
  <si>
    <t>SM-1026</t>
  </si>
  <si>
    <t>Quarterly</t>
  </si>
  <si>
    <t>SM-1038</t>
  </si>
  <si>
    <t>Monthly</t>
  </si>
  <si>
    <t>SM-1039</t>
  </si>
  <si>
    <t>SM-1040</t>
  </si>
  <si>
    <t>SM-1047</t>
  </si>
  <si>
    <t>SM-1013</t>
  </si>
  <si>
    <t>SM-1017</t>
  </si>
  <si>
    <t>SM-1030</t>
  </si>
  <si>
    <t>SM-1033</t>
  </si>
  <si>
    <t>SM-1042</t>
  </si>
  <si>
    <t>SM-1003</t>
  </si>
  <si>
    <t>SM-1012</t>
  </si>
  <si>
    <t>SM-1015</t>
  </si>
  <si>
    <t>SM-1020</t>
  </si>
  <si>
    <t>SM-1024</t>
  </si>
  <si>
    <t>SM-1028</t>
  </si>
  <si>
    <t>SM-1035</t>
  </si>
  <si>
    <t>SM-1037</t>
  </si>
  <si>
    <t>SM-1002</t>
  </si>
  <si>
    <t>SM-1004</t>
  </si>
  <si>
    <t>SM-1006</t>
  </si>
  <si>
    <t>SM-1046</t>
  </si>
  <si>
    <t>SM-1048</t>
  </si>
  <si>
    <t>SM-1011</t>
  </si>
  <si>
    <t>SM-1019</t>
  </si>
  <si>
    <t>SM-1029</t>
  </si>
  <si>
    <t>SM-1045</t>
  </si>
  <si>
    <t>SM-1009</t>
  </si>
  <si>
    <t>SM-1018</t>
  </si>
  <si>
    <t>SM-1016</t>
  </si>
  <si>
    <t>SM-1034</t>
  </si>
  <si>
    <t>SM-1007</t>
  </si>
  <si>
    <t>SM-1010</t>
  </si>
  <si>
    <t>SM-1027</t>
  </si>
  <si>
    <t>SM-1044</t>
  </si>
  <si>
    <t>SM-1005</t>
  </si>
  <si>
    <t>SM-1008</t>
  </si>
  <si>
    <t>SM-1014</t>
  </si>
  <si>
    <t>SM-1023</t>
  </si>
  <si>
    <t>SM-1001</t>
  </si>
  <si>
    <t>SM-1031</t>
  </si>
  <si>
    <t>SM-1036</t>
  </si>
  <si>
    <t>SM-1043</t>
  </si>
  <si>
    <t>SM-1021</t>
  </si>
  <si>
    <t>SM-1032</t>
  </si>
  <si>
    <t>SM-1041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</si>
  <si>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</si>
  <si>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</si>
  <si>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</si>
  <si>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</si>
  <si>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</si>
  <si>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</si>
  <si>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</si>
  <si>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</si>
  <si>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</si>
  <si>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</si>
  <si>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</si>
  <si>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SB-1008</t>
  </si>
  <si>
    <t>Best Practice</t>
  </si>
  <si>
    <t>Email</t>
  </si>
  <si>
    <t>Closed</t>
  </si>
  <si>
    <t>SB-1009</t>
  </si>
  <si>
    <t>Bulletin</t>
  </si>
  <si>
    <t>Notice Board</t>
  </si>
  <si>
    <t>Acknowledged</t>
  </si>
  <si>
    <t>SB-1013</t>
  </si>
  <si>
    <t>Lesson Learned</t>
  </si>
  <si>
    <t>SB-1016</t>
  </si>
  <si>
    <t>App Notification</t>
  </si>
  <si>
    <t>SB-1028</t>
  </si>
  <si>
    <t>SB-1039</t>
  </si>
  <si>
    <t>Toolbox Topic</t>
  </si>
  <si>
    <t>All Channels</t>
  </si>
  <si>
    <t>SB-1034</t>
  </si>
  <si>
    <t>SB-1037</t>
  </si>
  <si>
    <t>Safety Alert</t>
  </si>
  <si>
    <t>Issued</t>
  </si>
  <si>
    <t>SB-1040</t>
  </si>
  <si>
    <t>Advisory</t>
  </si>
  <si>
    <t>SB-1041</t>
  </si>
  <si>
    <t>SB-1043</t>
  </si>
  <si>
    <t>SB-1020</t>
  </si>
  <si>
    <t>SB-1025</t>
  </si>
  <si>
    <t>SB-1027</t>
  </si>
  <si>
    <t>SB-1036</t>
  </si>
  <si>
    <t>SB-1015</t>
  </si>
  <si>
    <t>SB-1017</t>
  </si>
  <si>
    <t>SB-1046</t>
  </si>
  <si>
    <t>SB-1005</t>
  </si>
  <si>
    <t>SB-1022</t>
  </si>
  <si>
    <t>SB-1023</t>
  </si>
  <si>
    <t>SB-1003</t>
  </si>
  <si>
    <t>SB-1014</t>
  </si>
  <si>
    <t>SB-1029</t>
  </si>
  <si>
    <t>SB-1032</t>
  </si>
  <si>
    <t>SB-1044</t>
  </si>
  <si>
    <t>SB-1047</t>
  </si>
  <si>
    <t>SB-1004</t>
  </si>
  <si>
    <t>SB-1007</t>
  </si>
  <si>
    <t>SB-1042</t>
  </si>
  <si>
    <t>SB-1048</t>
  </si>
  <si>
    <t>SB-1010</t>
  </si>
  <si>
    <t>SB-1021</t>
  </si>
  <si>
    <t>SB-1031</t>
  </si>
  <si>
    <t>SB-1038</t>
  </si>
  <si>
    <t>SB-1006</t>
  </si>
  <si>
    <t>SB-1033</t>
  </si>
  <si>
    <t>SB-1045</t>
  </si>
  <si>
    <t>SB-1002</t>
  </si>
  <si>
    <t>SB-1011</t>
  </si>
  <si>
    <t>SB-1012</t>
  </si>
  <si>
    <t>SB-1018</t>
  </si>
  <si>
    <t>SB-1019</t>
  </si>
  <si>
    <t>SB-1030</t>
  </si>
  <si>
    <t>SB-1035</t>
  </si>
  <si>
    <t>SB-1001</t>
  </si>
  <si>
    <t>SB-1024</t>
  </si>
  <si>
    <t>SB-1026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</si>
  <si>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</si>
  <si>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</si>
  <si>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</si>
  <si>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</si>
  <si>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</si>
  <si>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</si>
  <si>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</si>
  <si>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</si>
  <si>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</si>
  <si>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</si>
  <si>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</si>
  <si>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</si>
  <si>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ED-1008</t>
  </si>
  <si>
    <t>Fire Evacuation</t>
  </si>
  <si>
    <t>ED-1010</t>
  </si>
  <si>
    <t>Gas Leak</t>
  </si>
  <si>
    <t>ED-1013</t>
  </si>
  <si>
    <t>ED-1041</t>
  </si>
  <si>
    <t>Medical Emergency</t>
  </si>
  <si>
    <t>ED-1002</t>
  </si>
  <si>
    <t>ED-1019</t>
  </si>
  <si>
    <t>Chemical Spill</t>
  </si>
  <si>
    <t>Action Pending</t>
  </si>
  <si>
    <t>ED-1003</t>
  </si>
  <si>
    <t>Earthquake</t>
  </si>
  <si>
    <t>ED-1007</t>
  </si>
  <si>
    <t>ED-1016</t>
  </si>
  <si>
    <t>ED-1036</t>
  </si>
  <si>
    <t>ED-1039</t>
  </si>
  <si>
    <t>ED-1001</t>
  </si>
  <si>
    <t>Confined Space Rescue</t>
  </si>
  <si>
    <t>ED-1021</t>
  </si>
  <si>
    <t>ED-1024</t>
  </si>
  <si>
    <t>ED-1030</t>
  </si>
  <si>
    <t>ED-1018</t>
  </si>
  <si>
    <t>ED-1022</t>
  </si>
  <si>
    <t>ED-1025</t>
  </si>
  <si>
    <t>ED-1032</t>
  </si>
  <si>
    <t>ED-1014</t>
  </si>
  <si>
    <t>ED-1015</t>
  </si>
  <si>
    <t>ED-1020</t>
  </si>
  <si>
    <t>ED-1034</t>
  </si>
  <si>
    <t>ED-1038</t>
  </si>
  <si>
    <t>ED-1042</t>
  </si>
  <si>
    <t>ED-1005</t>
  </si>
  <si>
    <t>ED-1006</t>
  </si>
  <si>
    <t>ED-1043</t>
  </si>
  <si>
    <t>ED-1046</t>
  </si>
  <si>
    <t>ED-1017</t>
  </si>
  <si>
    <t>ED-1029</t>
  </si>
  <si>
    <t>ED-1033</t>
  </si>
  <si>
    <t>ED-1040</t>
  </si>
  <si>
    <t>ED-1047</t>
  </si>
  <si>
    <t>ED-1004</t>
  </si>
  <si>
    <t>ED-1009</t>
  </si>
  <si>
    <t>Rescheduled</t>
  </si>
  <si>
    <t>ED-1011</t>
  </si>
  <si>
    <t>ED-1028</t>
  </si>
  <si>
    <t>ED-1035</t>
  </si>
  <si>
    <t>ED-1044</t>
  </si>
  <si>
    <t>ED-1023</t>
  </si>
  <si>
    <t>ED-1026</t>
  </si>
  <si>
    <t>ED-1027</t>
  </si>
  <si>
    <t>ED-1048</t>
  </si>
  <si>
    <t>ED-1031</t>
  </si>
  <si>
    <t>ED-1037</t>
  </si>
  <si>
    <t>ED-1045</t>
  </si>
  <si>
    <t>ED-1012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</si>
  <si>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</si>
  <si>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</si>
  <si>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</si>
  <si>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</si>
  <si>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</si>
  <si>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</si>
  <si>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</si>
  <si>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</si>
  <si>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</si>
  <si>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</si>
  <si>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IA-1015</t>
  </si>
  <si>
    <t>Customer Audit</t>
  </si>
  <si>
    <t>IA-1017</t>
  </si>
  <si>
    <t>Regulatory Inspection</t>
  </si>
  <si>
    <t>IA-1023</t>
  </si>
  <si>
    <t>System Audit</t>
  </si>
  <si>
    <t>IA-1031</t>
  </si>
  <si>
    <t>Process Audit</t>
  </si>
  <si>
    <t>IA-1040</t>
  </si>
  <si>
    <t>IA-1005</t>
  </si>
  <si>
    <t>IA-1011</t>
  </si>
  <si>
    <t>IA-1029</t>
  </si>
  <si>
    <t>IA-1030</t>
  </si>
  <si>
    <t>Surveillance</t>
  </si>
  <si>
    <t>IA-1034</t>
  </si>
  <si>
    <t>IA-1007</t>
  </si>
  <si>
    <t>IA-1012</t>
  </si>
  <si>
    <t>IA-1021</t>
  </si>
  <si>
    <t>IA-1032</t>
  </si>
  <si>
    <t>IA-1039</t>
  </si>
  <si>
    <t>IA-1009</t>
  </si>
  <si>
    <t>IA-1013</t>
  </si>
  <si>
    <t>IA-1024</t>
  </si>
  <si>
    <t>IA-1042</t>
  </si>
  <si>
    <t>IA-1041</t>
  </si>
  <si>
    <t>IA-1002</t>
  </si>
  <si>
    <t>IA-1004</t>
  </si>
  <si>
    <t>IA-1006</t>
  </si>
  <si>
    <t>IA-1008</t>
  </si>
  <si>
    <t>IA-1014</t>
  </si>
  <si>
    <t>Compliance Audit</t>
  </si>
  <si>
    <t>IA-1028</t>
  </si>
  <si>
    <t>IA-1043</t>
  </si>
  <si>
    <t>IA-1048</t>
  </si>
  <si>
    <t>IA-1022</t>
  </si>
  <si>
    <t>IA-1025</t>
  </si>
  <si>
    <t>IA-1026</t>
  </si>
  <si>
    <t>IA-1027</t>
  </si>
  <si>
    <t>IA-1033</t>
  </si>
  <si>
    <t>IA-1035</t>
  </si>
  <si>
    <t>IA-1038</t>
  </si>
  <si>
    <t>IA-1044</t>
  </si>
  <si>
    <t>IA-1001</t>
  </si>
  <si>
    <t>IA-1016</t>
  </si>
  <si>
    <t>IA-1018</t>
  </si>
  <si>
    <t>IA-1047</t>
  </si>
  <si>
    <t>IA-1020</t>
  </si>
  <si>
    <t>IA-1003</t>
  </si>
  <si>
    <t>IA-1010</t>
  </si>
  <si>
    <t>IA-1019</t>
  </si>
  <si>
    <t>IA-1036</t>
  </si>
  <si>
    <t>IA-1037</t>
  </si>
  <si>
    <t>IA-1045</t>
  </si>
  <si>
    <t>IA-1046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</si>
  <si>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</si>
  <si>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</si>
  <si>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</si>
  <si>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</si>
  <si>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</si>
  <si>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</si>
  <si>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</si>
  <si>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</si>
  <si>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</si>
  <si>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</si>
  <si>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EA-1011</t>
  </si>
  <si>
    <t>EA-1019</t>
  </si>
  <si>
    <t>EA-1031</t>
  </si>
  <si>
    <t>EA-1039</t>
  </si>
  <si>
    <t>EA-1030</t>
  </si>
  <si>
    <t>EA-1033</t>
  </si>
  <si>
    <t>EA-1035</t>
  </si>
  <si>
    <t>EA-1022</t>
  </si>
  <si>
    <t>EA-1028</t>
  </si>
  <si>
    <t>EA-1037</t>
  </si>
  <si>
    <t>EA-1003</t>
  </si>
  <si>
    <t>EA-1015</t>
  </si>
  <si>
    <t>EA-1020</t>
  </si>
  <si>
    <t>EA-1042</t>
  </si>
  <si>
    <t>EA-1012</t>
  </si>
  <si>
    <t>EA-1017</t>
  </si>
  <si>
    <t>EA-1023</t>
  </si>
  <si>
    <t>EA-1029</t>
  </si>
  <si>
    <t>EA-1045</t>
  </si>
  <si>
    <t>EA-1046</t>
  </si>
  <si>
    <t>EA-1001</t>
  </si>
  <si>
    <t>EA-1016</t>
  </si>
  <si>
    <t>EA-1021</t>
  </si>
  <si>
    <t>EA-1026</t>
  </si>
  <si>
    <t>EA-1036</t>
  </si>
  <si>
    <t>EA-1041</t>
  </si>
  <si>
    <t>EA-1043</t>
  </si>
  <si>
    <t>EA-1048</t>
  </si>
  <si>
    <t>EA-1005</t>
  </si>
  <si>
    <t>EA-1007</t>
  </si>
  <si>
    <t>EA-1024</t>
  </si>
  <si>
    <t>EA-1004</t>
  </si>
  <si>
    <t>EA-1009</t>
  </si>
  <si>
    <t>EA-1008</t>
  </si>
  <si>
    <t>EA-1027</t>
  </si>
  <si>
    <t>EA-1002</t>
  </si>
  <si>
    <t>EA-1006</t>
  </si>
  <si>
    <t>EA-1010</t>
  </si>
  <si>
    <t>EA-1014</t>
  </si>
  <si>
    <t>EA-1032</t>
  </si>
  <si>
    <t>EA-1018</t>
  </si>
  <si>
    <t>EA-1025</t>
  </si>
  <si>
    <t>EA-1044</t>
  </si>
  <si>
    <t>EA-1047</t>
  </si>
  <si>
    <t>EA-1013</t>
  </si>
  <si>
    <t>EA-1034</t>
  </si>
  <si>
    <t>EA-1038</t>
  </si>
  <si>
    <t>EA-1040</t>
  </si>
  <si>
    <t>🤝  MANAGEMENT VISITS — DATA ENTRY</t>
  </si>
  <si>
    <t>MV-1002</t>
  </si>
  <si>
    <t>Site Walk</t>
  </si>
  <si>
    <t>MV-1005</t>
  </si>
  <si>
    <t>Plant Visit</t>
  </si>
  <si>
    <t>MV-1006</t>
  </si>
  <si>
    <t>Safety Observation</t>
  </si>
  <si>
    <t>MV-1036</t>
  </si>
  <si>
    <t>MV-1047</t>
  </si>
  <si>
    <t>MV-1011</t>
  </si>
  <si>
    <t>MV-1017</t>
  </si>
  <si>
    <t>MV-1020</t>
  </si>
  <si>
    <t>MV-1022</t>
  </si>
  <si>
    <t>MV-1030</t>
  </si>
  <si>
    <t>MV-1033</t>
  </si>
  <si>
    <t>MV-1034</t>
  </si>
  <si>
    <t>Project Visit</t>
  </si>
  <si>
    <t>MV-1001</t>
  </si>
  <si>
    <t>MV-1015</t>
  </si>
  <si>
    <t>MV-1032</t>
  </si>
  <si>
    <t>MV-1035</t>
  </si>
  <si>
    <t>MV-1042</t>
  </si>
  <si>
    <t>MV-1044</t>
  </si>
  <si>
    <t>MV-1046</t>
  </si>
  <si>
    <t>MV-1016</t>
  </si>
  <si>
    <t>MV-1023</t>
  </si>
  <si>
    <t>MV-1026</t>
  </si>
  <si>
    <t>MV-1028</t>
  </si>
  <si>
    <t>MV-1040</t>
  </si>
  <si>
    <t>MV-1045</t>
  </si>
  <si>
    <t>MV-1004</t>
  </si>
  <si>
    <t>MV-1018</t>
  </si>
  <si>
    <t>MV-1048</t>
  </si>
  <si>
    <t>MV-1012</t>
  </si>
  <si>
    <t>MV-1013</t>
  </si>
  <si>
    <t>MV-1027</t>
  </si>
  <si>
    <t>MV-1041</t>
  </si>
  <si>
    <t>MV-1043</t>
  </si>
  <si>
    <t>MV-1019</t>
  </si>
  <si>
    <t>MV-1024</t>
  </si>
  <si>
    <t>MV-1029</t>
  </si>
  <si>
    <t>MV-1039</t>
  </si>
  <si>
    <t>MV-1010</t>
  </si>
  <si>
    <t>MV-1014</t>
  </si>
  <si>
    <t>MV-1021</t>
  </si>
  <si>
    <t>MV-1025</t>
  </si>
  <si>
    <t>MV-1037</t>
  </si>
  <si>
    <t>MV-1003</t>
  </si>
  <si>
    <t>MV-1009</t>
  </si>
  <si>
    <t>MV-1038</t>
  </si>
  <si>
    <t>MV-1008</t>
  </si>
  <si>
    <t>MV-1031</t>
  </si>
  <si>
    <t>MV-1007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</si>
  <si>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</si>
  <si>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</si>
  <si>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</si>
  <si>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</si>
  <si>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</si>
  <si>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</si>
  <si>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MR-1015</t>
  </si>
  <si>
    <t>MR-1016</t>
  </si>
  <si>
    <t>MR-1023</t>
  </si>
  <si>
    <t>MR-1008</t>
  </si>
  <si>
    <t>MR-1033</t>
  </si>
  <si>
    <t>MR-1035</t>
  </si>
  <si>
    <t>MR-1003</t>
  </si>
  <si>
    <t>MR-1013</t>
  </si>
  <si>
    <t>MR-1034</t>
  </si>
  <si>
    <t>MR-1038</t>
  </si>
  <si>
    <t>MR-1044</t>
  </si>
  <si>
    <t>MR-1014</t>
  </si>
  <si>
    <t>MR-1025</t>
  </si>
  <si>
    <t>MR-1043</t>
  </si>
  <si>
    <t>MR-1031</t>
  </si>
  <si>
    <t>MR-1006</t>
  </si>
  <si>
    <t>MR-1010</t>
  </si>
  <si>
    <t>MR-1020</t>
  </si>
  <si>
    <t>MR-1026</t>
  </si>
  <si>
    <t>MR-1041</t>
  </si>
  <si>
    <t>MR-1001</t>
  </si>
  <si>
    <t>MR-1009</t>
  </si>
  <si>
    <t>MR-1024</t>
  </si>
  <si>
    <t>MR-1028</t>
  </si>
  <si>
    <t>MR-1005</t>
  </si>
  <si>
    <t>MR-1021</t>
  </si>
  <si>
    <t>MR-1027</t>
  </si>
  <si>
    <t>MR-1032</t>
  </si>
  <si>
    <t>MR-1002</t>
  </si>
  <si>
    <t>MR-1011</t>
  </si>
  <si>
    <t>MR-1017</t>
  </si>
  <si>
    <t>MR-1036</t>
  </si>
  <si>
    <t>MR-1012</t>
  </si>
  <si>
    <t>MR-1019</t>
  </si>
  <si>
    <t>MR-1022</t>
  </si>
  <si>
    <t>MR-1029</t>
  </si>
  <si>
    <t>MR-1030</t>
  </si>
  <si>
    <t>MR-1037</t>
  </si>
  <si>
    <t>MR-1039</t>
  </si>
  <si>
    <t>MR-1040</t>
  </si>
  <si>
    <t>MR-1042</t>
  </si>
  <si>
    <t>MR-1046</t>
  </si>
  <si>
    <t>MR-1047</t>
  </si>
  <si>
    <t>MR-1048</t>
  </si>
  <si>
    <t>MR-1004</t>
  </si>
  <si>
    <t>MR-1007</t>
  </si>
  <si>
    <t>MR-1018</t>
  </si>
  <si>
    <t>MR-1045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</si>
  <si>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</si>
  <si>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</si>
  <si>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</si>
  <si>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</si>
  <si>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</si>
  <si>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</si>
  <si>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</si>
  <si>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</si>
  <si>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DA-1005</t>
  </si>
  <si>
    <t>Substance Abuse</t>
  </si>
  <si>
    <t>1st Offense</t>
  </si>
  <si>
    <t>DA-1011</t>
  </si>
  <si>
    <t>PPE Violation</t>
  </si>
  <si>
    <t>2nd Offense</t>
  </si>
  <si>
    <t>DA-1015</t>
  </si>
  <si>
    <t>Safety Rule Breach</t>
  </si>
  <si>
    <t>DA-1032</t>
  </si>
  <si>
    <t>Termination</t>
  </si>
  <si>
    <t>Under Review</t>
  </si>
  <si>
    <t>DA-1033</t>
  </si>
  <si>
    <t>3rd Offense</t>
  </si>
  <si>
    <t>Appealed</t>
  </si>
  <si>
    <t>DA-1034</t>
  </si>
  <si>
    <t>Reckless Behavior</t>
  </si>
  <si>
    <t>DA-1035</t>
  </si>
  <si>
    <t>DA-1042</t>
  </si>
  <si>
    <t>DA-1043</t>
  </si>
  <si>
    <t>Repeat</t>
  </si>
  <si>
    <t>DA-1009</t>
  </si>
  <si>
    <t>DA-1021</t>
  </si>
  <si>
    <t>Permit Violation</t>
  </si>
  <si>
    <t>DA-1046</t>
  </si>
  <si>
    <t>DA-1012</t>
  </si>
  <si>
    <t>DA-1014</t>
  </si>
  <si>
    <t>DA-1016</t>
  </si>
  <si>
    <t>DA-1022</t>
  </si>
  <si>
    <t>Unauthorized Work</t>
  </si>
  <si>
    <t>DA-1024</t>
  </si>
  <si>
    <t>DA-1029</t>
  </si>
  <si>
    <t>DA-1010</t>
  </si>
  <si>
    <t>DA-1044</t>
  </si>
  <si>
    <t>DA-1048</t>
  </si>
  <si>
    <t>DA-1018</t>
  </si>
  <si>
    <t>DA-1020</t>
  </si>
  <si>
    <t>DA-1006</t>
  </si>
  <si>
    <t>DA-1038</t>
  </si>
  <si>
    <t>DA-1040</t>
  </si>
  <si>
    <t>DA-1003</t>
  </si>
  <si>
    <t>DA-1007</t>
  </si>
  <si>
    <t>DA-1013</t>
  </si>
  <si>
    <t>DA-1025</t>
  </si>
  <si>
    <t>DA-1031</t>
  </si>
  <si>
    <t>DA-1047</t>
  </si>
  <si>
    <t>DA-1004</t>
  </si>
  <si>
    <t>DA-1036</t>
  </si>
  <si>
    <t>DA-1039</t>
  </si>
  <si>
    <t>DA-1019</t>
  </si>
  <si>
    <t>DA-1023</t>
  </si>
  <si>
    <t>DA-1026</t>
  </si>
  <si>
    <t>DA-1030</t>
  </si>
  <si>
    <t>DA-1041</t>
  </si>
  <si>
    <t>DA-1001</t>
  </si>
  <si>
    <t>DA-1002</t>
  </si>
  <si>
    <t>DA-1027</t>
  </si>
  <si>
    <t>DA-1028</t>
  </si>
  <si>
    <t>DA-1045</t>
  </si>
  <si>
    <t>DA-1008</t>
  </si>
  <si>
    <t>DA-1017</t>
  </si>
  <si>
    <t>DA-1037</t>
  </si>
  <si>
    <t>Case No.</t>
  </si>
  <si>
    <t>Violation Type</t>
  </si>
  <si>
    <t>Employee Name</t>
  </si>
  <si>
    <t>Offense Level</t>
  </si>
  <si>
    <t>🏆  SAFETY AWARDS — DATA ENTRY</t>
  </si>
  <si>
    <t>AW-1005</t>
  </si>
  <si>
    <t>Best Department</t>
  </si>
  <si>
    <t>Recognition Letter</t>
  </si>
  <si>
    <t>Presented</t>
  </si>
  <si>
    <t>AW-1015</t>
  </si>
  <si>
    <t>Best Safety Suggestion</t>
  </si>
  <si>
    <t>Trophy</t>
  </si>
  <si>
    <t>AW-1024</t>
  </si>
  <si>
    <t>Safe Worker of Month</t>
  </si>
  <si>
    <t>Cash Bonus</t>
  </si>
  <si>
    <t>AW-1008</t>
  </si>
  <si>
    <t>Nominated</t>
  </si>
  <si>
    <t>AW-1019</t>
  </si>
  <si>
    <t>Safety Innovation</t>
  </si>
  <si>
    <t>AW-1031</t>
  </si>
  <si>
    <t>AW-1039</t>
  </si>
  <si>
    <t>AW-1046</t>
  </si>
  <si>
    <t>Zero Incident Award</t>
  </si>
  <si>
    <t>Gift Voucher</t>
  </si>
  <si>
    <t>AW-1048</t>
  </si>
  <si>
    <t>HSE Champion</t>
  </si>
  <si>
    <t>Certificate</t>
  </si>
  <si>
    <t>AW-1012</t>
  </si>
  <si>
    <t>AW-1018</t>
  </si>
  <si>
    <t>AW-1025</t>
  </si>
  <si>
    <t>AW-1034</t>
  </si>
  <si>
    <t>AW-1047</t>
  </si>
  <si>
    <t>AW-1002</t>
  </si>
  <si>
    <t>AW-1009</t>
  </si>
  <si>
    <t>AW-1010</t>
  </si>
  <si>
    <t>AW-1013</t>
  </si>
  <si>
    <t>AW-1021</t>
  </si>
  <si>
    <t>AW-1028</t>
  </si>
  <si>
    <t>AW-1032</t>
  </si>
  <si>
    <t>AW-1003</t>
  </si>
  <si>
    <t>AW-1011</t>
  </si>
  <si>
    <t>AW-1022</t>
  </si>
  <si>
    <t>AW-1037</t>
  </si>
  <si>
    <t>AW-1043</t>
  </si>
  <si>
    <t>AW-1004</t>
  </si>
  <si>
    <t>AW-1020</t>
  </si>
  <si>
    <t>AW-1030</t>
  </si>
  <si>
    <t>AW-1007</t>
  </si>
  <si>
    <t>AW-1017</t>
  </si>
  <si>
    <t>AW-1035</t>
  </si>
  <si>
    <t>AW-1038</t>
  </si>
  <si>
    <t>AW-1001</t>
  </si>
  <si>
    <t>AW-1014</t>
  </si>
  <si>
    <t>AW-1016</t>
  </si>
  <si>
    <t>AW-1029</t>
  </si>
  <si>
    <t>AW-1040</t>
  </si>
  <si>
    <t>AW-1042</t>
  </si>
  <si>
    <t>AW-1023</t>
  </si>
  <si>
    <t>AW-1026</t>
  </si>
  <si>
    <t>AW-1027</t>
  </si>
  <si>
    <t>AW-1036</t>
  </si>
  <si>
    <t>AW-1041</t>
  </si>
  <si>
    <t>AW-1006</t>
  </si>
  <si>
    <t>AW-1033</t>
  </si>
  <si>
    <t>AW-1044</t>
  </si>
  <si>
    <t>AW-1045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</si>
  <si>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</si>
  <si>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</si>
  <si>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</si>
  <si>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</si>
  <si>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</si>
  <si>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</si>
  <si>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SWA-1009</t>
  </si>
  <si>
    <t>Under Investigation</t>
  </si>
  <si>
    <t>SWA-1019</t>
  </si>
  <si>
    <t>Permanent Fix Applied</t>
  </si>
  <si>
    <t>SWA-1021</t>
  </si>
  <si>
    <t>Resolved</t>
  </si>
  <si>
    <t>SWA-1015</t>
  </si>
  <si>
    <t>SWA-1042</t>
  </si>
  <si>
    <t>SWA-1005</t>
  </si>
  <si>
    <t>SWA-1025</t>
  </si>
  <si>
    <t>SWA-1048</t>
  </si>
  <si>
    <t>SWA-1001</t>
  </si>
  <si>
    <t>SWA-1007</t>
  </si>
  <si>
    <t>SWA-1018</t>
  </si>
  <si>
    <t>SWA-1043</t>
  </si>
  <si>
    <t>SWA-1032</t>
  </si>
  <si>
    <t>SWA-1039</t>
  </si>
  <si>
    <t>SWA-1031</t>
  </si>
  <si>
    <t>SWA-1040</t>
  </si>
  <si>
    <t>SWA-1002</t>
  </si>
  <si>
    <t>SWA-1003</t>
  </si>
  <si>
    <t>SWA-1004</t>
  </si>
  <si>
    <t>SWA-1026</t>
  </si>
  <si>
    <t>SWA-1027</t>
  </si>
  <si>
    <t>SWA-1028</t>
  </si>
  <si>
    <t>SWA-1030</t>
  </si>
  <si>
    <t>SWA-1047</t>
  </si>
  <si>
    <t>SWA-1006</t>
  </si>
  <si>
    <t>SWA-1010</t>
  </si>
  <si>
    <t>SWA-1011</t>
  </si>
  <si>
    <t>SWA-1014</t>
  </si>
  <si>
    <t>SWA-1029</t>
  </si>
  <si>
    <t>SWA-1037</t>
  </si>
  <si>
    <t>SWA-1044</t>
  </si>
  <si>
    <t>SWA-1008</t>
  </si>
  <si>
    <t>SWA-1033</t>
  </si>
  <si>
    <t>SWA-1036</t>
  </si>
  <si>
    <t>SWA-1038</t>
  </si>
  <si>
    <t>SWA-1041</t>
  </si>
  <si>
    <t>SWA-1045</t>
  </si>
  <si>
    <t>SWA-1013</t>
  </si>
  <si>
    <t>SWA-1017</t>
  </si>
  <si>
    <t>SWA-1023</t>
  </si>
  <si>
    <t>SWA-1034</t>
  </si>
  <si>
    <t>SWA-1035</t>
  </si>
  <si>
    <t>SWA-1046</t>
  </si>
  <si>
    <t>SWA-1012</t>
  </si>
  <si>
    <t>SWA-1016</t>
  </si>
  <si>
    <t>SWA-1020</t>
  </si>
  <si>
    <t>SWA-1022</t>
  </si>
  <si>
    <t>SWA-1024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</si>
  <si>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</si>
  <si>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</si>
  <si>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</si>
  <si>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</si>
  <si>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</si>
  <si>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</si>
  <si>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</si>
  <si>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</si>
  <si>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</si>
  <si>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AT-1003</t>
  </si>
  <si>
    <t>Reasonable Suspicion</t>
  </si>
  <si>
    <t>Positive</t>
  </si>
  <si>
    <t>AT-1016</t>
  </si>
  <si>
    <t>Random</t>
  </si>
  <si>
    <t>AT-1002</t>
  </si>
  <si>
    <t>Post-Incident</t>
  </si>
  <si>
    <t>Negative</t>
  </si>
  <si>
    <t>AT-1004</t>
  </si>
  <si>
    <t>Pre-Shift</t>
  </si>
  <si>
    <t>AT-1030</t>
  </si>
  <si>
    <t>AT-1005</t>
  </si>
  <si>
    <t>AT-1008</t>
  </si>
  <si>
    <t>Open</t>
  </si>
  <si>
    <t>AT-1010</t>
  </si>
  <si>
    <t>AT-1041</t>
  </si>
  <si>
    <t>AT-1043</t>
  </si>
  <si>
    <t>AT-1028</t>
  </si>
  <si>
    <t>AT-1034</t>
  </si>
  <si>
    <t>AT-1039</t>
  </si>
  <si>
    <t>AT-1042</t>
  </si>
  <si>
    <t>AT-1015</t>
  </si>
  <si>
    <t>AT-1017</t>
  </si>
  <si>
    <t>AT-1026</t>
  </si>
  <si>
    <t>AT-1029</t>
  </si>
  <si>
    <t>AT-1040</t>
  </si>
  <si>
    <t>AT-1048</t>
  </si>
  <si>
    <t>AT-1009</t>
  </si>
  <si>
    <t>AT-1027</t>
  </si>
  <si>
    <t>AT-1046</t>
  </si>
  <si>
    <t>AT-1006</t>
  </si>
  <si>
    <t>AT-1020</t>
  </si>
  <si>
    <t>AT-1021</t>
  </si>
  <si>
    <t>AT-1038</t>
  </si>
  <si>
    <t>AT-1007</t>
  </si>
  <si>
    <t>AT-1018</t>
  </si>
  <si>
    <t>AT-1032</t>
  </si>
  <si>
    <t>AT-1045</t>
  </si>
  <si>
    <t>AT-1023</t>
  </si>
  <si>
    <t>AT-1036</t>
  </si>
  <si>
    <t>AT-1001</t>
  </si>
  <si>
    <t>AT-1022</t>
  </si>
  <si>
    <t>AT-1024</t>
  </si>
  <si>
    <t>AT-1025</t>
  </si>
  <si>
    <t>AT-1031</t>
  </si>
  <si>
    <t>AT-1047</t>
  </si>
  <si>
    <t>AT-1019</t>
  </si>
  <si>
    <t>AT-1033</t>
  </si>
  <si>
    <t>AT-1035</t>
  </si>
  <si>
    <t>AT-1037</t>
  </si>
  <si>
    <t>AT-1011</t>
  </si>
  <si>
    <t>AT-1012</t>
  </si>
  <si>
    <t>AT-1013</t>
  </si>
  <si>
    <t>AT-1014</t>
  </si>
  <si>
    <t>AT-1044</t>
  </si>
  <si>
    <t>Test ID</t>
  </si>
  <si>
    <t>Employee Tested</t>
  </si>
  <si>
    <t>Test Type</t>
  </si>
  <si>
    <t>Result</t>
  </si>
  <si>
    <t>Tested By</t>
  </si>
  <si>
    <t>📝  PTW AUDITS — DATA ENTRY</t>
  </si>
  <si>
    <t>PTA-1021</t>
  </si>
  <si>
    <t>Lifting</t>
  </si>
  <si>
    <t>PTA-1036</t>
  </si>
  <si>
    <t>PTA-1018</t>
  </si>
  <si>
    <t>PTA-1023</t>
  </si>
  <si>
    <t>PTA-1040</t>
  </si>
  <si>
    <t>PTA-1002</t>
  </si>
  <si>
    <t>Cold Work</t>
  </si>
  <si>
    <t>PTA-1011</t>
  </si>
  <si>
    <t>PTA-1026</t>
  </si>
  <si>
    <t>PTA-1042</t>
  </si>
  <si>
    <t>Working at Height</t>
  </si>
  <si>
    <t>PTA-1004</t>
  </si>
  <si>
    <t>PTA-1010</t>
  </si>
  <si>
    <t>PTA-1024</t>
  </si>
  <si>
    <t>Electrical</t>
  </si>
  <si>
    <t>PTA-1037</t>
  </si>
  <si>
    <t>PTA-1005</t>
  </si>
  <si>
    <t>Excavation</t>
  </si>
  <si>
    <t>PTA-1013</t>
  </si>
  <si>
    <t>PTA-1015</t>
  </si>
  <si>
    <t>PTA-1016</t>
  </si>
  <si>
    <t>PTA-1028</t>
  </si>
  <si>
    <t>PTA-1039</t>
  </si>
  <si>
    <t>PTA-1046</t>
  </si>
  <si>
    <t>PTA-1006</t>
  </si>
  <si>
    <t>PTA-1020</t>
  </si>
  <si>
    <t>PTA-1022</t>
  </si>
  <si>
    <t>PTA-1031</t>
  </si>
  <si>
    <t>PTA-1008</t>
  </si>
  <si>
    <t>PTA-1012</t>
  </si>
  <si>
    <t>PTA-1029</t>
  </si>
  <si>
    <t>PTA-1001</t>
  </si>
  <si>
    <t>PTA-1019</t>
  </si>
  <si>
    <t>PTA-1038</t>
  </si>
  <si>
    <t>PTA-1041</t>
  </si>
  <si>
    <t>PTA-1043</t>
  </si>
  <si>
    <t>PTA-1047</t>
  </si>
  <si>
    <t>PTA-1048</t>
  </si>
  <si>
    <t>PTA-1034</t>
  </si>
  <si>
    <t>PTA-1035</t>
  </si>
  <si>
    <t>PTA-1045</t>
  </si>
  <si>
    <t>PTA-1003</t>
  </si>
  <si>
    <t>PTA-1017</t>
  </si>
  <si>
    <t>PTA-1030</t>
  </si>
  <si>
    <t>PTA-1032</t>
  </si>
  <si>
    <t>PTA-1033</t>
  </si>
  <si>
    <t>PTA-1009</t>
  </si>
  <si>
    <t>PTA-1014</t>
  </si>
  <si>
    <t>PTA-1007</t>
  </si>
  <si>
    <t>PTA-1025</t>
  </si>
  <si>
    <t>PTA-1027</t>
  </si>
  <si>
    <t>PTA-1044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</si>
  <si>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</si>
  <si>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</si>
  <si>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</si>
  <si>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</si>
  <si>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</si>
  <si>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</si>
  <si>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</si>
  <si>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</si>
  <si>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CA-1004</t>
  </si>
  <si>
    <t>Audit Finding</t>
  </si>
  <si>
    <t>CA-1029</t>
  </si>
  <si>
    <t>Inspection Finding</t>
  </si>
  <si>
    <t>Cancelled</t>
  </si>
  <si>
    <t>CA-1010</t>
  </si>
  <si>
    <t>CA-1015</t>
  </si>
  <si>
    <t>Management Review</t>
  </si>
  <si>
    <t>CA-1019</t>
  </si>
  <si>
    <t>Drill Finding</t>
  </si>
  <si>
    <t>CA-1020</t>
  </si>
  <si>
    <t>Incident Follow-up</t>
  </si>
  <si>
    <t>CA-1028</t>
  </si>
  <si>
    <t>CA-1033</t>
  </si>
  <si>
    <t>CA-1008</t>
  </si>
  <si>
    <t>CA-1018</t>
  </si>
  <si>
    <t>Observation</t>
  </si>
  <si>
    <t>CA-1032</t>
  </si>
  <si>
    <t>CA-1035</t>
  </si>
  <si>
    <t>CA-1036</t>
  </si>
  <si>
    <t>CA-1047</t>
  </si>
  <si>
    <t>CA-1014</t>
  </si>
  <si>
    <t>CA-1024</t>
  </si>
  <si>
    <t>CA-1038</t>
  </si>
  <si>
    <t>CA-1003</t>
  </si>
  <si>
    <t>CA-1025</t>
  </si>
  <si>
    <t>CA-1042</t>
  </si>
  <si>
    <t>CA-1005</t>
  </si>
  <si>
    <t>CA-1012</t>
  </si>
  <si>
    <t>CA-1017</t>
  </si>
  <si>
    <t>CA-1021</t>
  </si>
  <si>
    <t>CA-1034</t>
  </si>
  <si>
    <t>CA-1046</t>
  </si>
  <si>
    <t>CA-1006</t>
  </si>
  <si>
    <t>CA-1016</t>
  </si>
  <si>
    <t>CA-1030</t>
  </si>
  <si>
    <t>CA-1041</t>
  </si>
  <si>
    <t>CA-1022</t>
  </si>
  <si>
    <t>CA-1037</t>
  </si>
  <si>
    <t>CA-1044</t>
  </si>
  <si>
    <t>CA-1013</t>
  </si>
  <si>
    <t>CA-1009</t>
  </si>
  <si>
    <t>CA-1026</t>
  </si>
  <si>
    <t>CA-1027</t>
  </si>
  <si>
    <t>CA-1031</t>
  </si>
  <si>
    <t>CA-1039</t>
  </si>
  <si>
    <t>CA-1045</t>
  </si>
  <si>
    <t>CA-1048</t>
  </si>
  <si>
    <t>CA-1001</t>
  </si>
  <si>
    <t>CA-1011</t>
  </si>
  <si>
    <t>CA-1023</t>
  </si>
  <si>
    <t>CA-1002</t>
  </si>
  <si>
    <t>CA-1007</t>
  </si>
  <si>
    <t>CA-1040</t>
  </si>
  <si>
    <t>CA-1043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</si>
  <si>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</si>
  <si>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</si>
  <si>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</si>
  <si>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</si>
  <si>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</si>
  <si>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</si>
  <si>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</si>
  <si>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</si>
  <si>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NC-1015</t>
  </si>
  <si>
    <t>Major</t>
  </si>
  <si>
    <t>NC-1032</t>
  </si>
  <si>
    <t>NC-1034</t>
  </si>
  <si>
    <t>PPE Not Used</t>
  </si>
  <si>
    <t>NC-1007</t>
  </si>
  <si>
    <t>Inadequate Procedure</t>
  </si>
  <si>
    <t>NC-1022</t>
  </si>
  <si>
    <t>Poor Housekeeping</t>
  </si>
  <si>
    <t>NC-1042</t>
  </si>
  <si>
    <t>NC-1020</t>
  </si>
  <si>
    <t>Minor</t>
  </si>
  <si>
    <t>Human Error</t>
  </si>
  <si>
    <t>NC-1023</t>
  </si>
  <si>
    <t>NC-1036</t>
  </si>
  <si>
    <t>NC-1005</t>
  </si>
  <si>
    <t>NC-1011</t>
  </si>
  <si>
    <t>NC-1013</t>
  </si>
  <si>
    <t>NC-1027</t>
  </si>
  <si>
    <t>NC-1031</t>
  </si>
  <si>
    <t>NC-1039</t>
  </si>
  <si>
    <t>NC-1004</t>
  </si>
  <si>
    <t>NC-1024</t>
  </si>
  <si>
    <t>Equipment Failure</t>
  </si>
  <si>
    <t>NC-1003</t>
  </si>
  <si>
    <t>NC-1012</t>
  </si>
  <si>
    <t>NC-1029</t>
  </si>
  <si>
    <t>NC-1033</t>
  </si>
  <si>
    <t>NC-1010</t>
  </si>
  <si>
    <t>Lack of Training</t>
  </si>
  <si>
    <t>NC-1019</t>
  </si>
  <si>
    <t>NC-1040</t>
  </si>
  <si>
    <t>NC-1041</t>
  </si>
  <si>
    <t>NC-1044</t>
  </si>
  <si>
    <t>NC-1047</t>
  </si>
  <si>
    <t>NC-1006</t>
  </si>
  <si>
    <t>NC-1009</t>
  </si>
  <si>
    <t>NC-1028</t>
  </si>
  <si>
    <t>NC-1035</t>
  </si>
  <si>
    <t>NC-1001</t>
  </si>
  <si>
    <t>NC-1016</t>
  </si>
  <si>
    <t>NC-1026</t>
  </si>
  <si>
    <t>NC-1030</t>
  </si>
  <si>
    <t>NC-1038</t>
  </si>
  <si>
    <t>NC-1014</t>
  </si>
  <si>
    <t>NC-1017</t>
  </si>
  <si>
    <t>NC-1025</t>
  </si>
  <si>
    <t>NC-1046</t>
  </si>
  <si>
    <t>NC-1048</t>
  </si>
  <si>
    <t>NC-1002</t>
  </si>
  <si>
    <t>NC-1008</t>
  </si>
  <si>
    <t>NC-1037</t>
  </si>
  <si>
    <t>NC-1018</t>
  </si>
  <si>
    <t>NC-1021</t>
  </si>
  <si>
    <t>NC-1043</t>
  </si>
  <si>
    <t>NC-1045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</si>
  <si>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</si>
  <si>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</si>
  <si>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</si>
  <si>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</si>
  <si>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</si>
  <si>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</si>
  <si>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UA-1009</t>
  </si>
  <si>
    <t>LOTO Not Followed</t>
  </si>
  <si>
    <t>UA-1017</t>
  </si>
  <si>
    <t>Wrong Tool for the Job</t>
  </si>
  <si>
    <t>UA-1029</t>
  </si>
  <si>
    <t>Operating Without Authorization</t>
  </si>
  <si>
    <t>UA-1014</t>
  </si>
  <si>
    <t>Not Using PPE</t>
  </si>
  <si>
    <t>UA-1028</t>
  </si>
  <si>
    <t>Bypassing Safety Device</t>
  </si>
  <si>
    <t>UA-1039</t>
  </si>
  <si>
    <t>Using Defective Equipment</t>
  </si>
  <si>
    <t>UA-1043</t>
  </si>
  <si>
    <t>UA-1008</t>
  </si>
  <si>
    <t>UA-1011</t>
  </si>
  <si>
    <t>UA-1019</t>
  </si>
  <si>
    <t>UA-1020</t>
  </si>
  <si>
    <t>UA-1038</t>
  </si>
  <si>
    <t>Horseplay</t>
  </si>
  <si>
    <t>UA-1001</t>
  </si>
  <si>
    <t>UA-1003</t>
  </si>
  <si>
    <t>UA-1005</t>
  </si>
  <si>
    <t>UA-1016</t>
  </si>
  <si>
    <t>UA-1030</t>
  </si>
  <si>
    <t>UA-1045</t>
  </si>
  <si>
    <t>UA-1047</t>
  </si>
  <si>
    <t>UA-1015</t>
  </si>
  <si>
    <t>UA-1032</t>
  </si>
  <si>
    <t>Improper Lifting Technique</t>
  </si>
  <si>
    <t>UA-1031</t>
  </si>
  <si>
    <t>UA-1044</t>
  </si>
  <si>
    <t>Vehicle/Forklift Overspeeding</t>
  </si>
  <si>
    <t>UA-1013</t>
  </si>
  <si>
    <t>UA-1018</t>
  </si>
  <si>
    <t>UA-1026</t>
  </si>
  <si>
    <t>UA-1027</t>
  </si>
  <si>
    <t>UA-1004</t>
  </si>
  <si>
    <t>UA-1007</t>
  </si>
  <si>
    <t>Working Without Permit</t>
  </si>
  <si>
    <t>UA-1012</t>
  </si>
  <si>
    <t>UA-1022</t>
  </si>
  <si>
    <t>UA-1035</t>
  </si>
  <si>
    <t>UA-1024</t>
  </si>
  <si>
    <t>UA-1037</t>
  </si>
  <si>
    <t>UA-1040</t>
  </si>
  <si>
    <t>UA-1046</t>
  </si>
  <si>
    <t>UA-1006</t>
  </si>
  <si>
    <t>UA-1010</t>
  </si>
  <si>
    <t>UA-1025</t>
  </si>
  <si>
    <t>UA-1036</t>
  </si>
  <si>
    <t>UA-1042</t>
  </si>
  <si>
    <t>UA-1002</t>
  </si>
  <si>
    <t>UA-1021</t>
  </si>
  <si>
    <t>UA-1034</t>
  </si>
  <si>
    <t>UA-1048</t>
  </si>
  <si>
    <t>UA-1023</t>
  </si>
  <si>
    <t>UA-1033</t>
  </si>
  <si>
    <t>UA-1041</t>
  </si>
  <si>
    <t>Report No.</t>
  </si>
  <si>
    <t>Reported By</t>
  </si>
  <si>
    <t>Immediate Action</t>
  </si>
  <si>
    <t>⛔  UNSAFE CONDITIONS — DATA ENTRY</t>
  </si>
  <si>
    <t>UC-1010</t>
  </si>
  <si>
    <t>Chemical Leak</t>
  </si>
  <si>
    <t>UC-1034</t>
  </si>
  <si>
    <t>Inadequate Lighting</t>
  </si>
  <si>
    <t>UC-1026</t>
  </si>
  <si>
    <t>Exposed Wiring</t>
  </si>
  <si>
    <t>UC-1035</t>
  </si>
  <si>
    <t>Missing Signage</t>
  </si>
  <si>
    <t>UC-1037</t>
  </si>
  <si>
    <t>Slippery Floor</t>
  </si>
  <si>
    <t>UC-1001</t>
  </si>
  <si>
    <t>UC-1002</t>
  </si>
  <si>
    <t>UC-1011</t>
  </si>
  <si>
    <t>UC-1012</t>
  </si>
  <si>
    <t>UC-1044</t>
  </si>
  <si>
    <t>UC-1047</t>
  </si>
  <si>
    <t>UC-1015</t>
  </si>
  <si>
    <t>Damaged Machine Guard</t>
  </si>
  <si>
    <t>UC-1018</t>
  </si>
  <si>
    <t>Blocked Walkway/Aisle</t>
  </si>
  <si>
    <t>UC-1023</t>
  </si>
  <si>
    <t>Blocked Fire Exit</t>
  </si>
  <si>
    <t>UC-1016</t>
  </si>
  <si>
    <t>UC-1017</t>
  </si>
  <si>
    <t>UC-1020</t>
  </si>
  <si>
    <t>UC-1028</t>
  </si>
  <si>
    <t>UC-1048</t>
  </si>
  <si>
    <t>UC-1024</t>
  </si>
  <si>
    <t>UC-1031</t>
  </si>
  <si>
    <t>UC-1045</t>
  </si>
  <si>
    <t>UC-1003</t>
  </si>
  <si>
    <t>UC-1004</t>
  </si>
  <si>
    <t>Faulty Ladder/Scaffold</t>
  </si>
  <si>
    <t>UC-1005</t>
  </si>
  <si>
    <t>UC-1013</t>
  </si>
  <si>
    <t>UC-1022</t>
  </si>
  <si>
    <t>UC-1029</t>
  </si>
  <si>
    <t>UC-1036</t>
  </si>
  <si>
    <t>UC-1009</t>
  </si>
  <si>
    <t>UC-1025</t>
  </si>
  <si>
    <t>UC-1027</t>
  </si>
  <si>
    <t>UC-1033</t>
  </si>
  <si>
    <t>UC-1040</t>
  </si>
  <si>
    <t>UC-1042</t>
  </si>
  <si>
    <t>UC-1046</t>
  </si>
  <si>
    <t>UC-1014</t>
  </si>
  <si>
    <t>UC-1039</t>
  </si>
  <si>
    <t>UC-1043</t>
  </si>
  <si>
    <t>UC-1006</t>
  </si>
  <si>
    <t>UC-1021</t>
  </si>
  <si>
    <t>UC-1030</t>
  </si>
  <si>
    <t>UC-1032</t>
  </si>
  <si>
    <t>UC-1038</t>
  </si>
  <si>
    <t>UC-1041</t>
  </si>
  <si>
    <t>UC-1007</t>
  </si>
  <si>
    <t>UC-1008</t>
  </si>
  <si>
    <t>UC-1019</t>
  </si>
  <si>
    <t>🔥  INCIDENT — DATA ENTRY</t>
  </si>
  <si>
    <t>INC-1006</t>
  </si>
  <si>
    <t>W1</t>
  </si>
  <si>
    <t>Q1</t>
  </si>
  <si>
    <t>FY2026-2027</t>
  </si>
  <si>
    <t>Line 2</t>
  </si>
  <si>
    <t>Property Damage</t>
  </si>
  <si>
    <t>First Aid</t>
  </si>
  <si>
    <t>Eye</t>
  </si>
  <si>
    <t>INC-1001</t>
  </si>
  <si>
    <t>W3</t>
  </si>
  <si>
    <t>Injury/Illness</t>
  </si>
  <si>
    <t>Third Party</t>
  </si>
  <si>
    <t>Hand/Finger</t>
  </si>
  <si>
    <t>Environmental</t>
  </si>
  <si>
    <t>INC-1014</t>
  </si>
  <si>
    <t>W2</t>
  </si>
  <si>
    <t>Can Line</t>
  </si>
  <si>
    <t>Vehicle</t>
  </si>
  <si>
    <t>Visitor</t>
  </si>
  <si>
    <t>Foot/Leg</t>
  </si>
  <si>
    <t>INC-1022</t>
  </si>
  <si>
    <t>Back</t>
  </si>
  <si>
    <t>INC-1024</t>
  </si>
  <si>
    <t>Line 3</t>
  </si>
  <si>
    <t>Shift B</t>
  </si>
  <si>
    <t>Fire</t>
  </si>
  <si>
    <t>INC-1039</t>
  </si>
  <si>
    <t>Line 1</t>
  </si>
  <si>
    <t>INC-1002</t>
  </si>
  <si>
    <t>Shift C</t>
  </si>
  <si>
    <t>INC-1011</t>
  </si>
  <si>
    <t>Line 4</t>
  </si>
  <si>
    <t>Shift A</t>
  </si>
  <si>
    <t>Arm</t>
  </si>
  <si>
    <t>INC-1012</t>
  </si>
  <si>
    <t>Multiple</t>
  </si>
  <si>
    <t>INC-1023</t>
  </si>
  <si>
    <t>Medical Treatment</t>
  </si>
  <si>
    <t>Employee</t>
  </si>
  <si>
    <t>INC-1026</t>
  </si>
  <si>
    <t>INC-1044</t>
  </si>
  <si>
    <t>Torso</t>
  </si>
  <si>
    <t>INC-1010</t>
  </si>
  <si>
    <t>Q2</t>
  </si>
  <si>
    <t>PET Line</t>
  </si>
  <si>
    <t>INC-1013</t>
  </si>
  <si>
    <t>W4</t>
  </si>
  <si>
    <t>INC-1016</t>
  </si>
  <si>
    <t>INC-1018</t>
  </si>
  <si>
    <t>INC-1021</t>
  </si>
  <si>
    <t>INC-1035</t>
  </si>
  <si>
    <t>INC-1038</t>
  </si>
  <si>
    <t>INC-1045</t>
  </si>
  <si>
    <t>Restricted Work</t>
  </si>
  <si>
    <t>INC-1004</t>
  </si>
  <si>
    <t>Head</t>
  </si>
  <si>
    <t>INC-1025</t>
  </si>
  <si>
    <t>INC-1029</t>
  </si>
  <si>
    <t>INC-1031</t>
  </si>
  <si>
    <t>Fatality</t>
  </si>
  <si>
    <t>INC-1032</t>
  </si>
  <si>
    <t>INC-1034</t>
  </si>
  <si>
    <t>INC-1036</t>
  </si>
  <si>
    <t>INC-1040</t>
  </si>
  <si>
    <t>INC-1041</t>
  </si>
  <si>
    <t>INC-1047</t>
  </si>
  <si>
    <t>INC-1017</t>
  </si>
  <si>
    <t>INC-1003</t>
  </si>
  <si>
    <t>Q3</t>
  </si>
  <si>
    <t>INC-1019</t>
  </si>
  <si>
    <t>INC-1042</t>
  </si>
  <si>
    <t>INC-1033</t>
  </si>
  <si>
    <t>INC-1037</t>
  </si>
  <si>
    <t>INC-1005</t>
  </si>
  <si>
    <t>INC-1007</t>
  </si>
  <si>
    <t>INC-1027</t>
  </si>
  <si>
    <t>INC-1046</t>
  </si>
  <si>
    <t>INC-1048</t>
  </si>
  <si>
    <t>INC-1008</t>
  </si>
  <si>
    <t>Q4</t>
  </si>
  <si>
    <t>INC-1020</t>
  </si>
  <si>
    <t>INC-1009</t>
  </si>
  <si>
    <t>INC-1028</t>
  </si>
  <si>
    <t>INC-1030</t>
  </si>
  <si>
    <t>INC-1015</t>
  </si>
  <si>
    <t>INC-1043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</si>
  <si>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</si>
  <si>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</si>
  <si>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</si>
  <si>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</si>
  <si>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</si>
  <si>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</si>
  <si>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</si>
  <si>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</si>
  <si>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</si>
  <si>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</si>
  <si>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</si>
  <si>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</si>
  <si>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</si>
  <si>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</si>
  <si>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</si>
  <si>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</si>
  <si>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</si>
  <si>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</si>
  <si>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</si>
  <si>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</si>
  <si>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</si>
  <si>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</si>
  <si>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</si>
  <si>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</si>
  <si>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</si>
  <si>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</si>
  <si>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</si>
  <si>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</si>
  <si>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</si>
  <si>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</si>
  <si>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</si>
  <si>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</si>
  <si>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</si>
  <si>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</si>
  <si>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</si>
  <si>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</si>
  <si>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</si>
  <si>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</si>
  <si>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</si>
  <si>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</si>
  <si>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</si>
  <si>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</si>
  <si>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</si>
  <si>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</si>
  <si>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</si>
  <si>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</si>
  <si>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</si>
  <si>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</si>
  <si>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</si>
  <si>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</si>
  <si>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</si>
  <si>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</si>
  <si>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</si>
  <si>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</si>
  <si>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</si>
  <si>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</si>
  <si>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</si>
  <si>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</si>
  <si>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</si>
  <si>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</si>
  <si>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COST PARAMETERS  ·  used only by the optional cost-impact rollups</t>
  </si>
  <si>
    <t>Downtime Cost per Minute (₹)</t>
  </si>
  <si>
    <t>Stop Work Authority downtime → estimated cost</t>
  </si>
  <si>
    <t>Lost-Day Cost per Day (₹)</t>
  </si>
  <si>
    <t>Incident lost days → estimated cost</t>
  </si>
  <si>
    <t>INDUSTRY BENCHMARKING</t>
  </si>
  <si>
    <t>Industry Benchmark TRIR</t>
  </si>
  <si>
    <t>Reference line on the Executive TRIR trend chart</t>
  </si>
  <si>
    <t>Industry Benchmark LTIFR</t>
  </si>
  <si>
    <t>Reference line on the Executive LTIFR trend chart</t>
  </si>
  <si>
    <t>TRAINING PARAMETERS</t>
  </si>
  <si>
    <t>Certificate Validity (days)</t>
  </si>
  <si>
    <t>Certificate Issued date + this many days = expiry (Training dashboard)</t>
  </si>
  <si>
    <t>PRIOR YEAR ACTUALS  ·  type in last year's year-end figures for a genuine YoY comparison (left blank/0 until entered - never fabricated)</t>
  </si>
  <si>
    <t>Prior Year TRIR</t>
  </si>
  <si>
    <t>Prior Year LTIFR</t>
  </si>
  <si>
    <t>Prior Year Total Incidents</t>
  </si>
  <si>
    <t>Prior Year Training Compliance %</t>
  </si>
  <si>
    <t>Prior Year Obs Closure %</t>
  </si>
  <si>
    <t>Prior Year CA Closure %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</si>
  <si>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</si>
  <si>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</si>
  <si>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</si>
  <si>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</si>
  <si>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</si>
  <si>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</si>
  <si>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</si>
  <si>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</si>
  <si>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</si>
  <si>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</si>
  <si>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</si>
  <si>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</si>
  <si>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</si>
  <si>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</si>
  <si>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</si>
  <si>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</si>
  <si>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</si>
  <si>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</si>
  <si>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</si>
  <si>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</si>
  <si>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</si>
  <si>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</si>
  <si>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🔎  DATA QUALITY — automatic integrity checks across all 24 registers</t>
  </si>
  <si>
    <t>Recalculates on every Refresh. A register only needs attention if a count is greater than 0.</t>
  </si>
  <si>
    <t>Register</t>
  </si>
  <si>
    <t>Records</t>
  </si>
  <si>
    <t>Blank Dept</t>
  </si>
  <si>
    <t>Blank Date</t>
  </si>
  <si>
    <t>Duplicate IDs</t>
  </si>
  <si>
    <t>Outside Report Year</t>
  </si>
  <si>
    <t>Date-Logic Issues</t>
  </si>
  <si>
    <t>Flag</t>
  </si>
  <si>
    <t>Toolbox Talks</t>
  </si>
  <si>
    <t>n/a</t>
  </si>
  <si>
    <t>JSA Risk Assessment</t>
  </si>
  <si>
    <t>Training</t>
  </si>
  <si>
    <t>HSE Observations</t>
  </si>
  <si>
    <t>Workplace Inspections</t>
  </si>
  <si>
    <t>Equipment Inspections</t>
  </si>
  <si>
    <t>Safety Walkthroughs</t>
  </si>
  <si>
    <t>Safety Meetings</t>
  </si>
  <si>
    <t>Safety Bulletins</t>
  </si>
  <si>
    <t>Emergency Drills</t>
  </si>
  <si>
    <t>Internal Audits</t>
  </si>
  <si>
    <t>External Audits</t>
  </si>
  <si>
    <t>Management Visits</t>
  </si>
  <si>
    <t>Management Reviews</t>
  </si>
  <si>
    <t>Disciplinary Actions</t>
  </si>
  <si>
    <t>Safety Awards</t>
  </si>
  <si>
    <t>Stop Work Authority</t>
  </si>
  <si>
    <t>Alcohol Tests</t>
  </si>
  <si>
    <t>PTW Audits</t>
  </si>
  <si>
    <t>Corrective Actions</t>
  </si>
  <si>
    <t>NC Management</t>
  </si>
  <si>
    <t>Unsafe Acts</t>
  </si>
  <si>
    <t>Unsafe Conditions</t>
  </si>
  <si>
    <t>Incident</t>
  </si>
  <si>
    <t>TOTAL ISSUES (all registers)</t>
  </si>
  <si>
    <t>🔬  INVESTIGATION LOG — 5-Why Root-Cause Analysis  —  DATA ENTRY</t>
  </si>
  <si>
    <t>Pick an Incident ID OR an NC No. (not both) — Department &amp; Classification/Severity auto-fill. Blue = user input   ·   Gray = auto-calculated</t>
  </si>
  <si>
    <t>Investigation ID</t>
  </si>
  <si>
    <t>Classification / Severity</t>
  </si>
  <si>
    <t>Why 1</t>
  </si>
  <si>
    <t>Why 2</t>
  </si>
  <si>
    <t>Why 3</t>
  </si>
  <si>
    <t>Why 4</t>
  </si>
  <si>
    <t>Why 5</t>
  </si>
  <si>
    <t>Investigator</t>
  </si>
  <si>
    <t>📝  CHANGE LOG — automatic audit trail of register edits (who, what, when)</t>
  </si>
  <si>
    <t>Populated automatically by Workbook_SheetChange whenever a register cell is edited. Old Value shows '(n/a)' for multi-cell pastes (only single-cell edits are tracked before/after).</t>
  </si>
  <si>
    <t>Timestamp</t>
  </si>
  <si>
    <t>Sheet</t>
  </si>
  <si>
    <t>Cell</t>
  </si>
  <si>
    <t>Old Value</t>
  </si>
  <si>
    <t>New Value</t>
  </si>
  <si>
    <t>User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</si>
  <si>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</si>
  <si>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</si>
  <si>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</si>
  <si>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</si>
  <si>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</si>
  <si>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</si>
  <si>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</si>
  <si>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</si>
  <si>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</si>
  <si>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</si>
  <si>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</si>
  <si>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</si>
  <si>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</si>
  <si>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</si>
  <si>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</si>
  <si>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</si>
  <si>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</si>
  <si>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</si>
  <si>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</si>
  <si>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</si>
  <si>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</si>
  <si>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</si>
  <si>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</si>
  <si>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</si>
  <si>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</si>
  <si>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</si>
  <si>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</si>
  <si>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</si>
  <si>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</si>
  <si>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</si>
  <si>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</si>
  <si>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</si>
  <si>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</si>
  <si>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</si>
  <si>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</si>
  <si>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</si>
  <si>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</si>
  <si>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</si>
  <si>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</si>
  <si>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</si>
  <si>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</si>
  <si>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</si>
  <si>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</si>
  <si>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</si>
  <si>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</si>
  <si>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</si>
  <si>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</si>
  <si>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</si>
  <si>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</si>
  <si>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</si>
  <si>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</si>
  <si>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</si>
  <si>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</si>
  <si>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</si>
  <si>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</si>
  <si>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</si>
  <si>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</si>
  <si>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</si>
  <si>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</si>
  <si>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</si>
  <si>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</si>
  <si>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</si>
  <si>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</si>
  <si>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</si>
  <si>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</si>
  <si>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</si>
  <si>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</si>
  <si>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</si>
  <si>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</si>
  <si>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</si>
  <si>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</si>
  <si>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</si>
  <si>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</si>
  <si>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</si>
  <si>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hseobs_safe</t>
  </si>
  <si>
    <t>hseobs_atrisk</t>
  </si>
  <si>
    <t>drill_resp_actual</t>
  </si>
  <si>
    <t>drill_resp_target</t>
  </si>
  <si>
    <t>iaudit_major</t>
  </si>
  <si>
    <t>eaudit_major</t>
  </si>
  <si>
    <t>mgmtreview_decisions</t>
  </si>
  <si>
    <t>mgmtreview_actions</t>
  </si>
  <si>
    <t>swa_downtime</t>
  </si>
  <si>
    <t>training_hours</t>
  </si>
  <si>
    <t>wpinsp_nc</t>
  </si>
  <si>
    <t>ca_ontime</t>
  </si>
  <si>
    <t>ca_delayed</t>
  </si>
  <si>
    <t>jsa_critical</t>
  </si>
  <si>
    <t>jsa_high</t>
  </si>
  <si>
    <t>jsa_medium</t>
  </si>
  <si>
    <t>jsa_low</t>
  </si>
  <si>
    <t>trir_m</t>
  </si>
  <si>
    <t>ltifr_m</t>
  </si>
  <si>
    <t>bench_trir_m</t>
  </si>
  <si>
    <t>bench_ltifr_m</t>
  </si>
  <si>
    <t>alcohol_rate_m</t>
  </si>
  <si>
    <t>leading_total</t>
  </si>
  <si>
    <t>lagging_total</t>
  </si>
  <si>
    <t>leadlag_ratio</t>
  </si>
  <si>
    <t>Period</t>
  </si>
  <si>
    <t>Target</t>
  </si>
  <si>
    <t>Actual</t>
  </si>
  <si>
    <t>Next (fcst)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</si>
  <si>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</si>
  <si>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</si>
  <si>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</si>
  <si>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</si>
  <si>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</si>
  <si>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</si>
  <si>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</si>
  <si>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</si>
  <si>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</si>
  <si>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</si>
  <si>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</si>
  <si>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</si>
  <si>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Leading</t>
  </si>
  <si>
    <t>Toolbox Avg Attendance</t>
  </si>
  <si>
    <t>JSA Assessments</t>
  </si>
  <si>
    <t>JSA % Approved</t>
  </si>
  <si>
    <t>Trainings</t>
  </si>
  <si>
    <t>Training Compliance</t>
  </si>
  <si>
    <t>Obs Closure</t>
  </si>
  <si>
    <t>Workplace Insp. Closure</t>
  </si>
  <si>
    <t>Equipment Critical Findings</t>
  </si>
  <si>
    <t>Meetings Close-out</t>
  </si>
  <si>
    <t>Bulletin Reach</t>
  </si>
  <si>
    <t>Drill Participation</t>
  </si>
  <si>
    <t>Internal Audit NCs</t>
  </si>
  <si>
    <t>External Audit NCs</t>
  </si>
  <si>
    <t>Mgmt Visit Close-out</t>
  </si>
  <si>
    <t>Mgmt Review Attendance</t>
  </si>
  <si>
    <t>PTW Compliance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</si>
  <si>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</si>
  <si>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</si>
  <si>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</si>
  <si>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</si>
  <si>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</si>
  <si>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</si>
  <si>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PTW Audit</t>
  </si>
  <si>
    <t>Inspection</t>
  </si>
  <si>
    <t>Statutory</t>
  </si>
  <si>
    <t>Incident Pyramid (period)</t>
  </si>
  <si>
    <t>Count</t>
  </si>
  <si>
    <t>Lost Time Injury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</si>
  <si>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</si>
  <si>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</si>
  <si>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</si>
  <si>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</si>
  <si>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</si>
  <si>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</si>
  <si>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</si>
  <si>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</si>
  <si>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</si>
  <si>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</si>
  <si>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</si>
  <si>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</si>
  <si>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</si>
  <si>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</si>
  <si>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</si>
  <si>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</si>
  <si>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</si>
  <si>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</si>
  <si>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</si>
  <si>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</si>
  <si>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</si>
  <si>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</si>
  <si>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</si>
  <si>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</si>
  <si>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</si>
  <si>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</si>
  <si>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</si>
  <si>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</si>
  <si>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</si>
  <si>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</si>
  <si>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</si>
  <si>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</si>
  <si>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</si>
  <si>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</si>
  <si>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</si>
  <si>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</si>
  <si>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</si>
  <si>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</si>
  <si>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Workplace Insp.</t>
  </si>
  <si>
    <t>NC Mgmt</t>
  </si>
  <si>
    <t>Avg Reach %</t>
  </si>
  <si>
    <t>Permit Type</t>
  </si>
  <si>
    <t>Avg Compliance %</t>
  </si>
  <si>
    <t>Pass Rate %</t>
  </si>
  <si>
    <t>Avg Downtime (min)</t>
  </si>
  <si>
    <t>Top 10 NC Root Cause</t>
  </si>
  <si>
    <t>Inspection Area</t>
  </si>
  <si>
    <t>Sorted Area</t>
  </si>
  <si>
    <t>Sorted NCs</t>
  </si>
  <si>
    <t>Ageing Bucket (open)</t>
  </si>
  <si>
    <t>0-7 days</t>
  </si>
  <si>
    <t>8-15 days</t>
  </si>
  <si>
    <t>16-30 days</t>
  </si>
  <si>
    <t>31+ days</t>
  </si>
  <si>
    <t>Topic \ Dept</t>
  </si>
  <si>
    <t>Window</t>
  </si>
  <si>
    <t>Next 30 days</t>
  </si>
  <si>
    <t>Next 60 days</t>
  </si>
  <si>
    <t>Next 90 days</t>
  </si>
  <si>
    <t>Expiring (90d)</t>
  </si>
  <si>
    <t>Ageing (open)</t>
  </si>
  <si>
    <t>Tracker</t>
  </si>
  <si>
    <t>Overdue Count</t>
  </si>
  <si>
    <t>Ageing Bucket (system-wide)</t>
  </si>
  <si>
    <t>TOTAL SYSTEM BACKLOG</t>
  </si>
  <si>
    <t>Training %</t>
  </si>
  <si>
    <t>Obs Closure %</t>
  </si>
  <si>
    <t>CA Closure %</t>
  </si>
  <si>
    <t>Rank Dept</t>
  </si>
  <si>
    <t>Rank Score</t>
  </si>
  <si>
    <t>▸ Toolbox Talks</t>
  </si>
  <si>
    <t>Value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</si>
  <si>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</si>
  <si>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</si>
  <si>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</si>
  <si>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</si>
  <si>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</si>
  <si>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</si>
  <si>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</si>
  <si>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</si>
  <si>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Avg Attendance %</t>
  </si>
  <si>
    <t>Metric</t>
  </si>
  <si>
    <t>YTD</t>
  </si>
  <si>
    <t>▸ JSA Risk Assessment</t>
  </si>
  <si>
    <t>Total JSAs</t>
  </si>
  <si>
    <t>High Risk</t>
  </si>
  <si>
    <t>Medium Risk</t>
  </si>
  <si>
    <t>Low Risk</t>
  </si>
  <si>
    <t>Total Hazards</t>
  </si>
  <si>
    <t>Controls Done</t>
  </si>
  <si>
    <t>Closed %</t>
  </si>
  <si>
    <t>Closed/Completed %</t>
  </si>
  <si>
    <t>▸ Training</t>
  </si>
  <si>
    <t>Total Trainings</t>
  </si>
  <si>
    <t>Total Hours</t>
  </si>
  <si>
    <t>Pass Rate</t>
  </si>
  <si>
    <t>Certificates</t>
  </si>
  <si>
    <t>▸ HSE Observations</t>
  </si>
  <si>
    <t>Total Obs</t>
  </si>
  <si>
    <t>Safe Acts</t>
  </si>
  <si>
    <t>Comp %</t>
  </si>
  <si>
    <t>▸ Workplace Inspections</t>
  </si>
  <si>
    <t>Checkpoints</t>
  </si>
  <si>
    <t>Non-Conf</t>
  </si>
  <si>
    <t>NC Rate</t>
  </si>
  <si>
    <t>▸ Equipment Inspections</t>
  </si>
  <si>
    <t>▸ Safety Walkthroughs</t>
  </si>
  <si>
    <t>▸ Safety Meetings</t>
  </si>
  <si>
    <t>Total Meetings</t>
  </si>
  <si>
    <t>MoM Done</t>
  </si>
  <si>
    <t>MoM Pending</t>
  </si>
  <si>
    <t>▸ Safety Bulletins</t>
  </si>
  <si>
    <t>High Priority</t>
  </si>
  <si>
    <t>▸ Emergency Drills</t>
  </si>
  <si>
    <t>Total Drills</t>
  </si>
  <si>
    <t>Avg Participation</t>
  </si>
  <si>
    <t>Target Resp</t>
  </si>
  <si>
    <t>Actual Resp</t>
  </si>
  <si>
    <t>Total Participants</t>
  </si>
  <si>
    <t>Improvements</t>
  </si>
  <si>
    <t>Avg Participation %</t>
  </si>
  <si>
    <t>▸ Internal Audits</t>
  </si>
  <si>
    <t>Total Audits</t>
  </si>
  <si>
    <t>▸ External Audits</t>
  </si>
  <si>
    <t>▸ Management Visits</t>
  </si>
  <si>
    <t>Total Visits</t>
  </si>
  <si>
    <t>Avg Close-out %</t>
  </si>
  <si>
    <t>▸ Management Reviews</t>
  </si>
  <si>
    <t>Total Reviews</t>
  </si>
  <si>
    <t>Decisions</t>
  </si>
  <si>
    <t>Actions</t>
  </si>
  <si>
    <t>Close-out</t>
  </si>
  <si>
    <t>▸ Disciplinary Actions</t>
  </si>
  <si>
    <t>Total Cases</t>
  </si>
  <si>
    <t>Suspensions</t>
  </si>
  <si>
    <t>Terminations</t>
  </si>
  <si>
    <t>▸ Safety Awards</t>
  </si>
  <si>
    <t>Total Awards</t>
  </si>
  <si>
    <t>Trophies</t>
  </si>
  <si>
    <t>Vouchers</t>
  </si>
  <si>
    <t>▸ Stop Work Authority</t>
  </si>
  <si>
    <t>Total SWA</t>
  </si>
  <si>
    <t>Investigating</t>
  </si>
  <si>
    <t>Fixed</t>
  </si>
  <si>
    <t>Total Downtime</t>
  </si>
  <si>
    <t>Investigated</t>
  </si>
  <si>
    <t>▸ Alcohol Tests</t>
  </si>
  <si>
    <t>Total Tests</t>
  </si>
  <si>
    <t>Random Tests</t>
  </si>
  <si>
    <t>Suspicion</t>
  </si>
  <si>
    <t>▸ PTW Audits</t>
  </si>
  <si>
    <t>Partial</t>
  </si>
  <si>
    <t>Deviations</t>
  </si>
  <si>
    <t>Avg Compliance</t>
  </si>
  <si>
    <t>Compliance Rate</t>
  </si>
  <si>
    <t>▸ Corrective Actions</t>
  </si>
  <si>
    <t>Total CAs</t>
  </si>
  <si>
    <t>▸ NC Management</t>
  </si>
  <si>
    <t>Total NCs</t>
  </si>
  <si>
    <t>Closure %</t>
  </si>
  <si>
    <t>▸ Unsafe Acts</t>
  </si>
  <si>
    <t>Total Reports</t>
  </si>
  <si>
    <t>▸ Unsafe Conditions</t>
  </si>
  <si>
    <t>▸ Incident</t>
  </si>
  <si>
    <t>LTI+Fatality</t>
  </si>
  <si>
    <t>Avg Close (d)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</si>
  <si>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</si>
  <si>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</si>
  <si>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</si>
  <si>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</si>
  <si>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</si>
  <si>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</si>
  <si>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</si>
  <si>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</si>
  <si>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</si>
  <si>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</si>
  <si>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</si>
  <si>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</si>
  <si>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</si>
  <si>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</si>
  <si>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</si>
  <si>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</si>
  <si>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</si>
  <si>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</si>
  <si>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</si>
  <si>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</si>
  <si>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</si>
  <si>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</si>
  <si>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</si>
  <si>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</si>
  <si>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</si>
  <si>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</si>
  <si>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</si>
  <si>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</si>
  <si>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</si>
  <si>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</si>
  <si>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</si>
  <si>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</si>
  <si>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</si>
  <si>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</si>
  <si>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</si>
  <si>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</si>
  <si>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</si>
  <si>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</si>
  <si>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</si>
  <si>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</si>
  <si>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</si>
  <si>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</si>
  <si>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</si>
  <si>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</si>
  <si>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</si>
  <si>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</si>
  <si>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</si>
  <si>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Data Quality</t>
  </si>
  <si>
    <t>Investigation Log</t>
  </si>
  <si>
    <t>Fully dynamic: every KPI, chart and RAG status recalculates automatically from the 24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</si>
  <si>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</si>
  <si>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</si>
  <si>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</si>
  <si>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</si>
  <si>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</si>
  <si>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</si>
  <si>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</si>
  <si>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Register Month</t>
  </si>
  <si>
    <t>Period drives the KPI wall vs prior. Register Month drives cross-tracker analytics &amp; all 24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</si>
  <si>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</si>
  <si>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</si>
  <si>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</si>
  <si>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</si>
  <si>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</si>
  <si>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</si>
  <si>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</si>
  <si>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</si>
  <si>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</si>
  <si>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</si>
  <si>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</si>
  <si>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</si>
  <si>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</si>
  <si>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</si>
  <si>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</si>
  <si>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</si>
  <si>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</si>
  <si>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</si>
  <si>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</si>
  <si>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</si>
  <si>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</si>
  <si>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</si>
  <si>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</si>
  <si>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</si>
  <si>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</si>
  <si>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</si>
  <si>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</si>
  <si>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</si>
  <si>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</si>
  <si>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</si>
  <si>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</si>
  <si>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</si>
  <si>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</si>
  <si>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</si>
  <si>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</si>
  <si>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</si>
  <si>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</si>
  <si>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</si>
  <si>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</si>
  <si>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</si>
  <si>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</si>
  <si>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</si>
  <si>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</si>
  <si>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</si>
  <si>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</si>
  <si>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</si>
  <si>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</si>
  <si>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</si>
  <si>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</si>
  <si>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</si>
  <si>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</si>
  <si>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</si>
  <si>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</si>
  <si>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</si>
  <si>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</si>
  <si>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</si>
  <si>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</si>
  <si>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</si>
  <si>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</si>
  <si>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</si>
  <si>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</si>
  <si>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</si>
  <si>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</si>
  <si>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SYSTEM HEALTH  ·  RAG status of all 24 trackers, at a glance</t>
  </si>
  <si>
    <t>Health Metric</t>
  </si>
  <si>
    <t>DEPARTMENT LEAGUE TABLE  ·  score = avg(Training %, Obs Closure %, CA Closure %) − Recordable×5</t>
  </si>
  <si>
    <t>Rank</t>
  </si>
  <si>
    <t>SYSTEM-WIDE ACTION BACKLOG  ·  open/overdue items across CA, NC, Inspections &amp; Unsafe Act/Condition registers</t>
  </si>
  <si>
    <t>LEADING : LAGGING RATIO  &amp;  QUARTERLY TREND</t>
  </si>
  <si>
    <t>Metric (quarterly)</t>
  </si>
  <si>
    <t>Training Compliance %</t>
  </si>
  <si>
    <t>YEAR-OVER-YEAR COMPARISON  ·  current year-to-date vs last year's actuals (enter last year's figures on Settings)</t>
  </si>
  <si>
    <t>Current YTD</t>
  </si>
  <si>
    <t>Prior Year</t>
  </si>
  <si>
    <t>Δ vs Prior Year</t>
  </si>
  <si>
    <t>KEY INSIGHTS  ·  auto-generated from this period's data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</si>
  <si>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</si>
  <si>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</si>
  <si>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</si>
  <si>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</si>
  <si>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</t>
  </si>
  <si>
    <t>live · auto-calculated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</si>
  <si>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</si>
  <si>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</si>
  <si>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</si>
  <si>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</si>
  <si>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</si>
  <si>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</si>
  <si>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</si>
  <si>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MONTHLY VOLUME &amp; SIGNATURE ANALYSIS</t>
  </si>
  <si>
    <t>TOPIC × DEPARTMENT COVERAGE  ·  darker = more sessions delivered</t>
  </si>
  <si>
    <t>DEPARTMENT PERFORMANCE</t>
  </si>
  <si>
    <t>MONTHLY PERFORMANCE MATRIX</t>
  </si>
  <si>
    <t>ADVANCED ANALYSIS</t>
  </si>
  <si>
    <t>⚠️  JSA RISK ASSESSMENT PERFORMANCE</t>
  </si>
  <si>
    <t>Live data from the JSA Risk Assessment register  ·  filtered by Register Month &amp; Department</t>
  </si>
  <si>
    <t>TOTAL JSAS</t>
  </si>
  <si>
    <t>APPROVED</t>
  </si>
  <si>
    <t>PENDING</t>
  </si>
  <si>
    <t>HIGH RISK</t>
  </si>
  <si>
    <t>MEDIUM RISK</t>
  </si>
  <si>
    <t>LOW RISK</t>
  </si>
  <si>
    <t>TOTAL HAZARDS</t>
  </si>
  <si>
    <t>CONTROLS DONE</t>
  </si>
  <si>
    <t>Severity Count</t>
  </si>
  <si>
    <t>🎓  TRAINING PERFORMANCE</t>
  </si>
  <si>
    <t>Live data from the Training register  ·  filtered by Register Month &amp; Department</t>
  </si>
  <si>
    <t>TOTAL TRAININGS</t>
  </si>
  <si>
    <t>COMPLETED</t>
  </si>
  <si>
    <t>IN PROGRESS</t>
  </si>
  <si>
    <t>SCHEDULED</t>
  </si>
  <si>
    <t>AVG ATTENDANCE %</t>
  </si>
  <si>
    <t>TOTAL HOURS</t>
  </si>
  <si>
    <t>PASS RATE</t>
  </si>
  <si>
    <t>CERTIFICATES</t>
  </si>
  <si>
    <t>👁️  HSE OBSERVATIONS PERFORMANCE</t>
  </si>
  <si>
    <t>Live data from the HSE Observations register  ·  filtered by Register Month &amp; Department</t>
  </si>
  <si>
    <t>TOTAL OBS</t>
  </si>
  <si>
    <t>OVERDUE</t>
  </si>
  <si>
    <t>SAFE ACTS</t>
  </si>
  <si>
    <t>UNSAFE ACTS</t>
  </si>
  <si>
    <t>COMP %</t>
  </si>
  <si>
    <t>🔍  WORKPLACE INSPECTIONS PERFORMANCE</t>
  </si>
  <si>
    <t>Live data from the Workplace Inspections register  ·  filtered by Register Month &amp; Department</t>
  </si>
  <si>
    <t>CRITICAL</t>
  </si>
  <si>
    <t>CHECKPOINTS</t>
  </si>
  <si>
    <t>NON-CONF</t>
  </si>
  <si>
    <t>NC RATE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</si>
  <si>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</si>
  <si>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</si>
  <si>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</si>
  <si>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</si>
  <si>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</si>
  <si>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</si>
  <si>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TOTAL MEETINGS</t>
  </si>
  <si>
    <t>ACTIONS RAISED</t>
  </si>
  <si>
    <t>ACTIONS CLOSED</t>
  </si>
  <si>
    <t>CLOSE-OUT %</t>
  </si>
  <si>
    <t>MOM DONE</t>
  </si>
  <si>
    <t>MOM PENDING</t>
  </si>
  <si>
    <t>📢  SAFETY BULLETINS PERFORMANCE</t>
  </si>
  <si>
    <t>Live data from the Safety Bulletins register  ·  filtered by Register Month &amp; Department</t>
  </si>
  <si>
    <t>ISSUED</t>
  </si>
  <si>
    <t>ACKNOWLEDGED</t>
  </si>
  <si>
    <t>CLOSED</t>
  </si>
  <si>
    <t>TARGET REACH</t>
  </si>
  <si>
    <t>ACTUAL REACH</t>
  </si>
  <si>
    <t>REACH %</t>
  </si>
  <si>
    <t>HIGH PRIORITY</t>
  </si>
  <si>
    <t>🚨  EMERGENCY DRILLS PERFORMANCE</t>
  </si>
  <si>
    <t>Live data from the Emergency Drills register  ·  filtered by Register Month &amp; Department</t>
  </si>
  <si>
    <t>TOTAL DRILLS</t>
  </si>
  <si>
    <t>AVG PARTICIPATION</t>
  </si>
  <si>
    <t>TARGET RESP</t>
  </si>
  <si>
    <t>ACTUAL RESP</t>
  </si>
  <si>
    <t>TOTAL PARTICIPANTS</t>
  </si>
  <si>
    <t>IMPROVEMENTS</t>
  </si>
  <si>
    <t>📋  INTERNAL AUDITS PERFORMANCE</t>
  </si>
  <si>
    <t>Live data from the Internal Audits register  ·  filtered by Register Month &amp; Department</t>
  </si>
  <si>
    <t>TOTAL AUDITS</t>
  </si>
  <si>
    <t>CHECKLIST ITEMS</t>
  </si>
  <si>
    <t>MINOR NC</t>
  </si>
  <si>
    <t>MAJOR NC</t>
  </si>
  <si>
    <t>OBSERVATIONS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</si>
  <si>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</si>
  <si>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</si>
  <si>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</si>
  <si>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</si>
  <si>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TOTAL VISITS</t>
  </si>
  <si>
    <t>ACTION PENDING</t>
  </si>
  <si>
    <t>🧭  MANAGEMENT REVIEWS PERFORMANCE</t>
  </si>
  <si>
    <t>Live data from the Management Reviews register  ·  filtered by Register Month &amp; Department</t>
  </si>
  <si>
    <t>TOTAL REVIEWS</t>
  </si>
  <si>
    <t>DECISIONS</t>
  </si>
  <si>
    <t>ACTIONS</t>
  </si>
  <si>
    <t>CLOSE-OUT</t>
  </si>
  <si>
    <t>⚖️  DISCIPLINARY ACTIONS PERFORMANCE</t>
  </si>
  <si>
    <t>Live data from the Disciplinary Actions register  ·  filtered by Register Month &amp; Department</t>
  </si>
  <si>
    <t>TOTAL CASES</t>
  </si>
  <si>
    <t>UNDER REVIEW</t>
  </si>
  <si>
    <t>APPEALED</t>
  </si>
  <si>
    <t>1ST OFFENSE</t>
  </si>
  <si>
    <t>REPEAT</t>
  </si>
  <si>
    <t>SUSPENSIONS</t>
  </si>
  <si>
    <t>TERMINATIONS</t>
  </si>
  <si>
    <t>🏆  SAFETY AWARDS PERFORMANCE</t>
  </si>
  <si>
    <t>Live data from the Safety Awards register  ·  filtered by Register Month &amp; Department</t>
  </si>
  <si>
    <t>TOTAL AWARDS</t>
  </si>
  <si>
    <t>PRESENTED</t>
  </si>
  <si>
    <t>NOMINATED</t>
  </si>
  <si>
    <t>CASH BONUS</t>
  </si>
  <si>
    <t>TROPHIES</t>
  </si>
  <si>
    <t>VOUCHERS</t>
  </si>
  <si>
    <t>✋  STOP WORK AUTHORITY PERFORMANCE</t>
  </si>
  <si>
    <t>Live data from the Stop Work Authority register  ·  filtered by Register Month &amp; Department</t>
  </si>
  <si>
    <t>TOTAL SWA</t>
  </si>
  <si>
    <t>RESOLVED</t>
  </si>
  <si>
    <t>INVESTIGATING</t>
  </si>
  <si>
    <t>FIXED</t>
  </si>
  <si>
    <t>HIGH</t>
  </si>
  <si>
    <t>TOTAL DOWNTIME</t>
  </si>
  <si>
    <t>INVESTIGATED</t>
  </si>
  <si>
    <t>ESTIMATED DOWNTIME COST (this Register Month)</t>
  </si>
  <si>
    <t>🧪  ALCOHOL TESTS PERFORMANCE</t>
  </si>
  <si>
    <t>Live data from the Alcohol Tests register  ·  filtered by Register Month &amp; Department</t>
  </si>
  <si>
    <t>TOTAL TESTS</t>
  </si>
  <si>
    <t>NEGATIVE</t>
  </si>
  <si>
    <t>POSITIVE</t>
  </si>
  <si>
    <t>RANDOM TESTS</t>
  </si>
  <si>
    <t>PRE-SHIFT</t>
  </si>
  <si>
    <t>POST-INCIDENT</t>
  </si>
  <si>
    <t>SUSPICION</t>
  </si>
  <si>
    <t>📝  PTW AUDITS PERFORMANCE</t>
  </si>
  <si>
    <t>Live data from the PTW Audits register  ·  filtered by Register Month &amp; Department</t>
  </si>
  <si>
    <t>COMPLIANT</t>
  </si>
  <si>
    <t>NON-COMPLIANT</t>
  </si>
  <si>
    <t>PARTIAL</t>
  </si>
  <si>
    <t>PERMITS REVIEWED</t>
  </si>
  <si>
    <t>DEVIATIONS</t>
  </si>
  <si>
    <t>AVG COMPLIANCE</t>
  </si>
  <si>
    <t>COMPLIANCE RATE</t>
  </si>
  <si>
    <t>🔧  CORRECTIVE ACTIONS PERFORMANCE</t>
  </si>
  <si>
    <t>Live data from the Corrective Actions register  ·  filtered by Register Month &amp; Department</t>
  </si>
  <si>
    <t>TOTAL CAS</t>
  </si>
  <si>
    <t>MEDIUM</t>
  </si>
  <si>
    <t>LOW</t>
  </si>
  <si>
    <t>🚩  NC MANAGEMENT PERFORMANCE</t>
  </si>
  <si>
    <t>Live data from the NC Management register  ·  filtered by Register Month &amp; Department</t>
  </si>
  <si>
    <t>TOTAL NCS</t>
  </si>
  <si>
    <t>OPEN</t>
  </si>
  <si>
    <t>CLOSURE %</t>
  </si>
  <si>
    <t>MAJOR</t>
  </si>
  <si>
    <t>MINOR</t>
  </si>
  <si>
    <t>🚫  UNSAFE ACTS PERFORMANCE</t>
  </si>
  <si>
    <t>Live data from the Unsafe Acts register  ·  filtered by Register Month &amp; Department</t>
  </si>
  <si>
    <t>TOTAL REPORTS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</si>
  <si>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</si>
  <si>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</si>
  <si>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</si>
  <si>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</si>
  <si>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LTI+FATALITY</t>
  </si>
  <si>
    <t>AVG CLOSE (D)</t>
  </si>
  <si>
    <t>ESTIMATED LOST-DAY COST (this Register Month)</t>
  </si>
</sst>
</file>

<file path=xl/styles.xml><?xml version="1.0" encoding="utf-8"?>
<styleSheet xmlns="http://schemas.openxmlformats.org/spreadsheetml/2006/main">
  <numFmts count="8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  <numFmt numFmtId="171" formatCode="&quot;₹&quot;#,##0"/>
  </numFmts>
  <fonts count="40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11"/>
      <color rgb="FFDC2626"/>
      <name val="Segoe UI"/>
      <family val="2"/>
    </font>
    <font>
      <b/>
      <sz val="9"/>
      <color theme="1"/>
      <name val="Segoe UI"/>
      <family val="2"/>
    </font>
    <font>
      <b/>
      <sz val="32"/>
      <color rgb="FFFFFFFF"/>
      <name val="Segoe UI"/>
      <family val="2"/>
    </font>
    <font>
      <sz val="13"/>
      <color rgb="FFCFE0F0"/>
      <name val="Segoe UI"/>
      <family val="2"/>
    </font>
    <font>
      <b/>
      <sz val="9"/>
      <color rgb="FF0F3D6E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13"/>
      <color rgb="FFFFFFFF"/>
      <name val="Segoe UI"/>
      <family val="2"/>
    </font>
    <font>
      <b/>
      <sz val="9.5"/>
      <color rgb="FF1F2937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13"/>
      <color rgb="FF0F3D6E"/>
      <name val="Segoe UI"/>
      <family val="2"/>
    </font>
    <font>
      <b/>
      <sz val="10"/>
      <color rgb="FF15A34A"/>
      <name val="Segoe UI"/>
      <family val="2"/>
    </font>
    <font>
      <b/>
      <sz val="10"/>
      <color theme="1"/>
      <name val="Segoe UI"/>
      <family val="2"/>
    </font>
    <font>
      <b/>
      <sz val="10"/>
      <color rgb="FFDC2626"/>
      <name val="Segoe UI"/>
      <family val="2"/>
    </font>
    <font>
      <b/>
      <sz val="9"/>
      <color rgb="FF334155"/>
      <name val="Segoe UI"/>
      <family val="2"/>
    </font>
    <font>
      <b/>
      <sz val="26"/>
      <color rgb="FFDC2626"/>
      <name val="Segoe UI"/>
      <family val="2"/>
    </font>
    <font>
      <b/>
      <sz val="9.5"/>
      <color rgb="FF0F3D6E"/>
      <name val="Segoe UI"/>
      <family val="2"/>
    </font>
    <font>
      <b/>
      <sz val="17"/>
      <color rgb="FFF59E0B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748B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166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0" fillId="8" borderId="0" xfId="0" applyFill="1"/>
    <xf numFmtId="0" fontId="11" fillId="0" borderId="0" xfId="0" applyFont="1" applyAlignment="1">
      <alignment horizontal="right" vertical="center"/>
    </xf>
    <xf numFmtId="169" fontId="17" fillId="0" borderId="0" xfId="0" applyNumberFormat="1" applyFont="1" applyAlignment="1">
      <alignment horizontal="left"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18" fillId="12" borderId="6" xfId="0" applyFont="1" applyFill="1" applyBorder="1" applyAlignment="1">
      <alignment horizontal="left" vertical="center"/>
    </xf>
    <xf numFmtId="170" fontId="19" fillId="12" borderId="6" xfId="0" applyNumberFormat="1" applyFont="1" applyFill="1" applyBorder="1" applyAlignment="1">
      <alignment horizontal="left" vertical="center"/>
    </xf>
    <xf numFmtId="166" fontId="19" fillId="12" borderId="6" xfId="0" applyNumberFormat="1" applyFont="1" applyFill="1" applyBorder="1" applyAlignment="1">
      <alignment horizontal="left" vertical="center"/>
    </xf>
    <xf numFmtId="164" fontId="19" fillId="12" borderId="6" xfId="0" applyNumberFormat="1" applyFont="1" applyFill="1" applyBorder="1" applyAlignment="1">
      <alignment horizontal="left" vertical="center"/>
    </xf>
    <xf numFmtId="0" fontId="20" fillId="12" borderId="7" xfId="0" applyFont="1" applyFill="1" applyBorder="1" applyAlignment="1">
      <alignment horizontal="left" vertical="center"/>
    </xf>
    <xf numFmtId="0" fontId="21" fillId="4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3" fillId="4" borderId="8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left" vertical="center"/>
    </xf>
    <xf numFmtId="0" fontId="25" fillId="5" borderId="3" xfId="0" applyFont="1" applyFill="1" applyBorder="1" applyAlignment="1">
      <alignment horizontal="center" vertical="center"/>
    </xf>
    <xf numFmtId="0" fontId="26" fillId="3" borderId="3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left" vertical="center"/>
    </xf>
    <xf numFmtId="0" fontId="28" fillId="12" borderId="8" xfId="0" applyFont="1" applyFill="1" applyBorder="1" applyAlignment="1">
      <alignment horizontal="center" vertical="center"/>
    </xf>
    <xf numFmtId="0" fontId="29" fillId="4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30" fillId="9" borderId="0" xfId="0" applyFont="1" applyFill="1" applyAlignment="1">
      <alignment horizontal="left" vertical="center" indent="1"/>
    </xf>
    <xf numFmtId="0" fontId="0" fillId="13" borderId="0" xfId="0" applyFill="1"/>
    <xf numFmtId="0" fontId="31" fillId="12" borderId="7" xfId="0" applyFont="1" applyFill="1" applyBorder="1" applyAlignment="1">
      <alignment horizontal="left" vertical="center"/>
    </xf>
    <xf numFmtId="0" fontId="30" fillId="11" borderId="0" xfId="0" applyFont="1" applyFill="1" applyAlignment="1">
      <alignment horizontal="left" vertical="center" indent="1"/>
    </xf>
    <xf numFmtId="164" fontId="32" fillId="0" borderId="0" xfId="0" applyNumberFormat="1" applyFont="1" applyAlignment="1">
      <alignment horizontal="center" vertical="center"/>
    </xf>
    <xf numFmtId="0" fontId="33" fillId="0" borderId="4" xfId="0" applyFont="1" applyBorder="1" applyAlignment="1">
      <alignment horizontal="left" vertical="center"/>
    </xf>
    <xf numFmtId="168" fontId="34" fillId="0" borderId="4" xfId="0" applyNumberFormat="1" applyFont="1" applyBorder="1" applyAlignment="1">
      <alignment horizontal="center" vertical="center"/>
    </xf>
    <xf numFmtId="0" fontId="35" fillId="0" borderId="4" xfId="0" applyFont="1" applyBorder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left" vertical="center" indent="1" wrapText="1"/>
    </xf>
    <xf numFmtId="0" fontId="0" fillId="6" borderId="0" xfId="0" applyFill="1"/>
    <xf numFmtId="0" fontId="38" fillId="3" borderId="4" xfId="0" applyFont="1" applyFill="1" applyBorder="1" applyAlignment="1">
      <alignment horizontal="left" vertical="center" indent="1"/>
    </xf>
    <xf numFmtId="0" fontId="1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 indent="1"/>
    </xf>
    <xf numFmtId="171" fontId="12" fillId="7" borderId="5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6">
    <dxf>
      <font>
        <b/>
        <color rgb="FFDC2626"/>
      </font>
      <fill>
        <patternFill>
          <bgColor rgb="FFFEE2E2"/>
        </patternFill>
      </fill>
    </dxf>
    <dxf>
      <font>
        <b/>
        <color rgb="FF15A34A"/>
      </font>
      <fill>
        <patternFill>
          <bgColor rgb="FFDCFCE7"/>
        </patternFill>
      </fill>
    </dxf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60" Type="http://schemas.openxmlformats.org/officeDocument/2006/relationships/theme" Target="theme/theme1.xml"/><Relationship Id="rId61" Type="http://schemas.openxmlformats.org/officeDocument/2006/relationships/styles" Target="styles.xml"/><Relationship Id="rId62" Type="http://schemas.openxmlformats.org/officeDocument/2006/relationships/sharedStrings" Target="sharedStrings.xml"/><Relationship Id="rId6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vs Industry Benchmark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TRIR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Calculations!$CI$12:$CI$23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Industry Benchmark TRIR</c:v>
          </c:tx>
          <c:spPr>
            <a:ln w="19050">
              <a:solidFill>
                <a:srgbClr val="64748B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Calculations!$CK$12:$CK$23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2"/>
          <c:order val="2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Calculations!$CJ$12:$CJ$23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Industry Benchmark LTIFR</c:v>
          </c:tx>
          <c:spPr>
            <a:ln w="19050">
              <a:solidFill>
                <a:srgbClr val="334155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Calculations!$CL$12:$CL$23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Calculations!$E$1082:$E$1087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Calculations!$F$1082:$F$1087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Calculations!$DJ$65:$DL$65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Calculations!$DJ$66:$DL$66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Calculations!$DJ$67:$DL$67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Calculations!$DJ$68:$DL$68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Calculations!$DJ$69:$DL$69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Calculations!$DJ$70:$DL$70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Calculations!$DR$20:$DR$28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Calculations!$DS$20:$DS$28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Calculations!$DR$31:$DR$38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Calculations!$DS$31:$DS$38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Calculations!$DR$11:$DR$17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Calculations!$DS$11:$DS$17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Calculations!$DR$11:$DR$17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Calculations!$DS$11:$DS$17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Calculations!$DU$11:$DU$22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Calculations!$DV$11:$DV$22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Calculations!$DR$20:$DR$28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Calculations!$DS$20:$DS$28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System Health  (0 = Red · 1 = Amber · 2 = Green)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ln w="25400">
              <a:solidFill>
                <a:srgbClr val="0B6EA8"/>
              </a:solidFill>
            </a:ln>
          </c:spPr>
          <c:marker>
            <c:symbol val="circle"/>
            <c:size val="4"/>
            <c:spPr>
              <a:solidFill>
                <a:srgbClr val="0F3D6E"/>
              </a:solidFill>
            </c:spPr>
          </c:marker>
          <c:cat>
            <c:strRef>
              <c:f>'Leadership Review'!$B$51:$B$74</c:f>
              <c:strCache>
                <c:ptCount val="24"/>
                <c:pt idx="0">
                  <c:v>Toolbox Talks</c:v>
                </c:pt>
                <c:pt idx="1">
                  <c:v>JSA Risk Assessment</c:v>
                </c:pt>
                <c:pt idx="2">
                  <c:v>Training</c:v>
                </c:pt>
                <c:pt idx="3">
                  <c:v>HSE Observations</c:v>
                </c:pt>
                <c:pt idx="4">
                  <c:v>Workplace Inspections</c:v>
                </c:pt>
                <c:pt idx="5">
                  <c:v>Equipment Inspections</c:v>
                </c:pt>
                <c:pt idx="6">
                  <c:v>Safety Walkthroughs</c:v>
                </c:pt>
                <c:pt idx="7">
                  <c:v>Safety Meetings</c:v>
                </c:pt>
                <c:pt idx="8">
                  <c:v>Safety Bulletins</c:v>
                </c:pt>
                <c:pt idx="9">
                  <c:v>Emergency Drills</c:v>
                </c:pt>
                <c:pt idx="10">
                  <c:v>Internal Audits</c:v>
                </c:pt>
                <c:pt idx="11">
                  <c:v>External Audits</c:v>
                </c:pt>
                <c:pt idx="12">
                  <c:v>Management Visits</c:v>
                </c:pt>
                <c:pt idx="13">
                  <c:v>Management Reviews</c:v>
                </c:pt>
                <c:pt idx="14">
                  <c:v>Disciplinary Actions</c:v>
                </c:pt>
                <c:pt idx="15">
                  <c:v>Safety Awards</c:v>
                </c:pt>
                <c:pt idx="16">
                  <c:v>Stop Work Authority</c:v>
                </c:pt>
                <c:pt idx="17">
                  <c:v>Alcohol Tests</c:v>
                </c:pt>
                <c:pt idx="18">
                  <c:v>PTW Audits</c:v>
                </c:pt>
                <c:pt idx="19">
                  <c:v>Corrective Actions</c:v>
                </c:pt>
                <c:pt idx="20">
                  <c:v>NC Management</c:v>
                </c:pt>
                <c:pt idx="21">
                  <c:v>Unsafe Acts</c:v>
                </c:pt>
                <c:pt idx="22">
                  <c:v>Unsafe Conditions</c:v>
                </c:pt>
                <c:pt idx="23">
                  <c:v>Incident</c:v>
                </c:pt>
              </c:strCache>
            </c:strRef>
          </c:cat>
          <c:val>
            <c:numRef>
              <c:f>'Leadership Review'!$D$51:$D$74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axId val="50260001"/>
        <c:axId val="50260002"/>
      </c:radarChart>
      <c:catAx>
        <c:axId val="5026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  <c:max val="2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  <c:majorUnit val="1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Items by Tracker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Calculations!$B$345:$B$352</c:f>
              <c:strCache>
                <c:ptCount val="8"/>
                <c:pt idx="0">
                  <c:v>Corrective Actions</c:v>
                </c:pt>
                <c:pt idx="1">
                  <c:v>NC Management</c:v>
                </c:pt>
                <c:pt idx="2">
                  <c:v>HSE Observations</c:v>
                </c:pt>
                <c:pt idx="3">
                  <c:v>Workplace Inspections</c:v>
                </c:pt>
                <c:pt idx="4">
                  <c:v>Equipment Inspections</c:v>
                </c:pt>
                <c:pt idx="5">
                  <c:v>Safety Walkthroughs</c:v>
                </c:pt>
                <c:pt idx="6">
                  <c:v>Unsafe Acts</c:v>
                </c:pt>
                <c:pt idx="7">
                  <c:v>Unsafe Conditions</c:v>
                </c:pt>
              </c:strCache>
            </c:strRef>
          </c:cat>
          <c:val>
            <c:numRef>
              <c:f>Calculations!$C$345:$C$352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Ageing Mix (open items)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EA580C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Calculations!$B$355:$B$358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Calculations!$C$355:$C$358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: Lagging Ratio (12-Month Trend)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Calculations!$CP$12:$CP$23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290001"/>
        <c:axId val="50290002"/>
      </c:line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Calculations!$B$484:$B$495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Calculations!$C$484:$C$495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Effectiveness Rating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Calculations!$G$484:$G$488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Calculations!$H$484:$H$488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Calculations!$P$484:$P$493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Calculations!$Q$484:$Q$493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Attendees: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Calculations!$CQ$26:$CQ$38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Calculations!$CR$26:$CR$38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Calculations!$CQ$26:$CQ$38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Calculations!$CS$26:$CS$38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330001"/>
        <c:axId val="50330002"/>
      </c:lineChart>
      <c:catAx>
        <c:axId val="503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Calculations!$B$510:$B$521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Calculations!$C$510:$C$521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40001"/>
        <c:axId val="50340002"/>
      </c:bar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Risk Level Mix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Critical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Calculations!$CE$12:$CE$23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High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Calculations!$CF$12:$CF$23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Medium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Calculations!$CG$12:$CG$23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Low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Calculations!$CH$12:$CH$23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Approval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Calculations!$J$510:$J$513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Calculations!$K$510:$K$513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Calculations!$P$510:$P$519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Calculations!$Q$510:$Q$519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70001"/>
        <c:axId val="50370002"/>
      </c:barChart>
      <c:catAx>
        <c:axId val="503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Calculations!$J$510:$J$513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Calculations!$K$510:$K$513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Calculations!$B$536:$B$547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Calculations!$C$536:$C$547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90001"/>
        <c:axId val="50390002"/>
      </c:barChart>
      <c:catAx>
        <c:axId val="503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90002"/>
        <c:crosses val="autoZero"/>
        <c:auto val="1"/>
        <c:lblAlgn val="ctr"/>
        <c:lblOffset val="100"/>
      </c:catAx>
      <c:valAx>
        <c:axId val="503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Training Hours</a:t>
            </a:r>
          </a:p>
        </c:rich>
      </c:tx>
      <c:layout/>
    </c:title>
    <c:plotArea>
      <c:layout/>
      <c:lineChart>
        <c:grouping val="stacked"/>
        <c:ser>
          <c:idx val="0"/>
          <c:order val="0"/>
          <c:tx>
            <c:v>Cumulative Hours</c:v>
          </c:tx>
          <c:spPr>
            <a:solidFill>
              <a:srgbClr val="E8F1FA"/>
            </a:solidFill>
            <a:ln w="28575">
              <a:solidFill>
                <a:srgbClr val="0B6EA8"/>
              </a:solidFill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Calculations!$CA$12:$CA$23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00001"/>
        <c:axId val="50400002"/>
      </c:line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Pass Rate %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Calculations!$B$224:$B$229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Calculations!$C$224:$C$229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10001"/>
        <c:axId val="50410002"/>
      </c:barChart>
      <c:catAx>
        <c:axId val="504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Calculations!$P$536:$P$545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Calculations!$Q$536:$Q$545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20001"/>
        <c:axId val="50420002"/>
      </c:barChart>
      <c:catAx>
        <c:axId val="504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Calculations!$J$536:$J$538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Scheduled</c:v>
                </c:pt>
              </c:strCache>
            </c:strRef>
          </c:cat>
          <c:val>
            <c:numRef>
              <c:f>Calculations!$K$536:$K$538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Certificates Expiring Within 90 Days,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Calculations!$B$285:$B$294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Calculations!$C$285:$C$294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40001"/>
        <c:axId val="50440002"/>
      </c:barChart>
      <c:catAx>
        <c:axId val="504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Calculations!$B$562:$B$573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Calculations!$C$562:$C$573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50001"/>
        <c:axId val="50450002"/>
      </c:barChart>
      <c:catAx>
        <c:axId val="504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 vs At-Risk Observations (BBS)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Safe</c:v>
          </c:tx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At-Risk</c:v>
          </c:tx>
          <c:spPr>
            <a:ln w="28575">
              <a:solidFill>
                <a:srgbClr val="DC2626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60001"/>
        <c:axId val="50460002"/>
      </c:lineChart>
      <c:catAx>
        <c:axId val="504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Calculations!$G$562:$G$567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Calculations!$H$562:$H$567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Calculations!$P$562:$P$571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Calculations!$Q$562:$Q$571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80001"/>
        <c:axId val="50480002"/>
      </c:barChart>
      <c:catAx>
        <c:axId val="504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Calculations!$J$562:$J$565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Calculations!$K$562:$K$565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Calculations!$B$309:$B$312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Calculations!$C$309:$C$312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Calculations!$B$588:$B$599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Calculations!$C$588:$C$599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10001"/>
        <c:axId val="50510002"/>
      </c:barChart>
      <c:catAx>
        <c:axId val="505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10002"/>
        <c:crosses val="autoZero"/>
        <c:auto val="1"/>
        <c:lblAlgn val="ctr"/>
        <c:lblOffset val="100"/>
      </c:catAx>
      <c:valAx>
        <c:axId val="505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Non-Conformances by Area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Calculations!$E$248:$E$255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Calculations!$F$248:$F$255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NCs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Calculations!$CB$12:$CB$23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30001"/>
        <c:axId val="50530002"/>
      </c:barChart>
      <c:catAx>
        <c:axId val="505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Calculations!$P$588:$P$597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Calculations!$Q$588:$Q$597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40001"/>
        <c:axId val="50540002"/>
      </c:barChart>
      <c:catAx>
        <c:axId val="505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Calculations!$B$315:$B$318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Calculations!$C$315:$C$318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50001"/>
        <c:axId val="50550002"/>
      </c:barChart>
      <c:catAx>
        <c:axId val="505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50002"/>
        <c:crosses val="autoZero"/>
        <c:auto val="1"/>
        <c:lblAlgn val="ctr"/>
        <c:lblOffset val="100"/>
      </c:catAx>
      <c:valAx>
        <c:axId val="505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Calculations!$B$614:$B$625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Calculations!$C$614:$C$625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60001"/>
        <c:axId val="50560002"/>
      </c:barChart>
      <c:catAx>
        <c:axId val="505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Critical Findings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Critical Findings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Calculations!$AO$12:$AO$23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Calculations!$P$614:$P$623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Calculations!$Q$614:$Q$623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Calculations!$B$321:$B$324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Calculations!$C$321:$C$324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90001"/>
        <c:axId val="50590002"/>
      </c:barChart>
      <c:catAx>
        <c:axId val="505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90002"/>
        <c:crosses val="autoZero"/>
        <c:auto val="1"/>
        <c:lblAlgn val="ctr"/>
        <c:lblOffset val="100"/>
      </c:catAx>
      <c:valAx>
        <c:axId val="505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Calculations!$B$640:$B$651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Calculations!$C$640:$C$651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00001"/>
        <c:axId val="50600002"/>
      </c:barChart>
      <c:catAx>
        <c:axId val="506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Walkthrough Frequency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Calculations!$AP$12:$AP$23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10001"/>
        <c:axId val="50610002"/>
      </c:line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Calculations!$P$640:$P$649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Calculations!$Q$640:$Q$649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Calculations!$B$327:$B$330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Calculations!$C$327:$C$330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30001"/>
        <c:axId val="50630002"/>
      </c:barChart>
      <c:catAx>
        <c:axId val="506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Calculations!$B$666:$B$677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Calculations!$C$666:$C$677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40001"/>
        <c:axId val="50640002"/>
      </c:barChart>
      <c:catAx>
        <c:axId val="506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40002"/>
        <c:crosses val="autoZero"/>
        <c:auto val="1"/>
        <c:lblAlgn val="ctr"/>
        <c:lblOffset val="100"/>
      </c:catAx>
      <c:valAx>
        <c:axId val="506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Action Items: Raised vs Closed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Raised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Calculations!$AQ$12:$AQ$23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ln w="28575">
              <a:solidFill>
                <a:srgbClr val="15A34A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Calculations!$AR$12:$AR$23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50001"/>
        <c:axId val="50650002"/>
      </c:line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Calculations!$P$666:$P$675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Calculations!$Q$666:$Q$675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Calculations!$B$692:$B$703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Calculations!$C$692:$C$703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70001"/>
        <c:axId val="50670002"/>
      </c:barChart>
      <c:catAx>
        <c:axId val="506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Reach % by Distribution Method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Calculations!$B$209:$B$212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Calculations!$C$209:$C$212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80001"/>
        <c:axId val="50680002"/>
      </c:barChart>
      <c:catAx>
        <c:axId val="506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80002"/>
        <c:crosses val="autoZero"/>
        <c:auto val="1"/>
        <c:lblAlgn val="ctr"/>
        <c:lblOffset val="100"/>
      </c:catAx>
      <c:valAx>
        <c:axId val="506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Bulletin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Calculations!$E$692:$E$697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Calculations!$F$692:$F$697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Calculations!$J$692:$J$694</c:f>
              <c:strCache>
                <c:ptCount val="3"/>
                <c:pt idx="0">
                  <c:v>Closed</c:v>
                </c:pt>
                <c:pt idx="1">
                  <c:v>Acknowledged</c:v>
                </c:pt>
                <c:pt idx="2">
                  <c:v>Issued</c:v>
                </c:pt>
              </c:strCache>
            </c:strRef>
          </c:cat>
          <c:val>
            <c:numRef>
              <c:f>Calculations!$K$692:$K$694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Reach: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Calculations!$CU$26:$CU$38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Calculations!$CV$26:$CV$38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Calculations!$CU$26:$CU$38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Calculations!$CW$26:$CW$38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10001"/>
        <c:axId val="50710002"/>
      </c:lineChart>
      <c:catAx>
        <c:axId val="507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Calculations!$B$718:$B$729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Calculations!$C$718:$C$729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20001"/>
        <c:axId val="50720002"/>
      </c:barChart>
      <c:catAx>
        <c:axId val="507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Emergency Response Time: Actual vs Target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Actual (min)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Calculations!$BT$12:$BT$23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Target (min)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Calculations!$BU$12:$BU$23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30001"/>
        <c:axId val="50730002"/>
      </c:line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Drill Type Coverage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Calculations!$E$718:$E$723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Calculations!$F$718:$F$723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Calculations!$J$718:$J$720</c:f>
              <c:strCache>
                <c:ptCount val="3"/>
                <c:pt idx="0">
                  <c:v>Completed</c:v>
                </c:pt>
                <c:pt idx="1">
                  <c:v>Action Pending</c:v>
                </c:pt>
                <c:pt idx="2">
                  <c:v>Rescheduled</c:v>
                </c:pt>
              </c:strCache>
            </c:strRef>
          </c:cat>
          <c:val>
            <c:numRef>
              <c:f>Calculations!$K$718:$K$720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Participants: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Calculations!$CY$26:$CY$38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Calculations!$CZ$26:$CZ$38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Calculations!$CY$26:$CY$38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Calculations!$DA$26:$DA$38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60001"/>
        <c:axId val="50760002"/>
      </c:lineChart>
      <c:catAx>
        <c:axId val="507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Calculations!$B$744:$B$755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Calculations!$C$744:$C$755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70001"/>
        <c:axId val="50770002"/>
      </c:bar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80001"/>
        <c:axId val="50780002"/>
      </c:barChart>
      <c:catAx>
        <c:axId val="507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80002"/>
        <c:crosses val="autoZero"/>
        <c:auto val="1"/>
        <c:lblAlgn val="ctr"/>
        <c:lblOffset val="100"/>
      </c:catAx>
      <c:valAx>
        <c:axId val="507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90001"/>
        <c:axId val="50790002"/>
      </c:lineChart>
      <c:catAx>
        <c:axId val="507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90002"/>
        <c:crosses val="autoZero"/>
        <c:auto val="1"/>
        <c:lblAlgn val="ctr"/>
        <c:lblOffset val="100"/>
      </c:catAx>
      <c:valAx>
        <c:axId val="507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Calculations!$P$744:$P$753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Calculations!$Q$744:$Q$753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00001"/>
        <c:axId val="50800002"/>
      </c:barChart>
      <c:catAx>
        <c:axId val="508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Calculations!$B$770:$B$781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Calculations!$C$770:$C$781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10001"/>
        <c:axId val="50810002"/>
      </c:bar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20001"/>
        <c:axId val="50820002"/>
      </c:barChart>
      <c:catAx>
        <c:axId val="508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20002"/>
        <c:crosses val="autoZero"/>
        <c:auto val="1"/>
        <c:lblAlgn val="ctr"/>
        <c:lblOffset val="100"/>
      </c:catAx>
      <c:valAx>
        <c:axId val="508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30001"/>
        <c:axId val="50830002"/>
      </c:lineChart>
      <c:catAx>
        <c:axId val="508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30002"/>
        <c:crosses val="autoZero"/>
        <c:auto val="1"/>
        <c:lblAlgn val="ctr"/>
        <c:lblOffset val="100"/>
      </c:catAx>
      <c:valAx>
        <c:axId val="508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Calculations!$P$770:$P$779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Calculations!$Q$770:$Q$779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40001"/>
        <c:axId val="50840002"/>
      </c:barChart>
      <c:catAx>
        <c:axId val="508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Calculations!$B$796:$B$807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Calculations!$C$796:$C$807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50001"/>
        <c:axId val="50850002"/>
      </c:barChart>
      <c:catAx>
        <c:axId val="508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Visits by Department (leadership equity)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Calculations!$P$796:$P$805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Calculations!$Q$796:$Q$805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60001"/>
        <c:axId val="50860002"/>
      </c:barChart>
      <c:catAx>
        <c:axId val="508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60002"/>
        <c:crosses val="autoZero"/>
        <c:auto val="1"/>
        <c:lblAlgn val="ctr"/>
        <c:lblOffset val="100"/>
      </c:catAx>
      <c:valAx>
        <c:axId val="508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Calculations!$P$796:$P$805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Calculations!$Q$796:$Q$805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70001"/>
        <c:axId val="50870002"/>
      </c:barChart>
      <c:catAx>
        <c:axId val="508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Calculations!$B$822:$B$833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Calculations!$C$822:$C$833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80001"/>
        <c:axId val="50880002"/>
      </c:barChart>
      <c:catAx>
        <c:axId val="508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80002"/>
        <c:crosses val="autoZero"/>
        <c:auto val="1"/>
        <c:lblAlgn val="ctr"/>
        <c:lblOffset val="100"/>
      </c:catAx>
      <c:valAx>
        <c:axId val="508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Decisions vs Actions Assigned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Decisions Made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Actions Assigned</c:v>
          </c:tx>
          <c:spPr>
            <a:ln w="28575">
              <a:solidFill>
                <a:srgbClr val="F59E0B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Calculations!$BY$12:$BY$23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90001"/>
        <c:axId val="50890002"/>
      </c:line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Calculations!$J$822:$J$824</c:f>
              <c:strCache>
                <c:ptCount val="3"/>
                <c:pt idx="0">
                  <c:v>In Progress</c:v>
                </c:pt>
                <c:pt idx="1">
                  <c:v>Completed</c:v>
                </c:pt>
                <c:pt idx="2">
                  <c:v>Scheduled</c:v>
                </c:pt>
              </c:strCache>
            </c:strRef>
          </c:cat>
          <c:val>
            <c:numRef>
              <c:f>Calculations!$K$822:$K$824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Attendance: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Calculations!$DC$26:$DC$38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Calculations!$DD$26:$DD$38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Calculations!$DC$26:$DC$38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Calculations!$DE$26:$DE$38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910001"/>
        <c:axId val="50910002"/>
      </c:lineChart>
      <c:catAx>
        <c:axId val="509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10002"/>
        <c:crosses val="autoZero"/>
        <c:auto val="1"/>
        <c:lblAlgn val="ctr"/>
        <c:lblOffset val="100"/>
      </c:catAx>
      <c:valAx>
        <c:axId val="509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Calculations!$B$848:$B$859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Calculations!$C$848:$C$859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20001"/>
        <c:axId val="50920002"/>
      </c:barChart>
      <c:catAx>
        <c:axId val="509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Violation Type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Calculations!$E$848:$E$853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Calculations!$F$848:$F$853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930001"/>
        <c:axId val="50930002"/>
      </c:barChart>
      <c:catAx>
        <c:axId val="509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30002"/>
        <c:crosses val="autoZero"/>
        <c:auto val="1"/>
        <c:lblAlgn val="ctr"/>
        <c:lblOffset val="100"/>
      </c:catAx>
      <c:valAx>
        <c:axId val="509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Offense Level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Calculations!$G$848:$G$850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Calculations!$H$848:$H$850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Calculations!$P$848:$P$857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Calculations!$Q$848:$Q$857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Calculations!$J$848:$J$850</c:f>
              <c:strCache>
                <c:ptCount val="3"/>
                <c:pt idx="0">
                  <c:v>Completed</c:v>
                </c:pt>
                <c:pt idx="1">
                  <c:v>Under Review</c:v>
                </c:pt>
                <c:pt idx="2">
                  <c:v>Appealed</c:v>
                </c:pt>
              </c:strCache>
            </c:strRef>
          </c:cat>
          <c:val>
            <c:numRef>
              <c:f>Calculations!$K$848:$K$850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Calculations!$B$874:$B$885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Calculations!$C$874:$C$885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70001"/>
        <c:axId val="50970002"/>
      </c:barChart>
      <c:catAx>
        <c:axId val="509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Recognition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Calculations!$P$874:$P$883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Calculations!$Q$874:$Q$883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80001"/>
        <c:axId val="50980002"/>
      </c:barChart>
      <c:catAx>
        <c:axId val="509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80002"/>
        <c:crosses val="autoZero"/>
        <c:auto val="1"/>
        <c:lblAlgn val="ctr"/>
        <c:lblOffset val="100"/>
      </c:catAx>
      <c:valAx>
        <c:axId val="509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Award 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Calculations!$E$874:$E$879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Calculations!$F$874:$F$879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Calculations!$P$874:$P$883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Calculations!$Q$874:$Q$883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00001"/>
        <c:axId val="51000002"/>
      </c:barChart>
      <c:catAx>
        <c:axId val="510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00002"/>
        <c:crosses val="autoZero"/>
        <c:auto val="1"/>
        <c:lblAlgn val="ctr"/>
        <c:lblOffset val="100"/>
      </c:catAx>
      <c:valAx>
        <c:axId val="510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Calculations!$J$874:$J$876</c:f>
              <c:strCache>
                <c:ptCount val="3"/>
                <c:pt idx="0">
                  <c:v>Presented</c:v>
                </c:pt>
                <c:pt idx="1">
                  <c:v>Scheduled</c:v>
                </c:pt>
                <c:pt idx="2">
                  <c:v>Nominated</c:v>
                </c:pt>
              </c:strCache>
            </c:strRef>
          </c:cat>
          <c:val>
            <c:numRef>
              <c:f>Calculations!$K$874:$K$876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Calculations!$B$900:$B$911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Calculations!$C$900:$C$911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20001"/>
        <c:axId val="51020002"/>
      </c:barChart>
      <c:catAx>
        <c:axId val="51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20002"/>
        <c:crosses val="autoZero"/>
        <c:auto val="1"/>
        <c:lblAlgn val="ctr"/>
        <c:lblOffset val="100"/>
      </c:catAx>
      <c:valAx>
        <c:axId val="51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Stop-Work Downtime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Downtime (min)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Calculations!$BZ$12:$BZ$23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30001"/>
        <c:axId val="51030002"/>
      </c:barChart>
      <c:catAx>
        <c:axId val="51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Avg Downtime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Calculations!$B$232:$B$235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Calculations!$C$232:$C$235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040001"/>
        <c:axId val="51040002"/>
      </c:barChart>
      <c:catAx>
        <c:axId val="510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40002"/>
        <c:crosses val="autoZero"/>
        <c:auto val="1"/>
        <c:lblAlgn val="ctr"/>
        <c:lblOffset val="100"/>
      </c:catAx>
      <c:valAx>
        <c:axId val="510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Calculations!$P$900:$P$909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Calculations!$Q$900:$Q$909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50001"/>
        <c:axId val="51050002"/>
      </c:barChart>
      <c:catAx>
        <c:axId val="510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50002"/>
        <c:crosses val="autoZero"/>
        <c:auto val="1"/>
        <c:lblAlgn val="ctr"/>
        <c:lblOffset val="100"/>
      </c:catAx>
      <c:valAx>
        <c:axId val="510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Calculations!$B$926:$B$937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Calculations!$C$926:$C$937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60001"/>
        <c:axId val="51060002"/>
      </c:barChart>
      <c:catAx>
        <c:axId val="510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Positive Test Rate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Calculations!$CM$12:$CM$23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070001"/>
        <c:axId val="51070002"/>
      </c:lineChart>
      <c:catAx>
        <c:axId val="51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70002"/>
        <c:crosses val="autoZero"/>
        <c:auto val="1"/>
        <c:lblAlgn val="ctr"/>
        <c:lblOffset val="100"/>
      </c:catAx>
      <c:valAx>
        <c:axId val="51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Calculations!$P$926:$P$935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Calculations!$Q$926:$Q$935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Calculations!$J$926:$J$929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Calculations!$K$926:$K$929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Calculations!$B$952:$B$963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Calculations!$C$952:$C$963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00001"/>
        <c:axId val="51100002"/>
      </c:barChart>
      <c:catAx>
        <c:axId val="511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% by Permit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Calculations!$B$215:$B$221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Calculations!$C$215:$C$221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110001"/>
        <c:axId val="51110002"/>
      </c:barChart>
      <c:catAx>
        <c:axId val="51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10002"/>
        <c:crosses val="autoZero"/>
        <c:auto val="1"/>
        <c:lblAlgn val="ctr"/>
        <c:lblOffset val="100"/>
      </c:catAx>
      <c:valAx>
        <c:axId val="51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Calculations!$P$952:$P$961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Calculations!$Q$952:$Q$961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20001"/>
        <c:axId val="51120002"/>
      </c:barChart>
      <c:catAx>
        <c:axId val="51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Calculations!$B$978:$B$989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Calculations!$C$978:$C$989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30001"/>
        <c:axId val="51130002"/>
      </c:barChart>
      <c:catAx>
        <c:axId val="511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On-Time vs Delayed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On-Time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Calculations!$CC$12:$CC$23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Delayed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Calculations!$CD$12:$CD$23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1140001"/>
        <c:axId val="51140002"/>
      </c:barChart>
      <c:catAx>
        <c:axId val="511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40002"/>
        <c:crosses val="autoZero"/>
        <c:auto val="1"/>
        <c:lblAlgn val="ctr"/>
        <c:lblOffset val="100"/>
      </c:catAx>
      <c:valAx>
        <c:axId val="511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CAPA Source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Calculations!$E$978:$E$983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Calculations!$F$978:$F$983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150001"/>
        <c:axId val="51150002"/>
      </c:barChart>
      <c:catAx>
        <c:axId val="511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Calculations!$P$978:$P$987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Calculations!$Q$978:$Q$987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60001"/>
        <c:axId val="51160002"/>
      </c:barChart>
      <c:catAx>
        <c:axId val="511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60002"/>
        <c:crosses val="autoZero"/>
        <c:auto val="1"/>
        <c:lblAlgn val="ctr"/>
        <c:lblOffset val="100"/>
      </c:catAx>
      <c:valAx>
        <c:axId val="511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Calculations!$J$978:$J$982</c:f>
              <c:strCache>
                <c:ptCount val="5"/>
                <c:pt idx="0">
                  <c:v>Completed</c:v>
                </c:pt>
                <c:pt idx="1">
                  <c:v>Cancelled</c:v>
                </c:pt>
                <c:pt idx="2">
                  <c:v>Pending</c:v>
                </c:pt>
                <c:pt idx="3">
                  <c:v>Overdue</c:v>
                </c:pt>
                <c:pt idx="4">
                  <c:v>In Progress</c:v>
                </c:pt>
              </c:strCache>
            </c:strRef>
          </c:cat>
          <c:val>
            <c:numRef>
              <c:f>Calculations!$K$978:$K$982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Calculations!$B$297:$B$300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Calculations!$C$297:$C$300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80001"/>
        <c:axId val="51180002"/>
      </c:barChart>
      <c:catAx>
        <c:axId val="51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Calculations!$B$1004:$B$1015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Calculations!$C$1004:$C$1015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90001"/>
        <c:axId val="51190002"/>
      </c:barChart>
      <c:catAx>
        <c:axId val="511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90002"/>
        <c:crosses val="autoZero"/>
        <c:auto val="1"/>
        <c:lblAlgn val="ctr"/>
        <c:lblOffset val="100"/>
      </c:catAx>
      <c:valAx>
        <c:axId val="511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Calculations!$E$238:$E$245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Calculations!$F$238:$F$245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1200001"/>
        <c:axId val="51200002"/>
      </c:barChart>
      <c:catAx>
        <c:axId val="51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0B6EA8"/>
              </a:solidFill>
            </c:spPr>
          </c:dPt>
          <c:dPt>
            <c:idx val="3"/>
            <c:spPr>
              <a:solidFill>
                <a:srgbClr val="15A34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Calculations!$E$1004:$E$1007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Calculations!$F$1004:$F$1007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Calculations!$P$1004:$P$1013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Calculations!$Q$1004:$Q$1013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20001"/>
        <c:axId val="51220002"/>
      </c:barChart>
      <c:catAx>
        <c:axId val="51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20002"/>
        <c:crosses val="autoZero"/>
        <c:auto val="1"/>
        <c:lblAlgn val="ctr"/>
        <c:lblOffset val="100"/>
      </c:catAx>
      <c:valAx>
        <c:axId val="51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Calculations!$J$1004:$J$1007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Under Review</c:v>
                </c:pt>
                <c:pt idx="3">
                  <c:v>Overdue</c:v>
                </c:pt>
              </c:strCache>
            </c:strRef>
          </c:cat>
          <c:val>
            <c:numRef>
              <c:f>Calculations!$K$1004:$K$1007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Calculations!$B$303:$B$306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Calculations!$C$303:$C$306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40001"/>
        <c:axId val="51240002"/>
      </c:barChart>
      <c:catAx>
        <c:axId val="512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40002"/>
        <c:crosses val="autoZero"/>
        <c:auto val="1"/>
        <c:lblAlgn val="ctr"/>
        <c:lblOffset val="100"/>
      </c:catAx>
      <c:valAx>
        <c:axId val="512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Calculations!$B$1030:$B$1041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Calculations!$C$1030:$C$1041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50001"/>
        <c:axId val="51250002"/>
      </c:barChart>
      <c:catAx>
        <c:axId val="512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50002"/>
        <c:crosses val="autoZero"/>
        <c:auto val="1"/>
        <c:lblAlgn val="ctr"/>
        <c:lblOffset val="100"/>
      </c:catAx>
      <c:valAx>
        <c:axId val="512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Calculations!$C$1030:$C$1041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Calculations!$C$1056:$C$1067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260001"/>
        <c:axId val="51260002"/>
      </c:lineChart>
      <c:catAx>
        <c:axId val="512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60002"/>
        <c:crosses val="autoZero"/>
        <c:auto val="1"/>
        <c:lblAlgn val="ctr"/>
        <c:lblOffset val="100"/>
      </c:catAx>
      <c:valAx>
        <c:axId val="512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70001"/>
        <c:axId val="51270002"/>
      </c:barChart>
      <c:catAx>
        <c:axId val="51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Calculations!$P$1030:$P$1039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Calculations!$Q$1030:$Q$1039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80001"/>
        <c:axId val="51280002"/>
      </c:barChart>
      <c:catAx>
        <c:axId val="512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80002"/>
        <c:crosses val="autoZero"/>
        <c:auto val="1"/>
        <c:lblAlgn val="ctr"/>
        <c:lblOffset val="100"/>
      </c:catAx>
      <c:valAx>
        <c:axId val="51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Calculations!$J$1030:$J$1033</c:f>
              <c:strCache>
                <c:ptCount val="4"/>
                <c:pt idx="0">
                  <c:v>Overdue</c:v>
                </c:pt>
                <c:pt idx="1">
                  <c:v>Pending</c:v>
                </c:pt>
                <c:pt idx="2">
                  <c:v>In Progress</c:v>
                </c:pt>
                <c:pt idx="3">
                  <c:v>Completed</c:v>
                </c:pt>
              </c:strCache>
            </c:strRef>
          </c:cat>
          <c:val>
            <c:numRef>
              <c:f>Calculations!$K$1030:$K$1033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Calculations!$B$333:$B$336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Calculations!$C$333:$C$336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00001"/>
        <c:axId val="51300002"/>
      </c:barChart>
      <c:catAx>
        <c:axId val="513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Calculations!$B$1056:$B$1067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Calculations!$C$1056:$C$1067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10001"/>
        <c:axId val="51310002"/>
      </c:barChart>
      <c:catAx>
        <c:axId val="513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10002"/>
        <c:crosses val="autoZero"/>
        <c:auto val="1"/>
        <c:lblAlgn val="ctr"/>
        <c:lblOffset val="100"/>
      </c:catAx>
      <c:valAx>
        <c:axId val="513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Calculations!$C$1030:$C$1041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Calculations!$C$1056:$C$1067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320001"/>
        <c:axId val="51320002"/>
      </c:lineChart>
      <c:catAx>
        <c:axId val="513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20002"/>
        <c:crosses val="autoZero"/>
        <c:auto val="1"/>
        <c:lblAlgn val="ctr"/>
        <c:lblOffset val="100"/>
      </c:catAx>
      <c:valAx>
        <c:axId val="513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30001"/>
        <c:axId val="51330002"/>
      </c:barChart>
      <c:catAx>
        <c:axId val="513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30002"/>
        <c:crosses val="autoZero"/>
        <c:auto val="1"/>
        <c:lblAlgn val="ctr"/>
        <c:lblOffset val="100"/>
      </c:catAx>
      <c:valAx>
        <c:axId val="51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Calculations!$P$1056:$P$1065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Calculations!$Q$1056:$Q$1065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40001"/>
        <c:axId val="51340002"/>
      </c:barChart>
      <c:catAx>
        <c:axId val="513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40002"/>
        <c:crosses val="autoZero"/>
        <c:auto val="1"/>
        <c:lblAlgn val="ctr"/>
        <c:lblOffset val="100"/>
      </c:catAx>
      <c:valAx>
        <c:axId val="513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Calculations!$J$1056:$J$1059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Calculations!$K$1056:$K$1059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Calculations!$B$339:$B$342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Calculations!$C$339:$C$342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60001"/>
        <c:axId val="51360002"/>
      </c:barChart>
      <c:catAx>
        <c:axId val="51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60002"/>
        <c:crosses val="autoZero"/>
        <c:auto val="1"/>
        <c:lblAlgn val="ctr"/>
        <c:lblOffset val="100"/>
      </c:catAx>
      <c:valAx>
        <c:axId val="51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Calculations!$B$1082:$B$1093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Calculations!$C$1082:$C$1093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70001"/>
        <c:axId val="51370002"/>
      </c:barChart>
      <c:catAx>
        <c:axId val="513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70002"/>
        <c:crosses val="autoZero"/>
        <c:auto val="1"/>
        <c:lblAlgn val="ctr"/>
        <c:lblOffset val="100"/>
      </c:catAx>
      <c:valAx>
        <c:axId val="513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Open Incident Ageing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Calculations!$B$258:$B$261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Calculations!$C$258:$C$261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80001"/>
        <c:axId val="51380002"/>
      </c:barChart>
      <c:catAx>
        <c:axId val="513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80002"/>
        <c:crosses val="autoZero"/>
        <c:auto val="1"/>
        <c:lblAlgn val="ctr"/>
        <c:lblOffset val="100"/>
      </c:catAx>
      <c:valAx>
        <c:axId val="51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Person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Calculations!$B$264:$B$267</c:f>
              <c:strCache>
                <c:ptCount val="4"/>
                <c:pt idx="0">
                  <c:v>Employee</c:v>
                </c:pt>
                <c:pt idx="1">
                  <c:v>Contractor</c:v>
                </c:pt>
                <c:pt idx="2">
                  <c:v>Visitor</c:v>
                </c:pt>
                <c:pt idx="3">
                  <c:v>Third Party</c:v>
                </c:pt>
              </c:strCache>
            </c:strRef>
          </c:cat>
          <c:val>
            <c:numRef>
              <c:f>Calculations!$C$264:$C$267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Calculations!$P$1082:$P$1091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Calculations!$Q$1082:$Q$1091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00001"/>
        <c:axId val="51400002"/>
      </c:barChart>
      <c:catAx>
        <c:axId val="514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400002"/>
        <c:crosses val="autoZero"/>
        <c:auto val="1"/>
        <c:lblAlgn val="ctr"/>
        <c:lblOffset val="100"/>
      </c:catAx>
      <c:valAx>
        <c:axId val="514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4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Calculations!$J$1082:$J$1084</c:f>
              <c:strCache>
                <c:ptCount val="3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</c:strCache>
            </c:strRef>
          </c:cat>
          <c:val>
            <c:numRef>
              <c:f>Calculations!$K$1082:$K$1084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Relationship Id="rId4" Type="http://schemas.openxmlformats.org/officeDocument/2006/relationships/chart" Target="../charts/chart26.xml"/><Relationship Id="rId5" Type="http://schemas.openxmlformats.org/officeDocument/2006/relationships/chart" Target="../charts/chart27.xml"/><Relationship Id="rId6" Type="http://schemas.openxmlformats.org/officeDocument/2006/relationships/chart" Target="../charts/chart28.xml"/><Relationship Id="rId7" Type="http://schemas.openxmlformats.org/officeDocument/2006/relationships/chart" Target="../charts/chart29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30.xml"/><Relationship Id="rId2" Type="http://schemas.openxmlformats.org/officeDocument/2006/relationships/chart" Target="../charts/chart31.xml"/><Relationship Id="rId3" Type="http://schemas.openxmlformats.org/officeDocument/2006/relationships/chart" Target="../charts/chart32.xml"/><Relationship Id="rId4" Type="http://schemas.openxmlformats.org/officeDocument/2006/relationships/chart" Target="../charts/chart33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chart" Target="../charts/chart35.xml"/><Relationship Id="rId3" Type="http://schemas.openxmlformats.org/officeDocument/2006/relationships/chart" Target="../charts/chart36.xml"/><Relationship Id="rId4" Type="http://schemas.openxmlformats.org/officeDocument/2006/relationships/chart" Target="../charts/chart37.xml"/><Relationship Id="rId5" Type="http://schemas.openxmlformats.org/officeDocument/2006/relationships/chart" Target="../charts/chart38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9.xml"/><Relationship Id="rId2" Type="http://schemas.openxmlformats.org/officeDocument/2006/relationships/chart" Target="../charts/chart40.xml"/><Relationship Id="rId3" Type="http://schemas.openxmlformats.org/officeDocument/2006/relationships/chart" Target="../charts/chart41.xml"/><Relationship Id="rId4" Type="http://schemas.openxmlformats.org/officeDocument/2006/relationships/chart" Target="../charts/chart42.xml"/><Relationship Id="rId5" Type="http://schemas.openxmlformats.org/officeDocument/2006/relationships/chart" Target="../charts/chart43.xml"/><Relationship Id="rId6" Type="http://schemas.openxmlformats.org/officeDocument/2006/relationships/chart" Target="../charts/chart44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5.xml"/><Relationship Id="rId2" Type="http://schemas.openxmlformats.org/officeDocument/2006/relationships/chart" Target="../charts/chart46.xml"/><Relationship Id="rId3" Type="http://schemas.openxmlformats.org/officeDocument/2006/relationships/chart" Target="../charts/chart47.xml"/><Relationship Id="rId4" Type="http://schemas.openxmlformats.org/officeDocument/2006/relationships/chart" Target="../charts/chart48.xml"/><Relationship Id="rId5" Type="http://schemas.openxmlformats.org/officeDocument/2006/relationships/chart" Target="../charts/chart49.xml"/><Relationship Id="rId6" Type="http://schemas.openxmlformats.org/officeDocument/2006/relationships/chart" Target="../charts/chart50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51.xml"/><Relationship Id="rId2" Type="http://schemas.openxmlformats.org/officeDocument/2006/relationships/chart" Target="../charts/chart52.xml"/><Relationship Id="rId3" Type="http://schemas.openxmlformats.org/officeDocument/2006/relationships/chart" Target="../charts/chart53.xml"/><Relationship Id="rId4" Type="http://schemas.openxmlformats.org/officeDocument/2006/relationships/chart" Target="../charts/chart54.xml"/><Relationship Id="rId5" Type="http://schemas.openxmlformats.org/officeDocument/2006/relationships/chart" Target="../charts/chart55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56.xml"/><Relationship Id="rId2" Type="http://schemas.openxmlformats.org/officeDocument/2006/relationships/chart" Target="../charts/chart57.xml"/><Relationship Id="rId3" Type="http://schemas.openxmlformats.org/officeDocument/2006/relationships/chart" Target="../charts/chart58.xml"/><Relationship Id="rId4" Type="http://schemas.openxmlformats.org/officeDocument/2006/relationships/chart" Target="../charts/chart59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60.xml"/><Relationship Id="rId2" Type="http://schemas.openxmlformats.org/officeDocument/2006/relationships/chart" Target="../charts/chart61.xml"/><Relationship Id="rId3" Type="http://schemas.openxmlformats.org/officeDocument/2006/relationships/chart" Target="../charts/chart62.xml"/><Relationship Id="rId4" Type="http://schemas.openxmlformats.org/officeDocument/2006/relationships/chart" Target="../charts/chart63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64.xml"/><Relationship Id="rId2" Type="http://schemas.openxmlformats.org/officeDocument/2006/relationships/chart" Target="../charts/chart65.xml"/><Relationship Id="rId3" Type="http://schemas.openxmlformats.org/officeDocument/2006/relationships/chart" Target="../charts/chart66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67.xml"/><Relationship Id="rId2" Type="http://schemas.openxmlformats.org/officeDocument/2006/relationships/chart" Target="../charts/chart68.xml"/><Relationship Id="rId3" Type="http://schemas.openxmlformats.org/officeDocument/2006/relationships/chart" Target="../charts/chart69.xml"/><Relationship Id="rId4" Type="http://schemas.openxmlformats.org/officeDocument/2006/relationships/chart" Target="../charts/chart70.xml"/><Relationship Id="rId5" Type="http://schemas.openxmlformats.org/officeDocument/2006/relationships/chart" Target="../charts/chart71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72.xml"/><Relationship Id="rId2" Type="http://schemas.openxmlformats.org/officeDocument/2006/relationships/chart" Target="../charts/chart73.xml"/><Relationship Id="rId3" Type="http://schemas.openxmlformats.org/officeDocument/2006/relationships/chart" Target="../charts/chart74.xml"/><Relationship Id="rId4" Type="http://schemas.openxmlformats.org/officeDocument/2006/relationships/chart" Target="../charts/chart75.xml"/><Relationship Id="rId5" Type="http://schemas.openxmlformats.org/officeDocument/2006/relationships/chart" Target="../charts/chart76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77.xml"/><Relationship Id="rId2" Type="http://schemas.openxmlformats.org/officeDocument/2006/relationships/chart" Target="../charts/chart78.xml"/><Relationship Id="rId3" Type="http://schemas.openxmlformats.org/officeDocument/2006/relationships/chart" Target="../charts/chart79.xml"/><Relationship Id="rId4" Type="http://schemas.openxmlformats.org/officeDocument/2006/relationships/chart" Target="../charts/chart80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81.xml"/><Relationship Id="rId2" Type="http://schemas.openxmlformats.org/officeDocument/2006/relationships/chart" Target="../charts/chart82.xml"/><Relationship Id="rId3" Type="http://schemas.openxmlformats.org/officeDocument/2006/relationships/chart" Target="../charts/chart83.xml"/><Relationship Id="rId4" Type="http://schemas.openxmlformats.org/officeDocument/2006/relationships/chart" Target="../charts/chart84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85.xml"/><Relationship Id="rId2" Type="http://schemas.openxmlformats.org/officeDocument/2006/relationships/chart" Target="../charts/chart86.xml"/><Relationship Id="rId3" Type="http://schemas.openxmlformats.org/officeDocument/2006/relationships/chart" Target="../charts/chart87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88.xml"/><Relationship Id="rId2" Type="http://schemas.openxmlformats.org/officeDocument/2006/relationships/chart" Target="../charts/chart89.xml"/><Relationship Id="rId3" Type="http://schemas.openxmlformats.org/officeDocument/2006/relationships/chart" Target="../charts/chart90.xml"/><Relationship Id="rId4" Type="http://schemas.openxmlformats.org/officeDocument/2006/relationships/chart" Target="../charts/chart91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92.xml"/><Relationship Id="rId2" Type="http://schemas.openxmlformats.org/officeDocument/2006/relationships/chart" Target="../charts/chart93.xml"/><Relationship Id="rId3" Type="http://schemas.openxmlformats.org/officeDocument/2006/relationships/chart" Target="../charts/chart94.xml"/><Relationship Id="rId4" Type="http://schemas.openxmlformats.org/officeDocument/2006/relationships/chart" Target="../charts/chart95.xml"/><Relationship Id="rId5" Type="http://schemas.openxmlformats.org/officeDocument/2006/relationships/chart" Target="../charts/chart96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97.xml"/><Relationship Id="rId2" Type="http://schemas.openxmlformats.org/officeDocument/2006/relationships/chart" Target="../charts/chart98.xml"/><Relationship Id="rId3" Type="http://schemas.openxmlformats.org/officeDocument/2006/relationships/chart" Target="../charts/chart99.xml"/><Relationship Id="rId4" Type="http://schemas.openxmlformats.org/officeDocument/2006/relationships/chart" Target="../charts/chart100.xml"/><Relationship Id="rId5" Type="http://schemas.openxmlformats.org/officeDocument/2006/relationships/chart" Target="../charts/chart101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2.xml"/><Relationship Id="rId2" Type="http://schemas.openxmlformats.org/officeDocument/2006/relationships/chart" Target="../charts/chart103.xml"/><Relationship Id="rId3" Type="http://schemas.openxmlformats.org/officeDocument/2006/relationships/chart" Target="../charts/chart104.xml"/><Relationship Id="rId4" Type="http://schemas.openxmlformats.org/officeDocument/2006/relationships/chart" Target="../charts/chart105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6.xml"/><Relationship Id="rId2" Type="http://schemas.openxmlformats.org/officeDocument/2006/relationships/chart" Target="../charts/chart107.xml"/><Relationship Id="rId3" Type="http://schemas.openxmlformats.org/officeDocument/2006/relationships/chart" Target="../charts/chart108.xml"/><Relationship Id="rId4" Type="http://schemas.openxmlformats.org/officeDocument/2006/relationships/chart" Target="../charts/chart109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0.xml"/><Relationship Id="rId2" Type="http://schemas.openxmlformats.org/officeDocument/2006/relationships/chart" Target="../charts/chart111.xml"/><Relationship Id="rId3" Type="http://schemas.openxmlformats.org/officeDocument/2006/relationships/chart" Target="../charts/chart112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3.xml"/><Relationship Id="rId2" Type="http://schemas.openxmlformats.org/officeDocument/2006/relationships/chart" Target="../charts/chart114.xml"/><Relationship Id="rId3" Type="http://schemas.openxmlformats.org/officeDocument/2006/relationships/chart" Target="../charts/chart115.xml"/><Relationship Id="rId4" Type="http://schemas.openxmlformats.org/officeDocument/2006/relationships/chart" Target="../charts/chart116.xml"/><Relationship Id="rId5" Type="http://schemas.openxmlformats.org/officeDocument/2006/relationships/chart" Target="../charts/chart117.xml"/><Relationship Id="rId6" Type="http://schemas.openxmlformats.org/officeDocument/2006/relationships/chart" Target="../charts/chart118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9.xml"/><Relationship Id="rId2" Type="http://schemas.openxmlformats.org/officeDocument/2006/relationships/chart" Target="../charts/chart120.xml"/><Relationship Id="rId3" Type="http://schemas.openxmlformats.org/officeDocument/2006/relationships/chart" Target="../charts/chart121.xml"/><Relationship Id="rId4" Type="http://schemas.openxmlformats.org/officeDocument/2006/relationships/chart" Target="../charts/chart122.xml"/><Relationship Id="rId5" Type="http://schemas.openxmlformats.org/officeDocument/2006/relationships/chart" Target="../charts/chart123.xml"/><Relationship Id="rId6" Type="http://schemas.openxmlformats.org/officeDocument/2006/relationships/chart" Target="../charts/chart124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5.xml"/><Relationship Id="rId2" Type="http://schemas.openxmlformats.org/officeDocument/2006/relationships/chart" Target="../charts/chart126.xml"/><Relationship Id="rId3" Type="http://schemas.openxmlformats.org/officeDocument/2006/relationships/chart" Target="../charts/chart127.xml"/><Relationship Id="rId4" Type="http://schemas.openxmlformats.org/officeDocument/2006/relationships/chart" Target="../charts/chart128.xml"/><Relationship Id="rId5" Type="http://schemas.openxmlformats.org/officeDocument/2006/relationships/chart" Target="../charts/chart129.xml"/><Relationship Id="rId6" Type="http://schemas.openxmlformats.org/officeDocument/2006/relationships/chart" Target="../charts/chart130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1.xml"/><Relationship Id="rId2" Type="http://schemas.openxmlformats.org/officeDocument/2006/relationships/chart" Target="../charts/chart132.xml"/><Relationship Id="rId3" Type="http://schemas.openxmlformats.org/officeDocument/2006/relationships/chart" Target="../charts/chart133.xml"/><Relationship Id="rId4" Type="http://schemas.openxmlformats.org/officeDocument/2006/relationships/chart" Target="../charts/chart134.xml"/><Relationship Id="rId5" Type="http://schemas.openxmlformats.org/officeDocument/2006/relationships/chart" Target="../charts/chart135.xml"/><Relationship Id="rId6" Type="http://schemas.openxmlformats.org/officeDocument/2006/relationships/chart" Target="../charts/chart136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7.xml"/><Relationship Id="rId2" Type="http://schemas.openxmlformats.org/officeDocument/2006/relationships/chart" Target="../charts/chart138.xml"/><Relationship Id="rId3" Type="http://schemas.openxmlformats.org/officeDocument/2006/relationships/chart" Target="../charts/chart139.xml"/><Relationship Id="rId4" Type="http://schemas.openxmlformats.org/officeDocument/2006/relationships/chart" Target="../charts/chart140.xml"/><Relationship Id="rId5" Type="http://schemas.openxmlformats.org/officeDocument/2006/relationships/chart" Target="../charts/chart1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153</xdr:row>
      <xdr:rowOff>0</xdr:rowOff>
    </xdr:from>
    <xdr:to>
      <xdr:col>4</xdr:col>
      <xdr:colOff>466725</xdr:colOff>
      <xdr:row>162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153</xdr:row>
      <xdr:rowOff>0</xdr:rowOff>
    </xdr:from>
    <xdr:to>
      <xdr:col>7</xdr:col>
      <xdr:colOff>466725</xdr:colOff>
      <xdr:row>162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153</xdr:row>
      <xdr:rowOff>0</xdr:rowOff>
    </xdr:from>
    <xdr:to>
      <xdr:col>10</xdr:col>
      <xdr:colOff>466725</xdr:colOff>
      <xdr:row>162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153</xdr:row>
      <xdr:rowOff>0</xdr:rowOff>
    </xdr:from>
    <xdr:to>
      <xdr:col>13</xdr:col>
      <xdr:colOff>466725</xdr:colOff>
      <xdr:row>162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153</xdr:row>
      <xdr:rowOff>0</xdr:rowOff>
    </xdr:from>
    <xdr:to>
      <xdr:col>16</xdr:col>
      <xdr:colOff>466725</xdr:colOff>
      <xdr:row>162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153</xdr:row>
      <xdr:rowOff>0</xdr:rowOff>
    </xdr:from>
    <xdr:to>
      <xdr:col>19</xdr:col>
      <xdr:colOff>466725</xdr:colOff>
      <xdr:row>162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164</xdr:row>
      <xdr:rowOff>0</xdr:rowOff>
    </xdr:from>
    <xdr:to>
      <xdr:col>8</xdr:col>
      <xdr:colOff>161925</xdr:colOff>
      <xdr:row>178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164</xdr:row>
      <xdr:rowOff>0</xdr:rowOff>
    </xdr:from>
    <xdr:to>
      <xdr:col>14</xdr:col>
      <xdr:colOff>161925</xdr:colOff>
      <xdr:row>178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20</xdr:col>
      <xdr:colOff>190500</xdr:colOff>
      <xdr:row>178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49</xdr:row>
      <xdr:rowOff>0</xdr:rowOff>
    </xdr:from>
    <xdr:to>
      <xdr:col>17</xdr:col>
      <xdr:colOff>285750</xdr:colOff>
      <xdr:row>70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161925</xdr:colOff>
      <xdr:row>103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89</xdr:row>
      <xdr:rowOff>0</xdr:rowOff>
    </xdr:from>
    <xdr:to>
      <xdr:col>14</xdr:col>
      <xdr:colOff>161925</xdr:colOff>
      <xdr:row>103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8</xdr:col>
      <xdr:colOff>161925</xdr:colOff>
      <xdr:row>120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8</xdr:col>
      <xdr:colOff>161925</xdr:colOff>
      <xdr:row>69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8</xdr:col>
      <xdr:colOff>161925</xdr:colOff>
      <xdr:row>96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8</xdr:col>
      <xdr:colOff>161925</xdr:colOff>
      <xdr:row>87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1004" totalsRowShown="0">
  <autoFilter ref="A3:O1004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Q1004" totalsRowShown="0">
  <autoFilter ref="A3:Q1004"/>
  <tableColumns count="17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  <tableColumn id="17" name="Certificate Expiry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t_investigation" displayName="t_investigation" ref="A3:P303" totalsRowShown="0">
  <autoFilter ref="A3:P303"/>
  <tableColumns count="16">
    <tableColumn id="1" name="S.No"/>
    <tableColumn id="2" name="Investigation ID"/>
    <tableColumn id="3" name="Date"/>
    <tableColumn id="4" name="Incident ID"/>
    <tableColumn id="5" name="NC No."/>
    <tableColumn id="6" name="Department"/>
    <tableColumn id="7" name="Classification / Severity"/>
    <tableColumn id="8" name="Why 1"/>
    <tableColumn id="9" name="Why 2"/>
    <tableColumn id="10" name="Why 3"/>
    <tableColumn id="11" name="Why 4"/>
    <tableColumn id="12" name="Why 5"/>
    <tableColumn id="13" name="Root Cause"/>
    <tableColumn id="14" name="Corrective Action"/>
    <tableColumn id="15" name="Investigator"/>
    <tableColumn id="16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9.xml.rels><?xml version="1.0" encoding="UTF-8" standalone="yes"?>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5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5" width="12.7109375" style="1" customWidth="1"/>
  </cols>
  <sheetData>
    <row r="1" spans="1:17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</row>
    <row r="4" spans="1:17">
      <c r="A4" s="1">
        <v>1</v>
      </c>
      <c r="B4" s="1" t="s">
        <v>141</v>
      </c>
      <c r="C4" s="5">
        <v>46026</v>
      </c>
      <c r="D4" s="1" t="s">
        <v>3</v>
      </c>
      <c r="E4" s="6" t="s">
        <v>12</v>
      </c>
      <c r="F4" s="6" t="s">
        <v>39</v>
      </c>
      <c r="G4" s="1" t="s">
        <v>82</v>
      </c>
      <c r="H4" s="1" t="s">
        <v>28</v>
      </c>
      <c r="I4" s="1" t="s">
        <v>104</v>
      </c>
      <c r="J4" s="1" t="s">
        <v>142</v>
      </c>
      <c r="K4" s="1">
        <v>2</v>
      </c>
      <c r="L4" s="1" t="s">
        <v>143</v>
      </c>
      <c r="M4" s="1" t="s">
        <v>144</v>
      </c>
      <c r="N4" s="1" t="s">
        <v>61</v>
      </c>
      <c r="O4" s="1" t="s">
        <v>145</v>
      </c>
    </row>
    <row r="5" spans="1:17">
      <c r="A5" s="1">
        <v>2</v>
      </c>
      <c r="B5" s="1" t="s">
        <v>146</v>
      </c>
      <c r="C5" s="5">
        <v>46037</v>
      </c>
      <c r="D5" s="1" t="s">
        <v>3</v>
      </c>
      <c r="E5" s="6" t="s">
        <v>4</v>
      </c>
      <c r="F5" s="6" t="s">
        <v>89</v>
      </c>
      <c r="G5" s="1" t="s">
        <v>40</v>
      </c>
      <c r="H5" s="1" t="s">
        <v>62</v>
      </c>
      <c r="I5" s="1" t="s">
        <v>22</v>
      </c>
      <c r="J5" s="1" t="s">
        <v>142</v>
      </c>
      <c r="K5" s="1">
        <v>8</v>
      </c>
      <c r="L5" s="1" t="s">
        <v>147</v>
      </c>
      <c r="M5" s="1" t="s">
        <v>148</v>
      </c>
      <c r="N5" s="1" t="s">
        <v>57</v>
      </c>
      <c r="O5" s="1" t="s">
        <v>149</v>
      </c>
    </row>
    <row r="6" spans="1:17">
      <c r="A6" s="1">
        <v>3</v>
      </c>
      <c r="B6" s="1" t="s">
        <v>150</v>
      </c>
      <c r="C6" s="5">
        <v>46030</v>
      </c>
      <c r="D6" s="1" t="s">
        <v>3</v>
      </c>
      <c r="E6" s="6" t="s">
        <v>91</v>
      </c>
      <c r="F6" s="6" t="s">
        <v>89</v>
      </c>
      <c r="G6" s="1" t="s">
        <v>80</v>
      </c>
      <c r="H6" s="1" t="s">
        <v>68</v>
      </c>
      <c r="I6" s="1" t="s">
        <v>68</v>
      </c>
      <c r="J6" s="1" t="s">
        <v>151</v>
      </c>
      <c r="K6" s="1">
        <v>4</v>
      </c>
      <c r="L6" s="1" t="s">
        <v>152</v>
      </c>
      <c r="M6" s="1" t="s">
        <v>144</v>
      </c>
      <c r="N6" s="1" t="s">
        <v>49</v>
      </c>
      <c r="O6" s="1" t="s">
        <v>153</v>
      </c>
    </row>
    <row r="7" spans="1:17">
      <c r="A7" s="1">
        <v>4</v>
      </c>
      <c r="B7" s="1" t="s">
        <v>154</v>
      </c>
      <c r="C7" s="5">
        <v>46038</v>
      </c>
      <c r="D7" s="1" t="s">
        <v>3</v>
      </c>
      <c r="E7" s="6" t="s">
        <v>45</v>
      </c>
      <c r="F7" s="6" t="s">
        <v>65</v>
      </c>
      <c r="G7" s="1" t="s">
        <v>35</v>
      </c>
      <c r="H7" s="1" t="s">
        <v>32</v>
      </c>
      <c r="I7" s="1" t="s">
        <v>62</v>
      </c>
      <c r="J7" s="1" t="s">
        <v>151</v>
      </c>
      <c r="K7" s="1">
        <v>8</v>
      </c>
      <c r="L7" s="1" t="s">
        <v>155</v>
      </c>
      <c r="M7" s="1" t="s">
        <v>148</v>
      </c>
      <c r="N7" s="1" t="s">
        <v>54</v>
      </c>
      <c r="O7" s="1" t="s">
        <v>153</v>
      </c>
    </row>
    <row r="8" spans="1:17">
      <c r="A8" s="1">
        <v>5</v>
      </c>
      <c r="B8" s="1" t="s">
        <v>156</v>
      </c>
      <c r="C8" s="5">
        <v>46080</v>
      </c>
      <c r="D8" s="1" t="s">
        <v>19</v>
      </c>
      <c r="E8" s="6" t="s">
        <v>57</v>
      </c>
      <c r="F8" s="6" t="s">
        <v>65</v>
      </c>
      <c r="G8" s="1" t="s">
        <v>87</v>
      </c>
      <c r="H8" s="1" t="s">
        <v>70</v>
      </c>
      <c r="I8" s="1" t="s">
        <v>93</v>
      </c>
      <c r="J8" s="1" t="s">
        <v>157</v>
      </c>
      <c r="K8" s="1">
        <v>8</v>
      </c>
      <c r="L8" s="1" t="s">
        <v>158</v>
      </c>
      <c r="M8" s="1" t="s">
        <v>148</v>
      </c>
      <c r="N8" s="1" t="s">
        <v>16</v>
      </c>
      <c r="O8" s="1" t="s">
        <v>149</v>
      </c>
    </row>
    <row r="9" spans="1:17">
      <c r="A9" s="1">
        <v>6</v>
      </c>
      <c r="B9" s="1" t="s">
        <v>159</v>
      </c>
      <c r="C9" s="5">
        <v>46087</v>
      </c>
      <c r="D9" s="1" t="s">
        <v>44</v>
      </c>
      <c r="E9" s="6" t="s">
        <v>45</v>
      </c>
      <c r="F9" s="6" t="s">
        <v>27</v>
      </c>
      <c r="G9" s="1" t="s">
        <v>6</v>
      </c>
      <c r="H9" s="1" t="s">
        <v>15</v>
      </c>
      <c r="I9" s="1" t="s">
        <v>32</v>
      </c>
      <c r="J9" s="1" t="s">
        <v>142</v>
      </c>
      <c r="K9" s="1">
        <v>0</v>
      </c>
      <c r="L9" s="1" t="s">
        <v>152</v>
      </c>
      <c r="M9" s="1" t="s">
        <v>144</v>
      </c>
      <c r="N9" s="1" t="s">
        <v>57</v>
      </c>
      <c r="O9" s="1" t="s">
        <v>153</v>
      </c>
    </row>
    <row r="10" spans="1:17">
      <c r="A10" s="1">
        <v>7</v>
      </c>
      <c r="B10" s="1" t="s">
        <v>160</v>
      </c>
      <c r="C10" s="5">
        <v>46105</v>
      </c>
      <c r="D10" s="1" t="s">
        <v>44</v>
      </c>
      <c r="E10" s="6" t="s">
        <v>49</v>
      </c>
      <c r="F10" s="6" t="s">
        <v>39</v>
      </c>
      <c r="G10" s="1" t="s">
        <v>21</v>
      </c>
      <c r="H10" s="1" t="s">
        <v>93</v>
      </c>
      <c r="I10" s="1" t="s">
        <v>7</v>
      </c>
      <c r="J10" s="1" t="s">
        <v>161</v>
      </c>
      <c r="K10" s="1">
        <v>0</v>
      </c>
      <c r="L10" s="1" t="s">
        <v>152</v>
      </c>
      <c r="M10" s="1" t="s">
        <v>148</v>
      </c>
      <c r="N10" s="1" t="s">
        <v>26</v>
      </c>
      <c r="O10" s="1" t="s">
        <v>153</v>
      </c>
    </row>
    <row r="11" spans="1:17">
      <c r="A11" s="1">
        <v>8</v>
      </c>
      <c r="B11" s="1" t="s">
        <v>162</v>
      </c>
      <c r="C11" s="5">
        <v>46090</v>
      </c>
      <c r="D11" s="1" t="s">
        <v>44</v>
      </c>
      <c r="E11" s="6" t="s">
        <v>38</v>
      </c>
      <c r="F11" s="6" t="s">
        <v>13</v>
      </c>
      <c r="G11" s="1" t="s">
        <v>31</v>
      </c>
      <c r="H11" s="1" t="s">
        <v>66</v>
      </c>
      <c r="I11" s="1" t="s">
        <v>28</v>
      </c>
      <c r="J11" s="1" t="s">
        <v>151</v>
      </c>
      <c r="K11" s="1">
        <v>0</v>
      </c>
      <c r="L11" s="1" t="s">
        <v>147</v>
      </c>
      <c r="M11" s="1" t="s">
        <v>148</v>
      </c>
      <c r="N11" s="1" t="s">
        <v>16</v>
      </c>
      <c r="O11" s="1" t="s">
        <v>149</v>
      </c>
    </row>
    <row r="12" spans="1:17">
      <c r="A12" s="1">
        <v>9</v>
      </c>
      <c r="B12" s="1" t="s">
        <v>163</v>
      </c>
      <c r="C12" s="5">
        <v>46092</v>
      </c>
      <c r="D12" s="1" t="s">
        <v>44</v>
      </c>
      <c r="E12" s="6" t="s">
        <v>38</v>
      </c>
      <c r="F12" s="6" t="s">
        <v>39</v>
      </c>
      <c r="G12" s="1" t="s">
        <v>6</v>
      </c>
      <c r="H12" s="1" t="s">
        <v>7</v>
      </c>
      <c r="I12" s="1" t="s">
        <v>28</v>
      </c>
      <c r="J12" s="1" t="s">
        <v>157</v>
      </c>
      <c r="K12" s="1">
        <v>1</v>
      </c>
      <c r="L12" s="1" t="s">
        <v>152</v>
      </c>
      <c r="M12" s="1" t="s">
        <v>148</v>
      </c>
      <c r="N12" s="1" t="s">
        <v>38</v>
      </c>
      <c r="O12" s="1" t="s">
        <v>149</v>
      </c>
    </row>
    <row r="13" spans="1:17">
      <c r="A13" s="1">
        <v>10</v>
      </c>
      <c r="B13" s="1" t="s">
        <v>164</v>
      </c>
      <c r="C13" s="5">
        <v>46096</v>
      </c>
      <c r="D13" s="1" t="s">
        <v>44</v>
      </c>
      <c r="E13" s="6" t="s">
        <v>91</v>
      </c>
      <c r="F13" s="6" t="s">
        <v>92</v>
      </c>
      <c r="G13" s="1" t="s">
        <v>31</v>
      </c>
      <c r="H13" s="1" t="s">
        <v>70</v>
      </c>
      <c r="I13" s="1" t="s">
        <v>32</v>
      </c>
      <c r="J13" s="1" t="s">
        <v>161</v>
      </c>
      <c r="K13" s="1">
        <v>8</v>
      </c>
      <c r="L13" s="1" t="s">
        <v>147</v>
      </c>
      <c r="M13" s="1" t="s">
        <v>165</v>
      </c>
      <c r="N13" s="1" t="s">
        <v>54</v>
      </c>
      <c r="O13" s="1" t="s">
        <v>149</v>
      </c>
    </row>
    <row r="14" spans="1:17">
      <c r="A14" s="1">
        <v>11</v>
      </c>
      <c r="B14" s="1" t="s">
        <v>166</v>
      </c>
      <c r="C14" s="5">
        <v>46103</v>
      </c>
      <c r="D14" s="1" t="s">
        <v>44</v>
      </c>
      <c r="E14" s="6" t="s">
        <v>49</v>
      </c>
      <c r="F14" s="6" t="s">
        <v>5</v>
      </c>
      <c r="G14" s="1" t="s">
        <v>51</v>
      </c>
      <c r="H14" s="1" t="s">
        <v>62</v>
      </c>
      <c r="I14" s="1" t="s">
        <v>70</v>
      </c>
      <c r="J14" s="1" t="s">
        <v>151</v>
      </c>
      <c r="K14" s="1">
        <v>6</v>
      </c>
      <c r="L14" s="1" t="s">
        <v>167</v>
      </c>
      <c r="M14" s="1" t="s">
        <v>168</v>
      </c>
      <c r="N14" s="1" t="s">
        <v>54</v>
      </c>
      <c r="O14" s="1" t="s">
        <v>149</v>
      </c>
    </row>
    <row r="15" spans="1:17">
      <c r="A15" s="1">
        <v>12</v>
      </c>
      <c r="B15" s="1" t="s">
        <v>169</v>
      </c>
      <c r="C15" s="5">
        <v>46118</v>
      </c>
      <c r="D15" s="1" t="s">
        <v>53</v>
      </c>
      <c r="E15" s="6" t="s">
        <v>16</v>
      </c>
      <c r="F15" s="6" t="s">
        <v>5</v>
      </c>
      <c r="G15" s="1" t="s">
        <v>6</v>
      </c>
      <c r="H15" s="1" t="s">
        <v>62</v>
      </c>
      <c r="I15" s="1" t="s">
        <v>41</v>
      </c>
      <c r="J15" s="1" t="s">
        <v>142</v>
      </c>
      <c r="K15" s="1">
        <v>7</v>
      </c>
      <c r="L15" s="1" t="s">
        <v>158</v>
      </c>
      <c r="M15" s="1" t="s">
        <v>144</v>
      </c>
      <c r="N15" s="1" t="s">
        <v>4</v>
      </c>
      <c r="O15" s="1" t="s">
        <v>145</v>
      </c>
    </row>
    <row r="16" spans="1:17">
      <c r="A16" s="1">
        <v>13</v>
      </c>
      <c r="B16" s="1" t="s">
        <v>170</v>
      </c>
      <c r="C16" s="5">
        <v>46140</v>
      </c>
      <c r="D16" s="1" t="s">
        <v>53</v>
      </c>
      <c r="E16" s="6" t="s">
        <v>30</v>
      </c>
      <c r="F16" s="6" t="s">
        <v>5</v>
      </c>
      <c r="G16" s="1" t="s">
        <v>31</v>
      </c>
      <c r="H16" s="1" t="s">
        <v>78</v>
      </c>
      <c r="I16" s="1" t="s">
        <v>22</v>
      </c>
      <c r="J16" s="1" t="s">
        <v>161</v>
      </c>
      <c r="K16" s="1">
        <v>6</v>
      </c>
      <c r="L16" s="1" t="s">
        <v>147</v>
      </c>
      <c r="M16" s="1" t="s">
        <v>144</v>
      </c>
      <c r="N16" s="1" t="s">
        <v>38</v>
      </c>
      <c r="O16" s="1" t="s">
        <v>149</v>
      </c>
    </row>
    <row r="17" spans="1:15">
      <c r="A17" s="1">
        <v>14</v>
      </c>
      <c r="B17" s="1" t="s">
        <v>171</v>
      </c>
      <c r="C17" s="5">
        <v>46128</v>
      </c>
      <c r="D17" s="1" t="s">
        <v>53</v>
      </c>
      <c r="E17" s="6" t="s">
        <v>12</v>
      </c>
      <c r="F17" s="6" t="s">
        <v>5</v>
      </c>
      <c r="G17" s="1" t="s">
        <v>31</v>
      </c>
      <c r="H17" s="1" t="s">
        <v>41</v>
      </c>
      <c r="I17" s="1" t="s">
        <v>93</v>
      </c>
      <c r="J17" s="1" t="s">
        <v>142</v>
      </c>
      <c r="K17" s="1">
        <v>7</v>
      </c>
      <c r="L17" s="1" t="s">
        <v>152</v>
      </c>
      <c r="M17" s="1" t="s">
        <v>165</v>
      </c>
      <c r="N17" s="1" t="s">
        <v>91</v>
      </c>
      <c r="O17" s="1" t="s">
        <v>149</v>
      </c>
    </row>
    <row r="18" spans="1:15">
      <c r="A18" s="1">
        <v>15</v>
      </c>
      <c r="B18" s="1" t="s">
        <v>172</v>
      </c>
      <c r="C18" s="5">
        <v>46120</v>
      </c>
      <c r="D18" s="1" t="s">
        <v>53</v>
      </c>
      <c r="E18" s="6" t="s">
        <v>4</v>
      </c>
      <c r="F18" s="6" t="s">
        <v>46</v>
      </c>
      <c r="G18" s="1" t="s">
        <v>31</v>
      </c>
      <c r="H18" s="1" t="s">
        <v>66</v>
      </c>
      <c r="I18" s="1" t="s">
        <v>62</v>
      </c>
      <c r="J18" s="1" t="s">
        <v>161</v>
      </c>
      <c r="K18" s="1">
        <v>6</v>
      </c>
      <c r="L18" s="1" t="s">
        <v>143</v>
      </c>
      <c r="M18" s="1" t="s">
        <v>144</v>
      </c>
      <c r="N18" s="1" t="s">
        <v>26</v>
      </c>
      <c r="O18" s="1" t="s">
        <v>145</v>
      </c>
    </row>
    <row r="19" spans="1:15">
      <c r="A19" s="1">
        <v>16</v>
      </c>
      <c r="B19" s="1" t="s">
        <v>173</v>
      </c>
      <c r="C19" s="5">
        <v>46135</v>
      </c>
      <c r="D19" s="1" t="s">
        <v>53</v>
      </c>
      <c r="E19" s="6" t="s">
        <v>45</v>
      </c>
      <c r="F19" s="6" t="s">
        <v>13</v>
      </c>
      <c r="G19" s="1" t="s">
        <v>51</v>
      </c>
      <c r="H19" s="1" t="s">
        <v>62</v>
      </c>
      <c r="I19" s="1" t="s">
        <v>15</v>
      </c>
      <c r="J19" s="1" t="s">
        <v>157</v>
      </c>
      <c r="K19" s="1">
        <v>7</v>
      </c>
      <c r="L19" s="1" t="s">
        <v>155</v>
      </c>
      <c r="M19" s="1" t="s">
        <v>148</v>
      </c>
      <c r="N19" s="1" t="s">
        <v>91</v>
      </c>
      <c r="O19" s="1" t="s">
        <v>153</v>
      </c>
    </row>
    <row r="20" spans="1:15">
      <c r="A20" s="1">
        <v>17</v>
      </c>
      <c r="B20" s="1" t="s">
        <v>174</v>
      </c>
      <c r="C20" s="5">
        <v>46150</v>
      </c>
      <c r="D20" s="1" t="s">
        <v>60</v>
      </c>
      <c r="E20" s="6" t="s">
        <v>49</v>
      </c>
      <c r="F20" s="6" t="s">
        <v>5</v>
      </c>
      <c r="G20" s="1" t="s">
        <v>6</v>
      </c>
      <c r="H20" s="1" t="s">
        <v>68</v>
      </c>
      <c r="I20" s="1" t="s">
        <v>70</v>
      </c>
      <c r="J20" s="1" t="s">
        <v>142</v>
      </c>
      <c r="K20" s="1">
        <v>7</v>
      </c>
      <c r="L20" s="1" t="s">
        <v>143</v>
      </c>
      <c r="M20" s="1" t="s">
        <v>144</v>
      </c>
      <c r="N20" s="1" t="s">
        <v>91</v>
      </c>
      <c r="O20" s="1" t="s">
        <v>149</v>
      </c>
    </row>
    <row r="21" spans="1:15">
      <c r="A21" s="1">
        <v>18</v>
      </c>
      <c r="B21" s="1" t="s">
        <v>175</v>
      </c>
      <c r="C21" s="5">
        <v>46153</v>
      </c>
      <c r="D21" s="1" t="s">
        <v>60</v>
      </c>
      <c r="E21" s="6" t="s">
        <v>49</v>
      </c>
      <c r="F21" s="6" t="s">
        <v>27</v>
      </c>
      <c r="G21" s="1" t="s">
        <v>6</v>
      </c>
      <c r="H21" s="1" t="s">
        <v>104</v>
      </c>
      <c r="I21" s="1" t="s">
        <v>22</v>
      </c>
      <c r="J21" s="1" t="s">
        <v>161</v>
      </c>
      <c r="K21" s="1">
        <v>6</v>
      </c>
      <c r="L21" s="1" t="s">
        <v>143</v>
      </c>
      <c r="M21" s="1" t="s">
        <v>144</v>
      </c>
      <c r="N21" s="1" t="s">
        <v>26</v>
      </c>
      <c r="O21" s="1" t="s">
        <v>153</v>
      </c>
    </row>
    <row r="22" spans="1:15">
      <c r="A22" s="1">
        <v>19</v>
      </c>
      <c r="B22" s="1" t="s">
        <v>176</v>
      </c>
      <c r="C22" s="5">
        <v>46167</v>
      </c>
      <c r="D22" s="1" t="s">
        <v>60</v>
      </c>
      <c r="E22" s="6" t="s">
        <v>26</v>
      </c>
      <c r="F22" s="6" t="s">
        <v>50</v>
      </c>
      <c r="G22" s="1" t="s">
        <v>35</v>
      </c>
      <c r="H22" s="1" t="s">
        <v>93</v>
      </c>
      <c r="I22" s="1" t="s">
        <v>7</v>
      </c>
      <c r="J22" s="1" t="s">
        <v>142</v>
      </c>
      <c r="K22" s="1">
        <v>8</v>
      </c>
      <c r="L22" s="1" t="s">
        <v>147</v>
      </c>
      <c r="M22" s="1" t="s">
        <v>168</v>
      </c>
      <c r="N22" s="1" t="s">
        <v>45</v>
      </c>
      <c r="O22" s="1" t="s">
        <v>149</v>
      </c>
    </row>
    <row r="23" spans="1:15">
      <c r="A23" s="1">
        <v>20</v>
      </c>
      <c r="B23" s="1" t="s">
        <v>177</v>
      </c>
      <c r="C23" s="5">
        <v>46175</v>
      </c>
      <c r="D23" s="1" t="s">
        <v>73</v>
      </c>
      <c r="E23" s="6" t="s">
        <v>38</v>
      </c>
      <c r="F23" s="6" t="s">
        <v>50</v>
      </c>
      <c r="G23" s="1" t="s">
        <v>95</v>
      </c>
      <c r="H23" s="1" t="s">
        <v>7</v>
      </c>
      <c r="I23" s="1" t="s">
        <v>36</v>
      </c>
      <c r="J23" s="1" t="s">
        <v>142</v>
      </c>
      <c r="K23" s="1">
        <v>4</v>
      </c>
      <c r="L23" s="1" t="s">
        <v>147</v>
      </c>
      <c r="M23" s="1" t="s">
        <v>144</v>
      </c>
      <c r="N23" s="1" t="s">
        <v>64</v>
      </c>
      <c r="O23" s="1" t="s">
        <v>149</v>
      </c>
    </row>
    <row r="24" spans="1:15">
      <c r="A24" s="1">
        <v>21</v>
      </c>
      <c r="B24" s="1" t="s">
        <v>178</v>
      </c>
      <c r="C24" s="5">
        <v>46174</v>
      </c>
      <c r="D24" s="1" t="s">
        <v>73</v>
      </c>
      <c r="E24" s="6" t="s">
        <v>30</v>
      </c>
      <c r="F24" s="6" t="s">
        <v>89</v>
      </c>
      <c r="G24" s="1" t="s">
        <v>51</v>
      </c>
      <c r="H24" s="1" t="s">
        <v>62</v>
      </c>
      <c r="I24" s="1" t="s">
        <v>36</v>
      </c>
      <c r="J24" s="1" t="s">
        <v>142</v>
      </c>
      <c r="K24" s="1">
        <v>5</v>
      </c>
      <c r="L24" s="1" t="s">
        <v>167</v>
      </c>
      <c r="M24" s="1" t="s">
        <v>148</v>
      </c>
      <c r="N24" s="1" t="s">
        <v>4</v>
      </c>
      <c r="O24" s="1" t="s">
        <v>149</v>
      </c>
    </row>
    <row r="25" spans="1:15">
      <c r="A25" s="1">
        <v>22</v>
      </c>
      <c r="B25" s="1" t="s">
        <v>179</v>
      </c>
      <c r="C25" s="5">
        <v>46196</v>
      </c>
      <c r="D25" s="1" t="s">
        <v>73</v>
      </c>
      <c r="E25" s="6" t="s">
        <v>38</v>
      </c>
      <c r="F25" s="6" t="s">
        <v>58</v>
      </c>
      <c r="G25" s="1" t="s">
        <v>95</v>
      </c>
      <c r="H25" s="1" t="s">
        <v>70</v>
      </c>
      <c r="I25" s="1" t="s">
        <v>66</v>
      </c>
      <c r="J25" s="1" t="s">
        <v>151</v>
      </c>
      <c r="K25" s="1">
        <v>6</v>
      </c>
      <c r="L25" s="1" t="s">
        <v>147</v>
      </c>
      <c r="M25" s="1" t="s">
        <v>165</v>
      </c>
      <c r="N25" s="1" t="s">
        <v>16</v>
      </c>
      <c r="O25" s="1" t="s">
        <v>153</v>
      </c>
    </row>
    <row r="26" spans="1:15">
      <c r="A26" s="1">
        <v>23</v>
      </c>
      <c r="B26" s="1" t="s">
        <v>180</v>
      </c>
      <c r="C26" s="5">
        <v>46199</v>
      </c>
      <c r="D26" s="1" t="s">
        <v>73</v>
      </c>
      <c r="E26" s="6" t="s">
        <v>61</v>
      </c>
      <c r="F26" s="6" t="s">
        <v>89</v>
      </c>
      <c r="G26" s="1" t="s">
        <v>77</v>
      </c>
      <c r="H26" s="1" t="s">
        <v>62</v>
      </c>
      <c r="I26" s="1" t="s">
        <v>66</v>
      </c>
      <c r="J26" s="1" t="s">
        <v>142</v>
      </c>
      <c r="K26" s="1">
        <v>1</v>
      </c>
      <c r="L26" s="1" t="s">
        <v>167</v>
      </c>
      <c r="M26" s="1" t="s">
        <v>165</v>
      </c>
      <c r="N26" s="1" t="s">
        <v>16</v>
      </c>
      <c r="O26" s="1" t="s">
        <v>145</v>
      </c>
    </row>
    <row r="27" spans="1:15">
      <c r="A27" s="1">
        <v>24</v>
      </c>
      <c r="B27" s="1" t="s">
        <v>181</v>
      </c>
      <c r="C27" s="5">
        <v>46212</v>
      </c>
      <c r="D27" s="1" t="s">
        <v>76</v>
      </c>
      <c r="E27" s="6" t="s">
        <v>57</v>
      </c>
      <c r="F27" s="6" t="s">
        <v>58</v>
      </c>
      <c r="G27" s="1" t="s">
        <v>21</v>
      </c>
      <c r="H27" s="1" t="s">
        <v>70</v>
      </c>
      <c r="I27" s="1" t="s">
        <v>41</v>
      </c>
      <c r="J27" s="1" t="s">
        <v>142</v>
      </c>
      <c r="K27" s="1">
        <v>7</v>
      </c>
      <c r="L27" s="1" t="s">
        <v>167</v>
      </c>
      <c r="M27" s="1" t="s">
        <v>148</v>
      </c>
      <c r="N27" s="1" t="s">
        <v>4</v>
      </c>
      <c r="O27" s="1" t="s">
        <v>145</v>
      </c>
    </row>
    <row r="28" spans="1:15">
      <c r="A28" s="1">
        <v>25</v>
      </c>
      <c r="B28" s="1" t="s">
        <v>182</v>
      </c>
      <c r="C28" s="5">
        <v>46230</v>
      </c>
      <c r="D28" s="1" t="s">
        <v>76</v>
      </c>
      <c r="E28" s="6" t="s">
        <v>26</v>
      </c>
      <c r="F28" s="6" t="s">
        <v>46</v>
      </c>
      <c r="G28" s="1" t="s">
        <v>51</v>
      </c>
      <c r="H28" s="1" t="s">
        <v>41</v>
      </c>
      <c r="I28" s="1" t="s">
        <v>7</v>
      </c>
      <c r="J28" s="1" t="s">
        <v>157</v>
      </c>
      <c r="K28" s="1">
        <v>3</v>
      </c>
      <c r="L28" s="1" t="s">
        <v>143</v>
      </c>
      <c r="M28" s="1" t="s">
        <v>144</v>
      </c>
      <c r="N28" s="1" t="s">
        <v>26</v>
      </c>
      <c r="O28" s="1" t="s">
        <v>145</v>
      </c>
    </row>
    <row r="29" spans="1:15">
      <c r="A29" s="1">
        <v>26</v>
      </c>
      <c r="B29" s="1" t="s">
        <v>183</v>
      </c>
      <c r="C29" s="5">
        <v>46213</v>
      </c>
      <c r="D29" s="1" t="s">
        <v>76</v>
      </c>
      <c r="E29" s="6" t="s">
        <v>61</v>
      </c>
      <c r="F29" s="6" t="s">
        <v>89</v>
      </c>
      <c r="G29" s="1" t="s">
        <v>87</v>
      </c>
      <c r="H29" s="1" t="s">
        <v>22</v>
      </c>
      <c r="I29" s="1" t="s">
        <v>78</v>
      </c>
      <c r="J29" s="1" t="s">
        <v>161</v>
      </c>
      <c r="K29" s="1">
        <v>8</v>
      </c>
      <c r="L29" s="1" t="s">
        <v>143</v>
      </c>
      <c r="M29" s="1" t="s">
        <v>148</v>
      </c>
      <c r="N29" s="1" t="s">
        <v>26</v>
      </c>
      <c r="O29" s="1" t="s">
        <v>145</v>
      </c>
    </row>
    <row r="30" spans="1:15">
      <c r="A30" s="1">
        <v>27</v>
      </c>
      <c r="B30" s="1" t="s">
        <v>184</v>
      </c>
      <c r="C30" s="5">
        <v>46205</v>
      </c>
      <c r="D30" s="1" t="s">
        <v>76</v>
      </c>
      <c r="E30" s="6" t="s">
        <v>4</v>
      </c>
      <c r="F30" s="6" t="s">
        <v>46</v>
      </c>
      <c r="G30" s="1" t="s">
        <v>14</v>
      </c>
      <c r="H30" s="1" t="s">
        <v>66</v>
      </c>
      <c r="I30" s="1" t="s">
        <v>28</v>
      </c>
      <c r="J30" s="1" t="s">
        <v>151</v>
      </c>
      <c r="K30" s="1">
        <v>1</v>
      </c>
      <c r="L30" s="1" t="s">
        <v>155</v>
      </c>
      <c r="M30" s="1" t="s">
        <v>144</v>
      </c>
      <c r="N30" s="1" t="s">
        <v>16</v>
      </c>
      <c r="O30" s="1" t="s">
        <v>145</v>
      </c>
    </row>
    <row r="31" spans="1:15">
      <c r="A31" s="1">
        <v>28</v>
      </c>
      <c r="B31" s="1" t="s">
        <v>185</v>
      </c>
      <c r="C31" s="5">
        <v>46239</v>
      </c>
      <c r="D31" s="1" t="s">
        <v>86</v>
      </c>
      <c r="E31" s="6" t="s">
        <v>54</v>
      </c>
      <c r="F31" s="6" t="s">
        <v>27</v>
      </c>
      <c r="G31" s="1" t="s">
        <v>31</v>
      </c>
      <c r="H31" s="1" t="s">
        <v>36</v>
      </c>
      <c r="I31" s="1" t="s">
        <v>22</v>
      </c>
      <c r="J31" s="1" t="s">
        <v>161</v>
      </c>
      <c r="K31" s="1">
        <v>3</v>
      </c>
      <c r="L31" s="1" t="s">
        <v>152</v>
      </c>
      <c r="M31" s="1" t="s">
        <v>144</v>
      </c>
      <c r="N31" s="1" t="s">
        <v>26</v>
      </c>
      <c r="O31" s="1" t="s">
        <v>149</v>
      </c>
    </row>
    <row r="32" spans="1:15">
      <c r="A32" s="1">
        <v>29</v>
      </c>
      <c r="B32" s="1" t="s">
        <v>186</v>
      </c>
      <c r="C32" s="5">
        <v>46254</v>
      </c>
      <c r="D32" s="1" t="s">
        <v>86</v>
      </c>
      <c r="E32" s="6" t="s">
        <v>26</v>
      </c>
      <c r="F32" s="6" t="s">
        <v>92</v>
      </c>
      <c r="G32" s="1" t="s">
        <v>6</v>
      </c>
      <c r="H32" s="1" t="s">
        <v>62</v>
      </c>
      <c r="I32" s="1" t="s">
        <v>93</v>
      </c>
      <c r="J32" s="1" t="s">
        <v>142</v>
      </c>
      <c r="K32" s="1">
        <v>5</v>
      </c>
      <c r="L32" s="1" t="s">
        <v>143</v>
      </c>
      <c r="M32" s="1" t="s">
        <v>144</v>
      </c>
      <c r="N32" s="1" t="s">
        <v>49</v>
      </c>
      <c r="O32" s="1" t="s">
        <v>153</v>
      </c>
    </row>
    <row r="33" spans="1:15">
      <c r="A33" s="1">
        <v>30</v>
      </c>
      <c r="B33" s="1" t="s">
        <v>187</v>
      </c>
      <c r="C33" s="5">
        <v>46239</v>
      </c>
      <c r="D33" s="1" t="s">
        <v>86</v>
      </c>
      <c r="E33" s="6" t="s">
        <v>64</v>
      </c>
      <c r="F33" s="6" t="s">
        <v>13</v>
      </c>
      <c r="G33" s="1" t="s">
        <v>31</v>
      </c>
      <c r="H33" s="1" t="s">
        <v>41</v>
      </c>
      <c r="I33" s="1" t="s">
        <v>15</v>
      </c>
      <c r="J33" s="1" t="s">
        <v>142</v>
      </c>
      <c r="K33" s="1">
        <v>8</v>
      </c>
      <c r="L33" s="1" t="s">
        <v>147</v>
      </c>
      <c r="M33" s="1" t="s">
        <v>144</v>
      </c>
      <c r="N33" s="1" t="s">
        <v>20</v>
      </c>
      <c r="O33" s="1" t="s">
        <v>149</v>
      </c>
    </row>
    <row r="34" spans="1:15">
      <c r="A34" s="1">
        <v>31</v>
      </c>
      <c r="B34" s="1" t="s">
        <v>188</v>
      </c>
      <c r="C34" s="5">
        <v>46239</v>
      </c>
      <c r="D34" s="1" t="s">
        <v>86</v>
      </c>
      <c r="E34" s="6" t="s">
        <v>30</v>
      </c>
      <c r="F34" s="6" t="s">
        <v>92</v>
      </c>
      <c r="G34" s="1" t="s">
        <v>95</v>
      </c>
      <c r="H34" s="1" t="s">
        <v>62</v>
      </c>
      <c r="I34" s="1" t="s">
        <v>104</v>
      </c>
      <c r="J34" s="1" t="s">
        <v>161</v>
      </c>
      <c r="K34" s="1">
        <v>7</v>
      </c>
      <c r="L34" s="1" t="s">
        <v>158</v>
      </c>
      <c r="M34" s="1" t="s">
        <v>148</v>
      </c>
      <c r="N34" s="1" t="s">
        <v>61</v>
      </c>
      <c r="O34" s="1" t="s">
        <v>153</v>
      </c>
    </row>
    <row r="35" spans="1:15">
      <c r="A35" s="1">
        <v>32</v>
      </c>
      <c r="B35" s="1" t="s">
        <v>189</v>
      </c>
      <c r="C35" s="5">
        <v>46270</v>
      </c>
      <c r="D35" s="1" t="s">
        <v>102</v>
      </c>
      <c r="E35" s="6" t="s">
        <v>61</v>
      </c>
      <c r="F35" s="6" t="s">
        <v>58</v>
      </c>
      <c r="G35" s="1" t="s">
        <v>82</v>
      </c>
      <c r="H35" s="1" t="s">
        <v>66</v>
      </c>
      <c r="I35" s="1" t="s">
        <v>70</v>
      </c>
      <c r="J35" s="1" t="s">
        <v>161</v>
      </c>
      <c r="K35" s="1">
        <v>7</v>
      </c>
      <c r="L35" s="1" t="s">
        <v>167</v>
      </c>
      <c r="M35" s="1" t="s">
        <v>165</v>
      </c>
      <c r="N35" s="1" t="s">
        <v>38</v>
      </c>
      <c r="O35" s="1" t="s">
        <v>153</v>
      </c>
    </row>
    <row r="36" spans="1:15">
      <c r="A36" s="1">
        <v>33</v>
      </c>
      <c r="B36" s="1" t="s">
        <v>190</v>
      </c>
      <c r="C36" s="5">
        <v>46293</v>
      </c>
      <c r="D36" s="1" t="s">
        <v>102</v>
      </c>
      <c r="E36" s="6" t="s">
        <v>30</v>
      </c>
      <c r="F36" s="6" t="s">
        <v>39</v>
      </c>
      <c r="G36" s="1" t="s">
        <v>80</v>
      </c>
      <c r="H36" s="1" t="s">
        <v>22</v>
      </c>
      <c r="I36" s="1" t="s">
        <v>62</v>
      </c>
      <c r="J36" s="1" t="s">
        <v>142</v>
      </c>
      <c r="K36" s="1">
        <v>6</v>
      </c>
      <c r="L36" s="1" t="s">
        <v>143</v>
      </c>
      <c r="M36" s="1" t="s">
        <v>144</v>
      </c>
      <c r="N36" s="1" t="s">
        <v>61</v>
      </c>
      <c r="O36" s="1" t="s">
        <v>153</v>
      </c>
    </row>
    <row r="37" spans="1:15">
      <c r="A37" s="1">
        <v>34</v>
      </c>
      <c r="B37" s="1" t="s">
        <v>191</v>
      </c>
      <c r="C37" s="5">
        <v>46270</v>
      </c>
      <c r="D37" s="1" t="s">
        <v>102</v>
      </c>
      <c r="E37" s="6" t="s">
        <v>57</v>
      </c>
      <c r="F37" s="6" t="s">
        <v>65</v>
      </c>
      <c r="G37" s="1" t="s">
        <v>35</v>
      </c>
      <c r="H37" s="1" t="s">
        <v>41</v>
      </c>
      <c r="I37" s="1" t="s">
        <v>78</v>
      </c>
      <c r="J37" s="1" t="s">
        <v>157</v>
      </c>
      <c r="K37" s="1">
        <v>8</v>
      </c>
      <c r="L37" s="1" t="s">
        <v>158</v>
      </c>
      <c r="M37" s="1" t="s">
        <v>165</v>
      </c>
      <c r="N37" s="1" t="s">
        <v>26</v>
      </c>
      <c r="O37" s="1" t="s">
        <v>145</v>
      </c>
    </row>
    <row r="38" spans="1:15">
      <c r="A38" s="1">
        <v>35</v>
      </c>
      <c r="B38" s="1" t="s">
        <v>192</v>
      </c>
      <c r="C38" s="5">
        <v>46293</v>
      </c>
      <c r="D38" s="1" t="s">
        <v>102</v>
      </c>
      <c r="E38" s="6" t="s">
        <v>91</v>
      </c>
      <c r="F38" s="6" t="s">
        <v>65</v>
      </c>
      <c r="G38" s="1" t="s">
        <v>87</v>
      </c>
      <c r="H38" s="1" t="s">
        <v>32</v>
      </c>
      <c r="I38" s="1" t="s">
        <v>70</v>
      </c>
      <c r="J38" s="1" t="s">
        <v>161</v>
      </c>
      <c r="K38" s="1">
        <v>8</v>
      </c>
      <c r="L38" s="1" t="s">
        <v>167</v>
      </c>
      <c r="M38" s="1" t="s">
        <v>148</v>
      </c>
      <c r="N38" s="1" t="s">
        <v>26</v>
      </c>
      <c r="O38" s="1" t="s">
        <v>145</v>
      </c>
    </row>
    <row r="39" spans="1:15">
      <c r="A39" s="1">
        <v>36</v>
      </c>
      <c r="B39" s="1" t="s">
        <v>193</v>
      </c>
      <c r="C39" s="5">
        <v>46266</v>
      </c>
      <c r="D39" s="1" t="s">
        <v>102</v>
      </c>
      <c r="E39" s="6" t="s">
        <v>4</v>
      </c>
      <c r="F39" s="6" t="s">
        <v>46</v>
      </c>
      <c r="G39" s="1" t="s">
        <v>40</v>
      </c>
      <c r="H39" s="1" t="s">
        <v>32</v>
      </c>
      <c r="I39" s="1" t="s">
        <v>7</v>
      </c>
      <c r="J39" s="1" t="s">
        <v>142</v>
      </c>
      <c r="K39" s="1">
        <v>2</v>
      </c>
      <c r="L39" s="1" t="s">
        <v>152</v>
      </c>
      <c r="M39" s="1" t="s">
        <v>144</v>
      </c>
      <c r="N39" s="1" t="s">
        <v>20</v>
      </c>
      <c r="O39" s="1" t="s">
        <v>145</v>
      </c>
    </row>
    <row r="40" spans="1:15">
      <c r="A40" s="1">
        <v>37</v>
      </c>
      <c r="B40" s="1" t="s">
        <v>194</v>
      </c>
      <c r="C40" s="5">
        <v>46277</v>
      </c>
      <c r="D40" s="1" t="s">
        <v>102</v>
      </c>
      <c r="E40" s="6" t="s">
        <v>20</v>
      </c>
      <c r="F40" s="6" t="s">
        <v>89</v>
      </c>
      <c r="G40" s="1" t="s">
        <v>40</v>
      </c>
      <c r="H40" s="1" t="s">
        <v>28</v>
      </c>
      <c r="I40" s="1" t="s">
        <v>70</v>
      </c>
      <c r="J40" s="1" t="s">
        <v>151</v>
      </c>
      <c r="K40" s="1">
        <v>0</v>
      </c>
      <c r="L40" s="1" t="s">
        <v>158</v>
      </c>
      <c r="M40" s="1" t="s">
        <v>144</v>
      </c>
      <c r="N40" s="1" t="s">
        <v>45</v>
      </c>
      <c r="O40" s="1" t="s">
        <v>145</v>
      </c>
    </row>
    <row r="41" spans="1:15">
      <c r="A41" s="1">
        <v>38</v>
      </c>
      <c r="B41" s="1" t="s">
        <v>195</v>
      </c>
      <c r="C41" s="5">
        <v>46311</v>
      </c>
      <c r="D41" s="1" t="s">
        <v>106</v>
      </c>
      <c r="E41" s="6" t="s">
        <v>91</v>
      </c>
      <c r="F41" s="6" t="s">
        <v>13</v>
      </c>
      <c r="G41" s="1" t="s">
        <v>80</v>
      </c>
      <c r="H41" s="1" t="s">
        <v>104</v>
      </c>
      <c r="I41" s="1" t="s">
        <v>62</v>
      </c>
      <c r="J41" s="1" t="s">
        <v>142</v>
      </c>
      <c r="K41" s="1">
        <v>8</v>
      </c>
      <c r="L41" s="1" t="s">
        <v>167</v>
      </c>
      <c r="M41" s="1" t="s">
        <v>144</v>
      </c>
      <c r="N41" s="1" t="s">
        <v>38</v>
      </c>
      <c r="O41" s="1" t="s">
        <v>145</v>
      </c>
    </row>
    <row r="42" spans="1:15">
      <c r="A42" s="1">
        <v>39</v>
      </c>
      <c r="B42" s="1" t="s">
        <v>196</v>
      </c>
      <c r="C42" s="5">
        <v>46310</v>
      </c>
      <c r="D42" s="1" t="s">
        <v>106</v>
      </c>
      <c r="E42" s="6" t="s">
        <v>54</v>
      </c>
      <c r="F42" s="6" t="s">
        <v>58</v>
      </c>
      <c r="G42" s="1" t="s">
        <v>6</v>
      </c>
      <c r="H42" s="1" t="s">
        <v>7</v>
      </c>
      <c r="I42" s="1" t="s">
        <v>66</v>
      </c>
      <c r="J42" s="1" t="s">
        <v>161</v>
      </c>
      <c r="K42" s="1">
        <v>2</v>
      </c>
      <c r="L42" s="1" t="s">
        <v>167</v>
      </c>
      <c r="M42" s="1" t="s">
        <v>144</v>
      </c>
      <c r="N42" s="1" t="s">
        <v>45</v>
      </c>
      <c r="O42" s="1" t="s">
        <v>153</v>
      </c>
    </row>
    <row r="43" spans="1:15">
      <c r="A43" s="1">
        <v>40</v>
      </c>
      <c r="B43" s="1" t="s">
        <v>197</v>
      </c>
      <c r="C43" s="5">
        <v>46353</v>
      </c>
      <c r="D43" s="1" t="s">
        <v>111</v>
      </c>
      <c r="E43" s="6" t="s">
        <v>61</v>
      </c>
      <c r="F43" s="6" t="s">
        <v>46</v>
      </c>
      <c r="G43" s="1" t="s">
        <v>31</v>
      </c>
      <c r="H43" s="1" t="s">
        <v>70</v>
      </c>
      <c r="I43" s="1" t="s">
        <v>70</v>
      </c>
      <c r="J43" s="1" t="s">
        <v>161</v>
      </c>
      <c r="K43" s="1">
        <v>1</v>
      </c>
      <c r="L43" s="1" t="s">
        <v>158</v>
      </c>
      <c r="M43" s="1" t="s">
        <v>148</v>
      </c>
      <c r="N43" s="1" t="s">
        <v>57</v>
      </c>
      <c r="O43" s="1" t="s">
        <v>149</v>
      </c>
    </row>
    <row r="44" spans="1:15">
      <c r="A44" s="1">
        <v>41</v>
      </c>
      <c r="B44" s="1" t="s">
        <v>198</v>
      </c>
      <c r="C44" s="5">
        <v>46350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41</v>
      </c>
      <c r="I44" s="1" t="s">
        <v>22</v>
      </c>
      <c r="J44" s="1" t="s">
        <v>151</v>
      </c>
      <c r="K44" s="1">
        <v>4</v>
      </c>
      <c r="L44" s="1" t="s">
        <v>158</v>
      </c>
      <c r="M44" s="1" t="s">
        <v>144</v>
      </c>
      <c r="N44" s="1" t="s">
        <v>20</v>
      </c>
      <c r="O44" s="1" t="s">
        <v>149</v>
      </c>
    </row>
    <row r="45" spans="1:15">
      <c r="A45" s="1">
        <v>42</v>
      </c>
      <c r="B45" s="1" t="s">
        <v>199</v>
      </c>
      <c r="C45" s="5">
        <v>46347</v>
      </c>
      <c r="D45" s="1" t="s">
        <v>111</v>
      </c>
      <c r="E45" s="6" t="s">
        <v>91</v>
      </c>
      <c r="F45" s="6" t="s">
        <v>46</v>
      </c>
      <c r="G45" s="1" t="s">
        <v>80</v>
      </c>
      <c r="H45" s="1" t="s">
        <v>70</v>
      </c>
      <c r="I45" s="1" t="s">
        <v>66</v>
      </c>
      <c r="J45" s="1" t="s">
        <v>142</v>
      </c>
      <c r="K45" s="1">
        <v>4</v>
      </c>
      <c r="L45" s="1" t="s">
        <v>147</v>
      </c>
      <c r="M45" s="1" t="s">
        <v>144</v>
      </c>
      <c r="N45" s="1" t="s">
        <v>61</v>
      </c>
      <c r="O45" s="1" t="s">
        <v>149</v>
      </c>
    </row>
    <row r="46" spans="1:15">
      <c r="A46" s="1">
        <v>43</v>
      </c>
      <c r="B46" s="1" t="s">
        <v>200</v>
      </c>
      <c r="C46" s="5">
        <v>46346</v>
      </c>
      <c r="D46" s="1" t="s">
        <v>111</v>
      </c>
      <c r="E46" s="6" t="s">
        <v>49</v>
      </c>
      <c r="F46" s="6" t="s">
        <v>39</v>
      </c>
      <c r="G46" s="1" t="s">
        <v>82</v>
      </c>
      <c r="H46" s="1" t="s">
        <v>66</v>
      </c>
      <c r="I46" s="1" t="s">
        <v>62</v>
      </c>
      <c r="J46" s="1" t="s">
        <v>151</v>
      </c>
      <c r="K46" s="1">
        <v>5</v>
      </c>
      <c r="L46" s="1" t="s">
        <v>158</v>
      </c>
      <c r="M46" s="1" t="s">
        <v>144</v>
      </c>
      <c r="N46" s="1" t="s">
        <v>64</v>
      </c>
      <c r="O46" s="1" t="s">
        <v>149</v>
      </c>
    </row>
    <row r="47" spans="1:15">
      <c r="A47" s="1">
        <v>44</v>
      </c>
      <c r="B47" s="1" t="s">
        <v>201</v>
      </c>
      <c r="C47" s="5">
        <v>46367</v>
      </c>
      <c r="D47" s="1" t="s">
        <v>122</v>
      </c>
      <c r="E47" s="6" t="s">
        <v>12</v>
      </c>
      <c r="F47" s="6" t="s">
        <v>50</v>
      </c>
      <c r="G47" s="1" t="s">
        <v>77</v>
      </c>
      <c r="H47" s="1" t="s">
        <v>15</v>
      </c>
      <c r="I47" s="1" t="s">
        <v>68</v>
      </c>
      <c r="J47" s="1" t="s">
        <v>161</v>
      </c>
      <c r="K47" s="1">
        <v>8</v>
      </c>
      <c r="L47" s="1" t="s">
        <v>155</v>
      </c>
      <c r="M47" s="1" t="s">
        <v>144</v>
      </c>
      <c r="N47" s="1" t="s">
        <v>12</v>
      </c>
      <c r="O47" s="1" t="s">
        <v>149</v>
      </c>
    </row>
    <row r="48" spans="1:15">
      <c r="A48" s="1">
        <v>45</v>
      </c>
      <c r="B48" s="1" t="s">
        <v>202</v>
      </c>
      <c r="C48" s="5">
        <v>46373</v>
      </c>
      <c r="D48" s="1" t="s">
        <v>122</v>
      </c>
      <c r="E48" s="6" t="s">
        <v>20</v>
      </c>
      <c r="F48" s="6" t="s">
        <v>58</v>
      </c>
      <c r="G48" s="1" t="s">
        <v>95</v>
      </c>
      <c r="H48" s="1" t="s">
        <v>70</v>
      </c>
      <c r="I48" s="1" t="s">
        <v>7</v>
      </c>
      <c r="J48" s="1" t="s">
        <v>142</v>
      </c>
      <c r="K48" s="1">
        <v>6</v>
      </c>
      <c r="L48" s="1" t="s">
        <v>167</v>
      </c>
      <c r="M48" s="1" t="s">
        <v>144</v>
      </c>
      <c r="N48" s="1" t="s">
        <v>38</v>
      </c>
      <c r="O48" s="1" t="s">
        <v>149</v>
      </c>
    </row>
    <row r="49" spans="1:15">
      <c r="A49" s="1">
        <v>46</v>
      </c>
      <c r="B49" s="1" t="s">
        <v>203</v>
      </c>
      <c r="C49" s="5">
        <v>46363</v>
      </c>
      <c r="D49" s="1" t="s">
        <v>122</v>
      </c>
      <c r="E49" s="6" t="s">
        <v>64</v>
      </c>
      <c r="F49" s="6" t="s">
        <v>65</v>
      </c>
      <c r="G49" s="1" t="s">
        <v>35</v>
      </c>
      <c r="H49" s="1" t="s">
        <v>28</v>
      </c>
      <c r="I49" s="1" t="s">
        <v>62</v>
      </c>
      <c r="J49" s="1" t="s">
        <v>142</v>
      </c>
      <c r="K49" s="1">
        <v>1</v>
      </c>
      <c r="L49" s="1" t="s">
        <v>147</v>
      </c>
      <c r="M49" s="1" t="s">
        <v>148</v>
      </c>
      <c r="N49" s="1" t="s">
        <v>45</v>
      </c>
      <c r="O49" s="1" t="s">
        <v>153</v>
      </c>
    </row>
    <row r="50" spans="1:15">
      <c r="A50" s="1">
        <v>47</v>
      </c>
      <c r="B50" s="1" t="s">
        <v>204</v>
      </c>
      <c r="C50" s="5">
        <v>46378</v>
      </c>
      <c r="D50" s="1" t="s">
        <v>122</v>
      </c>
      <c r="E50" s="6" t="s">
        <v>12</v>
      </c>
      <c r="F50" s="6" t="s">
        <v>13</v>
      </c>
      <c r="G50" s="1" t="s">
        <v>80</v>
      </c>
      <c r="H50" s="1" t="s">
        <v>15</v>
      </c>
      <c r="I50" s="1" t="s">
        <v>70</v>
      </c>
      <c r="J50" s="1" t="s">
        <v>142</v>
      </c>
      <c r="K50" s="1">
        <v>5</v>
      </c>
      <c r="L50" s="1" t="s">
        <v>155</v>
      </c>
      <c r="M50" s="1" t="s">
        <v>165</v>
      </c>
      <c r="N50" s="1" t="s">
        <v>20</v>
      </c>
      <c r="O50" s="1" t="s">
        <v>149</v>
      </c>
    </row>
    <row r="51" spans="1:15">
      <c r="A51" s="1">
        <v>48</v>
      </c>
      <c r="B51" s="1" t="s">
        <v>205</v>
      </c>
      <c r="C51" s="5">
        <v>46361</v>
      </c>
      <c r="D51" s="1" t="s">
        <v>122</v>
      </c>
      <c r="E51" s="6" t="s">
        <v>54</v>
      </c>
      <c r="F51" s="6" t="s">
        <v>65</v>
      </c>
      <c r="G51" s="1" t="s">
        <v>82</v>
      </c>
      <c r="H51" s="1" t="s">
        <v>41</v>
      </c>
      <c r="I51" s="1" t="s">
        <v>32</v>
      </c>
      <c r="J51" s="1" t="s">
        <v>161</v>
      </c>
      <c r="K51" s="1">
        <v>3</v>
      </c>
      <c r="L51" s="1" t="s">
        <v>158</v>
      </c>
      <c r="M51" s="1" t="s">
        <v>144</v>
      </c>
      <c r="N51" s="1" t="s">
        <v>26</v>
      </c>
      <c r="O51" s="1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S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  <col min="17" max="17" width="20.7109375" style="7" customWidth="1"/>
  </cols>
  <sheetData>
    <row r="1" spans="1:19" ht="22" customHeight="1">
      <c r="A1" s="3" t="s">
        <v>216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4" t="s">
        <v>139</v>
      </c>
    </row>
    <row r="2" spans="1:19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9">
      <c r="A3" s="1" t="s">
        <v>124</v>
      </c>
      <c r="B3" s="1" t="s">
        <v>280</v>
      </c>
      <c r="C3" s="1" t="s">
        <v>126</v>
      </c>
      <c r="D3" s="1" t="s">
        <v>127</v>
      </c>
      <c r="E3" s="1" t="s">
        <v>281</v>
      </c>
      <c r="F3" s="1" t="s">
        <v>282</v>
      </c>
      <c r="G3" s="1" t="s">
        <v>129</v>
      </c>
      <c r="H3" s="1" t="s">
        <v>283</v>
      </c>
      <c r="I3" s="1" t="s">
        <v>284</v>
      </c>
      <c r="J3" s="1" t="s">
        <v>132</v>
      </c>
      <c r="K3" s="1" t="s">
        <v>133</v>
      </c>
      <c r="L3" s="2" t="s">
        <v>134</v>
      </c>
      <c r="M3" s="1" t="s">
        <v>285</v>
      </c>
      <c r="N3" s="1" t="s">
        <v>286</v>
      </c>
      <c r="O3" s="1" t="s">
        <v>287</v>
      </c>
      <c r="P3" s="1" t="s">
        <v>288</v>
      </c>
      <c r="Q3" s="7" t="s">
        <v>289</v>
      </c>
    </row>
    <row r="4" spans="1:19">
      <c r="A4" s="1">
        <v>1</v>
      </c>
      <c r="B4" s="1" t="s">
        <v>217</v>
      </c>
      <c r="C4" s="5">
        <v>46040</v>
      </c>
      <c r="D4" s="1" t="s">
        <v>3</v>
      </c>
      <c r="E4" s="6" t="s">
        <v>57</v>
      </c>
      <c r="F4" s="6" t="s">
        <v>218</v>
      </c>
      <c r="G4" s="1" t="s">
        <v>58</v>
      </c>
      <c r="H4" s="1" t="s">
        <v>28</v>
      </c>
      <c r="I4" s="1" t="s">
        <v>219</v>
      </c>
      <c r="J4" s="1">
        <v>36</v>
      </c>
      <c r="K4" s="1">
        <v>57</v>
      </c>
      <c r="L4" s="2">
        <f>IFERROR(K4/J4*100,0)</f>
        <v>0</v>
      </c>
      <c r="M4" s="1">
        <v>48</v>
      </c>
      <c r="N4" s="1" t="s">
        <v>220</v>
      </c>
      <c r="O4" s="1" t="s">
        <v>221</v>
      </c>
      <c r="P4" s="1" t="s">
        <v>23</v>
      </c>
      <c r="Q4" s="7">
        <f>IF(P4="Yes",C4+CertValidityDays,"")</f>
        <v>0</v>
      </c>
    </row>
    <row r="5" spans="1:19">
      <c r="A5" s="1">
        <v>2</v>
      </c>
      <c r="B5" s="1" t="s">
        <v>222</v>
      </c>
      <c r="C5" s="5">
        <v>46043</v>
      </c>
      <c r="D5" s="1" t="s">
        <v>3</v>
      </c>
      <c r="E5" s="6" t="s">
        <v>91</v>
      </c>
      <c r="F5" s="6" t="s">
        <v>223</v>
      </c>
      <c r="G5" s="1" t="s">
        <v>58</v>
      </c>
      <c r="H5" s="1" t="s">
        <v>66</v>
      </c>
      <c r="I5" s="1" t="s">
        <v>223</v>
      </c>
      <c r="J5" s="1">
        <v>35</v>
      </c>
      <c r="K5" s="1">
        <v>17</v>
      </c>
      <c r="L5" s="2">
        <f>IFERROR(K5/J5*100,0)</f>
        <v>0</v>
      </c>
      <c r="M5" s="1">
        <v>106</v>
      </c>
      <c r="N5" s="1" t="s">
        <v>224</v>
      </c>
      <c r="O5" s="1" t="s">
        <v>225</v>
      </c>
      <c r="P5" s="1" t="s">
        <v>9</v>
      </c>
      <c r="Q5" s="7">
        <f>IF(P5="Yes",C5+CertValidityDays,"")</f>
        <v>0</v>
      </c>
    </row>
    <row r="6" spans="1:19">
      <c r="A6" s="1">
        <v>3</v>
      </c>
      <c r="B6" s="1" t="s">
        <v>226</v>
      </c>
      <c r="C6" s="5">
        <v>46058</v>
      </c>
      <c r="D6" s="1" t="s">
        <v>19</v>
      </c>
      <c r="E6" s="6" t="s">
        <v>61</v>
      </c>
      <c r="F6" s="6" t="s">
        <v>218</v>
      </c>
      <c r="G6" s="1" t="s">
        <v>27</v>
      </c>
      <c r="H6" s="1" t="s">
        <v>36</v>
      </c>
      <c r="I6" s="1" t="s">
        <v>227</v>
      </c>
      <c r="J6" s="1">
        <v>36</v>
      </c>
      <c r="K6" s="1">
        <v>26</v>
      </c>
      <c r="L6" s="2">
        <f>IFERROR(K6/J6*100,0)</f>
        <v>0</v>
      </c>
      <c r="M6" s="1">
        <v>17</v>
      </c>
      <c r="N6" s="1" t="s">
        <v>220</v>
      </c>
      <c r="O6" s="1" t="s">
        <v>225</v>
      </c>
      <c r="P6" s="1" t="s">
        <v>9</v>
      </c>
      <c r="Q6" s="7">
        <f>IF(P6="Yes",C6+CertValidityDays,"")</f>
        <v>0</v>
      </c>
    </row>
    <row r="7" spans="1:19">
      <c r="A7" s="1">
        <v>4</v>
      </c>
      <c r="B7" s="1" t="s">
        <v>228</v>
      </c>
      <c r="C7" s="5">
        <v>46072</v>
      </c>
      <c r="D7" s="1" t="s">
        <v>19</v>
      </c>
      <c r="E7" s="6" t="s">
        <v>57</v>
      </c>
      <c r="F7" s="6" t="s">
        <v>229</v>
      </c>
      <c r="G7" s="1" t="s">
        <v>58</v>
      </c>
      <c r="H7" s="1" t="s">
        <v>78</v>
      </c>
      <c r="I7" s="1" t="s">
        <v>219</v>
      </c>
      <c r="J7" s="1">
        <v>24</v>
      </c>
      <c r="K7" s="1">
        <v>57</v>
      </c>
      <c r="L7" s="2">
        <f>IFERROR(K7/J7*100,0)</f>
        <v>0</v>
      </c>
      <c r="M7" s="1">
        <v>120</v>
      </c>
      <c r="N7" s="1" t="s">
        <v>230</v>
      </c>
      <c r="O7" s="1" t="s">
        <v>231</v>
      </c>
      <c r="P7" s="1" t="s">
        <v>23</v>
      </c>
      <c r="Q7" s="7">
        <f>IF(P7="Yes",C7+CertValidityDays,"")</f>
        <v>0</v>
      </c>
    </row>
    <row r="8" spans="1:19">
      <c r="A8" s="1">
        <v>5</v>
      </c>
      <c r="B8" s="1" t="s">
        <v>232</v>
      </c>
      <c r="C8" s="5">
        <v>46057</v>
      </c>
      <c r="D8" s="1" t="s">
        <v>19</v>
      </c>
      <c r="E8" s="6" t="s">
        <v>61</v>
      </c>
      <c r="F8" s="6" t="s">
        <v>233</v>
      </c>
      <c r="G8" s="1" t="s">
        <v>92</v>
      </c>
      <c r="H8" s="1" t="s">
        <v>32</v>
      </c>
      <c r="I8" s="1" t="s">
        <v>223</v>
      </c>
      <c r="J8" s="1">
        <v>12</v>
      </c>
      <c r="K8" s="1">
        <v>18</v>
      </c>
      <c r="L8" s="2">
        <f>IFERROR(K8/J8*100,0)</f>
        <v>0</v>
      </c>
      <c r="M8" s="1">
        <v>71</v>
      </c>
      <c r="N8" s="1" t="s">
        <v>224</v>
      </c>
      <c r="O8" s="1" t="s">
        <v>221</v>
      </c>
      <c r="P8" s="1" t="s">
        <v>9</v>
      </c>
      <c r="Q8" s="7">
        <f>IF(P8="Yes",C8+CertValidityDays,"")</f>
        <v>0</v>
      </c>
    </row>
    <row r="9" spans="1:19">
      <c r="A9" s="1">
        <v>6</v>
      </c>
      <c r="B9" s="1" t="s">
        <v>234</v>
      </c>
      <c r="C9" s="5">
        <v>46079</v>
      </c>
      <c r="D9" s="1" t="s">
        <v>19</v>
      </c>
      <c r="E9" s="6" t="s">
        <v>16</v>
      </c>
      <c r="F9" s="6" t="s">
        <v>235</v>
      </c>
      <c r="G9" s="1" t="s">
        <v>39</v>
      </c>
      <c r="H9" s="1" t="s">
        <v>36</v>
      </c>
      <c r="I9" s="1" t="s">
        <v>223</v>
      </c>
      <c r="J9" s="1">
        <v>43</v>
      </c>
      <c r="K9" s="1">
        <v>49</v>
      </c>
      <c r="L9" s="2">
        <f>IFERROR(K9/J9*100,0)</f>
        <v>0</v>
      </c>
      <c r="M9" s="1">
        <v>34</v>
      </c>
      <c r="N9" s="1" t="s">
        <v>220</v>
      </c>
      <c r="O9" s="1" t="s">
        <v>231</v>
      </c>
      <c r="P9" s="1" t="s">
        <v>23</v>
      </c>
      <c r="Q9" s="7">
        <f>IF(P9="Yes",C9+CertValidityDays,"")</f>
        <v>0</v>
      </c>
    </row>
    <row r="10" spans="1:19">
      <c r="A10" s="1">
        <v>7</v>
      </c>
      <c r="B10" s="1" t="s">
        <v>236</v>
      </c>
      <c r="C10" s="5">
        <v>46060</v>
      </c>
      <c r="D10" s="1" t="s">
        <v>19</v>
      </c>
      <c r="E10" s="6" t="s">
        <v>16</v>
      </c>
      <c r="F10" s="6" t="s">
        <v>237</v>
      </c>
      <c r="G10" s="1" t="s">
        <v>46</v>
      </c>
      <c r="H10" s="1" t="s">
        <v>41</v>
      </c>
      <c r="I10" s="1" t="s">
        <v>223</v>
      </c>
      <c r="J10" s="1">
        <v>14</v>
      </c>
      <c r="K10" s="1">
        <v>10</v>
      </c>
      <c r="L10" s="2">
        <f>IFERROR(K10/J10*100,0)</f>
        <v>0</v>
      </c>
      <c r="M10" s="1">
        <v>61</v>
      </c>
      <c r="N10" s="1" t="s">
        <v>230</v>
      </c>
      <c r="O10" s="1" t="s">
        <v>231</v>
      </c>
      <c r="P10" s="1" t="s">
        <v>23</v>
      </c>
      <c r="Q10" s="7">
        <f>IF(P10="Yes",C10+CertValidityDays,"")</f>
        <v>0</v>
      </c>
    </row>
    <row r="11" spans="1:19">
      <c r="A11" s="1">
        <v>8</v>
      </c>
      <c r="B11" s="1" t="s">
        <v>238</v>
      </c>
      <c r="C11" s="5">
        <v>46061</v>
      </c>
      <c r="D11" s="1" t="s">
        <v>19</v>
      </c>
      <c r="E11" s="6" t="s">
        <v>4</v>
      </c>
      <c r="F11" s="6" t="s">
        <v>233</v>
      </c>
      <c r="G11" s="1" t="s">
        <v>50</v>
      </c>
      <c r="H11" s="1" t="s">
        <v>104</v>
      </c>
      <c r="I11" s="1" t="s">
        <v>219</v>
      </c>
      <c r="J11" s="1">
        <v>23</v>
      </c>
      <c r="K11" s="1">
        <v>39</v>
      </c>
      <c r="L11" s="2">
        <f>IFERROR(K11/J11*100,0)</f>
        <v>0</v>
      </c>
      <c r="M11" s="1">
        <v>102</v>
      </c>
      <c r="N11" s="1" t="s">
        <v>220</v>
      </c>
      <c r="O11" s="1" t="s">
        <v>231</v>
      </c>
      <c r="P11" s="1" t="s">
        <v>23</v>
      </c>
      <c r="Q11" s="7">
        <f>IF(P11="Yes",C11+CertValidityDays,"")</f>
        <v>0</v>
      </c>
    </row>
    <row r="12" spans="1:19">
      <c r="A12" s="1">
        <v>9</v>
      </c>
      <c r="B12" s="1" t="s">
        <v>239</v>
      </c>
      <c r="C12" s="5">
        <v>46074</v>
      </c>
      <c r="D12" s="1" t="s">
        <v>19</v>
      </c>
      <c r="E12" s="6" t="s">
        <v>57</v>
      </c>
      <c r="F12" s="6" t="s">
        <v>223</v>
      </c>
      <c r="G12" s="1" t="s">
        <v>27</v>
      </c>
      <c r="H12" s="1" t="s">
        <v>41</v>
      </c>
      <c r="I12" s="1" t="s">
        <v>240</v>
      </c>
      <c r="J12" s="1">
        <v>58</v>
      </c>
      <c r="K12" s="1">
        <v>34</v>
      </c>
      <c r="L12" s="2">
        <f>IFERROR(K12/J12*100,0)</f>
        <v>0</v>
      </c>
      <c r="M12" s="1">
        <v>82</v>
      </c>
      <c r="N12" s="1" t="s">
        <v>220</v>
      </c>
      <c r="O12" s="1" t="s">
        <v>221</v>
      </c>
      <c r="P12" s="1" t="s">
        <v>23</v>
      </c>
      <c r="Q12" s="7">
        <f>IF(P12="Yes",C12+CertValidityDays,"")</f>
        <v>0</v>
      </c>
    </row>
    <row r="13" spans="1:19">
      <c r="A13" s="1">
        <v>10</v>
      </c>
      <c r="B13" s="1" t="s">
        <v>241</v>
      </c>
      <c r="C13" s="5">
        <v>46104</v>
      </c>
      <c r="D13" s="1" t="s">
        <v>44</v>
      </c>
      <c r="E13" s="6" t="s">
        <v>61</v>
      </c>
      <c r="F13" s="6" t="s">
        <v>237</v>
      </c>
      <c r="G13" s="1" t="s">
        <v>46</v>
      </c>
      <c r="H13" s="1" t="s">
        <v>104</v>
      </c>
      <c r="I13" s="1" t="s">
        <v>223</v>
      </c>
      <c r="J13" s="1">
        <v>58</v>
      </c>
      <c r="K13" s="1">
        <v>20</v>
      </c>
      <c r="L13" s="2">
        <f>IFERROR(K13/J13*100,0)</f>
        <v>0</v>
      </c>
      <c r="M13" s="1">
        <v>92</v>
      </c>
      <c r="N13" s="1" t="s">
        <v>224</v>
      </c>
      <c r="O13" s="1" t="s">
        <v>221</v>
      </c>
      <c r="P13" s="1" t="s">
        <v>23</v>
      </c>
      <c r="Q13" s="7">
        <f>IF(P13="Yes",C13+CertValidityDays,"")</f>
        <v>0</v>
      </c>
    </row>
    <row r="14" spans="1:19">
      <c r="A14" s="1">
        <v>11</v>
      </c>
      <c r="B14" s="1" t="s">
        <v>242</v>
      </c>
      <c r="C14" s="5">
        <v>46084</v>
      </c>
      <c r="D14" s="1" t="s">
        <v>44</v>
      </c>
      <c r="E14" s="6" t="s">
        <v>64</v>
      </c>
      <c r="F14" s="6" t="s">
        <v>223</v>
      </c>
      <c r="G14" s="1" t="s">
        <v>27</v>
      </c>
      <c r="H14" s="1" t="s">
        <v>78</v>
      </c>
      <c r="I14" s="1" t="s">
        <v>240</v>
      </c>
      <c r="J14" s="1">
        <v>38</v>
      </c>
      <c r="K14" s="1">
        <v>41</v>
      </c>
      <c r="L14" s="2">
        <f>IFERROR(K14/J14*100,0)</f>
        <v>0</v>
      </c>
      <c r="M14" s="1">
        <v>22</v>
      </c>
      <c r="N14" s="1" t="s">
        <v>220</v>
      </c>
      <c r="O14" s="1" t="s">
        <v>225</v>
      </c>
      <c r="P14" s="1" t="s">
        <v>9</v>
      </c>
      <c r="Q14" s="7">
        <f>IF(P14="Yes",C14+CertValidityDays,"")</f>
        <v>0</v>
      </c>
    </row>
    <row r="15" spans="1:19">
      <c r="A15" s="1">
        <v>12</v>
      </c>
      <c r="B15" s="1" t="s">
        <v>243</v>
      </c>
      <c r="C15" s="5">
        <v>46087</v>
      </c>
      <c r="D15" s="1" t="s">
        <v>44</v>
      </c>
      <c r="E15" s="6" t="s">
        <v>4</v>
      </c>
      <c r="F15" s="6" t="s">
        <v>218</v>
      </c>
      <c r="G15" s="1" t="s">
        <v>39</v>
      </c>
      <c r="H15" s="1" t="s">
        <v>36</v>
      </c>
      <c r="I15" s="1" t="s">
        <v>240</v>
      </c>
      <c r="J15" s="1">
        <v>34</v>
      </c>
      <c r="K15" s="1">
        <v>26</v>
      </c>
      <c r="L15" s="2">
        <f>IFERROR(K15/J15*100,0)</f>
        <v>0</v>
      </c>
      <c r="M15" s="1">
        <v>90</v>
      </c>
      <c r="N15" s="1" t="s">
        <v>230</v>
      </c>
      <c r="O15" s="1" t="s">
        <v>225</v>
      </c>
      <c r="P15" s="1" t="s">
        <v>9</v>
      </c>
      <c r="Q15" s="7">
        <f>IF(P15="Yes",C15+CertValidityDays,"")</f>
        <v>0</v>
      </c>
    </row>
    <row r="16" spans="1:19">
      <c r="A16" s="1">
        <v>13</v>
      </c>
      <c r="B16" s="1" t="s">
        <v>244</v>
      </c>
      <c r="C16" s="5">
        <v>46093</v>
      </c>
      <c r="D16" s="1" t="s">
        <v>44</v>
      </c>
      <c r="E16" s="6" t="s">
        <v>45</v>
      </c>
      <c r="F16" s="6" t="s">
        <v>233</v>
      </c>
      <c r="G16" s="1" t="s">
        <v>46</v>
      </c>
      <c r="H16" s="1" t="s">
        <v>93</v>
      </c>
      <c r="I16" s="1" t="s">
        <v>227</v>
      </c>
      <c r="J16" s="1">
        <v>49</v>
      </c>
      <c r="K16" s="1">
        <v>28</v>
      </c>
      <c r="L16" s="2">
        <f>IFERROR(K16/J16*100,0)</f>
        <v>0</v>
      </c>
      <c r="M16" s="1">
        <v>117</v>
      </c>
      <c r="N16" s="1" t="s">
        <v>224</v>
      </c>
      <c r="O16" s="1" t="s">
        <v>221</v>
      </c>
      <c r="P16" s="1" t="s">
        <v>9</v>
      </c>
      <c r="Q16" s="7">
        <f>IF(P16="Yes",C16+CertValidityDays,"")</f>
        <v>0</v>
      </c>
    </row>
    <row r="17" spans="1:17">
      <c r="A17" s="1">
        <v>14</v>
      </c>
      <c r="B17" s="1" t="s">
        <v>245</v>
      </c>
      <c r="C17" s="5">
        <v>46094</v>
      </c>
      <c r="D17" s="1" t="s">
        <v>44</v>
      </c>
      <c r="E17" s="6" t="s">
        <v>26</v>
      </c>
      <c r="F17" s="6" t="s">
        <v>235</v>
      </c>
      <c r="G17" s="1" t="s">
        <v>39</v>
      </c>
      <c r="H17" s="1" t="s">
        <v>32</v>
      </c>
      <c r="I17" s="1" t="s">
        <v>219</v>
      </c>
      <c r="J17" s="1">
        <v>21</v>
      </c>
      <c r="K17" s="1">
        <v>29</v>
      </c>
      <c r="L17" s="2">
        <f>IFERROR(K17/J17*100,0)</f>
        <v>0</v>
      </c>
      <c r="M17" s="1">
        <v>111</v>
      </c>
      <c r="N17" s="1" t="s">
        <v>220</v>
      </c>
      <c r="O17" s="1" t="s">
        <v>225</v>
      </c>
      <c r="P17" s="1" t="s">
        <v>23</v>
      </c>
      <c r="Q17" s="7">
        <f>IF(P17="Yes",C17+CertValidityDays,"")</f>
        <v>0</v>
      </c>
    </row>
    <row r="18" spans="1:17">
      <c r="A18" s="1">
        <v>15</v>
      </c>
      <c r="B18" s="1" t="s">
        <v>246</v>
      </c>
      <c r="C18" s="5">
        <v>46089</v>
      </c>
      <c r="D18" s="1" t="s">
        <v>44</v>
      </c>
      <c r="E18" s="6" t="s">
        <v>57</v>
      </c>
      <c r="F18" s="6" t="s">
        <v>218</v>
      </c>
      <c r="G18" s="1" t="s">
        <v>89</v>
      </c>
      <c r="H18" s="1" t="s">
        <v>78</v>
      </c>
      <c r="I18" s="1" t="s">
        <v>223</v>
      </c>
      <c r="J18" s="1">
        <v>39</v>
      </c>
      <c r="K18" s="1">
        <v>12</v>
      </c>
      <c r="L18" s="2">
        <f>IFERROR(K18/J18*100,0)</f>
        <v>0</v>
      </c>
      <c r="M18" s="1">
        <v>50</v>
      </c>
      <c r="N18" s="1" t="s">
        <v>224</v>
      </c>
      <c r="O18" s="1" t="s">
        <v>221</v>
      </c>
      <c r="P18" s="1" t="s">
        <v>23</v>
      </c>
      <c r="Q18" s="7">
        <f>IF(P18="Yes",C18+CertValidityDays,"")</f>
        <v>0</v>
      </c>
    </row>
    <row r="19" spans="1:17">
      <c r="A19" s="1">
        <v>16</v>
      </c>
      <c r="B19" s="1" t="s">
        <v>247</v>
      </c>
      <c r="C19" s="5">
        <v>46135</v>
      </c>
      <c r="D19" s="1" t="s">
        <v>53</v>
      </c>
      <c r="E19" s="6" t="s">
        <v>38</v>
      </c>
      <c r="F19" s="6" t="s">
        <v>223</v>
      </c>
      <c r="G19" s="1" t="s">
        <v>65</v>
      </c>
      <c r="H19" s="1" t="s">
        <v>104</v>
      </c>
      <c r="I19" s="1" t="s">
        <v>219</v>
      </c>
      <c r="J19" s="1">
        <v>20</v>
      </c>
      <c r="K19" s="1">
        <v>16</v>
      </c>
      <c r="L19" s="2">
        <f>IFERROR(K19/J19*100,0)</f>
        <v>0</v>
      </c>
      <c r="M19" s="1">
        <v>44</v>
      </c>
      <c r="N19" s="1" t="s">
        <v>220</v>
      </c>
      <c r="O19" s="1" t="s">
        <v>221</v>
      </c>
      <c r="P19" s="1" t="s">
        <v>23</v>
      </c>
      <c r="Q19" s="7">
        <f>IF(P19="Yes",C19+CertValidityDays,"")</f>
        <v>0</v>
      </c>
    </row>
    <row r="20" spans="1:17">
      <c r="A20" s="1">
        <v>17</v>
      </c>
      <c r="B20" s="1" t="s">
        <v>248</v>
      </c>
      <c r="C20" s="5">
        <v>46119</v>
      </c>
      <c r="D20" s="1" t="s">
        <v>53</v>
      </c>
      <c r="E20" s="6" t="s">
        <v>57</v>
      </c>
      <c r="F20" s="6" t="s">
        <v>237</v>
      </c>
      <c r="G20" s="1" t="s">
        <v>5</v>
      </c>
      <c r="H20" s="1" t="s">
        <v>36</v>
      </c>
      <c r="I20" s="1" t="s">
        <v>240</v>
      </c>
      <c r="J20" s="1">
        <v>44</v>
      </c>
      <c r="K20" s="1">
        <v>14</v>
      </c>
      <c r="L20" s="2">
        <f>IFERROR(K20/J20*100,0)</f>
        <v>0</v>
      </c>
      <c r="M20" s="1">
        <v>103</v>
      </c>
      <c r="N20" s="1" t="s">
        <v>220</v>
      </c>
      <c r="O20" s="1" t="s">
        <v>221</v>
      </c>
      <c r="P20" s="1" t="s">
        <v>23</v>
      </c>
      <c r="Q20" s="7">
        <f>IF(P20="Yes",C20+CertValidityDays,"")</f>
        <v>0</v>
      </c>
    </row>
    <row r="21" spans="1:17">
      <c r="A21" s="1">
        <v>18</v>
      </c>
      <c r="B21" s="1" t="s">
        <v>249</v>
      </c>
      <c r="C21" s="5">
        <v>46168</v>
      </c>
      <c r="D21" s="1" t="s">
        <v>60</v>
      </c>
      <c r="E21" s="6" t="s">
        <v>91</v>
      </c>
      <c r="F21" s="6" t="s">
        <v>229</v>
      </c>
      <c r="G21" s="1" t="s">
        <v>46</v>
      </c>
      <c r="H21" s="1" t="s">
        <v>78</v>
      </c>
      <c r="I21" s="1" t="s">
        <v>223</v>
      </c>
      <c r="J21" s="1">
        <v>12</v>
      </c>
      <c r="K21" s="1">
        <v>48</v>
      </c>
      <c r="L21" s="2">
        <f>IFERROR(K21/J21*100,0)</f>
        <v>0</v>
      </c>
      <c r="M21" s="1">
        <v>17</v>
      </c>
      <c r="N21" s="1" t="s">
        <v>224</v>
      </c>
      <c r="O21" s="1" t="s">
        <v>225</v>
      </c>
      <c r="P21" s="1" t="s">
        <v>9</v>
      </c>
      <c r="Q21" s="7">
        <f>IF(P21="Yes",C21+CertValidityDays,"")</f>
        <v>0</v>
      </c>
    </row>
    <row r="22" spans="1:17">
      <c r="A22" s="1">
        <v>19</v>
      </c>
      <c r="B22" s="1" t="s">
        <v>250</v>
      </c>
      <c r="C22" s="5">
        <v>46156</v>
      </c>
      <c r="D22" s="1" t="s">
        <v>60</v>
      </c>
      <c r="E22" s="6" t="s">
        <v>20</v>
      </c>
      <c r="F22" s="6" t="s">
        <v>233</v>
      </c>
      <c r="G22" s="1" t="s">
        <v>5</v>
      </c>
      <c r="H22" s="1" t="s">
        <v>22</v>
      </c>
      <c r="I22" s="1" t="s">
        <v>223</v>
      </c>
      <c r="J22" s="1">
        <v>22</v>
      </c>
      <c r="K22" s="1">
        <v>13</v>
      </c>
      <c r="L22" s="2">
        <f>IFERROR(K22/J22*100,0)</f>
        <v>0</v>
      </c>
      <c r="M22" s="1">
        <v>68</v>
      </c>
      <c r="N22" s="1" t="s">
        <v>220</v>
      </c>
      <c r="O22" s="1" t="s">
        <v>225</v>
      </c>
      <c r="P22" s="1" t="s">
        <v>9</v>
      </c>
      <c r="Q22" s="7">
        <f>IF(P22="Yes",C22+CertValidityDays,"")</f>
        <v>0</v>
      </c>
    </row>
    <row r="23" spans="1:17">
      <c r="A23" s="1">
        <v>20</v>
      </c>
      <c r="B23" s="1" t="s">
        <v>251</v>
      </c>
      <c r="C23" s="5">
        <v>46146</v>
      </c>
      <c r="D23" s="1" t="s">
        <v>60</v>
      </c>
      <c r="E23" s="6" t="s">
        <v>64</v>
      </c>
      <c r="F23" s="6" t="s">
        <v>223</v>
      </c>
      <c r="G23" s="1" t="s">
        <v>65</v>
      </c>
      <c r="H23" s="1" t="s">
        <v>70</v>
      </c>
      <c r="I23" s="1" t="s">
        <v>223</v>
      </c>
      <c r="J23" s="1">
        <v>30</v>
      </c>
      <c r="K23" s="1">
        <v>28</v>
      </c>
      <c r="L23" s="2">
        <f>IFERROR(K23/J23*100,0)</f>
        <v>0</v>
      </c>
      <c r="M23" s="1">
        <v>53</v>
      </c>
      <c r="N23" s="1" t="s">
        <v>220</v>
      </c>
      <c r="O23" s="1" t="s">
        <v>221</v>
      </c>
      <c r="P23" s="1" t="s">
        <v>9</v>
      </c>
      <c r="Q23" s="7">
        <f>IF(P23="Yes",C23+CertValidityDays,"")</f>
        <v>0</v>
      </c>
    </row>
    <row r="24" spans="1:17">
      <c r="A24" s="1">
        <v>21</v>
      </c>
      <c r="B24" s="1" t="s">
        <v>252</v>
      </c>
      <c r="C24" s="5">
        <v>46167</v>
      </c>
      <c r="D24" s="1" t="s">
        <v>60</v>
      </c>
      <c r="E24" s="6" t="s">
        <v>45</v>
      </c>
      <c r="F24" s="6" t="s">
        <v>235</v>
      </c>
      <c r="G24" s="1" t="s">
        <v>50</v>
      </c>
      <c r="H24" s="1" t="s">
        <v>15</v>
      </c>
      <c r="I24" s="1" t="s">
        <v>227</v>
      </c>
      <c r="J24" s="1">
        <v>44</v>
      </c>
      <c r="K24" s="1">
        <v>10</v>
      </c>
      <c r="L24" s="2">
        <f>IFERROR(K24/J24*100,0)</f>
        <v>0</v>
      </c>
      <c r="M24" s="1">
        <v>18</v>
      </c>
      <c r="N24" s="1" t="s">
        <v>224</v>
      </c>
      <c r="O24" s="1" t="s">
        <v>231</v>
      </c>
      <c r="P24" s="1" t="s">
        <v>9</v>
      </c>
      <c r="Q24" s="7">
        <f>IF(P24="Yes",C24+CertValidityDays,"")</f>
        <v>0</v>
      </c>
    </row>
    <row r="25" spans="1:17">
      <c r="A25" s="1">
        <v>22</v>
      </c>
      <c r="B25" s="1" t="s">
        <v>253</v>
      </c>
      <c r="C25" s="5">
        <v>46160</v>
      </c>
      <c r="D25" s="1" t="s">
        <v>60</v>
      </c>
      <c r="E25" s="6" t="s">
        <v>12</v>
      </c>
      <c r="F25" s="6" t="s">
        <v>223</v>
      </c>
      <c r="G25" s="1" t="s">
        <v>13</v>
      </c>
      <c r="H25" s="1" t="s">
        <v>62</v>
      </c>
      <c r="I25" s="1" t="s">
        <v>240</v>
      </c>
      <c r="J25" s="1">
        <v>50</v>
      </c>
      <c r="K25" s="1">
        <v>51</v>
      </c>
      <c r="L25" s="2">
        <f>IFERROR(K25/J25*100,0)</f>
        <v>0</v>
      </c>
      <c r="M25" s="1">
        <v>112</v>
      </c>
      <c r="N25" s="1" t="s">
        <v>230</v>
      </c>
      <c r="O25" s="1" t="s">
        <v>225</v>
      </c>
      <c r="P25" s="1" t="s">
        <v>23</v>
      </c>
      <c r="Q25" s="7">
        <f>IF(P25="Yes",C25+CertValidityDays,"")</f>
        <v>0</v>
      </c>
    </row>
    <row r="26" spans="1:17">
      <c r="A26" s="1">
        <v>23</v>
      </c>
      <c r="B26" s="1" t="s">
        <v>254</v>
      </c>
      <c r="C26" s="5">
        <v>46195</v>
      </c>
      <c r="D26" s="1" t="s">
        <v>73</v>
      </c>
      <c r="E26" s="6" t="s">
        <v>54</v>
      </c>
      <c r="F26" s="6" t="s">
        <v>233</v>
      </c>
      <c r="G26" s="1" t="s">
        <v>39</v>
      </c>
      <c r="H26" s="1" t="s">
        <v>78</v>
      </c>
      <c r="I26" s="1" t="s">
        <v>240</v>
      </c>
      <c r="J26" s="1">
        <v>51</v>
      </c>
      <c r="K26" s="1">
        <v>16</v>
      </c>
      <c r="L26" s="2">
        <f>IFERROR(K26/J26*100,0)</f>
        <v>0</v>
      </c>
      <c r="M26" s="1">
        <v>120</v>
      </c>
      <c r="N26" s="1" t="s">
        <v>230</v>
      </c>
      <c r="O26" s="1" t="s">
        <v>221</v>
      </c>
      <c r="P26" s="1" t="s">
        <v>23</v>
      </c>
      <c r="Q26" s="7">
        <f>IF(P26="Yes",C26+CertValidityDays,"")</f>
        <v>0</v>
      </c>
    </row>
    <row r="27" spans="1:17">
      <c r="A27" s="1">
        <v>24</v>
      </c>
      <c r="B27" s="1" t="s">
        <v>255</v>
      </c>
      <c r="C27" s="5">
        <v>46200</v>
      </c>
      <c r="D27" s="1" t="s">
        <v>73</v>
      </c>
      <c r="E27" s="6" t="s">
        <v>57</v>
      </c>
      <c r="F27" s="6" t="s">
        <v>229</v>
      </c>
      <c r="G27" s="1" t="s">
        <v>13</v>
      </c>
      <c r="H27" s="1" t="s">
        <v>36</v>
      </c>
      <c r="I27" s="1" t="s">
        <v>240</v>
      </c>
      <c r="J27" s="1">
        <v>48</v>
      </c>
      <c r="K27" s="1">
        <v>25</v>
      </c>
      <c r="L27" s="2">
        <f>IFERROR(K27/J27*100,0)</f>
        <v>0</v>
      </c>
      <c r="M27" s="1">
        <v>15</v>
      </c>
      <c r="N27" s="1" t="s">
        <v>224</v>
      </c>
      <c r="O27" s="1" t="s">
        <v>221</v>
      </c>
      <c r="P27" s="1" t="s">
        <v>23</v>
      </c>
      <c r="Q27" s="7">
        <f>IF(P27="Yes",C27+CertValidityDays,"")</f>
        <v>0</v>
      </c>
    </row>
    <row r="28" spans="1:17">
      <c r="A28" s="1">
        <v>25</v>
      </c>
      <c r="B28" s="1" t="s">
        <v>256</v>
      </c>
      <c r="C28" s="5">
        <v>46197</v>
      </c>
      <c r="D28" s="1" t="s">
        <v>73</v>
      </c>
      <c r="E28" s="6" t="s">
        <v>64</v>
      </c>
      <c r="F28" s="6" t="s">
        <v>229</v>
      </c>
      <c r="G28" s="1" t="s">
        <v>92</v>
      </c>
      <c r="H28" s="1" t="s">
        <v>78</v>
      </c>
      <c r="I28" s="1" t="s">
        <v>223</v>
      </c>
      <c r="J28" s="1">
        <v>49</v>
      </c>
      <c r="K28" s="1">
        <v>39</v>
      </c>
      <c r="L28" s="2">
        <f>IFERROR(K28/J28*100,0)</f>
        <v>0</v>
      </c>
      <c r="M28" s="1">
        <v>92</v>
      </c>
      <c r="N28" s="1" t="s">
        <v>220</v>
      </c>
      <c r="O28" s="1" t="s">
        <v>231</v>
      </c>
      <c r="P28" s="1" t="s">
        <v>23</v>
      </c>
      <c r="Q28" s="7">
        <f>IF(P28="Yes",C28+CertValidityDays,"")</f>
        <v>0</v>
      </c>
    </row>
    <row r="29" spans="1:17">
      <c r="A29" s="1">
        <v>26</v>
      </c>
      <c r="B29" s="1" t="s">
        <v>257</v>
      </c>
      <c r="C29" s="5">
        <v>46187</v>
      </c>
      <c r="D29" s="1" t="s">
        <v>73</v>
      </c>
      <c r="E29" s="6" t="s">
        <v>16</v>
      </c>
      <c r="F29" s="6" t="s">
        <v>229</v>
      </c>
      <c r="G29" s="1" t="s">
        <v>65</v>
      </c>
      <c r="H29" s="1" t="s">
        <v>22</v>
      </c>
      <c r="I29" s="1" t="s">
        <v>219</v>
      </c>
      <c r="J29" s="1">
        <v>10</v>
      </c>
      <c r="K29" s="1">
        <v>23</v>
      </c>
      <c r="L29" s="2">
        <f>IFERROR(K29/J29*100,0)</f>
        <v>0</v>
      </c>
      <c r="M29" s="1">
        <v>42</v>
      </c>
      <c r="N29" s="1" t="s">
        <v>220</v>
      </c>
      <c r="O29" s="1" t="s">
        <v>231</v>
      </c>
      <c r="P29" s="1" t="s">
        <v>9</v>
      </c>
      <c r="Q29" s="7">
        <f>IF(P29="Yes",C29+CertValidityDays,"")</f>
        <v>0</v>
      </c>
    </row>
    <row r="30" spans="1:17">
      <c r="A30" s="1">
        <v>27</v>
      </c>
      <c r="B30" s="1" t="s">
        <v>258</v>
      </c>
      <c r="C30" s="5">
        <v>46201</v>
      </c>
      <c r="D30" s="1" t="s">
        <v>73</v>
      </c>
      <c r="E30" s="6" t="s">
        <v>38</v>
      </c>
      <c r="F30" s="6" t="s">
        <v>229</v>
      </c>
      <c r="G30" s="1" t="s">
        <v>89</v>
      </c>
      <c r="H30" s="1" t="s">
        <v>28</v>
      </c>
      <c r="I30" s="1" t="s">
        <v>240</v>
      </c>
      <c r="J30" s="1">
        <v>29</v>
      </c>
      <c r="K30" s="1">
        <v>19</v>
      </c>
      <c r="L30" s="2">
        <f>IFERROR(K30/J30*100,0)</f>
        <v>0</v>
      </c>
      <c r="M30" s="1">
        <v>49</v>
      </c>
      <c r="N30" s="1" t="s">
        <v>220</v>
      </c>
      <c r="O30" s="1" t="s">
        <v>221</v>
      </c>
      <c r="P30" s="1" t="s">
        <v>9</v>
      </c>
      <c r="Q30" s="7">
        <f>IF(P30="Yes",C30+CertValidityDays,"")</f>
        <v>0</v>
      </c>
    </row>
    <row r="31" spans="1:17">
      <c r="A31" s="1">
        <v>28</v>
      </c>
      <c r="B31" s="1" t="s">
        <v>259</v>
      </c>
      <c r="C31" s="5">
        <v>46177</v>
      </c>
      <c r="D31" s="1" t="s">
        <v>73</v>
      </c>
      <c r="E31" s="6" t="s">
        <v>54</v>
      </c>
      <c r="F31" s="6" t="s">
        <v>218</v>
      </c>
      <c r="G31" s="1" t="s">
        <v>65</v>
      </c>
      <c r="H31" s="1" t="s">
        <v>22</v>
      </c>
      <c r="I31" s="1" t="s">
        <v>223</v>
      </c>
      <c r="J31" s="1">
        <v>53</v>
      </c>
      <c r="K31" s="1">
        <v>31</v>
      </c>
      <c r="L31" s="2">
        <f>IFERROR(K31/J31*100,0)</f>
        <v>0</v>
      </c>
      <c r="M31" s="1">
        <v>84</v>
      </c>
      <c r="N31" s="1" t="s">
        <v>230</v>
      </c>
      <c r="O31" s="1" t="s">
        <v>231</v>
      </c>
      <c r="P31" s="1" t="s">
        <v>9</v>
      </c>
      <c r="Q31" s="7">
        <f>IF(P31="Yes",C31+CertValidityDays,"")</f>
        <v>0</v>
      </c>
    </row>
    <row r="32" spans="1:17">
      <c r="A32" s="1">
        <v>29</v>
      </c>
      <c r="B32" s="1" t="s">
        <v>260</v>
      </c>
      <c r="C32" s="5">
        <v>46196</v>
      </c>
      <c r="D32" s="1" t="s">
        <v>73</v>
      </c>
      <c r="E32" s="6" t="s">
        <v>38</v>
      </c>
      <c r="F32" s="6" t="s">
        <v>233</v>
      </c>
      <c r="G32" s="1" t="s">
        <v>89</v>
      </c>
      <c r="H32" s="1" t="s">
        <v>22</v>
      </c>
      <c r="I32" s="1" t="s">
        <v>219</v>
      </c>
      <c r="J32" s="1">
        <v>45</v>
      </c>
      <c r="K32" s="1">
        <v>15</v>
      </c>
      <c r="L32" s="2">
        <f>IFERROR(K32/J32*100,0)</f>
        <v>0</v>
      </c>
      <c r="M32" s="1">
        <v>39</v>
      </c>
      <c r="N32" s="1" t="s">
        <v>230</v>
      </c>
      <c r="O32" s="1" t="s">
        <v>231</v>
      </c>
      <c r="P32" s="1" t="s">
        <v>9</v>
      </c>
      <c r="Q32" s="7">
        <f>IF(P32="Yes",C32+CertValidityDays,"")</f>
        <v>0</v>
      </c>
    </row>
    <row r="33" spans="1:17">
      <c r="A33" s="1">
        <v>30</v>
      </c>
      <c r="B33" s="1" t="s">
        <v>261</v>
      </c>
      <c r="C33" s="5">
        <v>46225</v>
      </c>
      <c r="D33" s="1" t="s">
        <v>76</v>
      </c>
      <c r="E33" s="6" t="s">
        <v>12</v>
      </c>
      <c r="F33" s="6" t="s">
        <v>218</v>
      </c>
      <c r="G33" s="1" t="s">
        <v>58</v>
      </c>
      <c r="H33" s="1" t="s">
        <v>41</v>
      </c>
      <c r="I33" s="1" t="s">
        <v>240</v>
      </c>
      <c r="J33" s="1">
        <v>57</v>
      </c>
      <c r="K33" s="1">
        <v>53</v>
      </c>
      <c r="L33" s="2">
        <f>IFERROR(K33/J33*100,0)</f>
        <v>0</v>
      </c>
      <c r="M33" s="1">
        <v>90</v>
      </c>
      <c r="N33" s="1" t="s">
        <v>220</v>
      </c>
      <c r="O33" s="1" t="s">
        <v>225</v>
      </c>
      <c r="P33" s="1" t="s">
        <v>9</v>
      </c>
      <c r="Q33" s="7">
        <f>IF(P33="Yes",C33+CertValidityDays,"")</f>
        <v>0</v>
      </c>
    </row>
    <row r="34" spans="1:17">
      <c r="A34" s="1">
        <v>31</v>
      </c>
      <c r="B34" s="1" t="s">
        <v>262</v>
      </c>
      <c r="C34" s="5">
        <v>46211</v>
      </c>
      <c r="D34" s="1" t="s">
        <v>76</v>
      </c>
      <c r="E34" s="6" t="s">
        <v>61</v>
      </c>
      <c r="F34" s="6" t="s">
        <v>233</v>
      </c>
      <c r="G34" s="1" t="s">
        <v>65</v>
      </c>
      <c r="H34" s="1" t="s">
        <v>93</v>
      </c>
      <c r="I34" s="1" t="s">
        <v>227</v>
      </c>
      <c r="J34" s="1">
        <v>29</v>
      </c>
      <c r="K34" s="1">
        <v>57</v>
      </c>
      <c r="L34" s="2">
        <f>IFERROR(K34/J34*100,0)</f>
        <v>0</v>
      </c>
      <c r="M34" s="1">
        <v>83</v>
      </c>
      <c r="N34" s="1" t="s">
        <v>220</v>
      </c>
      <c r="O34" s="1" t="s">
        <v>231</v>
      </c>
      <c r="P34" s="1" t="s">
        <v>23</v>
      </c>
      <c r="Q34" s="7">
        <f>IF(P34="Yes",C34+CertValidityDays,"")</f>
        <v>0</v>
      </c>
    </row>
    <row r="35" spans="1:17">
      <c r="A35" s="1">
        <v>32</v>
      </c>
      <c r="B35" s="1" t="s">
        <v>263</v>
      </c>
      <c r="C35" s="5">
        <v>46216</v>
      </c>
      <c r="D35" s="1" t="s">
        <v>76</v>
      </c>
      <c r="E35" s="6" t="s">
        <v>12</v>
      </c>
      <c r="F35" s="6" t="s">
        <v>235</v>
      </c>
      <c r="G35" s="1" t="s">
        <v>58</v>
      </c>
      <c r="H35" s="1" t="s">
        <v>62</v>
      </c>
      <c r="I35" s="1" t="s">
        <v>223</v>
      </c>
      <c r="J35" s="1">
        <v>32</v>
      </c>
      <c r="K35" s="1">
        <v>57</v>
      </c>
      <c r="L35" s="2">
        <f>IFERROR(K35/J35*100,0)</f>
        <v>0</v>
      </c>
      <c r="M35" s="1">
        <v>18</v>
      </c>
      <c r="N35" s="1" t="s">
        <v>220</v>
      </c>
      <c r="O35" s="1" t="s">
        <v>231</v>
      </c>
      <c r="P35" s="1" t="s">
        <v>9</v>
      </c>
      <c r="Q35" s="7">
        <f>IF(P35="Yes",C35+CertValidityDays,"")</f>
        <v>0</v>
      </c>
    </row>
    <row r="36" spans="1:17">
      <c r="A36" s="1">
        <v>33</v>
      </c>
      <c r="B36" s="1" t="s">
        <v>264</v>
      </c>
      <c r="C36" s="5">
        <v>46207</v>
      </c>
      <c r="D36" s="1" t="s">
        <v>76</v>
      </c>
      <c r="E36" s="6" t="s">
        <v>61</v>
      </c>
      <c r="F36" s="6" t="s">
        <v>229</v>
      </c>
      <c r="G36" s="1" t="s">
        <v>46</v>
      </c>
      <c r="H36" s="1" t="s">
        <v>15</v>
      </c>
      <c r="I36" s="1" t="s">
        <v>240</v>
      </c>
      <c r="J36" s="1">
        <v>36</v>
      </c>
      <c r="K36" s="1">
        <v>25</v>
      </c>
      <c r="L36" s="2">
        <f>IFERROR(K36/J36*100,0)</f>
        <v>0</v>
      </c>
      <c r="M36" s="1">
        <v>56</v>
      </c>
      <c r="N36" s="1" t="s">
        <v>220</v>
      </c>
      <c r="O36" s="1" t="s">
        <v>231</v>
      </c>
      <c r="P36" s="1" t="s">
        <v>9</v>
      </c>
      <c r="Q36" s="7">
        <f>IF(P36="Yes",C36+CertValidityDays,"")</f>
        <v>0</v>
      </c>
    </row>
    <row r="37" spans="1:17">
      <c r="A37" s="1">
        <v>34</v>
      </c>
      <c r="B37" s="1" t="s">
        <v>265</v>
      </c>
      <c r="C37" s="5">
        <v>46209</v>
      </c>
      <c r="D37" s="1" t="s">
        <v>76</v>
      </c>
      <c r="E37" s="6" t="s">
        <v>64</v>
      </c>
      <c r="F37" s="6" t="s">
        <v>237</v>
      </c>
      <c r="G37" s="1" t="s">
        <v>50</v>
      </c>
      <c r="H37" s="1" t="s">
        <v>36</v>
      </c>
      <c r="I37" s="1" t="s">
        <v>227</v>
      </c>
      <c r="J37" s="1">
        <v>37</v>
      </c>
      <c r="K37" s="1">
        <v>16</v>
      </c>
      <c r="L37" s="2">
        <f>IFERROR(K37/J37*100,0)</f>
        <v>0</v>
      </c>
      <c r="M37" s="1">
        <v>59</v>
      </c>
      <c r="N37" s="1" t="s">
        <v>224</v>
      </c>
      <c r="O37" s="1" t="s">
        <v>231</v>
      </c>
      <c r="P37" s="1" t="s">
        <v>9</v>
      </c>
      <c r="Q37" s="7">
        <f>IF(P37="Yes",C37+CertValidityDays,"")</f>
        <v>0</v>
      </c>
    </row>
    <row r="38" spans="1:17">
      <c r="A38" s="1">
        <v>35</v>
      </c>
      <c r="B38" s="1" t="s">
        <v>266</v>
      </c>
      <c r="C38" s="5">
        <v>46228</v>
      </c>
      <c r="D38" s="1" t="s">
        <v>76</v>
      </c>
      <c r="E38" s="6" t="s">
        <v>61</v>
      </c>
      <c r="F38" s="6" t="s">
        <v>229</v>
      </c>
      <c r="G38" s="1" t="s">
        <v>46</v>
      </c>
      <c r="H38" s="1" t="s">
        <v>93</v>
      </c>
      <c r="I38" s="1" t="s">
        <v>223</v>
      </c>
      <c r="J38" s="1">
        <v>32</v>
      </c>
      <c r="K38" s="1">
        <v>10</v>
      </c>
      <c r="L38" s="2">
        <f>IFERROR(K38/J38*100,0)</f>
        <v>0</v>
      </c>
      <c r="M38" s="1">
        <v>112</v>
      </c>
      <c r="N38" s="1" t="s">
        <v>220</v>
      </c>
      <c r="O38" s="1" t="s">
        <v>221</v>
      </c>
      <c r="P38" s="1" t="s">
        <v>23</v>
      </c>
      <c r="Q38" s="7">
        <f>IF(P38="Yes",C38+CertValidityDays,"")</f>
        <v>0</v>
      </c>
    </row>
    <row r="39" spans="1:17">
      <c r="A39" s="1">
        <v>36</v>
      </c>
      <c r="B39" s="1" t="s">
        <v>267</v>
      </c>
      <c r="C39" s="5">
        <v>46226</v>
      </c>
      <c r="D39" s="1" t="s">
        <v>76</v>
      </c>
      <c r="E39" s="6" t="s">
        <v>45</v>
      </c>
      <c r="F39" s="6" t="s">
        <v>223</v>
      </c>
      <c r="G39" s="1" t="s">
        <v>27</v>
      </c>
      <c r="H39" s="1" t="s">
        <v>93</v>
      </c>
      <c r="I39" s="1" t="s">
        <v>223</v>
      </c>
      <c r="J39" s="1">
        <v>40</v>
      </c>
      <c r="K39" s="1">
        <v>38</v>
      </c>
      <c r="L39" s="2">
        <f>IFERROR(K39/J39*100,0)</f>
        <v>0</v>
      </c>
      <c r="M39" s="1">
        <v>96</v>
      </c>
      <c r="N39" s="1" t="s">
        <v>230</v>
      </c>
      <c r="O39" s="1" t="s">
        <v>231</v>
      </c>
      <c r="P39" s="1" t="s">
        <v>23</v>
      </c>
      <c r="Q39" s="7">
        <f>IF(P39="Yes",C39+CertValidityDays,"")</f>
        <v>0</v>
      </c>
    </row>
    <row r="40" spans="1:17">
      <c r="A40" s="1">
        <v>37</v>
      </c>
      <c r="B40" s="1" t="s">
        <v>268</v>
      </c>
      <c r="C40" s="5">
        <v>46210</v>
      </c>
      <c r="D40" s="1" t="s">
        <v>76</v>
      </c>
      <c r="E40" s="6" t="s">
        <v>16</v>
      </c>
      <c r="F40" s="6" t="s">
        <v>223</v>
      </c>
      <c r="G40" s="1" t="s">
        <v>92</v>
      </c>
      <c r="H40" s="1" t="s">
        <v>22</v>
      </c>
      <c r="I40" s="1" t="s">
        <v>219</v>
      </c>
      <c r="J40" s="1">
        <v>23</v>
      </c>
      <c r="K40" s="1">
        <v>48</v>
      </c>
      <c r="L40" s="2">
        <f>IFERROR(K40/J40*100,0)</f>
        <v>0</v>
      </c>
      <c r="M40" s="1">
        <v>84</v>
      </c>
      <c r="N40" s="1" t="s">
        <v>230</v>
      </c>
      <c r="O40" s="1" t="s">
        <v>221</v>
      </c>
      <c r="P40" s="1" t="s">
        <v>23</v>
      </c>
      <c r="Q40" s="7">
        <f>IF(P40="Yes",C40+CertValidityDays,"")</f>
        <v>0</v>
      </c>
    </row>
    <row r="41" spans="1:17">
      <c r="A41" s="1">
        <v>38</v>
      </c>
      <c r="B41" s="1" t="s">
        <v>269</v>
      </c>
      <c r="C41" s="5">
        <v>46258</v>
      </c>
      <c r="D41" s="1" t="s">
        <v>86</v>
      </c>
      <c r="E41" s="6" t="s">
        <v>57</v>
      </c>
      <c r="F41" s="6" t="s">
        <v>223</v>
      </c>
      <c r="G41" s="1" t="s">
        <v>65</v>
      </c>
      <c r="H41" s="1" t="s">
        <v>32</v>
      </c>
      <c r="I41" s="1" t="s">
        <v>223</v>
      </c>
      <c r="J41" s="1">
        <v>40</v>
      </c>
      <c r="K41" s="1">
        <v>28</v>
      </c>
      <c r="L41" s="2">
        <f>IFERROR(K41/J41*100,0)</f>
        <v>0</v>
      </c>
      <c r="M41" s="1">
        <v>55</v>
      </c>
      <c r="N41" s="1" t="s">
        <v>230</v>
      </c>
      <c r="O41" s="1" t="s">
        <v>231</v>
      </c>
      <c r="P41" s="1" t="s">
        <v>9</v>
      </c>
      <c r="Q41" s="7">
        <f>IF(P41="Yes",C41+CertValidityDays,"")</f>
        <v>0</v>
      </c>
    </row>
    <row r="42" spans="1:17">
      <c r="A42" s="1">
        <v>39</v>
      </c>
      <c r="B42" s="1" t="s">
        <v>270</v>
      </c>
      <c r="C42" s="5">
        <v>46278</v>
      </c>
      <c r="D42" s="1" t="s">
        <v>102</v>
      </c>
      <c r="E42" s="6" t="s">
        <v>61</v>
      </c>
      <c r="F42" s="6" t="s">
        <v>218</v>
      </c>
      <c r="G42" s="1" t="s">
        <v>89</v>
      </c>
      <c r="H42" s="1" t="s">
        <v>36</v>
      </c>
      <c r="I42" s="1" t="s">
        <v>223</v>
      </c>
      <c r="J42" s="1">
        <v>54</v>
      </c>
      <c r="K42" s="1">
        <v>26</v>
      </c>
      <c r="L42" s="2">
        <f>IFERROR(K42/J42*100,0)</f>
        <v>0</v>
      </c>
      <c r="M42" s="1">
        <v>59</v>
      </c>
      <c r="N42" s="1" t="s">
        <v>224</v>
      </c>
      <c r="O42" s="1" t="s">
        <v>225</v>
      </c>
      <c r="P42" s="1" t="s">
        <v>9</v>
      </c>
      <c r="Q42" s="7">
        <f>IF(P42="Yes",C42+CertValidityDays,"")</f>
        <v>0</v>
      </c>
    </row>
    <row r="43" spans="1:17">
      <c r="A43" s="1">
        <v>40</v>
      </c>
      <c r="B43" s="1" t="s">
        <v>271</v>
      </c>
      <c r="C43" s="5">
        <v>46275</v>
      </c>
      <c r="D43" s="1" t="s">
        <v>102</v>
      </c>
      <c r="E43" s="6" t="s">
        <v>38</v>
      </c>
      <c r="F43" s="6" t="s">
        <v>218</v>
      </c>
      <c r="G43" s="1" t="s">
        <v>27</v>
      </c>
      <c r="H43" s="1" t="s">
        <v>22</v>
      </c>
      <c r="I43" s="1" t="s">
        <v>227</v>
      </c>
      <c r="J43" s="1">
        <v>29</v>
      </c>
      <c r="K43" s="1">
        <v>20</v>
      </c>
      <c r="L43" s="2">
        <f>IFERROR(K43/J43*100,0)</f>
        <v>0</v>
      </c>
      <c r="M43" s="1">
        <v>70</v>
      </c>
      <c r="N43" s="1" t="s">
        <v>230</v>
      </c>
      <c r="O43" s="1" t="s">
        <v>231</v>
      </c>
      <c r="P43" s="1" t="s">
        <v>23</v>
      </c>
      <c r="Q43" s="7">
        <f>IF(P43="Yes",C43+CertValidityDays,"")</f>
        <v>0</v>
      </c>
    </row>
    <row r="44" spans="1:17">
      <c r="A44" s="1">
        <v>41</v>
      </c>
      <c r="B44" s="1" t="s">
        <v>272</v>
      </c>
      <c r="C44" s="5">
        <v>46308</v>
      </c>
      <c r="D44" s="1" t="s">
        <v>106</v>
      </c>
      <c r="E44" s="6" t="s">
        <v>26</v>
      </c>
      <c r="F44" s="6" t="s">
        <v>235</v>
      </c>
      <c r="G44" s="1" t="s">
        <v>46</v>
      </c>
      <c r="H44" s="1" t="s">
        <v>78</v>
      </c>
      <c r="I44" s="1" t="s">
        <v>227</v>
      </c>
      <c r="J44" s="1">
        <v>33</v>
      </c>
      <c r="K44" s="1">
        <v>11</v>
      </c>
      <c r="L44" s="2">
        <f>IFERROR(K44/J44*100,0)</f>
        <v>0</v>
      </c>
      <c r="M44" s="1">
        <v>84</v>
      </c>
      <c r="N44" s="1" t="s">
        <v>220</v>
      </c>
      <c r="O44" s="1" t="s">
        <v>231</v>
      </c>
      <c r="P44" s="1" t="s">
        <v>9</v>
      </c>
      <c r="Q44" s="7">
        <f>IF(P44="Yes",C44+CertValidityDays,"")</f>
        <v>0</v>
      </c>
    </row>
    <row r="45" spans="1:17">
      <c r="A45" s="1">
        <v>42</v>
      </c>
      <c r="B45" s="1" t="s">
        <v>273</v>
      </c>
      <c r="C45" s="5">
        <v>46301</v>
      </c>
      <c r="D45" s="1" t="s">
        <v>106</v>
      </c>
      <c r="E45" s="6" t="s">
        <v>45</v>
      </c>
      <c r="F45" s="6" t="s">
        <v>229</v>
      </c>
      <c r="G45" s="1" t="s">
        <v>92</v>
      </c>
      <c r="H45" s="1" t="s">
        <v>104</v>
      </c>
      <c r="I45" s="1" t="s">
        <v>227</v>
      </c>
      <c r="J45" s="1">
        <v>38</v>
      </c>
      <c r="K45" s="1">
        <v>39</v>
      </c>
      <c r="L45" s="2">
        <f>IFERROR(K45/J45*100,0)</f>
        <v>0</v>
      </c>
      <c r="M45" s="1">
        <v>27</v>
      </c>
      <c r="N45" s="1" t="s">
        <v>224</v>
      </c>
      <c r="O45" s="1" t="s">
        <v>221</v>
      </c>
      <c r="P45" s="1" t="s">
        <v>23</v>
      </c>
      <c r="Q45" s="7">
        <f>IF(P45="Yes",C45+CertValidityDays,"")</f>
        <v>0</v>
      </c>
    </row>
    <row r="46" spans="1:17">
      <c r="A46" s="1">
        <v>43</v>
      </c>
      <c r="B46" s="1" t="s">
        <v>274</v>
      </c>
      <c r="C46" s="5">
        <v>46321</v>
      </c>
      <c r="D46" s="1" t="s">
        <v>106</v>
      </c>
      <c r="E46" s="6" t="s">
        <v>57</v>
      </c>
      <c r="F46" s="6" t="s">
        <v>223</v>
      </c>
      <c r="G46" s="1" t="s">
        <v>65</v>
      </c>
      <c r="H46" s="1" t="s">
        <v>68</v>
      </c>
      <c r="I46" s="1" t="s">
        <v>240</v>
      </c>
      <c r="J46" s="1">
        <v>54</v>
      </c>
      <c r="K46" s="1">
        <v>24</v>
      </c>
      <c r="L46" s="2">
        <f>IFERROR(K46/J46*100,0)</f>
        <v>0</v>
      </c>
      <c r="M46" s="1">
        <v>61</v>
      </c>
      <c r="N46" s="1" t="s">
        <v>224</v>
      </c>
      <c r="O46" s="1" t="s">
        <v>231</v>
      </c>
      <c r="P46" s="1" t="s">
        <v>23</v>
      </c>
      <c r="Q46" s="7">
        <f>IF(P46="Yes",C46+CertValidityDays,"")</f>
        <v>0</v>
      </c>
    </row>
    <row r="47" spans="1:17">
      <c r="A47" s="1">
        <v>44</v>
      </c>
      <c r="B47" s="1" t="s">
        <v>275</v>
      </c>
      <c r="C47" s="5">
        <v>46347</v>
      </c>
      <c r="D47" s="1" t="s">
        <v>111</v>
      </c>
      <c r="E47" s="6" t="s">
        <v>54</v>
      </c>
      <c r="F47" s="6" t="s">
        <v>218</v>
      </c>
      <c r="G47" s="1" t="s">
        <v>27</v>
      </c>
      <c r="H47" s="1" t="s">
        <v>70</v>
      </c>
      <c r="I47" s="1" t="s">
        <v>240</v>
      </c>
      <c r="J47" s="1">
        <v>24</v>
      </c>
      <c r="K47" s="1">
        <v>30</v>
      </c>
      <c r="L47" s="2">
        <f>IFERROR(K47/J47*100,0)</f>
        <v>0</v>
      </c>
      <c r="M47" s="1">
        <v>71</v>
      </c>
      <c r="N47" s="1" t="s">
        <v>230</v>
      </c>
      <c r="O47" s="1" t="s">
        <v>225</v>
      </c>
      <c r="P47" s="1" t="s">
        <v>23</v>
      </c>
      <c r="Q47" s="7">
        <f>IF(P47="Yes",C47+CertValidityDays,"")</f>
        <v>0</v>
      </c>
    </row>
    <row r="48" spans="1:17">
      <c r="A48" s="1">
        <v>45</v>
      </c>
      <c r="B48" s="1" t="s">
        <v>276</v>
      </c>
      <c r="C48" s="5">
        <v>46342</v>
      </c>
      <c r="D48" s="1" t="s">
        <v>111</v>
      </c>
      <c r="E48" s="6" t="s">
        <v>61</v>
      </c>
      <c r="F48" s="6" t="s">
        <v>229</v>
      </c>
      <c r="G48" s="1" t="s">
        <v>27</v>
      </c>
      <c r="H48" s="1" t="s">
        <v>32</v>
      </c>
      <c r="I48" s="1" t="s">
        <v>240</v>
      </c>
      <c r="J48" s="1">
        <v>48</v>
      </c>
      <c r="K48" s="1">
        <v>42</v>
      </c>
      <c r="L48" s="2">
        <f>IFERROR(K48/J48*100,0)</f>
        <v>0</v>
      </c>
      <c r="M48" s="1">
        <v>58</v>
      </c>
      <c r="N48" s="1" t="s">
        <v>230</v>
      </c>
      <c r="O48" s="1" t="s">
        <v>225</v>
      </c>
      <c r="P48" s="1" t="s">
        <v>9</v>
      </c>
      <c r="Q48" s="7">
        <f>IF(P48="Yes",C48+CertValidityDays,"")</f>
        <v>0</v>
      </c>
    </row>
    <row r="49" spans="1:17">
      <c r="A49" s="1">
        <v>46</v>
      </c>
      <c r="B49" s="1" t="s">
        <v>277</v>
      </c>
      <c r="C49" s="5">
        <v>46344</v>
      </c>
      <c r="D49" s="1" t="s">
        <v>111</v>
      </c>
      <c r="E49" s="6" t="s">
        <v>57</v>
      </c>
      <c r="F49" s="6" t="s">
        <v>233</v>
      </c>
      <c r="G49" s="1" t="s">
        <v>13</v>
      </c>
      <c r="H49" s="1" t="s">
        <v>22</v>
      </c>
      <c r="I49" s="1" t="s">
        <v>219</v>
      </c>
      <c r="J49" s="1">
        <v>32</v>
      </c>
      <c r="K49" s="1">
        <v>58</v>
      </c>
      <c r="L49" s="2">
        <f>IFERROR(K49/J49*100,0)</f>
        <v>0</v>
      </c>
      <c r="M49" s="1">
        <v>64</v>
      </c>
      <c r="N49" s="1" t="s">
        <v>220</v>
      </c>
      <c r="O49" s="1" t="s">
        <v>231</v>
      </c>
      <c r="P49" s="1" t="s">
        <v>23</v>
      </c>
      <c r="Q49" s="7">
        <f>IF(P49="Yes",C49+CertValidityDays,"")</f>
        <v>0</v>
      </c>
    </row>
    <row r="50" spans="1:17">
      <c r="A50" s="1">
        <v>47</v>
      </c>
      <c r="B50" s="1" t="s">
        <v>278</v>
      </c>
      <c r="C50" s="5">
        <v>46345</v>
      </c>
      <c r="D50" s="1" t="s">
        <v>111</v>
      </c>
      <c r="E50" s="6" t="s">
        <v>64</v>
      </c>
      <c r="F50" s="6" t="s">
        <v>223</v>
      </c>
      <c r="G50" s="1" t="s">
        <v>46</v>
      </c>
      <c r="H50" s="1" t="s">
        <v>32</v>
      </c>
      <c r="I50" s="1" t="s">
        <v>223</v>
      </c>
      <c r="J50" s="1">
        <v>13</v>
      </c>
      <c r="K50" s="1">
        <v>50</v>
      </c>
      <c r="L50" s="2">
        <f>IFERROR(K50/J50*100,0)</f>
        <v>0</v>
      </c>
      <c r="M50" s="1">
        <v>98</v>
      </c>
      <c r="N50" s="1" t="s">
        <v>220</v>
      </c>
      <c r="O50" s="1" t="s">
        <v>225</v>
      </c>
      <c r="P50" s="1" t="s">
        <v>9</v>
      </c>
      <c r="Q50" s="7">
        <f>IF(P50="Yes",C50+CertValidityDays,"")</f>
        <v>0</v>
      </c>
    </row>
    <row r="51" spans="1:17">
      <c r="A51" s="1">
        <v>48</v>
      </c>
      <c r="B51" s="1" t="s">
        <v>279</v>
      </c>
      <c r="C51" s="5">
        <v>46368</v>
      </c>
      <c r="D51" s="1" t="s">
        <v>122</v>
      </c>
      <c r="E51" s="6" t="s">
        <v>20</v>
      </c>
      <c r="F51" s="6" t="s">
        <v>223</v>
      </c>
      <c r="G51" s="1" t="s">
        <v>58</v>
      </c>
      <c r="H51" s="1" t="s">
        <v>70</v>
      </c>
      <c r="I51" s="1" t="s">
        <v>240</v>
      </c>
      <c r="J51" s="1">
        <v>28</v>
      </c>
      <c r="K51" s="1">
        <v>18</v>
      </c>
      <c r="L51" s="2">
        <f>IFERROR(K51/J51*100,0)</f>
        <v>0</v>
      </c>
      <c r="M51" s="1">
        <v>28</v>
      </c>
      <c r="N51" s="1" t="s">
        <v>224</v>
      </c>
      <c r="O51" s="1" t="s">
        <v>231</v>
      </c>
      <c r="P51" s="1" t="s">
        <v>9</v>
      </c>
      <c r="Q51" s="7">
        <f>IF(P51="Yes",C51+CertValidityDays,"")</f>
        <v>0</v>
      </c>
    </row>
    <row r="52" spans="1:17">
      <c r="L52" s="2">
        <f>IFERROR(K52/J52*100,0)</f>
        <v>0</v>
      </c>
      <c r="Q52" s="7">
        <f>IF(P52="Yes",C52+CertValidityDays,"")</f>
        <v>0</v>
      </c>
    </row>
    <row r="53" spans="1:17">
      <c r="L53" s="2">
        <f>IFERROR(K53/J53*100,0)</f>
        <v>0</v>
      </c>
      <c r="Q53" s="7">
        <f>IF(P53="Yes",C53+CertValidityDays,"")</f>
        <v>0</v>
      </c>
    </row>
    <row r="54" spans="1:17">
      <c r="L54" s="2">
        <f>IFERROR(K54/J54*100,0)</f>
        <v>0</v>
      </c>
      <c r="Q54" s="7">
        <f>IF(P54="Yes",C54+CertValidityDays,"")</f>
        <v>0</v>
      </c>
    </row>
    <row r="55" spans="1:17">
      <c r="L55" s="2">
        <f>IFERROR(K55/J55*100,0)</f>
        <v>0</v>
      </c>
      <c r="Q55" s="7">
        <f>IF(P55="Yes",C55+CertValidityDays,"")</f>
        <v>0</v>
      </c>
    </row>
    <row r="56" spans="1:17">
      <c r="L56" s="2">
        <f>IFERROR(K56/J56*100,0)</f>
        <v>0</v>
      </c>
      <c r="Q56" s="7">
        <f>IF(P56="Yes",C56+CertValidityDays,"")</f>
        <v>0</v>
      </c>
    </row>
    <row r="57" spans="1:17">
      <c r="L57" s="2">
        <f>IFERROR(K57/J57*100,0)</f>
        <v>0</v>
      </c>
      <c r="Q57" s="7">
        <f>IF(P57="Yes",C57+CertValidityDays,"")</f>
        <v>0</v>
      </c>
    </row>
    <row r="58" spans="1:17">
      <c r="L58" s="2">
        <f>IFERROR(K58/J58*100,0)</f>
        <v>0</v>
      </c>
      <c r="Q58" s="7">
        <f>IF(P58="Yes",C58+CertValidityDays,"")</f>
        <v>0</v>
      </c>
    </row>
    <row r="59" spans="1:17">
      <c r="L59" s="2">
        <f>IFERROR(K59/J59*100,0)</f>
        <v>0</v>
      </c>
      <c r="Q59" s="7">
        <f>IF(P59="Yes",C59+CertValidityDays,"")</f>
        <v>0</v>
      </c>
    </row>
    <row r="60" spans="1:17">
      <c r="L60" s="2">
        <f>IFERROR(K60/J60*100,0)</f>
        <v>0</v>
      </c>
      <c r="Q60" s="7">
        <f>IF(P60="Yes",C60+CertValidityDays,"")</f>
        <v>0</v>
      </c>
    </row>
    <row r="61" spans="1:17">
      <c r="L61" s="2">
        <f>IFERROR(K61/J61*100,0)</f>
        <v>0</v>
      </c>
      <c r="Q61" s="7">
        <f>IF(P61="Yes",C61+CertValidityDays,"")</f>
        <v>0</v>
      </c>
    </row>
    <row r="62" spans="1:17">
      <c r="L62" s="2">
        <f>IFERROR(K62/J62*100,0)</f>
        <v>0</v>
      </c>
      <c r="Q62" s="7">
        <f>IF(P62="Yes",C62+CertValidityDays,"")</f>
        <v>0</v>
      </c>
    </row>
    <row r="63" spans="1:17">
      <c r="L63" s="2">
        <f>IFERROR(K63/J63*100,0)</f>
        <v>0</v>
      </c>
      <c r="Q63" s="7">
        <f>IF(P63="Yes",C63+CertValidityDays,"")</f>
        <v>0</v>
      </c>
    </row>
    <row r="64" spans="1:17">
      <c r="L64" s="2">
        <f>IFERROR(K64/J64*100,0)</f>
        <v>0</v>
      </c>
      <c r="Q64" s="7">
        <f>IF(P64="Yes",C64+CertValidityDays,"")</f>
        <v>0</v>
      </c>
    </row>
    <row r="65" spans="12:17">
      <c r="L65" s="2">
        <f>IFERROR(K65/J65*100,0)</f>
        <v>0</v>
      </c>
      <c r="Q65" s="7">
        <f>IF(P65="Yes",C65+CertValidityDays,"")</f>
        <v>0</v>
      </c>
    </row>
    <row r="66" spans="12:17">
      <c r="L66" s="2">
        <f>IFERROR(K66/J66*100,0)</f>
        <v>0</v>
      </c>
      <c r="Q66" s="7">
        <f>IF(P66="Yes",C66+CertValidityDays,"")</f>
        <v>0</v>
      </c>
    </row>
    <row r="67" spans="12:17">
      <c r="L67" s="2">
        <f>IFERROR(K67/J67*100,0)</f>
        <v>0</v>
      </c>
      <c r="Q67" s="7">
        <f>IF(P67="Yes",C67+CertValidityDays,"")</f>
        <v>0</v>
      </c>
    </row>
    <row r="68" spans="12:17">
      <c r="L68" s="2">
        <f>IFERROR(K68/J68*100,0)</f>
        <v>0</v>
      </c>
      <c r="Q68" s="7">
        <f>IF(P68="Yes",C68+CertValidityDays,"")</f>
        <v>0</v>
      </c>
    </row>
    <row r="69" spans="12:17">
      <c r="L69" s="2">
        <f>IFERROR(K69/J69*100,0)</f>
        <v>0</v>
      </c>
      <c r="Q69" s="7">
        <f>IF(P69="Yes",C69+CertValidityDays,"")</f>
        <v>0</v>
      </c>
    </row>
    <row r="70" spans="12:17">
      <c r="L70" s="2">
        <f>IFERROR(K70/J70*100,0)</f>
        <v>0</v>
      </c>
      <c r="Q70" s="7">
        <f>IF(P70="Yes",C70+CertValidityDays,"")</f>
        <v>0</v>
      </c>
    </row>
    <row r="71" spans="12:17">
      <c r="L71" s="2">
        <f>IFERROR(K71/J71*100,0)</f>
        <v>0</v>
      </c>
      <c r="Q71" s="7">
        <f>IF(P71="Yes",C71+CertValidityDays,"")</f>
        <v>0</v>
      </c>
    </row>
    <row r="72" spans="12:17">
      <c r="L72" s="2">
        <f>IFERROR(K72/J72*100,0)</f>
        <v>0</v>
      </c>
      <c r="Q72" s="7">
        <f>IF(P72="Yes",C72+CertValidityDays,"")</f>
        <v>0</v>
      </c>
    </row>
    <row r="73" spans="12:17">
      <c r="L73" s="2">
        <f>IFERROR(K73/J73*100,0)</f>
        <v>0</v>
      </c>
      <c r="Q73" s="7">
        <f>IF(P73="Yes",C73+CertValidityDays,"")</f>
        <v>0</v>
      </c>
    </row>
    <row r="74" spans="12:17">
      <c r="L74" s="2">
        <f>IFERROR(K74/J74*100,0)</f>
        <v>0</v>
      </c>
      <c r="Q74" s="7">
        <f>IF(P74="Yes",C74+CertValidityDays,"")</f>
        <v>0</v>
      </c>
    </row>
    <row r="75" spans="12:17">
      <c r="L75" s="2">
        <f>IFERROR(K75/J75*100,0)</f>
        <v>0</v>
      </c>
      <c r="Q75" s="7">
        <f>IF(P75="Yes",C75+CertValidityDays,"")</f>
        <v>0</v>
      </c>
    </row>
    <row r="76" spans="12:17">
      <c r="L76" s="2">
        <f>IFERROR(K76/J76*100,0)</f>
        <v>0</v>
      </c>
      <c r="Q76" s="7">
        <f>IF(P76="Yes",C76+CertValidityDays,"")</f>
        <v>0</v>
      </c>
    </row>
    <row r="77" spans="12:17">
      <c r="L77" s="2">
        <f>IFERROR(K77/J77*100,0)</f>
        <v>0</v>
      </c>
      <c r="Q77" s="7">
        <f>IF(P77="Yes",C77+CertValidityDays,"")</f>
        <v>0</v>
      </c>
    </row>
    <row r="78" spans="12:17">
      <c r="L78" s="2">
        <f>IFERROR(K78/J78*100,0)</f>
        <v>0</v>
      </c>
      <c r="Q78" s="7">
        <f>IF(P78="Yes",C78+CertValidityDays,"")</f>
        <v>0</v>
      </c>
    </row>
    <row r="79" spans="12:17">
      <c r="L79" s="2">
        <f>IFERROR(K79/J79*100,0)</f>
        <v>0</v>
      </c>
      <c r="Q79" s="7">
        <f>IF(P79="Yes",C79+CertValidityDays,"")</f>
        <v>0</v>
      </c>
    </row>
    <row r="80" spans="12:17">
      <c r="L80" s="2">
        <f>IFERROR(K80/J80*100,0)</f>
        <v>0</v>
      </c>
      <c r="Q80" s="7">
        <f>IF(P80="Yes",C80+CertValidityDays,"")</f>
        <v>0</v>
      </c>
    </row>
    <row r="81" spans="12:17">
      <c r="L81" s="2">
        <f>IFERROR(K81/J81*100,0)</f>
        <v>0</v>
      </c>
      <c r="Q81" s="7">
        <f>IF(P81="Yes",C81+CertValidityDays,"")</f>
        <v>0</v>
      </c>
    </row>
    <row r="82" spans="12:17">
      <c r="L82" s="2">
        <f>IFERROR(K82/J82*100,0)</f>
        <v>0</v>
      </c>
      <c r="Q82" s="7">
        <f>IF(P82="Yes",C82+CertValidityDays,"")</f>
        <v>0</v>
      </c>
    </row>
    <row r="83" spans="12:17">
      <c r="L83" s="2">
        <f>IFERROR(K83/J83*100,0)</f>
        <v>0</v>
      </c>
      <c r="Q83" s="7">
        <f>IF(P83="Yes",C83+CertValidityDays,"")</f>
        <v>0</v>
      </c>
    </row>
    <row r="84" spans="12:17">
      <c r="L84" s="2">
        <f>IFERROR(K84/J84*100,0)</f>
        <v>0</v>
      </c>
      <c r="Q84" s="7">
        <f>IF(P84="Yes",C84+CertValidityDays,"")</f>
        <v>0</v>
      </c>
    </row>
    <row r="85" spans="12:17">
      <c r="L85" s="2">
        <f>IFERROR(K85/J85*100,0)</f>
        <v>0</v>
      </c>
      <c r="Q85" s="7">
        <f>IF(P85="Yes",C85+CertValidityDays,"")</f>
        <v>0</v>
      </c>
    </row>
    <row r="86" spans="12:17">
      <c r="L86" s="2">
        <f>IFERROR(K86/J86*100,0)</f>
        <v>0</v>
      </c>
      <c r="Q86" s="7">
        <f>IF(P86="Yes",C86+CertValidityDays,"")</f>
        <v>0</v>
      </c>
    </row>
    <row r="87" spans="12:17">
      <c r="L87" s="2">
        <f>IFERROR(K87/J87*100,0)</f>
        <v>0</v>
      </c>
      <c r="Q87" s="7">
        <f>IF(P87="Yes",C87+CertValidityDays,"")</f>
        <v>0</v>
      </c>
    </row>
    <row r="88" spans="12:17">
      <c r="L88" s="2">
        <f>IFERROR(K88/J88*100,0)</f>
        <v>0</v>
      </c>
      <c r="Q88" s="7">
        <f>IF(P88="Yes",C88+CertValidityDays,"")</f>
        <v>0</v>
      </c>
    </row>
    <row r="89" spans="12:17">
      <c r="L89" s="2">
        <f>IFERROR(K89/J89*100,0)</f>
        <v>0</v>
      </c>
      <c r="Q89" s="7">
        <f>IF(P89="Yes",C89+CertValidityDays,"")</f>
        <v>0</v>
      </c>
    </row>
    <row r="90" spans="12:17">
      <c r="L90" s="2">
        <f>IFERROR(K90/J90*100,0)</f>
        <v>0</v>
      </c>
      <c r="Q90" s="7">
        <f>IF(P90="Yes",C90+CertValidityDays,"")</f>
        <v>0</v>
      </c>
    </row>
    <row r="91" spans="12:17">
      <c r="L91" s="2">
        <f>IFERROR(K91/J91*100,0)</f>
        <v>0</v>
      </c>
      <c r="Q91" s="7">
        <f>IF(P91="Yes",C91+CertValidityDays,"")</f>
        <v>0</v>
      </c>
    </row>
    <row r="92" spans="12:17">
      <c r="L92" s="2">
        <f>IFERROR(K92/J92*100,0)</f>
        <v>0</v>
      </c>
      <c r="Q92" s="7">
        <f>IF(P92="Yes",C92+CertValidityDays,"")</f>
        <v>0</v>
      </c>
    </row>
    <row r="93" spans="12:17">
      <c r="L93" s="2">
        <f>IFERROR(K93/J93*100,0)</f>
        <v>0</v>
      </c>
      <c r="Q93" s="7">
        <f>IF(P93="Yes",C93+CertValidityDays,"")</f>
        <v>0</v>
      </c>
    </row>
    <row r="94" spans="12:17">
      <c r="L94" s="2">
        <f>IFERROR(K94/J94*100,0)</f>
        <v>0</v>
      </c>
      <c r="Q94" s="7">
        <f>IF(P94="Yes",C94+CertValidityDays,"")</f>
        <v>0</v>
      </c>
    </row>
    <row r="95" spans="12:17">
      <c r="L95" s="2">
        <f>IFERROR(K95/J95*100,0)</f>
        <v>0</v>
      </c>
      <c r="Q95" s="7">
        <f>IF(P95="Yes",C95+CertValidityDays,"")</f>
        <v>0</v>
      </c>
    </row>
    <row r="96" spans="12:17">
      <c r="L96" s="2">
        <f>IFERROR(K96/J96*100,0)</f>
        <v>0</v>
      </c>
      <c r="Q96" s="7">
        <f>IF(P96="Yes",C96+CertValidityDays,"")</f>
        <v>0</v>
      </c>
    </row>
    <row r="97" spans="12:17">
      <c r="L97" s="2">
        <f>IFERROR(K97/J97*100,0)</f>
        <v>0</v>
      </c>
      <c r="Q97" s="7">
        <f>IF(P97="Yes",C97+CertValidityDays,"")</f>
        <v>0</v>
      </c>
    </row>
    <row r="98" spans="12:17">
      <c r="L98" s="2">
        <f>IFERROR(K98/J98*100,0)</f>
        <v>0</v>
      </c>
      <c r="Q98" s="7">
        <f>IF(P98="Yes",C98+CertValidityDays,"")</f>
        <v>0</v>
      </c>
    </row>
    <row r="99" spans="12:17">
      <c r="L99" s="2">
        <f>IFERROR(K99/J99*100,0)</f>
        <v>0</v>
      </c>
      <c r="Q99" s="7">
        <f>IF(P99="Yes",C99+CertValidityDays,"")</f>
        <v>0</v>
      </c>
    </row>
    <row r="100" spans="12:17">
      <c r="L100" s="2">
        <f>IFERROR(K100/J100*100,0)</f>
        <v>0</v>
      </c>
      <c r="Q100" s="7">
        <f>IF(P100="Yes",C100+CertValidityDays,"")</f>
        <v>0</v>
      </c>
    </row>
    <row r="101" spans="12:17">
      <c r="L101" s="2">
        <f>IFERROR(K101/J101*100,0)</f>
        <v>0</v>
      </c>
      <c r="Q101" s="7">
        <f>IF(P101="Yes",C101+CertValidityDays,"")</f>
        <v>0</v>
      </c>
    </row>
    <row r="102" spans="12:17">
      <c r="L102" s="2">
        <f>IFERROR(K102/J102*100,0)</f>
        <v>0</v>
      </c>
      <c r="Q102" s="7">
        <f>IF(P102="Yes",C102+CertValidityDays,"")</f>
        <v>0</v>
      </c>
    </row>
    <row r="103" spans="12:17">
      <c r="L103" s="2">
        <f>IFERROR(K103/J103*100,0)</f>
        <v>0</v>
      </c>
      <c r="Q103" s="7">
        <f>IF(P103="Yes",C103+CertValidityDays,"")</f>
        <v>0</v>
      </c>
    </row>
    <row r="104" spans="12:17">
      <c r="L104" s="2">
        <f>IFERROR(K104/J104*100,0)</f>
        <v>0</v>
      </c>
      <c r="Q104" s="7">
        <f>IF(P104="Yes",C104+CertValidityDays,"")</f>
        <v>0</v>
      </c>
    </row>
    <row r="105" spans="12:17">
      <c r="L105" s="2">
        <f>IFERROR(K105/J105*100,0)</f>
        <v>0</v>
      </c>
      <c r="Q105" s="7">
        <f>IF(P105="Yes",C105+CertValidityDays,"")</f>
        <v>0</v>
      </c>
    </row>
    <row r="106" spans="12:17">
      <c r="L106" s="2">
        <f>IFERROR(K106/J106*100,0)</f>
        <v>0</v>
      </c>
      <c r="Q106" s="7">
        <f>IF(P106="Yes",C106+CertValidityDays,"")</f>
        <v>0</v>
      </c>
    </row>
    <row r="107" spans="12:17">
      <c r="L107" s="2">
        <f>IFERROR(K107/J107*100,0)</f>
        <v>0</v>
      </c>
      <c r="Q107" s="7">
        <f>IF(P107="Yes",C107+CertValidityDays,"")</f>
        <v>0</v>
      </c>
    </row>
    <row r="108" spans="12:17">
      <c r="L108" s="2">
        <f>IFERROR(K108/J108*100,0)</f>
        <v>0</v>
      </c>
      <c r="Q108" s="7">
        <f>IF(P108="Yes",C108+CertValidityDays,"")</f>
        <v>0</v>
      </c>
    </row>
    <row r="109" spans="12:17">
      <c r="L109" s="2">
        <f>IFERROR(K109/J109*100,0)</f>
        <v>0</v>
      </c>
      <c r="Q109" s="7">
        <f>IF(P109="Yes",C109+CertValidityDays,"")</f>
        <v>0</v>
      </c>
    </row>
    <row r="110" spans="12:17">
      <c r="L110" s="2">
        <f>IFERROR(K110/J110*100,0)</f>
        <v>0</v>
      </c>
      <c r="Q110" s="7">
        <f>IF(P110="Yes",C110+CertValidityDays,"")</f>
        <v>0</v>
      </c>
    </row>
    <row r="111" spans="12:17">
      <c r="L111" s="2">
        <f>IFERROR(K111/J111*100,0)</f>
        <v>0</v>
      </c>
      <c r="Q111" s="7">
        <f>IF(P111="Yes",C111+CertValidityDays,"")</f>
        <v>0</v>
      </c>
    </row>
    <row r="112" spans="12:17">
      <c r="L112" s="2">
        <f>IFERROR(K112/J112*100,0)</f>
        <v>0</v>
      </c>
      <c r="Q112" s="7">
        <f>IF(P112="Yes",C112+CertValidityDays,"")</f>
        <v>0</v>
      </c>
    </row>
    <row r="113" spans="12:17">
      <c r="L113" s="2">
        <f>IFERROR(K113/J113*100,0)</f>
        <v>0</v>
      </c>
      <c r="Q113" s="7">
        <f>IF(P113="Yes",C113+CertValidityDays,"")</f>
        <v>0</v>
      </c>
    </row>
    <row r="114" spans="12:17">
      <c r="L114" s="2">
        <f>IFERROR(K114/J114*100,0)</f>
        <v>0</v>
      </c>
      <c r="Q114" s="7">
        <f>IF(P114="Yes",C114+CertValidityDays,"")</f>
        <v>0</v>
      </c>
    </row>
    <row r="115" spans="12:17">
      <c r="L115" s="2">
        <f>IFERROR(K115/J115*100,0)</f>
        <v>0</v>
      </c>
      <c r="Q115" s="7">
        <f>IF(P115="Yes",C115+CertValidityDays,"")</f>
        <v>0</v>
      </c>
    </row>
    <row r="116" spans="12:17">
      <c r="L116" s="2">
        <f>IFERROR(K116/J116*100,0)</f>
        <v>0</v>
      </c>
      <c r="Q116" s="7">
        <f>IF(P116="Yes",C116+CertValidityDays,"")</f>
        <v>0</v>
      </c>
    </row>
    <row r="117" spans="12:17">
      <c r="L117" s="2">
        <f>IFERROR(K117/J117*100,0)</f>
        <v>0</v>
      </c>
      <c r="Q117" s="7">
        <f>IF(P117="Yes",C117+CertValidityDays,"")</f>
        <v>0</v>
      </c>
    </row>
    <row r="118" spans="12:17">
      <c r="L118" s="2">
        <f>IFERROR(K118/J118*100,0)</f>
        <v>0</v>
      </c>
      <c r="Q118" s="7">
        <f>IF(P118="Yes",C118+CertValidityDays,"")</f>
        <v>0</v>
      </c>
    </row>
    <row r="119" spans="12:17">
      <c r="L119" s="2">
        <f>IFERROR(K119/J119*100,0)</f>
        <v>0</v>
      </c>
      <c r="Q119" s="7">
        <f>IF(P119="Yes",C119+CertValidityDays,"")</f>
        <v>0</v>
      </c>
    </row>
    <row r="120" spans="12:17">
      <c r="L120" s="2">
        <f>IFERROR(K120/J120*100,0)</f>
        <v>0</v>
      </c>
      <c r="Q120" s="7">
        <f>IF(P120="Yes",C120+CertValidityDays,"")</f>
        <v>0</v>
      </c>
    </row>
    <row r="121" spans="12:17">
      <c r="L121" s="2">
        <f>IFERROR(K121/J121*100,0)</f>
        <v>0</v>
      </c>
      <c r="Q121" s="7">
        <f>IF(P121="Yes",C121+CertValidityDays,"")</f>
        <v>0</v>
      </c>
    </row>
    <row r="122" spans="12:17">
      <c r="L122" s="2">
        <f>IFERROR(K122/J122*100,0)</f>
        <v>0</v>
      </c>
      <c r="Q122" s="7">
        <f>IF(P122="Yes",C122+CertValidityDays,"")</f>
        <v>0</v>
      </c>
    </row>
    <row r="123" spans="12:17">
      <c r="L123" s="2">
        <f>IFERROR(K123/J123*100,0)</f>
        <v>0</v>
      </c>
      <c r="Q123" s="7">
        <f>IF(P123="Yes",C123+CertValidityDays,"")</f>
        <v>0</v>
      </c>
    </row>
    <row r="124" spans="12:17">
      <c r="L124" s="2">
        <f>IFERROR(K124/J124*100,0)</f>
        <v>0</v>
      </c>
      <c r="Q124" s="7">
        <f>IF(P124="Yes",C124+CertValidityDays,"")</f>
        <v>0</v>
      </c>
    </row>
    <row r="125" spans="12:17">
      <c r="L125" s="2">
        <f>IFERROR(K125/J125*100,0)</f>
        <v>0</v>
      </c>
      <c r="Q125" s="7">
        <f>IF(P125="Yes",C125+CertValidityDays,"")</f>
        <v>0</v>
      </c>
    </row>
    <row r="126" spans="12:17">
      <c r="L126" s="2">
        <f>IFERROR(K126/J126*100,0)</f>
        <v>0</v>
      </c>
      <c r="Q126" s="7">
        <f>IF(P126="Yes",C126+CertValidityDays,"")</f>
        <v>0</v>
      </c>
    </row>
    <row r="127" spans="12:17">
      <c r="L127" s="2">
        <f>IFERROR(K127/J127*100,0)</f>
        <v>0</v>
      </c>
      <c r="Q127" s="7">
        <f>IF(P127="Yes",C127+CertValidityDays,"")</f>
        <v>0</v>
      </c>
    </row>
    <row r="128" spans="12:17">
      <c r="L128" s="2">
        <f>IFERROR(K128/J128*100,0)</f>
        <v>0</v>
      </c>
      <c r="Q128" s="7">
        <f>IF(P128="Yes",C128+CertValidityDays,"")</f>
        <v>0</v>
      </c>
    </row>
    <row r="129" spans="12:17">
      <c r="L129" s="2">
        <f>IFERROR(K129/J129*100,0)</f>
        <v>0</v>
      </c>
      <c r="Q129" s="7">
        <f>IF(P129="Yes",C129+CertValidityDays,"")</f>
        <v>0</v>
      </c>
    </row>
    <row r="130" spans="12:17">
      <c r="L130" s="2">
        <f>IFERROR(K130/J130*100,0)</f>
        <v>0</v>
      </c>
      <c r="Q130" s="7">
        <f>IF(P130="Yes",C130+CertValidityDays,"")</f>
        <v>0</v>
      </c>
    </row>
    <row r="131" spans="12:17">
      <c r="L131" s="2">
        <f>IFERROR(K131/J131*100,0)</f>
        <v>0</v>
      </c>
      <c r="Q131" s="7">
        <f>IF(P131="Yes",C131+CertValidityDays,"")</f>
        <v>0</v>
      </c>
    </row>
    <row r="132" spans="12:17">
      <c r="L132" s="2">
        <f>IFERROR(K132/J132*100,0)</f>
        <v>0</v>
      </c>
      <c r="Q132" s="7">
        <f>IF(P132="Yes",C132+CertValidityDays,"")</f>
        <v>0</v>
      </c>
    </row>
    <row r="133" spans="12:17">
      <c r="L133" s="2">
        <f>IFERROR(K133/J133*100,0)</f>
        <v>0</v>
      </c>
      <c r="Q133" s="7">
        <f>IF(P133="Yes",C133+CertValidityDays,"")</f>
        <v>0</v>
      </c>
    </row>
    <row r="134" spans="12:17">
      <c r="L134" s="2">
        <f>IFERROR(K134/J134*100,0)</f>
        <v>0</v>
      </c>
      <c r="Q134" s="7">
        <f>IF(P134="Yes",C134+CertValidityDays,"")</f>
        <v>0</v>
      </c>
    </row>
    <row r="135" spans="12:17">
      <c r="L135" s="2">
        <f>IFERROR(K135/J135*100,0)</f>
        <v>0</v>
      </c>
      <c r="Q135" s="7">
        <f>IF(P135="Yes",C135+CertValidityDays,"")</f>
        <v>0</v>
      </c>
    </row>
    <row r="136" spans="12:17">
      <c r="L136" s="2">
        <f>IFERROR(K136/J136*100,0)</f>
        <v>0</v>
      </c>
      <c r="Q136" s="7">
        <f>IF(P136="Yes",C136+CertValidityDays,"")</f>
        <v>0</v>
      </c>
    </row>
    <row r="137" spans="12:17">
      <c r="L137" s="2">
        <f>IFERROR(K137/J137*100,0)</f>
        <v>0</v>
      </c>
      <c r="Q137" s="7">
        <f>IF(P137="Yes",C137+CertValidityDays,"")</f>
        <v>0</v>
      </c>
    </row>
    <row r="138" spans="12:17">
      <c r="L138" s="2">
        <f>IFERROR(K138/J138*100,0)</f>
        <v>0</v>
      </c>
      <c r="Q138" s="7">
        <f>IF(P138="Yes",C138+CertValidityDays,"")</f>
        <v>0</v>
      </c>
    </row>
    <row r="139" spans="12:17">
      <c r="L139" s="2">
        <f>IFERROR(K139/J139*100,0)</f>
        <v>0</v>
      </c>
      <c r="Q139" s="7">
        <f>IF(P139="Yes",C139+CertValidityDays,"")</f>
        <v>0</v>
      </c>
    </row>
    <row r="140" spans="12:17">
      <c r="L140" s="2">
        <f>IFERROR(K140/J140*100,0)</f>
        <v>0</v>
      </c>
      <c r="Q140" s="7">
        <f>IF(P140="Yes",C140+CertValidityDays,"")</f>
        <v>0</v>
      </c>
    </row>
    <row r="141" spans="12:17">
      <c r="L141" s="2">
        <f>IFERROR(K141/J141*100,0)</f>
        <v>0</v>
      </c>
      <c r="Q141" s="7">
        <f>IF(P141="Yes",C141+CertValidityDays,"")</f>
        <v>0</v>
      </c>
    </row>
    <row r="142" spans="12:17">
      <c r="L142" s="2">
        <f>IFERROR(K142/J142*100,0)</f>
        <v>0</v>
      </c>
      <c r="Q142" s="7">
        <f>IF(P142="Yes",C142+CertValidityDays,"")</f>
        <v>0</v>
      </c>
    </row>
    <row r="143" spans="12:17">
      <c r="L143" s="2">
        <f>IFERROR(K143/J143*100,0)</f>
        <v>0</v>
      </c>
      <c r="Q143" s="7">
        <f>IF(P143="Yes",C143+CertValidityDays,"")</f>
        <v>0</v>
      </c>
    </row>
    <row r="144" spans="12:17">
      <c r="L144" s="2">
        <f>IFERROR(K144/J144*100,0)</f>
        <v>0</v>
      </c>
      <c r="Q144" s="7">
        <f>IF(P144="Yes",C144+CertValidityDays,"")</f>
        <v>0</v>
      </c>
    </row>
    <row r="145" spans="12:17">
      <c r="L145" s="2">
        <f>IFERROR(K145/J145*100,0)</f>
        <v>0</v>
      </c>
      <c r="Q145" s="7">
        <f>IF(P145="Yes",C145+CertValidityDays,"")</f>
        <v>0</v>
      </c>
    </row>
    <row r="146" spans="12:17">
      <c r="L146" s="2">
        <f>IFERROR(K146/J146*100,0)</f>
        <v>0</v>
      </c>
      <c r="Q146" s="7">
        <f>IF(P146="Yes",C146+CertValidityDays,"")</f>
        <v>0</v>
      </c>
    </row>
    <row r="147" spans="12:17">
      <c r="L147" s="2">
        <f>IFERROR(K147/J147*100,0)</f>
        <v>0</v>
      </c>
      <c r="Q147" s="7">
        <f>IF(P147="Yes",C147+CertValidityDays,"")</f>
        <v>0</v>
      </c>
    </row>
    <row r="148" spans="12:17">
      <c r="L148" s="2">
        <f>IFERROR(K148/J148*100,0)</f>
        <v>0</v>
      </c>
      <c r="Q148" s="7">
        <f>IF(P148="Yes",C148+CertValidityDays,"")</f>
        <v>0</v>
      </c>
    </row>
    <row r="149" spans="12:17">
      <c r="L149" s="2">
        <f>IFERROR(K149/J149*100,0)</f>
        <v>0</v>
      </c>
      <c r="Q149" s="7">
        <f>IF(P149="Yes",C149+CertValidityDays,"")</f>
        <v>0</v>
      </c>
    </row>
    <row r="150" spans="12:17">
      <c r="L150" s="2">
        <f>IFERROR(K150/J150*100,0)</f>
        <v>0</v>
      </c>
      <c r="Q150" s="7">
        <f>IF(P150="Yes",C150+CertValidityDays,"")</f>
        <v>0</v>
      </c>
    </row>
    <row r="151" spans="12:17">
      <c r="L151" s="2">
        <f>IFERROR(K151/J151*100,0)</f>
        <v>0</v>
      </c>
      <c r="Q151" s="7">
        <f>IF(P151="Yes",C151+CertValidityDays,"")</f>
        <v>0</v>
      </c>
    </row>
    <row r="152" spans="12:17">
      <c r="L152" s="2">
        <f>IFERROR(K152/J152*100,0)</f>
        <v>0</v>
      </c>
      <c r="Q152" s="7">
        <f>IF(P152="Yes",C152+CertValidityDays,"")</f>
        <v>0</v>
      </c>
    </row>
    <row r="153" spans="12:17">
      <c r="L153" s="2">
        <f>IFERROR(K153/J153*100,0)</f>
        <v>0</v>
      </c>
      <c r="Q153" s="7">
        <f>IF(P153="Yes",C153+CertValidityDays,"")</f>
        <v>0</v>
      </c>
    </row>
    <row r="154" spans="12:17">
      <c r="L154" s="2">
        <f>IFERROR(K154/J154*100,0)</f>
        <v>0</v>
      </c>
      <c r="Q154" s="7">
        <f>IF(P154="Yes",C154+CertValidityDays,"")</f>
        <v>0</v>
      </c>
    </row>
    <row r="155" spans="12:17">
      <c r="L155" s="2">
        <f>IFERROR(K155/J155*100,0)</f>
        <v>0</v>
      </c>
      <c r="Q155" s="7">
        <f>IF(P155="Yes",C155+CertValidityDays,"")</f>
        <v>0</v>
      </c>
    </row>
    <row r="156" spans="12:17">
      <c r="L156" s="2">
        <f>IFERROR(K156/J156*100,0)</f>
        <v>0</v>
      </c>
      <c r="Q156" s="7">
        <f>IF(P156="Yes",C156+CertValidityDays,"")</f>
        <v>0</v>
      </c>
    </row>
    <row r="157" spans="12:17">
      <c r="L157" s="2">
        <f>IFERROR(K157/J157*100,0)</f>
        <v>0</v>
      </c>
      <c r="Q157" s="7">
        <f>IF(P157="Yes",C157+CertValidityDays,"")</f>
        <v>0</v>
      </c>
    </row>
    <row r="158" spans="12:17">
      <c r="L158" s="2">
        <f>IFERROR(K158/J158*100,0)</f>
        <v>0</v>
      </c>
      <c r="Q158" s="7">
        <f>IF(P158="Yes",C158+CertValidityDays,"")</f>
        <v>0</v>
      </c>
    </row>
    <row r="159" spans="12:17">
      <c r="L159" s="2">
        <f>IFERROR(K159/J159*100,0)</f>
        <v>0</v>
      </c>
      <c r="Q159" s="7">
        <f>IF(P159="Yes",C159+CertValidityDays,"")</f>
        <v>0</v>
      </c>
    </row>
    <row r="160" spans="12:17">
      <c r="L160" s="2">
        <f>IFERROR(K160/J160*100,0)</f>
        <v>0</v>
      </c>
      <c r="Q160" s="7">
        <f>IF(P160="Yes",C160+CertValidityDays,"")</f>
        <v>0</v>
      </c>
    </row>
    <row r="161" spans="12:17">
      <c r="L161" s="2">
        <f>IFERROR(K161/J161*100,0)</f>
        <v>0</v>
      </c>
      <c r="Q161" s="7">
        <f>IF(P161="Yes",C161+CertValidityDays,"")</f>
        <v>0</v>
      </c>
    </row>
    <row r="162" spans="12:17">
      <c r="L162" s="2">
        <f>IFERROR(K162/J162*100,0)</f>
        <v>0</v>
      </c>
      <c r="Q162" s="7">
        <f>IF(P162="Yes",C162+CertValidityDays,"")</f>
        <v>0</v>
      </c>
    </row>
    <row r="163" spans="12:17">
      <c r="L163" s="2">
        <f>IFERROR(K163/J163*100,0)</f>
        <v>0</v>
      </c>
      <c r="Q163" s="7">
        <f>IF(P163="Yes",C163+CertValidityDays,"")</f>
        <v>0</v>
      </c>
    </row>
    <row r="164" spans="12:17">
      <c r="L164" s="2">
        <f>IFERROR(K164/J164*100,0)</f>
        <v>0</v>
      </c>
      <c r="Q164" s="7">
        <f>IF(P164="Yes",C164+CertValidityDays,"")</f>
        <v>0</v>
      </c>
    </row>
    <row r="165" spans="12:17">
      <c r="L165" s="2">
        <f>IFERROR(K165/J165*100,0)</f>
        <v>0</v>
      </c>
      <c r="Q165" s="7">
        <f>IF(P165="Yes",C165+CertValidityDays,"")</f>
        <v>0</v>
      </c>
    </row>
    <row r="166" spans="12:17">
      <c r="L166" s="2">
        <f>IFERROR(K166/J166*100,0)</f>
        <v>0</v>
      </c>
      <c r="Q166" s="7">
        <f>IF(P166="Yes",C166+CertValidityDays,"")</f>
        <v>0</v>
      </c>
    </row>
    <row r="167" spans="12:17">
      <c r="L167" s="2">
        <f>IFERROR(K167/J167*100,0)</f>
        <v>0</v>
      </c>
      <c r="Q167" s="7">
        <f>IF(P167="Yes",C167+CertValidityDays,"")</f>
        <v>0</v>
      </c>
    </row>
    <row r="168" spans="12:17">
      <c r="L168" s="2">
        <f>IFERROR(K168/J168*100,0)</f>
        <v>0</v>
      </c>
      <c r="Q168" s="7">
        <f>IF(P168="Yes",C168+CertValidityDays,"")</f>
        <v>0</v>
      </c>
    </row>
    <row r="169" spans="12:17">
      <c r="L169" s="2">
        <f>IFERROR(K169/J169*100,0)</f>
        <v>0</v>
      </c>
      <c r="Q169" s="7">
        <f>IF(P169="Yes",C169+CertValidityDays,"")</f>
        <v>0</v>
      </c>
    </row>
    <row r="170" spans="12:17">
      <c r="L170" s="2">
        <f>IFERROR(K170/J170*100,0)</f>
        <v>0</v>
      </c>
      <c r="Q170" s="7">
        <f>IF(P170="Yes",C170+CertValidityDays,"")</f>
        <v>0</v>
      </c>
    </row>
    <row r="171" spans="12:17">
      <c r="L171" s="2">
        <f>IFERROR(K171/J171*100,0)</f>
        <v>0</v>
      </c>
      <c r="Q171" s="7">
        <f>IF(P171="Yes",C171+CertValidityDays,"")</f>
        <v>0</v>
      </c>
    </row>
    <row r="172" spans="12:17">
      <c r="L172" s="2">
        <f>IFERROR(K172/J172*100,0)</f>
        <v>0</v>
      </c>
      <c r="Q172" s="7">
        <f>IF(P172="Yes",C172+CertValidityDays,"")</f>
        <v>0</v>
      </c>
    </row>
    <row r="173" spans="12:17">
      <c r="L173" s="2">
        <f>IFERROR(K173/J173*100,0)</f>
        <v>0</v>
      </c>
      <c r="Q173" s="7">
        <f>IF(P173="Yes",C173+CertValidityDays,"")</f>
        <v>0</v>
      </c>
    </row>
    <row r="174" spans="12:17">
      <c r="L174" s="2">
        <f>IFERROR(K174/J174*100,0)</f>
        <v>0</v>
      </c>
      <c r="Q174" s="7">
        <f>IF(P174="Yes",C174+CertValidityDays,"")</f>
        <v>0</v>
      </c>
    </row>
    <row r="175" spans="12:17">
      <c r="L175" s="2">
        <f>IFERROR(K175/J175*100,0)</f>
        <v>0</v>
      </c>
      <c r="Q175" s="7">
        <f>IF(P175="Yes",C175+CertValidityDays,"")</f>
        <v>0</v>
      </c>
    </row>
    <row r="176" spans="12:17">
      <c r="L176" s="2">
        <f>IFERROR(K176/J176*100,0)</f>
        <v>0</v>
      </c>
      <c r="Q176" s="7">
        <f>IF(P176="Yes",C176+CertValidityDays,"")</f>
        <v>0</v>
      </c>
    </row>
    <row r="177" spans="12:17">
      <c r="L177" s="2">
        <f>IFERROR(K177/J177*100,0)</f>
        <v>0</v>
      </c>
      <c r="Q177" s="7">
        <f>IF(P177="Yes",C177+CertValidityDays,"")</f>
        <v>0</v>
      </c>
    </row>
    <row r="178" spans="12:17">
      <c r="L178" s="2">
        <f>IFERROR(K178/J178*100,0)</f>
        <v>0</v>
      </c>
      <c r="Q178" s="7">
        <f>IF(P178="Yes",C178+CertValidityDays,"")</f>
        <v>0</v>
      </c>
    </row>
    <row r="179" spans="12:17">
      <c r="L179" s="2">
        <f>IFERROR(K179/J179*100,0)</f>
        <v>0</v>
      </c>
      <c r="Q179" s="7">
        <f>IF(P179="Yes",C179+CertValidityDays,"")</f>
        <v>0</v>
      </c>
    </row>
    <row r="180" spans="12:17">
      <c r="L180" s="2">
        <f>IFERROR(K180/J180*100,0)</f>
        <v>0</v>
      </c>
      <c r="Q180" s="7">
        <f>IF(P180="Yes",C180+CertValidityDays,"")</f>
        <v>0</v>
      </c>
    </row>
    <row r="181" spans="12:17">
      <c r="L181" s="2">
        <f>IFERROR(K181/J181*100,0)</f>
        <v>0</v>
      </c>
      <c r="Q181" s="7">
        <f>IF(P181="Yes",C181+CertValidityDays,"")</f>
        <v>0</v>
      </c>
    </row>
    <row r="182" spans="12:17">
      <c r="L182" s="2">
        <f>IFERROR(K182/J182*100,0)</f>
        <v>0</v>
      </c>
      <c r="Q182" s="7">
        <f>IF(P182="Yes",C182+CertValidityDays,"")</f>
        <v>0</v>
      </c>
    </row>
    <row r="183" spans="12:17">
      <c r="L183" s="2">
        <f>IFERROR(K183/J183*100,0)</f>
        <v>0</v>
      </c>
      <c r="Q183" s="7">
        <f>IF(P183="Yes",C183+CertValidityDays,"")</f>
        <v>0</v>
      </c>
    </row>
    <row r="184" spans="12:17">
      <c r="L184" s="2">
        <f>IFERROR(K184/J184*100,0)</f>
        <v>0</v>
      </c>
      <c r="Q184" s="7">
        <f>IF(P184="Yes",C184+CertValidityDays,"")</f>
        <v>0</v>
      </c>
    </row>
    <row r="185" spans="12:17">
      <c r="L185" s="2">
        <f>IFERROR(K185/J185*100,0)</f>
        <v>0</v>
      </c>
      <c r="Q185" s="7">
        <f>IF(P185="Yes",C185+CertValidityDays,"")</f>
        <v>0</v>
      </c>
    </row>
    <row r="186" spans="12:17">
      <c r="L186" s="2">
        <f>IFERROR(K186/J186*100,0)</f>
        <v>0</v>
      </c>
      <c r="Q186" s="7">
        <f>IF(P186="Yes",C186+CertValidityDays,"")</f>
        <v>0</v>
      </c>
    </row>
    <row r="187" spans="12:17">
      <c r="L187" s="2">
        <f>IFERROR(K187/J187*100,0)</f>
        <v>0</v>
      </c>
      <c r="Q187" s="7">
        <f>IF(P187="Yes",C187+CertValidityDays,"")</f>
        <v>0</v>
      </c>
    </row>
    <row r="188" spans="12:17">
      <c r="L188" s="2">
        <f>IFERROR(K188/J188*100,0)</f>
        <v>0</v>
      </c>
      <c r="Q188" s="7">
        <f>IF(P188="Yes",C188+CertValidityDays,"")</f>
        <v>0</v>
      </c>
    </row>
    <row r="189" spans="12:17">
      <c r="L189" s="2">
        <f>IFERROR(K189/J189*100,0)</f>
        <v>0</v>
      </c>
      <c r="Q189" s="7">
        <f>IF(P189="Yes",C189+CertValidityDays,"")</f>
        <v>0</v>
      </c>
    </row>
    <row r="190" spans="12:17">
      <c r="L190" s="2">
        <f>IFERROR(K190/J190*100,0)</f>
        <v>0</v>
      </c>
      <c r="Q190" s="7">
        <f>IF(P190="Yes",C190+CertValidityDays,"")</f>
        <v>0</v>
      </c>
    </row>
    <row r="191" spans="12:17">
      <c r="L191" s="2">
        <f>IFERROR(K191/J191*100,0)</f>
        <v>0</v>
      </c>
      <c r="Q191" s="7">
        <f>IF(P191="Yes",C191+CertValidityDays,"")</f>
        <v>0</v>
      </c>
    </row>
    <row r="192" spans="12:17">
      <c r="L192" s="2">
        <f>IFERROR(K192/J192*100,0)</f>
        <v>0</v>
      </c>
      <c r="Q192" s="7">
        <f>IF(P192="Yes",C192+CertValidityDays,"")</f>
        <v>0</v>
      </c>
    </row>
    <row r="193" spans="12:17">
      <c r="L193" s="2">
        <f>IFERROR(K193/J193*100,0)</f>
        <v>0</v>
      </c>
      <c r="Q193" s="7">
        <f>IF(P193="Yes",C193+CertValidityDays,"")</f>
        <v>0</v>
      </c>
    </row>
    <row r="194" spans="12:17">
      <c r="L194" s="2">
        <f>IFERROR(K194/J194*100,0)</f>
        <v>0</v>
      </c>
      <c r="Q194" s="7">
        <f>IF(P194="Yes",C194+CertValidityDays,"")</f>
        <v>0</v>
      </c>
    </row>
    <row r="195" spans="12:17">
      <c r="L195" s="2">
        <f>IFERROR(K195/J195*100,0)</f>
        <v>0</v>
      </c>
      <c r="Q195" s="7">
        <f>IF(P195="Yes",C195+CertValidityDays,"")</f>
        <v>0</v>
      </c>
    </row>
    <row r="196" spans="12:17">
      <c r="L196" s="2">
        <f>IFERROR(K196/J196*100,0)</f>
        <v>0</v>
      </c>
      <c r="Q196" s="7">
        <f>IF(P196="Yes",C196+CertValidityDays,"")</f>
        <v>0</v>
      </c>
    </row>
    <row r="197" spans="12:17">
      <c r="L197" s="2">
        <f>IFERROR(K197/J197*100,0)</f>
        <v>0</v>
      </c>
      <c r="Q197" s="7">
        <f>IF(P197="Yes",C197+CertValidityDays,"")</f>
        <v>0</v>
      </c>
    </row>
    <row r="198" spans="12:17">
      <c r="L198" s="2">
        <f>IFERROR(K198/J198*100,0)</f>
        <v>0</v>
      </c>
      <c r="Q198" s="7">
        <f>IF(P198="Yes",C198+CertValidityDays,"")</f>
        <v>0</v>
      </c>
    </row>
    <row r="199" spans="12:17">
      <c r="L199" s="2">
        <f>IFERROR(K199/J199*100,0)</f>
        <v>0</v>
      </c>
      <c r="Q199" s="7">
        <f>IF(P199="Yes",C199+CertValidityDays,"")</f>
        <v>0</v>
      </c>
    </row>
    <row r="200" spans="12:17">
      <c r="L200" s="2">
        <f>IFERROR(K200/J200*100,0)</f>
        <v>0</v>
      </c>
      <c r="Q200" s="7">
        <f>IF(P200="Yes",C200+CertValidityDays,"")</f>
        <v>0</v>
      </c>
    </row>
    <row r="201" spans="12:17">
      <c r="L201" s="2">
        <f>IFERROR(K201/J201*100,0)</f>
        <v>0</v>
      </c>
      <c r="Q201" s="7">
        <f>IF(P201="Yes",C201+CertValidityDays,"")</f>
        <v>0</v>
      </c>
    </row>
    <row r="202" spans="12:17">
      <c r="L202" s="2">
        <f>IFERROR(K202/J202*100,0)</f>
        <v>0</v>
      </c>
      <c r="Q202" s="7">
        <f>IF(P202="Yes",C202+CertValidityDays,"")</f>
        <v>0</v>
      </c>
    </row>
    <row r="203" spans="12:17">
      <c r="L203" s="2">
        <f>IFERROR(K203/J203*100,0)</f>
        <v>0</v>
      </c>
      <c r="Q203" s="7">
        <f>IF(P203="Yes",C203+CertValidityDays,"")</f>
        <v>0</v>
      </c>
    </row>
    <row r="204" spans="12:17">
      <c r="L204" s="2">
        <f>IFERROR(K204/J204*100,0)</f>
        <v>0</v>
      </c>
      <c r="Q204" s="7">
        <f>IF(P204="Yes",C204+CertValidityDays,"")</f>
        <v>0</v>
      </c>
    </row>
    <row r="205" spans="12:17">
      <c r="L205" s="2">
        <f>IFERROR(K205/J205*100,0)</f>
        <v>0</v>
      </c>
      <c r="Q205" s="7">
        <f>IF(P205="Yes",C205+CertValidityDays,"")</f>
        <v>0</v>
      </c>
    </row>
    <row r="206" spans="12:17">
      <c r="L206" s="2">
        <f>IFERROR(K206/J206*100,0)</f>
        <v>0</v>
      </c>
      <c r="Q206" s="7">
        <f>IF(P206="Yes",C206+CertValidityDays,"")</f>
        <v>0</v>
      </c>
    </row>
    <row r="207" spans="12:17">
      <c r="L207" s="2">
        <f>IFERROR(K207/J207*100,0)</f>
        <v>0</v>
      </c>
      <c r="Q207" s="7">
        <f>IF(P207="Yes",C207+CertValidityDays,"")</f>
        <v>0</v>
      </c>
    </row>
    <row r="208" spans="12:17">
      <c r="L208" s="2">
        <f>IFERROR(K208/J208*100,0)</f>
        <v>0</v>
      </c>
      <c r="Q208" s="7">
        <f>IF(P208="Yes",C208+CertValidityDays,"")</f>
        <v>0</v>
      </c>
    </row>
    <row r="209" spans="12:17">
      <c r="L209" s="2">
        <f>IFERROR(K209/J209*100,0)</f>
        <v>0</v>
      </c>
      <c r="Q209" s="7">
        <f>IF(P209="Yes",C209+CertValidityDays,"")</f>
        <v>0</v>
      </c>
    </row>
    <row r="210" spans="12:17">
      <c r="L210" s="2">
        <f>IFERROR(K210/J210*100,0)</f>
        <v>0</v>
      </c>
      <c r="Q210" s="7">
        <f>IF(P210="Yes",C210+CertValidityDays,"")</f>
        <v>0</v>
      </c>
    </row>
    <row r="211" spans="12:17">
      <c r="L211" s="2">
        <f>IFERROR(K211/J211*100,0)</f>
        <v>0</v>
      </c>
      <c r="Q211" s="7">
        <f>IF(P211="Yes",C211+CertValidityDays,"")</f>
        <v>0</v>
      </c>
    </row>
    <row r="212" spans="12:17">
      <c r="L212" s="2">
        <f>IFERROR(K212/J212*100,0)</f>
        <v>0</v>
      </c>
      <c r="Q212" s="7">
        <f>IF(P212="Yes",C212+CertValidityDays,"")</f>
        <v>0</v>
      </c>
    </row>
    <row r="213" spans="12:17">
      <c r="L213" s="2">
        <f>IFERROR(K213/J213*100,0)</f>
        <v>0</v>
      </c>
      <c r="Q213" s="7">
        <f>IF(P213="Yes",C213+CertValidityDays,"")</f>
        <v>0</v>
      </c>
    </row>
    <row r="214" spans="12:17">
      <c r="L214" s="2">
        <f>IFERROR(K214/J214*100,0)</f>
        <v>0</v>
      </c>
      <c r="Q214" s="7">
        <f>IF(P214="Yes",C214+CertValidityDays,"")</f>
        <v>0</v>
      </c>
    </row>
    <row r="215" spans="12:17">
      <c r="L215" s="2">
        <f>IFERROR(K215/J215*100,0)</f>
        <v>0</v>
      </c>
      <c r="Q215" s="7">
        <f>IF(P215="Yes",C215+CertValidityDays,"")</f>
        <v>0</v>
      </c>
    </row>
    <row r="216" spans="12:17">
      <c r="L216" s="2">
        <f>IFERROR(K216/J216*100,0)</f>
        <v>0</v>
      </c>
      <c r="Q216" s="7">
        <f>IF(P216="Yes",C216+CertValidityDays,"")</f>
        <v>0</v>
      </c>
    </row>
    <row r="217" spans="12:17">
      <c r="L217" s="2">
        <f>IFERROR(K217/J217*100,0)</f>
        <v>0</v>
      </c>
      <c r="Q217" s="7">
        <f>IF(P217="Yes",C217+CertValidityDays,"")</f>
        <v>0</v>
      </c>
    </row>
    <row r="218" spans="12:17">
      <c r="L218" s="2">
        <f>IFERROR(K218/J218*100,0)</f>
        <v>0</v>
      </c>
      <c r="Q218" s="7">
        <f>IF(P218="Yes",C218+CertValidityDays,"")</f>
        <v>0</v>
      </c>
    </row>
    <row r="219" spans="12:17">
      <c r="L219" s="2">
        <f>IFERROR(K219/J219*100,0)</f>
        <v>0</v>
      </c>
      <c r="Q219" s="7">
        <f>IF(P219="Yes",C219+CertValidityDays,"")</f>
        <v>0</v>
      </c>
    </row>
    <row r="220" spans="12:17">
      <c r="L220" s="2">
        <f>IFERROR(K220/J220*100,0)</f>
        <v>0</v>
      </c>
      <c r="Q220" s="7">
        <f>IF(P220="Yes",C220+CertValidityDays,"")</f>
        <v>0</v>
      </c>
    </row>
    <row r="221" spans="12:17">
      <c r="L221" s="2">
        <f>IFERROR(K221/J221*100,0)</f>
        <v>0</v>
      </c>
      <c r="Q221" s="7">
        <f>IF(P221="Yes",C221+CertValidityDays,"")</f>
        <v>0</v>
      </c>
    </row>
    <row r="222" spans="12:17">
      <c r="L222" s="2">
        <f>IFERROR(K222/J222*100,0)</f>
        <v>0</v>
      </c>
      <c r="Q222" s="7">
        <f>IF(P222="Yes",C222+CertValidityDays,"")</f>
        <v>0</v>
      </c>
    </row>
    <row r="223" spans="12:17">
      <c r="L223" s="2">
        <f>IFERROR(K223/J223*100,0)</f>
        <v>0</v>
      </c>
      <c r="Q223" s="7">
        <f>IF(P223="Yes",C223+CertValidityDays,"")</f>
        <v>0</v>
      </c>
    </row>
    <row r="224" spans="12:17">
      <c r="L224" s="2">
        <f>IFERROR(K224/J224*100,0)</f>
        <v>0</v>
      </c>
      <c r="Q224" s="7">
        <f>IF(P224="Yes",C224+CertValidityDays,"")</f>
        <v>0</v>
      </c>
    </row>
    <row r="225" spans="12:17">
      <c r="L225" s="2">
        <f>IFERROR(K225/J225*100,0)</f>
        <v>0</v>
      </c>
      <c r="Q225" s="7">
        <f>IF(P225="Yes",C225+CertValidityDays,"")</f>
        <v>0</v>
      </c>
    </row>
    <row r="226" spans="12:17">
      <c r="L226" s="2">
        <f>IFERROR(K226/J226*100,0)</f>
        <v>0</v>
      </c>
      <c r="Q226" s="7">
        <f>IF(P226="Yes",C226+CertValidityDays,"")</f>
        <v>0</v>
      </c>
    </row>
    <row r="227" spans="12:17">
      <c r="L227" s="2">
        <f>IFERROR(K227/J227*100,0)</f>
        <v>0</v>
      </c>
      <c r="Q227" s="7">
        <f>IF(P227="Yes",C227+CertValidityDays,"")</f>
        <v>0</v>
      </c>
    </row>
    <row r="228" spans="12:17">
      <c r="L228" s="2">
        <f>IFERROR(K228/J228*100,0)</f>
        <v>0</v>
      </c>
      <c r="Q228" s="7">
        <f>IF(P228="Yes",C228+CertValidityDays,"")</f>
        <v>0</v>
      </c>
    </row>
    <row r="229" spans="12:17">
      <c r="L229" s="2">
        <f>IFERROR(K229/J229*100,0)</f>
        <v>0</v>
      </c>
      <c r="Q229" s="7">
        <f>IF(P229="Yes",C229+CertValidityDays,"")</f>
        <v>0</v>
      </c>
    </row>
    <row r="230" spans="12:17">
      <c r="L230" s="2">
        <f>IFERROR(K230/J230*100,0)</f>
        <v>0</v>
      </c>
      <c r="Q230" s="7">
        <f>IF(P230="Yes",C230+CertValidityDays,"")</f>
        <v>0</v>
      </c>
    </row>
    <row r="231" spans="12:17">
      <c r="L231" s="2">
        <f>IFERROR(K231/J231*100,0)</f>
        <v>0</v>
      </c>
      <c r="Q231" s="7">
        <f>IF(P231="Yes",C231+CertValidityDays,"")</f>
        <v>0</v>
      </c>
    </row>
    <row r="232" spans="12:17">
      <c r="L232" s="2">
        <f>IFERROR(K232/J232*100,0)</f>
        <v>0</v>
      </c>
      <c r="Q232" s="7">
        <f>IF(P232="Yes",C232+CertValidityDays,"")</f>
        <v>0</v>
      </c>
    </row>
    <row r="233" spans="12:17">
      <c r="L233" s="2">
        <f>IFERROR(K233/J233*100,0)</f>
        <v>0</v>
      </c>
      <c r="Q233" s="7">
        <f>IF(P233="Yes",C233+CertValidityDays,"")</f>
        <v>0</v>
      </c>
    </row>
    <row r="234" spans="12:17">
      <c r="L234" s="2">
        <f>IFERROR(K234/J234*100,0)</f>
        <v>0</v>
      </c>
      <c r="Q234" s="7">
        <f>IF(P234="Yes",C234+CertValidityDays,"")</f>
        <v>0</v>
      </c>
    </row>
    <row r="235" spans="12:17">
      <c r="L235" s="2">
        <f>IFERROR(K235/J235*100,0)</f>
        <v>0</v>
      </c>
      <c r="Q235" s="7">
        <f>IF(P235="Yes",C235+CertValidityDays,"")</f>
        <v>0</v>
      </c>
    </row>
    <row r="236" spans="12:17">
      <c r="L236" s="2">
        <f>IFERROR(K236/J236*100,0)</f>
        <v>0</v>
      </c>
      <c r="Q236" s="7">
        <f>IF(P236="Yes",C236+CertValidityDays,"")</f>
        <v>0</v>
      </c>
    </row>
    <row r="237" spans="12:17">
      <c r="L237" s="2">
        <f>IFERROR(K237/J237*100,0)</f>
        <v>0</v>
      </c>
      <c r="Q237" s="7">
        <f>IF(P237="Yes",C237+CertValidityDays,"")</f>
        <v>0</v>
      </c>
    </row>
    <row r="238" spans="12:17">
      <c r="L238" s="2">
        <f>IFERROR(K238/J238*100,0)</f>
        <v>0</v>
      </c>
      <c r="Q238" s="7">
        <f>IF(P238="Yes",C238+CertValidityDays,"")</f>
        <v>0</v>
      </c>
    </row>
    <row r="239" spans="12:17">
      <c r="L239" s="2">
        <f>IFERROR(K239/J239*100,0)</f>
        <v>0</v>
      </c>
      <c r="Q239" s="7">
        <f>IF(P239="Yes",C239+CertValidityDays,"")</f>
        <v>0</v>
      </c>
    </row>
    <row r="240" spans="12:17">
      <c r="L240" s="2">
        <f>IFERROR(K240/J240*100,0)</f>
        <v>0</v>
      </c>
      <c r="Q240" s="7">
        <f>IF(P240="Yes",C240+CertValidityDays,"")</f>
        <v>0</v>
      </c>
    </row>
    <row r="241" spans="12:17">
      <c r="L241" s="2">
        <f>IFERROR(K241/J241*100,0)</f>
        <v>0</v>
      </c>
      <c r="Q241" s="7">
        <f>IF(P241="Yes",C241+CertValidityDays,"")</f>
        <v>0</v>
      </c>
    </row>
    <row r="242" spans="12:17">
      <c r="L242" s="2">
        <f>IFERROR(K242/J242*100,0)</f>
        <v>0</v>
      </c>
      <c r="Q242" s="7">
        <f>IF(P242="Yes",C242+CertValidityDays,"")</f>
        <v>0</v>
      </c>
    </row>
    <row r="243" spans="12:17">
      <c r="L243" s="2">
        <f>IFERROR(K243/J243*100,0)</f>
        <v>0</v>
      </c>
      <c r="Q243" s="7">
        <f>IF(P243="Yes",C243+CertValidityDays,"")</f>
        <v>0</v>
      </c>
    </row>
    <row r="244" spans="12:17">
      <c r="L244" s="2">
        <f>IFERROR(K244/J244*100,0)</f>
        <v>0</v>
      </c>
      <c r="Q244" s="7">
        <f>IF(P244="Yes",C244+CertValidityDays,"")</f>
        <v>0</v>
      </c>
    </row>
    <row r="245" spans="12:17">
      <c r="L245" s="2">
        <f>IFERROR(K245/J245*100,0)</f>
        <v>0</v>
      </c>
      <c r="Q245" s="7">
        <f>IF(P245="Yes",C245+CertValidityDays,"")</f>
        <v>0</v>
      </c>
    </row>
    <row r="246" spans="12:17">
      <c r="L246" s="2">
        <f>IFERROR(K246/J246*100,0)</f>
        <v>0</v>
      </c>
      <c r="Q246" s="7">
        <f>IF(P246="Yes",C246+CertValidityDays,"")</f>
        <v>0</v>
      </c>
    </row>
    <row r="247" spans="12:17">
      <c r="L247" s="2">
        <f>IFERROR(K247/J247*100,0)</f>
        <v>0</v>
      </c>
      <c r="Q247" s="7">
        <f>IF(P247="Yes",C247+CertValidityDays,"")</f>
        <v>0</v>
      </c>
    </row>
    <row r="248" spans="12:17">
      <c r="L248" s="2">
        <f>IFERROR(K248/J248*100,0)</f>
        <v>0</v>
      </c>
      <c r="Q248" s="7">
        <f>IF(P248="Yes",C248+CertValidityDays,"")</f>
        <v>0</v>
      </c>
    </row>
    <row r="249" spans="12:17">
      <c r="L249" s="2">
        <f>IFERROR(K249/J249*100,0)</f>
        <v>0</v>
      </c>
      <c r="Q249" s="7">
        <f>IF(P249="Yes",C249+CertValidityDays,"")</f>
        <v>0</v>
      </c>
    </row>
    <row r="250" spans="12:17">
      <c r="L250" s="2">
        <f>IFERROR(K250/J250*100,0)</f>
        <v>0</v>
      </c>
      <c r="Q250" s="7">
        <f>IF(P250="Yes",C250+CertValidityDays,"")</f>
        <v>0</v>
      </c>
    </row>
    <row r="251" spans="12:17">
      <c r="L251" s="2">
        <f>IFERROR(K251/J251*100,0)</f>
        <v>0</v>
      </c>
      <c r="Q251" s="7">
        <f>IF(P251="Yes",C251+CertValidityDays,"")</f>
        <v>0</v>
      </c>
    </row>
    <row r="252" spans="12:17">
      <c r="L252" s="2">
        <f>IFERROR(K252/J252*100,0)</f>
        <v>0</v>
      </c>
      <c r="Q252" s="7">
        <f>IF(P252="Yes",C252+CertValidityDays,"")</f>
        <v>0</v>
      </c>
    </row>
    <row r="253" spans="12:17">
      <c r="L253" s="2">
        <f>IFERROR(K253/J253*100,0)</f>
        <v>0</v>
      </c>
      <c r="Q253" s="7">
        <f>IF(P253="Yes",C253+CertValidityDays,"")</f>
        <v>0</v>
      </c>
    </row>
    <row r="254" spans="12:17">
      <c r="L254" s="2">
        <f>IFERROR(K254/J254*100,0)</f>
        <v>0</v>
      </c>
      <c r="Q254" s="7">
        <f>IF(P254="Yes",C254+CertValidityDays,"")</f>
        <v>0</v>
      </c>
    </row>
    <row r="255" spans="12:17">
      <c r="L255" s="2">
        <f>IFERROR(K255/J255*100,0)</f>
        <v>0</v>
      </c>
      <c r="Q255" s="7">
        <f>IF(P255="Yes",C255+CertValidityDays,"")</f>
        <v>0</v>
      </c>
    </row>
    <row r="256" spans="12:17">
      <c r="L256" s="2">
        <f>IFERROR(K256/J256*100,0)</f>
        <v>0</v>
      </c>
      <c r="Q256" s="7">
        <f>IF(P256="Yes",C256+CertValidityDays,"")</f>
        <v>0</v>
      </c>
    </row>
    <row r="257" spans="12:17">
      <c r="L257" s="2">
        <f>IFERROR(K257/J257*100,0)</f>
        <v>0</v>
      </c>
      <c r="Q257" s="7">
        <f>IF(P257="Yes",C257+CertValidityDays,"")</f>
        <v>0</v>
      </c>
    </row>
    <row r="258" spans="12:17">
      <c r="L258" s="2">
        <f>IFERROR(K258/J258*100,0)</f>
        <v>0</v>
      </c>
      <c r="Q258" s="7">
        <f>IF(P258="Yes",C258+CertValidityDays,"")</f>
        <v>0</v>
      </c>
    </row>
    <row r="259" spans="12:17">
      <c r="L259" s="2">
        <f>IFERROR(K259/J259*100,0)</f>
        <v>0</v>
      </c>
      <c r="Q259" s="7">
        <f>IF(P259="Yes",C259+CertValidityDays,"")</f>
        <v>0</v>
      </c>
    </row>
    <row r="260" spans="12:17">
      <c r="L260" s="2">
        <f>IFERROR(K260/J260*100,0)</f>
        <v>0</v>
      </c>
      <c r="Q260" s="7">
        <f>IF(P260="Yes",C260+CertValidityDays,"")</f>
        <v>0</v>
      </c>
    </row>
    <row r="261" spans="12:17">
      <c r="L261" s="2">
        <f>IFERROR(K261/J261*100,0)</f>
        <v>0</v>
      </c>
      <c r="Q261" s="7">
        <f>IF(P261="Yes",C261+CertValidityDays,"")</f>
        <v>0</v>
      </c>
    </row>
    <row r="262" spans="12:17">
      <c r="L262" s="2">
        <f>IFERROR(K262/J262*100,0)</f>
        <v>0</v>
      </c>
      <c r="Q262" s="7">
        <f>IF(P262="Yes",C262+CertValidityDays,"")</f>
        <v>0</v>
      </c>
    </row>
    <row r="263" spans="12:17">
      <c r="L263" s="2">
        <f>IFERROR(K263/J263*100,0)</f>
        <v>0</v>
      </c>
      <c r="Q263" s="7">
        <f>IF(P263="Yes",C263+CertValidityDays,"")</f>
        <v>0</v>
      </c>
    </row>
    <row r="264" spans="12:17">
      <c r="L264" s="2">
        <f>IFERROR(K264/J264*100,0)</f>
        <v>0</v>
      </c>
      <c r="Q264" s="7">
        <f>IF(P264="Yes",C264+CertValidityDays,"")</f>
        <v>0</v>
      </c>
    </row>
    <row r="265" spans="12:17">
      <c r="L265" s="2">
        <f>IFERROR(K265/J265*100,0)</f>
        <v>0</v>
      </c>
      <c r="Q265" s="7">
        <f>IF(P265="Yes",C265+CertValidityDays,"")</f>
        <v>0</v>
      </c>
    </row>
    <row r="266" spans="12:17">
      <c r="L266" s="2">
        <f>IFERROR(K266/J266*100,0)</f>
        <v>0</v>
      </c>
      <c r="Q266" s="7">
        <f>IF(P266="Yes",C266+CertValidityDays,"")</f>
        <v>0</v>
      </c>
    </row>
    <row r="267" spans="12:17">
      <c r="L267" s="2">
        <f>IFERROR(K267/J267*100,0)</f>
        <v>0</v>
      </c>
      <c r="Q267" s="7">
        <f>IF(P267="Yes",C267+CertValidityDays,"")</f>
        <v>0</v>
      </c>
    </row>
    <row r="268" spans="12:17">
      <c r="L268" s="2">
        <f>IFERROR(K268/J268*100,0)</f>
        <v>0</v>
      </c>
      <c r="Q268" s="7">
        <f>IF(P268="Yes",C268+CertValidityDays,"")</f>
        <v>0</v>
      </c>
    </row>
    <row r="269" spans="12:17">
      <c r="L269" s="2">
        <f>IFERROR(K269/J269*100,0)</f>
        <v>0</v>
      </c>
      <c r="Q269" s="7">
        <f>IF(P269="Yes",C269+CertValidityDays,"")</f>
        <v>0</v>
      </c>
    </row>
    <row r="270" spans="12:17">
      <c r="L270" s="2">
        <f>IFERROR(K270/J270*100,0)</f>
        <v>0</v>
      </c>
      <c r="Q270" s="7">
        <f>IF(P270="Yes",C270+CertValidityDays,"")</f>
        <v>0</v>
      </c>
    </row>
    <row r="271" spans="12:17">
      <c r="L271" s="2">
        <f>IFERROR(K271/J271*100,0)</f>
        <v>0</v>
      </c>
      <c r="Q271" s="7">
        <f>IF(P271="Yes",C271+CertValidityDays,"")</f>
        <v>0</v>
      </c>
    </row>
    <row r="272" spans="12:17">
      <c r="L272" s="2">
        <f>IFERROR(K272/J272*100,0)</f>
        <v>0</v>
      </c>
      <c r="Q272" s="7">
        <f>IF(P272="Yes",C272+CertValidityDays,"")</f>
        <v>0</v>
      </c>
    </row>
    <row r="273" spans="12:17">
      <c r="L273" s="2">
        <f>IFERROR(K273/J273*100,0)</f>
        <v>0</v>
      </c>
      <c r="Q273" s="7">
        <f>IF(P273="Yes",C273+CertValidityDays,"")</f>
        <v>0</v>
      </c>
    </row>
    <row r="274" spans="12:17">
      <c r="L274" s="2">
        <f>IFERROR(K274/J274*100,0)</f>
        <v>0</v>
      </c>
      <c r="Q274" s="7">
        <f>IF(P274="Yes",C274+CertValidityDays,"")</f>
        <v>0</v>
      </c>
    </row>
    <row r="275" spans="12:17">
      <c r="L275" s="2">
        <f>IFERROR(K275/J275*100,0)</f>
        <v>0</v>
      </c>
      <c r="Q275" s="7">
        <f>IF(P275="Yes",C275+CertValidityDays,"")</f>
        <v>0</v>
      </c>
    </row>
    <row r="276" spans="12:17">
      <c r="L276" s="2">
        <f>IFERROR(K276/J276*100,0)</f>
        <v>0</v>
      </c>
      <c r="Q276" s="7">
        <f>IF(P276="Yes",C276+CertValidityDays,"")</f>
        <v>0</v>
      </c>
    </row>
    <row r="277" spans="12:17">
      <c r="L277" s="2">
        <f>IFERROR(K277/J277*100,0)</f>
        <v>0</v>
      </c>
      <c r="Q277" s="7">
        <f>IF(P277="Yes",C277+CertValidityDays,"")</f>
        <v>0</v>
      </c>
    </row>
    <row r="278" spans="12:17">
      <c r="L278" s="2">
        <f>IFERROR(K278/J278*100,0)</f>
        <v>0</v>
      </c>
      <c r="Q278" s="7">
        <f>IF(P278="Yes",C278+CertValidityDays,"")</f>
        <v>0</v>
      </c>
    </row>
    <row r="279" spans="12:17">
      <c r="L279" s="2">
        <f>IFERROR(K279/J279*100,0)</f>
        <v>0</v>
      </c>
      <c r="Q279" s="7">
        <f>IF(P279="Yes",C279+CertValidityDays,"")</f>
        <v>0</v>
      </c>
    </row>
    <row r="280" spans="12:17">
      <c r="L280" s="2">
        <f>IFERROR(K280/J280*100,0)</f>
        <v>0</v>
      </c>
      <c r="Q280" s="7">
        <f>IF(P280="Yes",C280+CertValidityDays,"")</f>
        <v>0</v>
      </c>
    </row>
    <row r="281" spans="12:17">
      <c r="L281" s="2">
        <f>IFERROR(K281/J281*100,0)</f>
        <v>0</v>
      </c>
      <c r="Q281" s="7">
        <f>IF(P281="Yes",C281+CertValidityDays,"")</f>
        <v>0</v>
      </c>
    </row>
    <row r="282" spans="12:17">
      <c r="L282" s="2">
        <f>IFERROR(K282/J282*100,0)</f>
        <v>0</v>
      </c>
      <c r="Q282" s="7">
        <f>IF(P282="Yes",C282+CertValidityDays,"")</f>
        <v>0</v>
      </c>
    </row>
    <row r="283" spans="12:17">
      <c r="L283" s="2">
        <f>IFERROR(K283/J283*100,0)</f>
        <v>0</v>
      </c>
      <c r="Q283" s="7">
        <f>IF(P283="Yes",C283+CertValidityDays,"")</f>
        <v>0</v>
      </c>
    </row>
    <row r="284" spans="12:17">
      <c r="L284" s="2">
        <f>IFERROR(K284/J284*100,0)</f>
        <v>0</v>
      </c>
      <c r="Q284" s="7">
        <f>IF(P284="Yes",C284+CertValidityDays,"")</f>
        <v>0</v>
      </c>
    </row>
    <row r="285" spans="12:17">
      <c r="L285" s="2">
        <f>IFERROR(K285/J285*100,0)</f>
        <v>0</v>
      </c>
      <c r="Q285" s="7">
        <f>IF(P285="Yes",C285+CertValidityDays,"")</f>
        <v>0</v>
      </c>
    </row>
    <row r="286" spans="12:17">
      <c r="L286" s="2">
        <f>IFERROR(K286/J286*100,0)</f>
        <v>0</v>
      </c>
      <c r="Q286" s="7">
        <f>IF(P286="Yes",C286+CertValidityDays,"")</f>
        <v>0</v>
      </c>
    </row>
    <row r="287" spans="12:17">
      <c r="L287" s="2">
        <f>IFERROR(K287/J287*100,0)</f>
        <v>0</v>
      </c>
      <c r="Q287" s="7">
        <f>IF(P287="Yes",C287+CertValidityDays,"")</f>
        <v>0</v>
      </c>
    </row>
    <row r="288" spans="12:17">
      <c r="L288" s="2">
        <f>IFERROR(K288/J288*100,0)</f>
        <v>0</v>
      </c>
      <c r="Q288" s="7">
        <f>IF(P288="Yes",C288+CertValidityDays,"")</f>
        <v>0</v>
      </c>
    </row>
    <row r="289" spans="12:17">
      <c r="L289" s="2">
        <f>IFERROR(K289/J289*100,0)</f>
        <v>0</v>
      </c>
      <c r="Q289" s="7">
        <f>IF(P289="Yes",C289+CertValidityDays,"")</f>
        <v>0</v>
      </c>
    </row>
    <row r="290" spans="12:17">
      <c r="L290" s="2">
        <f>IFERROR(K290/J290*100,0)</f>
        <v>0</v>
      </c>
      <c r="Q290" s="7">
        <f>IF(P290="Yes",C290+CertValidityDays,"")</f>
        <v>0</v>
      </c>
    </row>
    <row r="291" spans="12:17">
      <c r="L291" s="2">
        <f>IFERROR(K291/J291*100,0)</f>
        <v>0</v>
      </c>
      <c r="Q291" s="7">
        <f>IF(P291="Yes",C291+CertValidityDays,"")</f>
        <v>0</v>
      </c>
    </row>
    <row r="292" spans="12:17">
      <c r="L292" s="2">
        <f>IFERROR(K292/J292*100,0)</f>
        <v>0</v>
      </c>
      <c r="Q292" s="7">
        <f>IF(P292="Yes",C292+CertValidityDays,"")</f>
        <v>0</v>
      </c>
    </row>
    <row r="293" spans="12:17">
      <c r="L293" s="2">
        <f>IFERROR(K293/J293*100,0)</f>
        <v>0</v>
      </c>
      <c r="Q293" s="7">
        <f>IF(P293="Yes",C293+CertValidityDays,"")</f>
        <v>0</v>
      </c>
    </row>
    <row r="294" spans="12:17">
      <c r="L294" s="2">
        <f>IFERROR(K294/J294*100,0)</f>
        <v>0</v>
      </c>
      <c r="Q294" s="7">
        <f>IF(P294="Yes",C294+CertValidityDays,"")</f>
        <v>0</v>
      </c>
    </row>
    <row r="295" spans="12:17">
      <c r="L295" s="2">
        <f>IFERROR(K295/J295*100,0)</f>
        <v>0</v>
      </c>
      <c r="Q295" s="7">
        <f>IF(P295="Yes",C295+CertValidityDays,"")</f>
        <v>0</v>
      </c>
    </row>
    <row r="296" spans="12:17">
      <c r="L296" s="2">
        <f>IFERROR(K296/J296*100,0)</f>
        <v>0</v>
      </c>
      <c r="Q296" s="7">
        <f>IF(P296="Yes",C296+CertValidityDays,"")</f>
        <v>0</v>
      </c>
    </row>
    <row r="297" spans="12:17">
      <c r="L297" s="2">
        <f>IFERROR(K297/J297*100,0)</f>
        <v>0</v>
      </c>
      <c r="Q297" s="7">
        <f>IF(P297="Yes",C297+CertValidityDays,"")</f>
        <v>0</v>
      </c>
    </row>
    <row r="298" spans="12:17">
      <c r="L298" s="2">
        <f>IFERROR(K298/J298*100,0)</f>
        <v>0</v>
      </c>
      <c r="Q298" s="7">
        <f>IF(P298="Yes",C298+CertValidityDays,"")</f>
        <v>0</v>
      </c>
    </row>
    <row r="299" spans="12:17">
      <c r="L299" s="2">
        <f>IFERROR(K299/J299*100,0)</f>
        <v>0</v>
      </c>
      <c r="Q299" s="7">
        <f>IF(P299="Yes",C299+CertValidityDays,"")</f>
        <v>0</v>
      </c>
    </row>
    <row r="300" spans="12:17">
      <c r="L300" s="2">
        <f>IFERROR(K300/J300*100,0)</f>
        <v>0</v>
      </c>
      <c r="Q300" s="7">
        <f>IF(P300="Yes",C300+CertValidityDays,"")</f>
        <v>0</v>
      </c>
    </row>
    <row r="301" spans="12:17">
      <c r="L301" s="2">
        <f>IFERROR(K301/J301*100,0)</f>
        <v>0</v>
      </c>
      <c r="Q301" s="7">
        <f>IF(P301="Yes",C301+CertValidityDays,"")</f>
        <v>0</v>
      </c>
    </row>
    <row r="302" spans="12:17">
      <c r="L302" s="2">
        <f>IFERROR(K302/J302*100,0)</f>
        <v>0</v>
      </c>
      <c r="Q302" s="7">
        <f>IF(P302="Yes",C302+CertValidityDays,"")</f>
        <v>0</v>
      </c>
    </row>
    <row r="303" spans="12:17">
      <c r="L303" s="2">
        <f>IFERROR(K303/J303*100,0)</f>
        <v>0</v>
      </c>
      <c r="Q303" s="7">
        <f>IF(P303="Yes",C303+CertValidityDays,"")</f>
        <v>0</v>
      </c>
    </row>
    <row r="304" spans="12:17">
      <c r="L304" s="2">
        <f>IFERROR(K304/J304*100,0)</f>
        <v>0</v>
      </c>
      <c r="Q304" s="7">
        <f>IF(P304="Yes",C304+CertValidityDays,"")</f>
        <v>0</v>
      </c>
    </row>
    <row r="305" spans="12:17">
      <c r="L305" s="2">
        <f>IFERROR(K305/J305*100,0)</f>
        <v>0</v>
      </c>
      <c r="Q305" s="7">
        <f>IF(P305="Yes",C305+CertValidityDays,"")</f>
        <v>0</v>
      </c>
    </row>
    <row r="306" spans="12:17">
      <c r="L306" s="2">
        <f>IFERROR(K306/J306*100,0)</f>
        <v>0</v>
      </c>
      <c r="Q306" s="7">
        <f>IF(P306="Yes",C306+CertValidityDays,"")</f>
        <v>0</v>
      </c>
    </row>
    <row r="307" spans="12:17">
      <c r="L307" s="2">
        <f>IFERROR(K307/J307*100,0)</f>
        <v>0</v>
      </c>
      <c r="Q307" s="7">
        <f>IF(P307="Yes",C307+CertValidityDays,"")</f>
        <v>0</v>
      </c>
    </row>
    <row r="308" spans="12:17">
      <c r="L308" s="2">
        <f>IFERROR(K308/J308*100,0)</f>
        <v>0</v>
      </c>
      <c r="Q308" s="7">
        <f>IF(P308="Yes",C308+CertValidityDays,"")</f>
        <v>0</v>
      </c>
    </row>
    <row r="309" spans="12:17">
      <c r="L309" s="2">
        <f>IFERROR(K309/J309*100,0)</f>
        <v>0</v>
      </c>
      <c r="Q309" s="7">
        <f>IF(P309="Yes",C309+CertValidityDays,"")</f>
        <v>0</v>
      </c>
    </row>
    <row r="310" spans="12:17">
      <c r="L310" s="2">
        <f>IFERROR(K310/J310*100,0)</f>
        <v>0</v>
      </c>
      <c r="Q310" s="7">
        <f>IF(P310="Yes",C310+CertValidityDays,"")</f>
        <v>0</v>
      </c>
    </row>
    <row r="311" spans="12:17">
      <c r="L311" s="2">
        <f>IFERROR(K311/J311*100,0)</f>
        <v>0</v>
      </c>
      <c r="Q311" s="7">
        <f>IF(P311="Yes",C311+CertValidityDays,"")</f>
        <v>0</v>
      </c>
    </row>
    <row r="312" spans="12:17">
      <c r="L312" s="2">
        <f>IFERROR(K312/J312*100,0)</f>
        <v>0</v>
      </c>
      <c r="Q312" s="7">
        <f>IF(P312="Yes",C312+CertValidityDays,"")</f>
        <v>0</v>
      </c>
    </row>
    <row r="313" spans="12:17">
      <c r="L313" s="2">
        <f>IFERROR(K313/J313*100,0)</f>
        <v>0</v>
      </c>
      <c r="Q313" s="7">
        <f>IF(P313="Yes",C313+CertValidityDays,"")</f>
        <v>0</v>
      </c>
    </row>
    <row r="314" spans="12:17">
      <c r="L314" s="2">
        <f>IFERROR(K314/J314*100,0)</f>
        <v>0</v>
      </c>
      <c r="Q314" s="7">
        <f>IF(P314="Yes",C314+CertValidityDays,"")</f>
        <v>0</v>
      </c>
    </row>
    <row r="315" spans="12:17">
      <c r="L315" s="2">
        <f>IFERROR(K315/J315*100,0)</f>
        <v>0</v>
      </c>
      <c r="Q315" s="7">
        <f>IF(P315="Yes",C315+CertValidityDays,"")</f>
        <v>0</v>
      </c>
    </row>
    <row r="316" spans="12:17">
      <c r="L316" s="2">
        <f>IFERROR(K316/J316*100,0)</f>
        <v>0</v>
      </c>
      <c r="Q316" s="7">
        <f>IF(P316="Yes",C316+CertValidityDays,"")</f>
        <v>0</v>
      </c>
    </row>
    <row r="317" spans="12:17">
      <c r="L317" s="2">
        <f>IFERROR(K317/J317*100,0)</f>
        <v>0</v>
      </c>
      <c r="Q317" s="7">
        <f>IF(P317="Yes",C317+CertValidityDays,"")</f>
        <v>0</v>
      </c>
    </row>
    <row r="318" spans="12:17">
      <c r="L318" s="2">
        <f>IFERROR(K318/J318*100,0)</f>
        <v>0</v>
      </c>
      <c r="Q318" s="7">
        <f>IF(P318="Yes",C318+CertValidityDays,"")</f>
        <v>0</v>
      </c>
    </row>
    <row r="319" spans="12:17">
      <c r="L319" s="2">
        <f>IFERROR(K319/J319*100,0)</f>
        <v>0</v>
      </c>
      <c r="Q319" s="7">
        <f>IF(P319="Yes",C319+CertValidityDays,"")</f>
        <v>0</v>
      </c>
    </row>
    <row r="320" spans="12:17">
      <c r="L320" s="2">
        <f>IFERROR(K320/J320*100,0)</f>
        <v>0</v>
      </c>
      <c r="Q320" s="7">
        <f>IF(P320="Yes",C320+CertValidityDays,"")</f>
        <v>0</v>
      </c>
    </row>
    <row r="321" spans="12:17">
      <c r="L321" s="2">
        <f>IFERROR(K321/J321*100,0)</f>
        <v>0</v>
      </c>
      <c r="Q321" s="7">
        <f>IF(P321="Yes",C321+CertValidityDays,"")</f>
        <v>0</v>
      </c>
    </row>
    <row r="322" spans="12:17">
      <c r="L322" s="2">
        <f>IFERROR(K322/J322*100,0)</f>
        <v>0</v>
      </c>
      <c r="Q322" s="7">
        <f>IF(P322="Yes",C322+CertValidityDays,"")</f>
        <v>0</v>
      </c>
    </row>
    <row r="323" spans="12:17">
      <c r="L323" s="2">
        <f>IFERROR(K323/J323*100,0)</f>
        <v>0</v>
      </c>
      <c r="Q323" s="7">
        <f>IF(P323="Yes",C323+CertValidityDays,"")</f>
        <v>0</v>
      </c>
    </row>
    <row r="324" spans="12:17">
      <c r="L324" s="2">
        <f>IFERROR(K324/J324*100,0)</f>
        <v>0</v>
      </c>
      <c r="Q324" s="7">
        <f>IF(P324="Yes",C324+CertValidityDays,"")</f>
        <v>0</v>
      </c>
    </row>
    <row r="325" spans="12:17">
      <c r="L325" s="2">
        <f>IFERROR(K325/J325*100,0)</f>
        <v>0</v>
      </c>
      <c r="Q325" s="7">
        <f>IF(P325="Yes",C325+CertValidityDays,"")</f>
        <v>0</v>
      </c>
    </row>
    <row r="326" spans="12:17">
      <c r="L326" s="2">
        <f>IFERROR(K326/J326*100,0)</f>
        <v>0</v>
      </c>
      <c r="Q326" s="7">
        <f>IF(P326="Yes",C326+CertValidityDays,"")</f>
        <v>0</v>
      </c>
    </row>
    <row r="327" spans="12:17">
      <c r="L327" s="2">
        <f>IFERROR(K327/J327*100,0)</f>
        <v>0</v>
      </c>
      <c r="Q327" s="7">
        <f>IF(P327="Yes",C327+CertValidityDays,"")</f>
        <v>0</v>
      </c>
    </row>
    <row r="328" spans="12:17">
      <c r="L328" s="2">
        <f>IFERROR(K328/J328*100,0)</f>
        <v>0</v>
      </c>
      <c r="Q328" s="7">
        <f>IF(P328="Yes",C328+CertValidityDays,"")</f>
        <v>0</v>
      </c>
    </row>
    <row r="329" spans="12:17">
      <c r="L329" s="2">
        <f>IFERROR(K329/J329*100,0)</f>
        <v>0</v>
      </c>
      <c r="Q329" s="7">
        <f>IF(P329="Yes",C329+CertValidityDays,"")</f>
        <v>0</v>
      </c>
    </row>
    <row r="330" spans="12:17">
      <c r="L330" s="2">
        <f>IFERROR(K330/J330*100,0)</f>
        <v>0</v>
      </c>
      <c r="Q330" s="7">
        <f>IF(P330="Yes",C330+CertValidityDays,"")</f>
        <v>0</v>
      </c>
    </row>
    <row r="331" spans="12:17">
      <c r="L331" s="2">
        <f>IFERROR(K331/J331*100,0)</f>
        <v>0</v>
      </c>
      <c r="Q331" s="7">
        <f>IF(P331="Yes",C331+CertValidityDays,"")</f>
        <v>0</v>
      </c>
    </row>
    <row r="332" spans="12:17">
      <c r="L332" s="2">
        <f>IFERROR(K332/J332*100,0)</f>
        <v>0</v>
      </c>
      <c r="Q332" s="7">
        <f>IF(P332="Yes",C332+CertValidityDays,"")</f>
        <v>0</v>
      </c>
    </row>
    <row r="333" spans="12:17">
      <c r="L333" s="2">
        <f>IFERROR(K333/J333*100,0)</f>
        <v>0</v>
      </c>
      <c r="Q333" s="7">
        <f>IF(P333="Yes",C333+CertValidityDays,"")</f>
        <v>0</v>
      </c>
    </row>
    <row r="334" spans="12:17">
      <c r="L334" s="2">
        <f>IFERROR(K334/J334*100,0)</f>
        <v>0</v>
      </c>
      <c r="Q334" s="7">
        <f>IF(P334="Yes",C334+CertValidityDays,"")</f>
        <v>0</v>
      </c>
    </row>
    <row r="335" spans="12:17">
      <c r="L335" s="2">
        <f>IFERROR(K335/J335*100,0)</f>
        <v>0</v>
      </c>
      <c r="Q335" s="7">
        <f>IF(P335="Yes",C335+CertValidityDays,"")</f>
        <v>0</v>
      </c>
    </row>
    <row r="336" spans="12:17">
      <c r="L336" s="2">
        <f>IFERROR(K336/J336*100,0)</f>
        <v>0</v>
      </c>
      <c r="Q336" s="7">
        <f>IF(P336="Yes",C336+CertValidityDays,"")</f>
        <v>0</v>
      </c>
    </row>
    <row r="337" spans="12:17">
      <c r="L337" s="2">
        <f>IFERROR(K337/J337*100,0)</f>
        <v>0</v>
      </c>
      <c r="Q337" s="7">
        <f>IF(P337="Yes",C337+CertValidityDays,"")</f>
        <v>0</v>
      </c>
    </row>
    <row r="338" spans="12:17">
      <c r="L338" s="2">
        <f>IFERROR(K338/J338*100,0)</f>
        <v>0</v>
      </c>
      <c r="Q338" s="7">
        <f>IF(P338="Yes",C338+CertValidityDays,"")</f>
        <v>0</v>
      </c>
    </row>
    <row r="339" spans="12:17">
      <c r="L339" s="2">
        <f>IFERROR(K339/J339*100,0)</f>
        <v>0</v>
      </c>
      <c r="Q339" s="7">
        <f>IF(P339="Yes",C339+CertValidityDays,"")</f>
        <v>0</v>
      </c>
    </row>
    <row r="340" spans="12:17">
      <c r="L340" s="2">
        <f>IFERROR(K340/J340*100,0)</f>
        <v>0</v>
      </c>
      <c r="Q340" s="7">
        <f>IF(P340="Yes",C340+CertValidityDays,"")</f>
        <v>0</v>
      </c>
    </row>
    <row r="341" spans="12:17">
      <c r="L341" s="2">
        <f>IFERROR(K341/J341*100,0)</f>
        <v>0</v>
      </c>
      <c r="Q341" s="7">
        <f>IF(P341="Yes",C341+CertValidityDays,"")</f>
        <v>0</v>
      </c>
    </row>
    <row r="342" spans="12:17">
      <c r="L342" s="2">
        <f>IFERROR(K342/J342*100,0)</f>
        <v>0</v>
      </c>
      <c r="Q342" s="7">
        <f>IF(P342="Yes",C342+CertValidityDays,"")</f>
        <v>0</v>
      </c>
    </row>
    <row r="343" spans="12:17">
      <c r="L343" s="2">
        <f>IFERROR(K343/J343*100,0)</f>
        <v>0</v>
      </c>
      <c r="Q343" s="7">
        <f>IF(P343="Yes",C343+CertValidityDays,"")</f>
        <v>0</v>
      </c>
    </row>
    <row r="344" spans="12:17">
      <c r="L344" s="2">
        <f>IFERROR(K344/J344*100,0)</f>
        <v>0</v>
      </c>
      <c r="Q344" s="7">
        <f>IF(P344="Yes",C344+CertValidityDays,"")</f>
        <v>0</v>
      </c>
    </row>
    <row r="345" spans="12:17">
      <c r="L345" s="2">
        <f>IFERROR(K345/J345*100,0)</f>
        <v>0</v>
      </c>
      <c r="Q345" s="7">
        <f>IF(P345="Yes",C345+CertValidityDays,"")</f>
        <v>0</v>
      </c>
    </row>
    <row r="346" spans="12:17">
      <c r="L346" s="2">
        <f>IFERROR(K346/J346*100,0)</f>
        <v>0</v>
      </c>
      <c r="Q346" s="7">
        <f>IF(P346="Yes",C346+CertValidityDays,"")</f>
        <v>0</v>
      </c>
    </row>
    <row r="347" spans="12:17">
      <c r="L347" s="2">
        <f>IFERROR(K347/J347*100,0)</f>
        <v>0</v>
      </c>
      <c r="Q347" s="7">
        <f>IF(P347="Yes",C347+CertValidityDays,"")</f>
        <v>0</v>
      </c>
    </row>
    <row r="348" spans="12:17">
      <c r="L348" s="2">
        <f>IFERROR(K348/J348*100,0)</f>
        <v>0</v>
      </c>
      <c r="Q348" s="7">
        <f>IF(P348="Yes",C348+CertValidityDays,"")</f>
        <v>0</v>
      </c>
    </row>
    <row r="349" spans="12:17">
      <c r="L349" s="2">
        <f>IFERROR(K349/J349*100,0)</f>
        <v>0</v>
      </c>
      <c r="Q349" s="7">
        <f>IF(P349="Yes",C349+CertValidityDays,"")</f>
        <v>0</v>
      </c>
    </row>
    <row r="350" spans="12:17">
      <c r="L350" s="2">
        <f>IFERROR(K350/J350*100,0)</f>
        <v>0</v>
      </c>
      <c r="Q350" s="7">
        <f>IF(P350="Yes",C350+CertValidityDays,"")</f>
        <v>0</v>
      </c>
    </row>
    <row r="351" spans="12:17">
      <c r="L351" s="2">
        <f>IFERROR(K351/J351*100,0)</f>
        <v>0</v>
      </c>
      <c r="Q351" s="7">
        <f>IF(P351="Yes",C351+CertValidityDays,"")</f>
        <v>0</v>
      </c>
    </row>
    <row r="352" spans="12:17">
      <c r="L352" s="2">
        <f>IFERROR(K352/J352*100,0)</f>
        <v>0</v>
      </c>
      <c r="Q352" s="7">
        <f>IF(P352="Yes",C352+CertValidityDays,"")</f>
        <v>0</v>
      </c>
    </row>
    <row r="353" spans="12:17">
      <c r="L353" s="2">
        <f>IFERROR(K353/J353*100,0)</f>
        <v>0</v>
      </c>
      <c r="Q353" s="7">
        <f>IF(P353="Yes",C353+CertValidityDays,"")</f>
        <v>0</v>
      </c>
    </row>
    <row r="354" spans="12:17">
      <c r="L354" s="2">
        <f>IFERROR(K354/J354*100,0)</f>
        <v>0</v>
      </c>
      <c r="Q354" s="7">
        <f>IF(P354="Yes",C354+CertValidityDays,"")</f>
        <v>0</v>
      </c>
    </row>
    <row r="355" spans="12:17">
      <c r="L355" s="2">
        <f>IFERROR(K355/J355*100,0)</f>
        <v>0</v>
      </c>
      <c r="Q355" s="7">
        <f>IF(P355="Yes",C355+CertValidityDays,"")</f>
        <v>0</v>
      </c>
    </row>
    <row r="356" spans="12:17">
      <c r="L356" s="2">
        <f>IFERROR(K356/J356*100,0)</f>
        <v>0</v>
      </c>
      <c r="Q356" s="7">
        <f>IF(P356="Yes",C356+CertValidityDays,"")</f>
        <v>0</v>
      </c>
    </row>
    <row r="357" spans="12:17">
      <c r="L357" s="2">
        <f>IFERROR(K357/J357*100,0)</f>
        <v>0</v>
      </c>
      <c r="Q357" s="7">
        <f>IF(P357="Yes",C357+CertValidityDays,"")</f>
        <v>0</v>
      </c>
    </row>
    <row r="358" spans="12:17">
      <c r="L358" s="2">
        <f>IFERROR(K358/J358*100,0)</f>
        <v>0</v>
      </c>
      <c r="Q358" s="7">
        <f>IF(P358="Yes",C358+CertValidityDays,"")</f>
        <v>0</v>
      </c>
    </row>
    <row r="359" spans="12:17">
      <c r="L359" s="2">
        <f>IFERROR(K359/J359*100,0)</f>
        <v>0</v>
      </c>
      <c r="Q359" s="7">
        <f>IF(P359="Yes",C359+CertValidityDays,"")</f>
        <v>0</v>
      </c>
    </row>
    <row r="360" spans="12:17">
      <c r="L360" s="2">
        <f>IFERROR(K360/J360*100,0)</f>
        <v>0</v>
      </c>
      <c r="Q360" s="7">
        <f>IF(P360="Yes",C360+CertValidityDays,"")</f>
        <v>0</v>
      </c>
    </row>
    <row r="361" spans="12:17">
      <c r="L361" s="2">
        <f>IFERROR(K361/J361*100,0)</f>
        <v>0</v>
      </c>
      <c r="Q361" s="7">
        <f>IF(P361="Yes",C361+CertValidityDays,"")</f>
        <v>0</v>
      </c>
    </row>
    <row r="362" spans="12:17">
      <c r="L362" s="2">
        <f>IFERROR(K362/J362*100,0)</f>
        <v>0</v>
      </c>
      <c r="Q362" s="7">
        <f>IF(P362="Yes",C362+CertValidityDays,"")</f>
        <v>0</v>
      </c>
    </row>
    <row r="363" spans="12:17">
      <c r="L363" s="2">
        <f>IFERROR(K363/J363*100,0)</f>
        <v>0</v>
      </c>
      <c r="Q363" s="7">
        <f>IF(P363="Yes",C363+CertValidityDays,"")</f>
        <v>0</v>
      </c>
    </row>
    <row r="364" spans="12:17">
      <c r="L364" s="2">
        <f>IFERROR(K364/J364*100,0)</f>
        <v>0</v>
      </c>
      <c r="Q364" s="7">
        <f>IF(P364="Yes",C364+CertValidityDays,"")</f>
        <v>0</v>
      </c>
    </row>
    <row r="365" spans="12:17">
      <c r="L365" s="2">
        <f>IFERROR(K365/J365*100,0)</f>
        <v>0</v>
      </c>
      <c r="Q365" s="7">
        <f>IF(P365="Yes",C365+CertValidityDays,"")</f>
        <v>0</v>
      </c>
    </row>
    <row r="366" spans="12:17">
      <c r="L366" s="2">
        <f>IFERROR(K366/J366*100,0)</f>
        <v>0</v>
      </c>
      <c r="Q366" s="7">
        <f>IF(P366="Yes",C366+CertValidityDays,"")</f>
        <v>0</v>
      </c>
    </row>
    <row r="367" spans="12:17">
      <c r="L367" s="2">
        <f>IFERROR(K367/J367*100,0)</f>
        <v>0</v>
      </c>
      <c r="Q367" s="7">
        <f>IF(P367="Yes",C367+CertValidityDays,"")</f>
        <v>0</v>
      </c>
    </row>
    <row r="368" spans="12:17">
      <c r="L368" s="2">
        <f>IFERROR(K368/J368*100,0)</f>
        <v>0</v>
      </c>
      <c r="Q368" s="7">
        <f>IF(P368="Yes",C368+CertValidityDays,"")</f>
        <v>0</v>
      </c>
    </row>
    <row r="369" spans="12:17">
      <c r="L369" s="2">
        <f>IFERROR(K369/J369*100,0)</f>
        <v>0</v>
      </c>
      <c r="Q369" s="7">
        <f>IF(P369="Yes",C369+CertValidityDays,"")</f>
        <v>0</v>
      </c>
    </row>
    <row r="370" spans="12:17">
      <c r="L370" s="2">
        <f>IFERROR(K370/J370*100,0)</f>
        <v>0</v>
      </c>
      <c r="Q370" s="7">
        <f>IF(P370="Yes",C370+CertValidityDays,"")</f>
        <v>0</v>
      </c>
    </row>
    <row r="371" spans="12:17">
      <c r="L371" s="2">
        <f>IFERROR(K371/J371*100,0)</f>
        <v>0</v>
      </c>
      <c r="Q371" s="7">
        <f>IF(P371="Yes",C371+CertValidityDays,"")</f>
        <v>0</v>
      </c>
    </row>
    <row r="372" spans="12:17">
      <c r="L372" s="2">
        <f>IFERROR(K372/J372*100,0)</f>
        <v>0</v>
      </c>
      <c r="Q372" s="7">
        <f>IF(P372="Yes",C372+CertValidityDays,"")</f>
        <v>0</v>
      </c>
    </row>
    <row r="373" spans="12:17">
      <c r="L373" s="2">
        <f>IFERROR(K373/J373*100,0)</f>
        <v>0</v>
      </c>
      <c r="Q373" s="7">
        <f>IF(P373="Yes",C373+CertValidityDays,"")</f>
        <v>0</v>
      </c>
    </row>
    <row r="374" spans="12:17">
      <c r="L374" s="2">
        <f>IFERROR(K374/J374*100,0)</f>
        <v>0</v>
      </c>
      <c r="Q374" s="7">
        <f>IF(P374="Yes",C374+CertValidityDays,"")</f>
        <v>0</v>
      </c>
    </row>
    <row r="375" spans="12:17">
      <c r="L375" s="2">
        <f>IFERROR(K375/J375*100,0)</f>
        <v>0</v>
      </c>
      <c r="Q375" s="7">
        <f>IF(P375="Yes",C375+CertValidityDays,"")</f>
        <v>0</v>
      </c>
    </row>
    <row r="376" spans="12:17">
      <c r="L376" s="2">
        <f>IFERROR(K376/J376*100,0)</f>
        <v>0</v>
      </c>
      <c r="Q376" s="7">
        <f>IF(P376="Yes",C376+CertValidityDays,"")</f>
        <v>0</v>
      </c>
    </row>
    <row r="377" spans="12:17">
      <c r="L377" s="2">
        <f>IFERROR(K377/J377*100,0)</f>
        <v>0</v>
      </c>
      <c r="Q377" s="7">
        <f>IF(P377="Yes",C377+CertValidityDays,"")</f>
        <v>0</v>
      </c>
    </row>
    <row r="378" spans="12:17">
      <c r="L378" s="2">
        <f>IFERROR(K378/J378*100,0)</f>
        <v>0</v>
      </c>
      <c r="Q378" s="7">
        <f>IF(P378="Yes",C378+CertValidityDays,"")</f>
        <v>0</v>
      </c>
    </row>
    <row r="379" spans="12:17">
      <c r="L379" s="2">
        <f>IFERROR(K379/J379*100,0)</f>
        <v>0</v>
      </c>
      <c r="Q379" s="7">
        <f>IF(P379="Yes",C379+CertValidityDays,"")</f>
        <v>0</v>
      </c>
    </row>
    <row r="380" spans="12:17">
      <c r="L380" s="2">
        <f>IFERROR(K380/J380*100,0)</f>
        <v>0</v>
      </c>
      <c r="Q380" s="7">
        <f>IF(P380="Yes",C380+CertValidityDays,"")</f>
        <v>0</v>
      </c>
    </row>
    <row r="381" spans="12:17">
      <c r="L381" s="2">
        <f>IFERROR(K381/J381*100,0)</f>
        <v>0</v>
      </c>
      <c r="Q381" s="7">
        <f>IF(P381="Yes",C381+CertValidityDays,"")</f>
        <v>0</v>
      </c>
    </row>
    <row r="382" spans="12:17">
      <c r="L382" s="2">
        <f>IFERROR(K382/J382*100,0)</f>
        <v>0</v>
      </c>
      <c r="Q382" s="7">
        <f>IF(P382="Yes",C382+CertValidityDays,"")</f>
        <v>0</v>
      </c>
    </row>
    <row r="383" spans="12:17">
      <c r="L383" s="2">
        <f>IFERROR(K383/J383*100,0)</f>
        <v>0</v>
      </c>
      <c r="Q383" s="7">
        <f>IF(P383="Yes",C383+CertValidityDays,"")</f>
        <v>0</v>
      </c>
    </row>
    <row r="384" spans="12:17">
      <c r="L384" s="2">
        <f>IFERROR(K384/J384*100,0)</f>
        <v>0</v>
      </c>
      <c r="Q384" s="7">
        <f>IF(P384="Yes",C384+CertValidityDays,"")</f>
        <v>0</v>
      </c>
    </row>
    <row r="385" spans="12:17">
      <c r="L385" s="2">
        <f>IFERROR(K385/J385*100,0)</f>
        <v>0</v>
      </c>
      <c r="Q385" s="7">
        <f>IF(P385="Yes",C385+CertValidityDays,"")</f>
        <v>0</v>
      </c>
    </row>
    <row r="386" spans="12:17">
      <c r="L386" s="2">
        <f>IFERROR(K386/J386*100,0)</f>
        <v>0</v>
      </c>
      <c r="Q386" s="7">
        <f>IF(P386="Yes",C386+CertValidityDays,"")</f>
        <v>0</v>
      </c>
    </row>
    <row r="387" spans="12:17">
      <c r="L387" s="2">
        <f>IFERROR(K387/J387*100,0)</f>
        <v>0</v>
      </c>
      <c r="Q387" s="7">
        <f>IF(P387="Yes",C387+CertValidityDays,"")</f>
        <v>0</v>
      </c>
    </row>
    <row r="388" spans="12:17">
      <c r="L388" s="2">
        <f>IFERROR(K388/J388*100,0)</f>
        <v>0</v>
      </c>
      <c r="Q388" s="7">
        <f>IF(P388="Yes",C388+CertValidityDays,"")</f>
        <v>0</v>
      </c>
    </row>
    <row r="389" spans="12:17">
      <c r="L389" s="2">
        <f>IFERROR(K389/J389*100,0)</f>
        <v>0</v>
      </c>
      <c r="Q389" s="7">
        <f>IF(P389="Yes",C389+CertValidityDays,"")</f>
        <v>0</v>
      </c>
    </row>
    <row r="390" spans="12:17">
      <c r="L390" s="2">
        <f>IFERROR(K390/J390*100,0)</f>
        <v>0</v>
      </c>
      <c r="Q390" s="7">
        <f>IF(P390="Yes",C390+CertValidityDays,"")</f>
        <v>0</v>
      </c>
    </row>
    <row r="391" spans="12:17">
      <c r="L391" s="2">
        <f>IFERROR(K391/J391*100,0)</f>
        <v>0</v>
      </c>
      <c r="Q391" s="7">
        <f>IF(P391="Yes",C391+CertValidityDays,"")</f>
        <v>0</v>
      </c>
    </row>
    <row r="392" spans="12:17">
      <c r="L392" s="2">
        <f>IFERROR(K392/J392*100,0)</f>
        <v>0</v>
      </c>
      <c r="Q392" s="7">
        <f>IF(P392="Yes",C392+CertValidityDays,"")</f>
        <v>0</v>
      </c>
    </row>
    <row r="393" spans="12:17">
      <c r="L393" s="2">
        <f>IFERROR(K393/J393*100,0)</f>
        <v>0</v>
      </c>
      <c r="Q393" s="7">
        <f>IF(P393="Yes",C393+CertValidityDays,"")</f>
        <v>0</v>
      </c>
    </row>
    <row r="394" spans="12:17">
      <c r="L394" s="2">
        <f>IFERROR(K394/J394*100,0)</f>
        <v>0</v>
      </c>
      <c r="Q394" s="7">
        <f>IF(P394="Yes",C394+CertValidityDays,"")</f>
        <v>0</v>
      </c>
    </row>
    <row r="395" spans="12:17">
      <c r="L395" s="2">
        <f>IFERROR(K395/J395*100,0)</f>
        <v>0</v>
      </c>
      <c r="Q395" s="7">
        <f>IF(P395="Yes",C395+CertValidityDays,"")</f>
        <v>0</v>
      </c>
    </row>
    <row r="396" spans="12:17">
      <c r="L396" s="2">
        <f>IFERROR(K396/J396*100,0)</f>
        <v>0</v>
      </c>
      <c r="Q396" s="7">
        <f>IF(P396="Yes",C396+CertValidityDays,"")</f>
        <v>0</v>
      </c>
    </row>
    <row r="397" spans="12:17">
      <c r="L397" s="2">
        <f>IFERROR(K397/J397*100,0)</f>
        <v>0</v>
      </c>
      <c r="Q397" s="7">
        <f>IF(P397="Yes",C397+CertValidityDays,"")</f>
        <v>0</v>
      </c>
    </row>
    <row r="398" spans="12:17">
      <c r="L398" s="2">
        <f>IFERROR(K398/J398*100,0)</f>
        <v>0</v>
      </c>
      <c r="Q398" s="7">
        <f>IF(P398="Yes",C398+CertValidityDays,"")</f>
        <v>0</v>
      </c>
    </row>
    <row r="399" spans="12:17">
      <c r="L399" s="2">
        <f>IFERROR(K399/J399*100,0)</f>
        <v>0</v>
      </c>
      <c r="Q399" s="7">
        <f>IF(P399="Yes",C399+CertValidityDays,"")</f>
        <v>0</v>
      </c>
    </row>
    <row r="400" spans="12:17">
      <c r="L400" s="2">
        <f>IFERROR(K400/J400*100,0)</f>
        <v>0</v>
      </c>
      <c r="Q400" s="7">
        <f>IF(P400="Yes",C400+CertValidityDays,"")</f>
        <v>0</v>
      </c>
    </row>
    <row r="401" spans="12:17">
      <c r="L401" s="2">
        <f>IFERROR(K401/J401*100,0)</f>
        <v>0</v>
      </c>
      <c r="Q401" s="7">
        <f>IF(P401="Yes",C401+CertValidityDays,"")</f>
        <v>0</v>
      </c>
    </row>
    <row r="402" spans="12:17">
      <c r="L402" s="2">
        <f>IFERROR(K402/J402*100,0)</f>
        <v>0</v>
      </c>
      <c r="Q402" s="7">
        <f>IF(P402="Yes",C402+CertValidityDays,"")</f>
        <v>0</v>
      </c>
    </row>
    <row r="403" spans="12:17">
      <c r="L403" s="2">
        <f>IFERROR(K403/J403*100,0)</f>
        <v>0</v>
      </c>
      <c r="Q403" s="7">
        <f>IF(P403="Yes",C403+CertValidityDays,"")</f>
        <v>0</v>
      </c>
    </row>
    <row r="404" spans="12:17">
      <c r="L404" s="2">
        <f>IFERROR(K404/J404*100,0)</f>
        <v>0</v>
      </c>
      <c r="Q404" s="7">
        <f>IF(P404="Yes",C404+CertValidityDays,"")</f>
        <v>0</v>
      </c>
    </row>
    <row r="405" spans="12:17">
      <c r="L405" s="2">
        <f>IFERROR(K405/J405*100,0)</f>
        <v>0</v>
      </c>
      <c r="Q405" s="7">
        <f>IF(P405="Yes",C405+CertValidityDays,"")</f>
        <v>0</v>
      </c>
    </row>
    <row r="406" spans="12:17">
      <c r="L406" s="2">
        <f>IFERROR(K406/J406*100,0)</f>
        <v>0</v>
      </c>
      <c r="Q406" s="7">
        <f>IF(P406="Yes",C406+CertValidityDays,"")</f>
        <v>0</v>
      </c>
    </row>
    <row r="407" spans="12:17">
      <c r="L407" s="2">
        <f>IFERROR(K407/J407*100,0)</f>
        <v>0</v>
      </c>
      <c r="Q407" s="7">
        <f>IF(P407="Yes",C407+CertValidityDays,"")</f>
        <v>0</v>
      </c>
    </row>
    <row r="408" spans="12:17">
      <c r="L408" s="2">
        <f>IFERROR(K408/J408*100,0)</f>
        <v>0</v>
      </c>
      <c r="Q408" s="7">
        <f>IF(P408="Yes",C408+CertValidityDays,"")</f>
        <v>0</v>
      </c>
    </row>
    <row r="409" spans="12:17">
      <c r="L409" s="2">
        <f>IFERROR(K409/J409*100,0)</f>
        <v>0</v>
      </c>
      <c r="Q409" s="7">
        <f>IF(P409="Yes",C409+CertValidityDays,"")</f>
        <v>0</v>
      </c>
    </row>
    <row r="410" spans="12:17">
      <c r="L410" s="2">
        <f>IFERROR(K410/J410*100,0)</f>
        <v>0</v>
      </c>
      <c r="Q410" s="7">
        <f>IF(P410="Yes",C410+CertValidityDays,"")</f>
        <v>0</v>
      </c>
    </row>
    <row r="411" spans="12:17">
      <c r="L411" s="2">
        <f>IFERROR(K411/J411*100,0)</f>
        <v>0</v>
      </c>
      <c r="Q411" s="7">
        <f>IF(P411="Yes",C411+CertValidityDays,"")</f>
        <v>0</v>
      </c>
    </row>
    <row r="412" spans="12:17">
      <c r="L412" s="2">
        <f>IFERROR(K412/J412*100,0)</f>
        <v>0</v>
      </c>
      <c r="Q412" s="7">
        <f>IF(P412="Yes",C412+CertValidityDays,"")</f>
        <v>0</v>
      </c>
    </row>
    <row r="413" spans="12:17">
      <c r="L413" s="2">
        <f>IFERROR(K413/J413*100,0)</f>
        <v>0</v>
      </c>
      <c r="Q413" s="7">
        <f>IF(P413="Yes",C413+CertValidityDays,"")</f>
        <v>0</v>
      </c>
    </row>
    <row r="414" spans="12:17">
      <c r="L414" s="2">
        <f>IFERROR(K414/J414*100,0)</f>
        <v>0</v>
      </c>
      <c r="Q414" s="7">
        <f>IF(P414="Yes",C414+CertValidityDays,"")</f>
        <v>0</v>
      </c>
    </row>
    <row r="415" spans="12:17">
      <c r="L415" s="2">
        <f>IFERROR(K415/J415*100,0)</f>
        <v>0</v>
      </c>
      <c r="Q415" s="7">
        <f>IF(P415="Yes",C415+CertValidityDays,"")</f>
        <v>0</v>
      </c>
    </row>
    <row r="416" spans="12:17">
      <c r="L416" s="2">
        <f>IFERROR(K416/J416*100,0)</f>
        <v>0</v>
      </c>
      <c r="Q416" s="7">
        <f>IF(P416="Yes",C416+CertValidityDays,"")</f>
        <v>0</v>
      </c>
    </row>
    <row r="417" spans="12:17">
      <c r="L417" s="2">
        <f>IFERROR(K417/J417*100,0)</f>
        <v>0</v>
      </c>
      <c r="Q417" s="7">
        <f>IF(P417="Yes",C417+CertValidityDays,"")</f>
        <v>0</v>
      </c>
    </row>
    <row r="418" spans="12:17">
      <c r="L418" s="2">
        <f>IFERROR(K418/J418*100,0)</f>
        <v>0</v>
      </c>
      <c r="Q418" s="7">
        <f>IF(P418="Yes",C418+CertValidityDays,"")</f>
        <v>0</v>
      </c>
    </row>
    <row r="419" spans="12:17">
      <c r="L419" s="2">
        <f>IFERROR(K419/J419*100,0)</f>
        <v>0</v>
      </c>
      <c r="Q419" s="7">
        <f>IF(P419="Yes",C419+CertValidityDays,"")</f>
        <v>0</v>
      </c>
    </row>
    <row r="420" spans="12:17">
      <c r="L420" s="2">
        <f>IFERROR(K420/J420*100,0)</f>
        <v>0</v>
      </c>
      <c r="Q420" s="7">
        <f>IF(P420="Yes",C420+CertValidityDays,"")</f>
        <v>0</v>
      </c>
    </row>
    <row r="421" spans="12:17">
      <c r="L421" s="2">
        <f>IFERROR(K421/J421*100,0)</f>
        <v>0</v>
      </c>
      <c r="Q421" s="7">
        <f>IF(P421="Yes",C421+CertValidityDays,"")</f>
        <v>0</v>
      </c>
    </row>
    <row r="422" spans="12:17">
      <c r="L422" s="2">
        <f>IFERROR(K422/J422*100,0)</f>
        <v>0</v>
      </c>
      <c r="Q422" s="7">
        <f>IF(P422="Yes",C422+CertValidityDays,"")</f>
        <v>0</v>
      </c>
    </row>
    <row r="423" spans="12:17">
      <c r="L423" s="2">
        <f>IFERROR(K423/J423*100,0)</f>
        <v>0</v>
      </c>
      <c r="Q423" s="7">
        <f>IF(P423="Yes",C423+CertValidityDays,"")</f>
        <v>0</v>
      </c>
    </row>
    <row r="424" spans="12:17">
      <c r="L424" s="2">
        <f>IFERROR(K424/J424*100,0)</f>
        <v>0</v>
      </c>
      <c r="Q424" s="7">
        <f>IF(P424="Yes",C424+CertValidityDays,"")</f>
        <v>0</v>
      </c>
    </row>
    <row r="425" spans="12:17">
      <c r="L425" s="2">
        <f>IFERROR(K425/J425*100,0)</f>
        <v>0</v>
      </c>
      <c r="Q425" s="7">
        <f>IF(P425="Yes",C425+CertValidityDays,"")</f>
        <v>0</v>
      </c>
    </row>
    <row r="426" spans="12:17">
      <c r="L426" s="2">
        <f>IFERROR(K426/J426*100,0)</f>
        <v>0</v>
      </c>
      <c r="Q426" s="7">
        <f>IF(P426="Yes",C426+CertValidityDays,"")</f>
        <v>0</v>
      </c>
    </row>
    <row r="427" spans="12:17">
      <c r="L427" s="2">
        <f>IFERROR(K427/J427*100,0)</f>
        <v>0</v>
      </c>
      <c r="Q427" s="7">
        <f>IF(P427="Yes",C427+CertValidityDays,"")</f>
        <v>0</v>
      </c>
    </row>
    <row r="428" spans="12:17">
      <c r="L428" s="2">
        <f>IFERROR(K428/J428*100,0)</f>
        <v>0</v>
      </c>
      <c r="Q428" s="7">
        <f>IF(P428="Yes",C428+CertValidityDays,"")</f>
        <v>0</v>
      </c>
    </row>
    <row r="429" spans="12:17">
      <c r="L429" s="2">
        <f>IFERROR(K429/J429*100,0)</f>
        <v>0</v>
      </c>
      <c r="Q429" s="7">
        <f>IF(P429="Yes",C429+CertValidityDays,"")</f>
        <v>0</v>
      </c>
    </row>
    <row r="430" spans="12:17">
      <c r="L430" s="2">
        <f>IFERROR(K430/J430*100,0)</f>
        <v>0</v>
      </c>
      <c r="Q430" s="7">
        <f>IF(P430="Yes",C430+CertValidityDays,"")</f>
        <v>0</v>
      </c>
    </row>
    <row r="431" spans="12:17">
      <c r="L431" s="2">
        <f>IFERROR(K431/J431*100,0)</f>
        <v>0</v>
      </c>
      <c r="Q431" s="7">
        <f>IF(P431="Yes",C431+CertValidityDays,"")</f>
        <v>0</v>
      </c>
    </row>
    <row r="432" spans="12:17">
      <c r="L432" s="2">
        <f>IFERROR(K432/J432*100,0)</f>
        <v>0</v>
      </c>
      <c r="Q432" s="7">
        <f>IF(P432="Yes",C432+CertValidityDays,"")</f>
        <v>0</v>
      </c>
    </row>
    <row r="433" spans="12:17">
      <c r="L433" s="2">
        <f>IFERROR(K433/J433*100,0)</f>
        <v>0</v>
      </c>
      <c r="Q433" s="7">
        <f>IF(P433="Yes",C433+CertValidityDays,"")</f>
        <v>0</v>
      </c>
    </row>
    <row r="434" spans="12:17">
      <c r="L434" s="2">
        <f>IFERROR(K434/J434*100,0)</f>
        <v>0</v>
      </c>
      <c r="Q434" s="7">
        <f>IF(P434="Yes",C434+CertValidityDays,"")</f>
        <v>0</v>
      </c>
    </row>
    <row r="435" spans="12:17">
      <c r="L435" s="2">
        <f>IFERROR(K435/J435*100,0)</f>
        <v>0</v>
      </c>
      <c r="Q435" s="7">
        <f>IF(P435="Yes",C435+CertValidityDays,"")</f>
        <v>0</v>
      </c>
    </row>
    <row r="436" spans="12:17">
      <c r="L436" s="2">
        <f>IFERROR(K436/J436*100,0)</f>
        <v>0</v>
      </c>
      <c r="Q436" s="7">
        <f>IF(P436="Yes",C436+CertValidityDays,"")</f>
        <v>0</v>
      </c>
    </row>
    <row r="437" spans="12:17">
      <c r="L437" s="2">
        <f>IFERROR(K437/J437*100,0)</f>
        <v>0</v>
      </c>
      <c r="Q437" s="7">
        <f>IF(P437="Yes",C437+CertValidityDays,"")</f>
        <v>0</v>
      </c>
    </row>
    <row r="438" spans="12:17">
      <c r="L438" s="2">
        <f>IFERROR(K438/J438*100,0)</f>
        <v>0</v>
      </c>
      <c r="Q438" s="7">
        <f>IF(P438="Yes",C438+CertValidityDays,"")</f>
        <v>0</v>
      </c>
    </row>
    <row r="439" spans="12:17">
      <c r="L439" s="2">
        <f>IFERROR(K439/J439*100,0)</f>
        <v>0</v>
      </c>
      <c r="Q439" s="7">
        <f>IF(P439="Yes",C439+CertValidityDays,"")</f>
        <v>0</v>
      </c>
    </row>
    <row r="440" spans="12:17">
      <c r="L440" s="2">
        <f>IFERROR(K440/J440*100,0)</f>
        <v>0</v>
      </c>
      <c r="Q440" s="7">
        <f>IF(P440="Yes",C440+CertValidityDays,"")</f>
        <v>0</v>
      </c>
    </row>
    <row r="441" spans="12:17">
      <c r="L441" s="2">
        <f>IFERROR(K441/J441*100,0)</f>
        <v>0</v>
      </c>
      <c r="Q441" s="7">
        <f>IF(P441="Yes",C441+CertValidityDays,"")</f>
        <v>0</v>
      </c>
    </row>
    <row r="442" spans="12:17">
      <c r="L442" s="2">
        <f>IFERROR(K442/J442*100,0)</f>
        <v>0</v>
      </c>
      <c r="Q442" s="7">
        <f>IF(P442="Yes",C442+CertValidityDays,"")</f>
        <v>0</v>
      </c>
    </row>
    <row r="443" spans="12:17">
      <c r="L443" s="2">
        <f>IFERROR(K443/J443*100,0)</f>
        <v>0</v>
      </c>
      <c r="Q443" s="7">
        <f>IF(P443="Yes",C443+CertValidityDays,"")</f>
        <v>0</v>
      </c>
    </row>
    <row r="444" spans="12:17">
      <c r="L444" s="2">
        <f>IFERROR(K444/J444*100,0)</f>
        <v>0</v>
      </c>
      <c r="Q444" s="7">
        <f>IF(P444="Yes",C444+CertValidityDays,"")</f>
        <v>0</v>
      </c>
    </row>
    <row r="445" spans="12:17">
      <c r="L445" s="2">
        <f>IFERROR(K445/J445*100,0)</f>
        <v>0</v>
      </c>
      <c r="Q445" s="7">
        <f>IF(P445="Yes",C445+CertValidityDays,"")</f>
        <v>0</v>
      </c>
    </row>
    <row r="446" spans="12:17">
      <c r="L446" s="2">
        <f>IFERROR(K446/J446*100,0)</f>
        <v>0</v>
      </c>
      <c r="Q446" s="7">
        <f>IF(P446="Yes",C446+CertValidityDays,"")</f>
        <v>0</v>
      </c>
    </row>
    <row r="447" spans="12:17">
      <c r="L447" s="2">
        <f>IFERROR(K447/J447*100,0)</f>
        <v>0</v>
      </c>
      <c r="Q447" s="7">
        <f>IF(P447="Yes",C447+CertValidityDays,"")</f>
        <v>0</v>
      </c>
    </row>
    <row r="448" spans="12:17">
      <c r="L448" s="2">
        <f>IFERROR(K448/J448*100,0)</f>
        <v>0</v>
      </c>
      <c r="Q448" s="7">
        <f>IF(P448="Yes",C448+CertValidityDays,"")</f>
        <v>0</v>
      </c>
    </row>
    <row r="449" spans="12:17">
      <c r="L449" s="2">
        <f>IFERROR(K449/J449*100,0)</f>
        <v>0</v>
      </c>
      <c r="Q449" s="7">
        <f>IF(P449="Yes",C449+CertValidityDays,"")</f>
        <v>0</v>
      </c>
    </row>
    <row r="450" spans="12:17">
      <c r="L450" s="2">
        <f>IFERROR(K450/J450*100,0)</f>
        <v>0</v>
      </c>
      <c r="Q450" s="7">
        <f>IF(P450="Yes",C450+CertValidityDays,"")</f>
        <v>0</v>
      </c>
    </row>
    <row r="451" spans="12:17">
      <c r="L451" s="2">
        <f>IFERROR(K451/J451*100,0)</f>
        <v>0</v>
      </c>
      <c r="Q451" s="7">
        <f>IF(P451="Yes",C451+CertValidityDays,"")</f>
        <v>0</v>
      </c>
    </row>
    <row r="452" spans="12:17">
      <c r="L452" s="2">
        <f>IFERROR(K452/J452*100,0)</f>
        <v>0</v>
      </c>
      <c r="Q452" s="7">
        <f>IF(P452="Yes",C452+CertValidityDays,"")</f>
        <v>0</v>
      </c>
    </row>
    <row r="453" spans="12:17">
      <c r="L453" s="2">
        <f>IFERROR(K453/J453*100,0)</f>
        <v>0</v>
      </c>
      <c r="Q453" s="7">
        <f>IF(P453="Yes",C453+CertValidityDays,"")</f>
        <v>0</v>
      </c>
    </row>
    <row r="454" spans="12:17">
      <c r="L454" s="2">
        <f>IFERROR(K454/J454*100,0)</f>
        <v>0</v>
      </c>
      <c r="Q454" s="7">
        <f>IF(P454="Yes",C454+CertValidityDays,"")</f>
        <v>0</v>
      </c>
    </row>
    <row r="455" spans="12:17">
      <c r="L455" s="2">
        <f>IFERROR(K455/J455*100,0)</f>
        <v>0</v>
      </c>
      <c r="Q455" s="7">
        <f>IF(P455="Yes",C455+CertValidityDays,"")</f>
        <v>0</v>
      </c>
    </row>
    <row r="456" spans="12:17">
      <c r="L456" s="2">
        <f>IFERROR(K456/J456*100,0)</f>
        <v>0</v>
      </c>
      <c r="Q456" s="7">
        <f>IF(P456="Yes",C456+CertValidityDays,"")</f>
        <v>0</v>
      </c>
    </row>
    <row r="457" spans="12:17">
      <c r="L457" s="2">
        <f>IFERROR(K457/J457*100,0)</f>
        <v>0</v>
      </c>
      <c r="Q457" s="7">
        <f>IF(P457="Yes",C457+CertValidityDays,"")</f>
        <v>0</v>
      </c>
    </row>
    <row r="458" spans="12:17">
      <c r="L458" s="2">
        <f>IFERROR(K458/J458*100,0)</f>
        <v>0</v>
      </c>
      <c r="Q458" s="7">
        <f>IF(P458="Yes",C458+CertValidityDays,"")</f>
        <v>0</v>
      </c>
    </row>
    <row r="459" spans="12:17">
      <c r="L459" s="2">
        <f>IFERROR(K459/J459*100,0)</f>
        <v>0</v>
      </c>
      <c r="Q459" s="7">
        <f>IF(P459="Yes",C459+CertValidityDays,"")</f>
        <v>0</v>
      </c>
    </row>
    <row r="460" spans="12:17">
      <c r="L460" s="2">
        <f>IFERROR(K460/J460*100,0)</f>
        <v>0</v>
      </c>
      <c r="Q460" s="7">
        <f>IF(P460="Yes",C460+CertValidityDays,"")</f>
        <v>0</v>
      </c>
    </row>
    <row r="461" spans="12:17">
      <c r="L461" s="2">
        <f>IFERROR(K461/J461*100,0)</f>
        <v>0</v>
      </c>
      <c r="Q461" s="7">
        <f>IF(P461="Yes",C461+CertValidityDays,"")</f>
        <v>0</v>
      </c>
    </row>
    <row r="462" spans="12:17">
      <c r="L462" s="2">
        <f>IFERROR(K462/J462*100,0)</f>
        <v>0</v>
      </c>
      <c r="Q462" s="7">
        <f>IF(P462="Yes",C462+CertValidityDays,"")</f>
        <v>0</v>
      </c>
    </row>
    <row r="463" spans="12:17">
      <c r="L463" s="2">
        <f>IFERROR(K463/J463*100,0)</f>
        <v>0</v>
      </c>
      <c r="Q463" s="7">
        <f>IF(P463="Yes",C463+CertValidityDays,"")</f>
        <v>0</v>
      </c>
    </row>
    <row r="464" spans="12:17">
      <c r="L464" s="2">
        <f>IFERROR(K464/J464*100,0)</f>
        <v>0</v>
      </c>
      <c r="Q464" s="7">
        <f>IF(P464="Yes",C464+CertValidityDays,"")</f>
        <v>0</v>
      </c>
    </row>
    <row r="465" spans="12:17">
      <c r="L465" s="2">
        <f>IFERROR(K465/J465*100,0)</f>
        <v>0</v>
      </c>
      <c r="Q465" s="7">
        <f>IF(P465="Yes",C465+CertValidityDays,"")</f>
        <v>0</v>
      </c>
    </row>
    <row r="466" spans="12:17">
      <c r="L466" s="2">
        <f>IFERROR(K466/J466*100,0)</f>
        <v>0</v>
      </c>
      <c r="Q466" s="7">
        <f>IF(P466="Yes",C466+CertValidityDays,"")</f>
        <v>0</v>
      </c>
    </row>
    <row r="467" spans="12:17">
      <c r="L467" s="2">
        <f>IFERROR(K467/J467*100,0)</f>
        <v>0</v>
      </c>
      <c r="Q467" s="7">
        <f>IF(P467="Yes",C467+CertValidityDays,"")</f>
        <v>0</v>
      </c>
    </row>
    <row r="468" spans="12:17">
      <c r="L468" s="2">
        <f>IFERROR(K468/J468*100,0)</f>
        <v>0</v>
      </c>
      <c r="Q468" s="7">
        <f>IF(P468="Yes",C468+CertValidityDays,"")</f>
        <v>0</v>
      </c>
    </row>
    <row r="469" spans="12:17">
      <c r="L469" s="2">
        <f>IFERROR(K469/J469*100,0)</f>
        <v>0</v>
      </c>
      <c r="Q469" s="7">
        <f>IF(P469="Yes",C469+CertValidityDays,"")</f>
        <v>0</v>
      </c>
    </row>
    <row r="470" spans="12:17">
      <c r="L470" s="2">
        <f>IFERROR(K470/J470*100,0)</f>
        <v>0</v>
      </c>
      <c r="Q470" s="7">
        <f>IF(P470="Yes",C470+CertValidityDays,"")</f>
        <v>0</v>
      </c>
    </row>
    <row r="471" spans="12:17">
      <c r="L471" s="2">
        <f>IFERROR(K471/J471*100,0)</f>
        <v>0</v>
      </c>
      <c r="Q471" s="7">
        <f>IF(P471="Yes",C471+CertValidityDays,"")</f>
        <v>0</v>
      </c>
    </row>
    <row r="472" spans="12:17">
      <c r="L472" s="2">
        <f>IFERROR(K472/J472*100,0)</f>
        <v>0</v>
      </c>
      <c r="Q472" s="7">
        <f>IF(P472="Yes",C472+CertValidityDays,"")</f>
        <v>0</v>
      </c>
    </row>
    <row r="473" spans="12:17">
      <c r="L473" s="2">
        <f>IFERROR(K473/J473*100,0)</f>
        <v>0</v>
      </c>
      <c r="Q473" s="7">
        <f>IF(P473="Yes",C473+CertValidityDays,"")</f>
        <v>0</v>
      </c>
    </row>
    <row r="474" spans="12:17">
      <c r="L474" s="2">
        <f>IFERROR(K474/J474*100,0)</f>
        <v>0</v>
      </c>
      <c r="Q474" s="7">
        <f>IF(P474="Yes",C474+CertValidityDays,"")</f>
        <v>0</v>
      </c>
    </row>
    <row r="475" spans="12:17">
      <c r="L475" s="2">
        <f>IFERROR(K475/J475*100,0)</f>
        <v>0</v>
      </c>
      <c r="Q475" s="7">
        <f>IF(P475="Yes",C475+CertValidityDays,"")</f>
        <v>0</v>
      </c>
    </row>
    <row r="476" spans="12:17">
      <c r="L476" s="2">
        <f>IFERROR(K476/J476*100,0)</f>
        <v>0</v>
      </c>
      <c r="Q476" s="7">
        <f>IF(P476="Yes",C476+CertValidityDays,"")</f>
        <v>0</v>
      </c>
    </row>
    <row r="477" spans="12:17">
      <c r="L477" s="2">
        <f>IFERROR(K477/J477*100,0)</f>
        <v>0</v>
      </c>
      <c r="Q477" s="7">
        <f>IF(P477="Yes",C477+CertValidityDays,"")</f>
        <v>0</v>
      </c>
    </row>
    <row r="478" spans="12:17">
      <c r="L478" s="2">
        <f>IFERROR(K478/J478*100,0)</f>
        <v>0</v>
      </c>
      <c r="Q478" s="7">
        <f>IF(P478="Yes",C478+CertValidityDays,"")</f>
        <v>0</v>
      </c>
    </row>
    <row r="479" spans="12:17">
      <c r="L479" s="2">
        <f>IFERROR(K479/J479*100,0)</f>
        <v>0</v>
      </c>
      <c r="Q479" s="7">
        <f>IF(P479="Yes",C479+CertValidityDays,"")</f>
        <v>0</v>
      </c>
    </row>
    <row r="480" spans="12:17">
      <c r="L480" s="2">
        <f>IFERROR(K480/J480*100,0)</f>
        <v>0</v>
      </c>
      <c r="Q480" s="7">
        <f>IF(P480="Yes",C480+CertValidityDays,"")</f>
        <v>0</v>
      </c>
    </row>
    <row r="481" spans="12:17">
      <c r="L481" s="2">
        <f>IFERROR(K481/J481*100,0)</f>
        <v>0</v>
      </c>
      <c r="Q481" s="7">
        <f>IF(P481="Yes",C481+CertValidityDays,"")</f>
        <v>0</v>
      </c>
    </row>
    <row r="482" spans="12:17">
      <c r="L482" s="2">
        <f>IFERROR(K482/J482*100,0)</f>
        <v>0</v>
      </c>
      <c r="Q482" s="7">
        <f>IF(P482="Yes",C482+CertValidityDays,"")</f>
        <v>0</v>
      </c>
    </row>
    <row r="483" spans="12:17">
      <c r="L483" s="2">
        <f>IFERROR(K483/J483*100,0)</f>
        <v>0</v>
      </c>
      <c r="Q483" s="7">
        <f>IF(P483="Yes",C483+CertValidityDays,"")</f>
        <v>0</v>
      </c>
    </row>
    <row r="484" spans="12:17">
      <c r="L484" s="2">
        <f>IFERROR(K484/J484*100,0)</f>
        <v>0</v>
      </c>
      <c r="Q484" s="7">
        <f>IF(P484="Yes",C484+CertValidityDays,"")</f>
        <v>0</v>
      </c>
    </row>
    <row r="485" spans="12:17">
      <c r="L485" s="2">
        <f>IFERROR(K485/J485*100,0)</f>
        <v>0</v>
      </c>
      <c r="Q485" s="7">
        <f>IF(P485="Yes",C485+CertValidityDays,"")</f>
        <v>0</v>
      </c>
    </row>
    <row r="486" spans="12:17">
      <c r="L486" s="2">
        <f>IFERROR(K486/J486*100,0)</f>
        <v>0</v>
      </c>
      <c r="Q486" s="7">
        <f>IF(P486="Yes",C486+CertValidityDays,"")</f>
        <v>0</v>
      </c>
    </row>
    <row r="487" spans="12:17">
      <c r="L487" s="2">
        <f>IFERROR(K487/J487*100,0)</f>
        <v>0</v>
      </c>
      <c r="Q487" s="7">
        <f>IF(P487="Yes",C487+CertValidityDays,"")</f>
        <v>0</v>
      </c>
    </row>
    <row r="488" spans="12:17">
      <c r="L488" s="2">
        <f>IFERROR(K488/J488*100,0)</f>
        <v>0</v>
      </c>
      <c r="Q488" s="7">
        <f>IF(P488="Yes",C488+CertValidityDays,"")</f>
        <v>0</v>
      </c>
    </row>
    <row r="489" spans="12:17">
      <c r="L489" s="2">
        <f>IFERROR(K489/J489*100,0)</f>
        <v>0</v>
      </c>
      <c r="Q489" s="7">
        <f>IF(P489="Yes",C489+CertValidityDays,"")</f>
        <v>0</v>
      </c>
    </row>
    <row r="490" spans="12:17">
      <c r="L490" s="2">
        <f>IFERROR(K490/J490*100,0)</f>
        <v>0</v>
      </c>
      <c r="Q490" s="7">
        <f>IF(P490="Yes",C490+CertValidityDays,"")</f>
        <v>0</v>
      </c>
    </row>
    <row r="491" spans="12:17">
      <c r="L491" s="2">
        <f>IFERROR(K491/J491*100,0)</f>
        <v>0</v>
      </c>
      <c r="Q491" s="7">
        <f>IF(P491="Yes",C491+CertValidityDays,"")</f>
        <v>0</v>
      </c>
    </row>
    <row r="492" spans="12:17">
      <c r="L492" s="2">
        <f>IFERROR(K492/J492*100,0)</f>
        <v>0</v>
      </c>
      <c r="Q492" s="7">
        <f>IF(P492="Yes",C492+CertValidityDays,"")</f>
        <v>0</v>
      </c>
    </row>
    <row r="493" spans="12:17">
      <c r="L493" s="2">
        <f>IFERROR(K493/J493*100,0)</f>
        <v>0</v>
      </c>
      <c r="Q493" s="7">
        <f>IF(P493="Yes",C493+CertValidityDays,"")</f>
        <v>0</v>
      </c>
    </row>
    <row r="494" spans="12:17">
      <c r="L494" s="2">
        <f>IFERROR(K494/J494*100,0)</f>
        <v>0</v>
      </c>
      <c r="Q494" s="7">
        <f>IF(P494="Yes",C494+CertValidityDays,"")</f>
        <v>0</v>
      </c>
    </row>
    <row r="495" spans="12:17">
      <c r="L495" s="2">
        <f>IFERROR(K495/J495*100,0)</f>
        <v>0</v>
      </c>
      <c r="Q495" s="7">
        <f>IF(P495="Yes",C495+CertValidityDays,"")</f>
        <v>0</v>
      </c>
    </row>
    <row r="496" spans="12:17">
      <c r="L496" s="2">
        <f>IFERROR(K496/J496*100,0)</f>
        <v>0</v>
      </c>
      <c r="Q496" s="7">
        <f>IF(P496="Yes",C496+CertValidityDays,"")</f>
        <v>0</v>
      </c>
    </row>
    <row r="497" spans="12:17">
      <c r="L497" s="2">
        <f>IFERROR(K497/J497*100,0)</f>
        <v>0</v>
      </c>
      <c r="Q497" s="7">
        <f>IF(P497="Yes",C497+CertValidityDays,"")</f>
        <v>0</v>
      </c>
    </row>
    <row r="498" spans="12:17">
      <c r="L498" s="2">
        <f>IFERROR(K498/J498*100,0)</f>
        <v>0</v>
      </c>
      <c r="Q498" s="7">
        <f>IF(P498="Yes",C498+CertValidityDays,"")</f>
        <v>0</v>
      </c>
    </row>
    <row r="499" spans="12:17">
      <c r="L499" s="2">
        <f>IFERROR(K499/J499*100,0)</f>
        <v>0</v>
      </c>
      <c r="Q499" s="7">
        <f>IF(P499="Yes",C499+CertValidityDays,"")</f>
        <v>0</v>
      </c>
    </row>
    <row r="500" spans="12:17">
      <c r="L500" s="2">
        <f>IFERROR(K500/J500*100,0)</f>
        <v>0</v>
      </c>
      <c r="Q500" s="7">
        <f>IF(P500="Yes",C500+CertValidityDays,"")</f>
        <v>0</v>
      </c>
    </row>
    <row r="501" spans="12:17">
      <c r="L501" s="2">
        <f>IFERROR(K501/J501*100,0)</f>
        <v>0</v>
      </c>
      <c r="Q501" s="7">
        <f>IF(P501="Yes",C501+CertValidityDays,"")</f>
        <v>0</v>
      </c>
    </row>
    <row r="502" spans="12:17">
      <c r="L502" s="2">
        <f>IFERROR(K502/J502*100,0)</f>
        <v>0</v>
      </c>
      <c r="Q502" s="7">
        <f>IF(P502="Yes",C502+CertValidityDays,"")</f>
        <v>0</v>
      </c>
    </row>
    <row r="503" spans="12:17">
      <c r="L503" s="2">
        <f>IFERROR(K503/J503*100,0)</f>
        <v>0</v>
      </c>
      <c r="Q503" s="7">
        <f>IF(P503="Yes",C503+CertValidityDays,"")</f>
        <v>0</v>
      </c>
    </row>
    <row r="504" spans="12:17">
      <c r="L504" s="2">
        <f>IFERROR(K504/J504*100,0)</f>
        <v>0</v>
      </c>
      <c r="Q504" s="7">
        <f>IF(P504="Yes",C504+CertValidityDays,"")</f>
        <v>0</v>
      </c>
    </row>
    <row r="505" spans="12:17">
      <c r="L505" s="2">
        <f>IFERROR(K505/J505*100,0)</f>
        <v>0</v>
      </c>
      <c r="Q505" s="7">
        <f>IF(P505="Yes",C505+CertValidityDays,"")</f>
        <v>0</v>
      </c>
    </row>
    <row r="506" spans="12:17">
      <c r="L506" s="2">
        <f>IFERROR(K506/J506*100,0)</f>
        <v>0</v>
      </c>
      <c r="Q506" s="7">
        <f>IF(P506="Yes",C506+CertValidityDays,"")</f>
        <v>0</v>
      </c>
    </row>
    <row r="507" spans="12:17">
      <c r="L507" s="2">
        <f>IFERROR(K507/J507*100,0)</f>
        <v>0</v>
      </c>
      <c r="Q507" s="7">
        <f>IF(P507="Yes",C507+CertValidityDays,"")</f>
        <v>0</v>
      </c>
    </row>
    <row r="508" spans="12:17">
      <c r="L508" s="2">
        <f>IFERROR(K508/J508*100,0)</f>
        <v>0</v>
      </c>
      <c r="Q508" s="7">
        <f>IF(P508="Yes",C508+CertValidityDays,"")</f>
        <v>0</v>
      </c>
    </row>
    <row r="509" spans="12:17">
      <c r="L509" s="2">
        <f>IFERROR(K509/J509*100,0)</f>
        <v>0</v>
      </c>
      <c r="Q509" s="7">
        <f>IF(P509="Yes",C509+CertValidityDays,"")</f>
        <v>0</v>
      </c>
    </row>
    <row r="510" spans="12:17">
      <c r="L510" s="2">
        <f>IFERROR(K510/J510*100,0)</f>
        <v>0</v>
      </c>
      <c r="Q510" s="7">
        <f>IF(P510="Yes",C510+CertValidityDays,"")</f>
        <v>0</v>
      </c>
    </row>
    <row r="511" spans="12:17">
      <c r="L511" s="2">
        <f>IFERROR(K511/J511*100,0)</f>
        <v>0</v>
      </c>
      <c r="Q511" s="7">
        <f>IF(P511="Yes",C511+CertValidityDays,"")</f>
        <v>0</v>
      </c>
    </row>
    <row r="512" spans="12:17">
      <c r="L512" s="2">
        <f>IFERROR(K512/J512*100,0)</f>
        <v>0</v>
      </c>
      <c r="Q512" s="7">
        <f>IF(P512="Yes",C512+CertValidityDays,"")</f>
        <v>0</v>
      </c>
    </row>
    <row r="513" spans="12:17">
      <c r="L513" s="2">
        <f>IFERROR(K513/J513*100,0)</f>
        <v>0</v>
      </c>
      <c r="Q513" s="7">
        <f>IF(P513="Yes",C513+CertValidityDays,"")</f>
        <v>0</v>
      </c>
    </row>
    <row r="514" spans="12:17">
      <c r="L514" s="2">
        <f>IFERROR(K514/J514*100,0)</f>
        <v>0</v>
      </c>
      <c r="Q514" s="7">
        <f>IF(P514="Yes",C514+CertValidityDays,"")</f>
        <v>0</v>
      </c>
    </row>
    <row r="515" spans="12:17">
      <c r="L515" s="2">
        <f>IFERROR(K515/J515*100,0)</f>
        <v>0</v>
      </c>
      <c r="Q515" s="7">
        <f>IF(P515="Yes",C515+CertValidityDays,"")</f>
        <v>0</v>
      </c>
    </row>
    <row r="516" spans="12:17">
      <c r="L516" s="2">
        <f>IFERROR(K516/J516*100,0)</f>
        <v>0</v>
      </c>
      <c r="Q516" s="7">
        <f>IF(P516="Yes",C516+CertValidityDays,"")</f>
        <v>0</v>
      </c>
    </row>
    <row r="517" spans="12:17">
      <c r="L517" s="2">
        <f>IFERROR(K517/J517*100,0)</f>
        <v>0</v>
      </c>
      <c r="Q517" s="7">
        <f>IF(P517="Yes",C517+CertValidityDays,"")</f>
        <v>0</v>
      </c>
    </row>
    <row r="518" spans="12:17">
      <c r="L518" s="2">
        <f>IFERROR(K518/J518*100,0)</f>
        <v>0</v>
      </c>
      <c r="Q518" s="7">
        <f>IF(P518="Yes",C518+CertValidityDays,"")</f>
        <v>0</v>
      </c>
    </row>
    <row r="519" spans="12:17">
      <c r="L519" s="2">
        <f>IFERROR(K519/J519*100,0)</f>
        <v>0</v>
      </c>
      <c r="Q519" s="7">
        <f>IF(P519="Yes",C519+CertValidityDays,"")</f>
        <v>0</v>
      </c>
    </row>
    <row r="520" spans="12:17">
      <c r="L520" s="2">
        <f>IFERROR(K520/J520*100,0)</f>
        <v>0</v>
      </c>
      <c r="Q520" s="7">
        <f>IF(P520="Yes",C520+CertValidityDays,"")</f>
        <v>0</v>
      </c>
    </row>
    <row r="521" spans="12:17">
      <c r="L521" s="2">
        <f>IFERROR(K521/J521*100,0)</f>
        <v>0</v>
      </c>
      <c r="Q521" s="7">
        <f>IF(P521="Yes",C521+CertValidityDays,"")</f>
        <v>0</v>
      </c>
    </row>
    <row r="522" spans="12:17">
      <c r="L522" s="2">
        <f>IFERROR(K522/J522*100,0)</f>
        <v>0</v>
      </c>
      <c r="Q522" s="7">
        <f>IF(P522="Yes",C522+CertValidityDays,"")</f>
        <v>0</v>
      </c>
    </row>
    <row r="523" spans="12:17">
      <c r="L523" s="2">
        <f>IFERROR(K523/J523*100,0)</f>
        <v>0</v>
      </c>
      <c r="Q523" s="7">
        <f>IF(P523="Yes",C523+CertValidityDays,"")</f>
        <v>0</v>
      </c>
    </row>
    <row r="524" spans="12:17">
      <c r="L524" s="2">
        <f>IFERROR(K524/J524*100,0)</f>
        <v>0</v>
      </c>
      <c r="Q524" s="7">
        <f>IF(P524="Yes",C524+CertValidityDays,"")</f>
        <v>0</v>
      </c>
    </row>
    <row r="525" spans="12:17">
      <c r="L525" s="2">
        <f>IFERROR(K525/J525*100,0)</f>
        <v>0</v>
      </c>
      <c r="Q525" s="7">
        <f>IF(P525="Yes",C525+CertValidityDays,"")</f>
        <v>0</v>
      </c>
    </row>
    <row r="526" spans="12:17">
      <c r="L526" s="2">
        <f>IFERROR(K526/J526*100,0)</f>
        <v>0</v>
      </c>
      <c r="Q526" s="7">
        <f>IF(P526="Yes",C526+CertValidityDays,"")</f>
        <v>0</v>
      </c>
    </row>
    <row r="527" spans="12:17">
      <c r="L527" s="2">
        <f>IFERROR(K527/J527*100,0)</f>
        <v>0</v>
      </c>
      <c r="Q527" s="7">
        <f>IF(P527="Yes",C527+CertValidityDays,"")</f>
        <v>0</v>
      </c>
    </row>
    <row r="528" spans="12:17">
      <c r="L528" s="2">
        <f>IFERROR(K528/J528*100,0)</f>
        <v>0</v>
      </c>
      <c r="Q528" s="7">
        <f>IF(P528="Yes",C528+CertValidityDays,"")</f>
        <v>0</v>
      </c>
    </row>
    <row r="529" spans="12:17">
      <c r="L529" s="2">
        <f>IFERROR(K529/J529*100,0)</f>
        <v>0</v>
      </c>
      <c r="Q529" s="7">
        <f>IF(P529="Yes",C529+CertValidityDays,"")</f>
        <v>0</v>
      </c>
    </row>
    <row r="530" spans="12:17">
      <c r="L530" s="2">
        <f>IFERROR(K530/J530*100,0)</f>
        <v>0</v>
      </c>
      <c r="Q530" s="7">
        <f>IF(P530="Yes",C530+CertValidityDays,"")</f>
        <v>0</v>
      </c>
    </row>
    <row r="531" spans="12:17">
      <c r="L531" s="2">
        <f>IFERROR(K531/J531*100,0)</f>
        <v>0</v>
      </c>
      <c r="Q531" s="7">
        <f>IF(P531="Yes",C531+CertValidityDays,"")</f>
        <v>0</v>
      </c>
    </row>
    <row r="532" spans="12:17">
      <c r="L532" s="2">
        <f>IFERROR(K532/J532*100,0)</f>
        <v>0</v>
      </c>
      <c r="Q532" s="7">
        <f>IF(P532="Yes",C532+CertValidityDays,"")</f>
        <v>0</v>
      </c>
    </row>
    <row r="533" spans="12:17">
      <c r="L533" s="2">
        <f>IFERROR(K533/J533*100,0)</f>
        <v>0</v>
      </c>
      <c r="Q533" s="7">
        <f>IF(P533="Yes",C533+CertValidityDays,"")</f>
        <v>0</v>
      </c>
    </row>
    <row r="534" spans="12:17">
      <c r="L534" s="2">
        <f>IFERROR(K534/J534*100,0)</f>
        <v>0</v>
      </c>
      <c r="Q534" s="7">
        <f>IF(P534="Yes",C534+CertValidityDays,"")</f>
        <v>0</v>
      </c>
    </row>
    <row r="535" spans="12:17">
      <c r="L535" s="2">
        <f>IFERROR(K535/J535*100,0)</f>
        <v>0</v>
      </c>
      <c r="Q535" s="7">
        <f>IF(P535="Yes",C535+CertValidityDays,"")</f>
        <v>0</v>
      </c>
    </row>
    <row r="536" spans="12:17">
      <c r="L536" s="2">
        <f>IFERROR(K536/J536*100,0)</f>
        <v>0</v>
      </c>
      <c r="Q536" s="7">
        <f>IF(P536="Yes",C536+CertValidityDays,"")</f>
        <v>0</v>
      </c>
    </row>
    <row r="537" spans="12:17">
      <c r="L537" s="2">
        <f>IFERROR(K537/J537*100,0)</f>
        <v>0</v>
      </c>
      <c r="Q537" s="7">
        <f>IF(P537="Yes",C537+CertValidityDays,"")</f>
        <v>0</v>
      </c>
    </row>
    <row r="538" spans="12:17">
      <c r="L538" s="2">
        <f>IFERROR(K538/J538*100,0)</f>
        <v>0</v>
      </c>
      <c r="Q538" s="7">
        <f>IF(P538="Yes",C538+CertValidityDays,"")</f>
        <v>0</v>
      </c>
    </row>
    <row r="539" spans="12:17">
      <c r="L539" s="2">
        <f>IFERROR(K539/J539*100,0)</f>
        <v>0</v>
      </c>
      <c r="Q539" s="7">
        <f>IF(P539="Yes",C539+CertValidityDays,"")</f>
        <v>0</v>
      </c>
    </row>
    <row r="540" spans="12:17">
      <c r="L540" s="2">
        <f>IFERROR(K540/J540*100,0)</f>
        <v>0</v>
      </c>
      <c r="Q540" s="7">
        <f>IF(P540="Yes",C540+CertValidityDays,"")</f>
        <v>0</v>
      </c>
    </row>
    <row r="541" spans="12:17">
      <c r="L541" s="2">
        <f>IFERROR(K541/J541*100,0)</f>
        <v>0</v>
      </c>
      <c r="Q541" s="7">
        <f>IF(P541="Yes",C541+CertValidityDays,"")</f>
        <v>0</v>
      </c>
    </row>
    <row r="542" spans="12:17">
      <c r="L542" s="2">
        <f>IFERROR(K542/J542*100,0)</f>
        <v>0</v>
      </c>
      <c r="Q542" s="7">
        <f>IF(P542="Yes",C542+CertValidityDays,"")</f>
        <v>0</v>
      </c>
    </row>
    <row r="543" spans="12:17">
      <c r="L543" s="2">
        <f>IFERROR(K543/J543*100,0)</f>
        <v>0</v>
      </c>
      <c r="Q543" s="7">
        <f>IF(P543="Yes",C543+CertValidityDays,"")</f>
        <v>0</v>
      </c>
    </row>
    <row r="544" spans="12:17">
      <c r="L544" s="2">
        <f>IFERROR(K544/J544*100,0)</f>
        <v>0</v>
      </c>
      <c r="Q544" s="7">
        <f>IF(P544="Yes",C544+CertValidityDays,"")</f>
        <v>0</v>
      </c>
    </row>
    <row r="545" spans="12:17">
      <c r="L545" s="2">
        <f>IFERROR(K545/J545*100,0)</f>
        <v>0</v>
      </c>
      <c r="Q545" s="7">
        <f>IF(P545="Yes",C545+CertValidityDays,"")</f>
        <v>0</v>
      </c>
    </row>
    <row r="546" spans="12:17">
      <c r="L546" s="2">
        <f>IFERROR(K546/J546*100,0)</f>
        <v>0</v>
      </c>
      <c r="Q546" s="7">
        <f>IF(P546="Yes",C546+CertValidityDays,"")</f>
        <v>0</v>
      </c>
    </row>
    <row r="547" spans="12:17">
      <c r="L547" s="2">
        <f>IFERROR(K547/J547*100,0)</f>
        <v>0</v>
      </c>
      <c r="Q547" s="7">
        <f>IF(P547="Yes",C547+CertValidityDays,"")</f>
        <v>0</v>
      </c>
    </row>
    <row r="548" spans="12:17">
      <c r="L548" s="2">
        <f>IFERROR(K548/J548*100,0)</f>
        <v>0</v>
      </c>
      <c r="Q548" s="7">
        <f>IF(P548="Yes",C548+CertValidityDays,"")</f>
        <v>0</v>
      </c>
    </row>
    <row r="549" spans="12:17">
      <c r="L549" s="2">
        <f>IFERROR(K549/J549*100,0)</f>
        <v>0</v>
      </c>
      <c r="Q549" s="7">
        <f>IF(P549="Yes",C549+CertValidityDays,"")</f>
        <v>0</v>
      </c>
    </row>
    <row r="550" spans="12:17">
      <c r="L550" s="2">
        <f>IFERROR(K550/J550*100,0)</f>
        <v>0</v>
      </c>
      <c r="Q550" s="7">
        <f>IF(P550="Yes",C550+CertValidityDays,"")</f>
        <v>0</v>
      </c>
    </row>
    <row r="551" spans="12:17">
      <c r="L551" s="2">
        <f>IFERROR(K551/J551*100,0)</f>
        <v>0</v>
      </c>
      <c r="Q551" s="7">
        <f>IF(P551="Yes",C551+CertValidityDays,"")</f>
        <v>0</v>
      </c>
    </row>
    <row r="552" spans="12:17">
      <c r="L552" s="2">
        <f>IFERROR(K552/J552*100,0)</f>
        <v>0</v>
      </c>
      <c r="Q552" s="7">
        <f>IF(P552="Yes",C552+CertValidityDays,"")</f>
        <v>0</v>
      </c>
    </row>
    <row r="553" spans="12:17">
      <c r="L553" s="2">
        <f>IFERROR(K553/J553*100,0)</f>
        <v>0</v>
      </c>
      <c r="Q553" s="7">
        <f>IF(P553="Yes",C553+CertValidityDays,"")</f>
        <v>0</v>
      </c>
    </row>
    <row r="554" spans="12:17">
      <c r="L554" s="2">
        <f>IFERROR(K554/J554*100,0)</f>
        <v>0</v>
      </c>
      <c r="Q554" s="7">
        <f>IF(P554="Yes",C554+CertValidityDays,"")</f>
        <v>0</v>
      </c>
    </row>
    <row r="555" spans="12:17">
      <c r="L555" s="2">
        <f>IFERROR(K555/J555*100,0)</f>
        <v>0</v>
      </c>
      <c r="Q555" s="7">
        <f>IF(P555="Yes",C555+CertValidityDays,"")</f>
        <v>0</v>
      </c>
    </row>
    <row r="556" spans="12:17">
      <c r="L556" s="2">
        <f>IFERROR(K556/J556*100,0)</f>
        <v>0</v>
      </c>
      <c r="Q556" s="7">
        <f>IF(P556="Yes",C556+CertValidityDays,"")</f>
        <v>0</v>
      </c>
    </row>
    <row r="557" spans="12:17">
      <c r="L557" s="2">
        <f>IFERROR(K557/J557*100,0)</f>
        <v>0</v>
      </c>
      <c r="Q557" s="7">
        <f>IF(P557="Yes",C557+CertValidityDays,"")</f>
        <v>0</v>
      </c>
    </row>
    <row r="558" spans="12:17">
      <c r="L558" s="2">
        <f>IFERROR(K558/J558*100,0)</f>
        <v>0</v>
      </c>
      <c r="Q558" s="7">
        <f>IF(P558="Yes",C558+CertValidityDays,"")</f>
        <v>0</v>
      </c>
    </row>
    <row r="559" spans="12:17">
      <c r="L559" s="2">
        <f>IFERROR(K559/J559*100,0)</f>
        <v>0</v>
      </c>
      <c r="Q559" s="7">
        <f>IF(P559="Yes",C559+CertValidityDays,"")</f>
        <v>0</v>
      </c>
    </row>
    <row r="560" spans="12:17">
      <c r="L560" s="2">
        <f>IFERROR(K560/J560*100,0)</f>
        <v>0</v>
      </c>
      <c r="Q560" s="7">
        <f>IF(P560="Yes",C560+CertValidityDays,"")</f>
        <v>0</v>
      </c>
    </row>
    <row r="561" spans="12:17">
      <c r="L561" s="2">
        <f>IFERROR(K561/J561*100,0)</f>
        <v>0</v>
      </c>
      <c r="Q561" s="7">
        <f>IF(P561="Yes",C561+CertValidityDays,"")</f>
        <v>0</v>
      </c>
    </row>
    <row r="562" spans="12:17">
      <c r="L562" s="2">
        <f>IFERROR(K562/J562*100,0)</f>
        <v>0</v>
      </c>
      <c r="Q562" s="7">
        <f>IF(P562="Yes",C562+CertValidityDays,"")</f>
        <v>0</v>
      </c>
    </row>
    <row r="563" spans="12:17">
      <c r="L563" s="2">
        <f>IFERROR(K563/J563*100,0)</f>
        <v>0</v>
      </c>
      <c r="Q563" s="7">
        <f>IF(P563="Yes",C563+CertValidityDays,"")</f>
        <v>0</v>
      </c>
    </row>
    <row r="564" spans="12:17">
      <c r="L564" s="2">
        <f>IFERROR(K564/J564*100,0)</f>
        <v>0</v>
      </c>
      <c r="Q564" s="7">
        <f>IF(P564="Yes",C564+CertValidityDays,"")</f>
        <v>0</v>
      </c>
    </row>
    <row r="565" spans="12:17">
      <c r="L565" s="2">
        <f>IFERROR(K565/J565*100,0)</f>
        <v>0</v>
      </c>
      <c r="Q565" s="7">
        <f>IF(P565="Yes",C565+CertValidityDays,"")</f>
        <v>0</v>
      </c>
    </row>
    <row r="566" spans="12:17">
      <c r="L566" s="2">
        <f>IFERROR(K566/J566*100,0)</f>
        <v>0</v>
      </c>
      <c r="Q566" s="7">
        <f>IF(P566="Yes",C566+CertValidityDays,"")</f>
        <v>0</v>
      </c>
    </row>
    <row r="567" spans="12:17">
      <c r="L567" s="2">
        <f>IFERROR(K567/J567*100,0)</f>
        <v>0</v>
      </c>
      <c r="Q567" s="7">
        <f>IF(P567="Yes",C567+CertValidityDays,"")</f>
        <v>0</v>
      </c>
    </row>
    <row r="568" spans="12:17">
      <c r="L568" s="2">
        <f>IFERROR(K568/J568*100,0)</f>
        <v>0</v>
      </c>
      <c r="Q568" s="7">
        <f>IF(P568="Yes",C568+CertValidityDays,"")</f>
        <v>0</v>
      </c>
    </row>
    <row r="569" spans="12:17">
      <c r="L569" s="2">
        <f>IFERROR(K569/J569*100,0)</f>
        <v>0</v>
      </c>
      <c r="Q569" s="7">
        <f>IF(P569="Yes",C569+CertValidityDays,"")</f>
        <v>0</v>
      </c>
    </row>
    <row r="570" spans="12:17">
      <c r="L570" s="2">
        <f>IFERROR(K570/J570*100,0)</f>
        <v>0</v>
      </c>
      <c r="Q570" s="7">
        <f>IF(P570="Yes",C570+CertValidityDays,"")</f>
        <v>0</v>
      </c>
    </row>
    <row r="571" spans="12:17">
      <c r="L571" s="2">
        <f>IFERROR(K571/J571*100,0)</f>
        <v>0</v>
      </c>
      <c r="Q571" s="7">
        <f>IF(P571="Yes",C571+CertValidityDays,"")</f>
        <v>0</v>
      </c>
    </row>
    <row r="572" spans="12:17">
      <c r="L572" s="2">
        <f>IFERROR(K572/J572*100,0)</f>
        <v>0</v>
      </c>
      <c r="Q572" s="7">
        <f>IF(P572="Yes",C572+CertValidityDays,"")</f>
        <v>0</v>
      </c>
    </row>
    <row r="573" spans="12:17">
      <c r="L573" s="2">
        <f>IFERROR(K573/J573*100,0)</f>
        <v>0</v>
      </c>
      <c r="Q573" s="7">
        <f>IF(P573="Yes",C573+CertValidityDays,"")</f>
        <v>0</v>
      </c>
    </row>
    <row r="574" spans="12:17">
      <c r="L574" s="2">
        <f>IFERROR(K574/J574*100,0)</f>
        <v>0</v>
      </c>
      <c r="Q574" s="7">
        <f>IF(P574="Yes",C574+CertValidityDays,"")</f>
        <v>0</v>
      </c>
    </row>
    <row r="575" spans="12:17">
      <c r="L575" s="2">
        <f>IFERROR(K575/J575*100,0)</f>
        <v>0</v>
      </c>
      <c r="Q575" s="7">
        <f>IF(P575="Yes",C575+CertValidityDays,"")</f>
        <v>0</v>
      </c>
    </row>
    <row r="576" spans="12:17">
      <c r="L576" s="2">
        <f>IFERROR(K576/J576*100,0)</f>
        <v>0</v>
      </c>
      <c r="Q576" s="7">
        <f>IF(P576="Yes",C576+CertValidityDays,"")</f>
        <v>0</v>
      </c>
    </row>
    <row r="577" spans="12:17">
      <c r="L577" s="2">
        <f>IFERROR(K577/J577*100,0)</f>
        <v>0</v>
      </c>
      <c r="Q577" s="7">
        <f>IF(P577="Yes",C577+CertValidityDays,"")</f>
        <v>0</v>
      </c>
    </row>
    <row r="578" spans="12:17">
      <c r="L578" s="2">
        <f>IFERROR(K578/J578*100,0)</f>
        <v>0</v>
      </c>
      <c r="Q578" s="7">
        <f>IF(P578="Yes",C578+CertValidityDays,"")</f>
        <v>0</v>
      </c>
    </row>
    <row r="579" spans="12:17">
      <c r="L579" s="2">
        <f>IFERROR(K579/J579*100,0)</f>
        <v>0</v>
      </c>
      <c r="Q579" s="7">
        <f>IF(P579="Yes",C579+CertValidityDays,"")</f>
        <v>0</v>
      </c>
    </row>
    <row r="580" spans="12:17">
      <c r="L580" s="2">
        <f>IFERROR(K580/J580*100,0)</f>
        <v>0</v>
      </c>
      <c r="Q580" s="7">
        <f>IF(P580="Yes",C580+CertValidityDays,"")</f>
        <v>0</v>
      </c>
    </row>
    <row r="581" spans="12:17">
      <c r="L581" s="2">
        <f>IFERROR(K581/J581*100,0)</f>
        <v>0</v>
      </c>
      <c r="Q581" s="7">
        <f>IF(P581="Yes",C581+CertValidityDays,"")</f>
        <v>0</v>
      </c>
    </row>
    <row r="582" spans="12:17">
      <c r="L582" s="2">
        <f>IFERROR(K582/J582*100,0)</f>
        <v>0</v>
      </c>
      <c r="Q582" s="7">
        <f>IF(P582="Yes",C582+CertValidityDays,"")</f>
        <v>0</v>
      </c>
    </row>
    <row r="583" spans="12:17">
      <c r="L583" s="2">
        <f>IFERROR(K583/J583*100,0)</f>
        <v>0</v>
      </c>
      <c r="Q583" s="7">
        <f>IF(P583="Yes",C583+CertValidityDays,"")</f>
        <v>0</v>
      </c>
    </row>
    <row r="584" spans="12:17">
      <c r="L584" s="2">
        <f>IFERROR(K584/J584*100,0)</f>
        <v>0</v>
      </c>
      <c r="Q584" s="7">
        <f>IF(P584="Yes",C584+CertValidityDays,"")</f>
        <v>0</v>
      </c>
    </row>
    <row r="585" spans="12:17">
      <c r="L585" s="2">
        <f>IFERROR(K585/J585*100,0)</f>
        <v>0</v>
      </c>
      <c r="Q585" s="7">
        <f>IF(P585="Yes",C585+CertValidityDays,"")</f>
        <v>0</v>
      </c>
    </row>
    <row r="586" spans="12:17">
      <c r="L586" s="2">
        <f>IFERROR(K586/J586*100,0)</f>
        <v>0</v>
      </c>
      <c r="Q586" s="7">
        <f>IF(P586="Yes",C586+CertValidityDays,"")</f>
        <v>0</v>
      </c>
    </row>
    <row r="587" spans="12:17">
      <c r="L587" s="2">
        <f>IFERROR(K587/J587*100,0)</f>
        <v>0</v>
      </c>
      <c r="Q587" s="7">
        <f>IF(P587="Yes",C587+CertValidityDays,"")</f>
        <v>0</v>
      </c>
    </row>
    <row r="588" spans="12:17">
      <c r="L588" s="2">
        <f>IFERROR(K588/J588*100,0)</f>
        <v>0</v>
      </c>
      <c r="Q588" s="7">
        <f>IF(P588="Yes",C588+CertValidityDays,"")</f>
        <v>0</v>
      </c>
    </row>
    <row r="589" spans="12:17">
      <c r="L589" s="2">
        <f>IFERROR(K589/J589*100,0)</f>
        <v>0</v>
      </c>
      <c r="Q589" s="7">
        <f>IF(P589="Yes",C589+CertValidityDays,"")</f>
        <v>0</v>
      </c>
    </row>
    <row r="590" spans="12:17">
      <c r="L590" s="2">
        <f>IFERROR(K590/J590*100,0)</f>
        <v>0</v>
      </c>
      <c r="Q590" s="7">
        <f>IF(P590="Yes",C590+CertValidityDays,"")</f>
        <v>0</v>
      </c>
    </row>
    <row r="591" spans="12:17">
      <c r="L591" s="2">
        <f>IFERROR(K591/J591*100,0)</f>
        <v>0</v>
      </c>
      <c r="Q591" s="7">
        <f>IF(P591="Yes",C591+CertValidityDays,"")</f>
        <v>0</v>
      </c>
    </row>
    <row r="592" spans="12:17">
      <c r="L592" s="2">
        <f>IFERROR(K592/J592*100,0)</f>
        <v>0</v>
      </c>
      <c r="Q592" s="7">
        <f>IF(P592="Yes",C592+CertValidityDays,"")</f>
        <v>0</v>
      </c>
    </row>
    <row r="593" spans="12:17">
      <c r="L593" s="2">
        <f>IFERROR(K593/J593*100,0)</f>
        <v>0</v>
      </c>
      <c r="Q593" s="7">
        <f>IF(P593="Yes",C593+CertValidityDays,"")</f>
        <v>0</v>
      </c>
    </row>
    <row r="594" spans="12:17">
      <c r="L594" s="2">
        <f>IFERROR(K594/J594*100,0)</f>
        <v>0</v>
      </c>
      <c r="Q594" s="7">
        <f>IF(P594="Yes",C594+CertValidityDays,"")</f>
        <v>0</v>
      </c>
    </row>
    <row r="595" spans="12:17">
      <c r="L595" s="2">
        <f>IFERROR(K595/J595*100,0)</f>
        <v>0</v>
      </c>
      <c r="Q595" s="7">
        <f>IF(P595="Yes",C595+CertValidityDays,"")</f>
        <v>0</v>
      </c>
    </row>
    <row r="596" spans="12:17">
      <c r="L596" s="2">
        <f>IFERROR(K596/J596*100,0)</f>
        <v>0</v>
      </c>
      <c r="Q596" s="7">
        <f>IF(P596="Yes",C596+CertValidityDays,"")</f>
        <v>0</v>
      </c>
    </row>
    <row r="597" spans="12:17">
      <c r="L597" s="2">
        <f>IFERROR(K597/J597*100,0)</f>
        <v>0</v>
      </c>
      <c r="Q597" s="7">
        <f>IF(P597="Yes",C597+CertValidityDays,"")</f>
        <v>0</v>
      </c>
    </row>
    <row r="598" spans="12:17">
      <c r="L598" s="2">
        <f>IFERROR(K598/J598*100,0)</f>
        <v>0</v>
      </c>
      <c r="Q598" s="7">
        <f>IF(P598="Yes",C598+CertValidityDays,"")</f>
        <v>0</v>
      </c>
    </row>
    <row r="599" spans="12:17">
      <c r="L599" s="2">
        <f>IFERROR(K599/J599*100,0)</f>
        <v>0</v>
      </c>
      <c r="Q599" s="7">
        <f>IF(P599="Yes",C599+CertValidityDays,"")</f>
        <v>0</v>
      </c>
    </row>
    <row r="600" spans="12:17">
      <c r="L600" s="2">
        <f>IFERROR(K600/J600*100,0)</f>
        <v>0</v>
      </c>
      <c r="Q600" s="7">
        <f>IF(P600="Yes",C600+CertValidityDays,"")</f>
        <v>0</v>
      </c>
    </row>
    <row r="601" spans="12:17">
      <c r="L601" s="2">
        <f>IFERROR(K601/J601*100,0)</f>
        <v>0</v>
      </c>
      <c r="Q601" s="7">
        <f>IF(P601="Yes",C601+CertValidityDays,"")</f>
        <v>0</v>
      </c>
    </row>
    <row r="602" spans="12:17">
      <c r="L602" s="2">
        <f>IFERROR(K602/J602*100,0)</f>
        <v>0</v>
      </c>
      <c r="Q602" s="7">
        <f>IF(P602="Yes",C602+CertValidityDays,"")</f>
        <v>0</v>
      </c>
    </row>
    <row r="603" spans="12:17">
      <c r="L603" s="2">
        <f>IFERROR(K603/J603*100,0)</f>
        <v>0</v>
      </c>
      <c r="Q603" s="7">
        <f>IF(P603="Yes",C603+CertValidityDays,"")</f>
        <v>0</v>
      </c>
    </row>
    <row r="604" spans="12:17">
      <c r="L604" s="2">
        <f>IFERROR(K604/J604*100,0)</f>
        <v>0</v>
      </c>
      <c r="Q604" s="7">
        <f>IF(P604="Yes",C604+CertValidityDays,"")</f>
        <v>0</v>
      </c>
    </row>
    <row r="605" spans="12:17">
      <c r="L605" s="2">
        <f>IFERROR(K605/J605*100,0)</f>
        <v>0</v>
      </c>
      <c r="Q605" s="7">
        <f>IF(P605="Yes",C605+CertValidityDays,"")</f>
        <v>0</v>
      </c>
    </row>
    <row r="606" spans="12:17">
      <c r="L606" s="2">
        <f>IFERROR(K606/J606*100,0)</f>
        <v>0</v>
      </c>
      <c r="Q606" s="7">
        <f>IF(P606="Yes",C606+CertValidityDays,"")</f>
        <v>0</v>
      </c>
    </row>
    <row r="607" spans="12:17">
      <c r="L607" s="2">
        <f>IFERROR(K607/J607*100,0)</f>
        <v>0</v>
      </c>
      <c r="Q607" s="7">
        <f>IF(P607="Yes",C607+CertValidityDays,"")</f>
        <v>0</v>
      </c>
    </row>
    <row r="608" spans="12:17">
      <c r="L608" s="2">
        <f>IFERROR(K608/J608*100,0)</f>
        <v>0</v>
      </c>
      <c r="Q608" s="7">
        <f>IF(P608="Yes",C608+CertValidityDays,"")</f>
        <v>0</v>
      </c>
    </row>
    <row r="609" spans="12:17">
      <c r="L609" s="2">
        <f>IFERROR(K609/J609*100,0)</f>
        <v>0</v>
      </c>
      <c r="Q609" s="7">
        <f>IF(P609="Yes",C609+CertValidityDays,"")</f>
        <v>0</v>
      </c>
    </row>
    <row r="610" spans="12:17">
      <c r="L610" s="2">
        <f>IFERROR(K610/J610*100,0)</f>
        <v>0</v>
      </c>
      <c r="Q610" s="7">
        <f>IF(P610="Yes",C610+CertValidityDays,"")</f>
        <v>0</v>
      </c>
    </row>
    <row r="611" spans="12:17">
      <c r="L611" s="2">
        <f>IFERROR(K611/J611*100,0)</f>
        <v>0</v>
      </c>
      <c r="Q611" s="7">
        <f>IF(P611="Yes",C611+CertValidityDays,"")</f>
        <v>0</v>
      </c>
    </row>
    <row r="612" spans="12:17">
      <c r="L612" s="2">
        <f>IFERROR(K612/J612*100,0)</f>
        <v>0</v>
      </c>
      <c r="Q612" s="7">
        <f>IF(P612="Yes",C612+CertValidityDays,"")</f>
        <v>0</v>
      </c>
    </row>
    <row r="613" spans="12:17">
      <c r="L613" s="2">
        <f>IFERROR(K613/J613*100,0)</f>
        <v>0</v>
      </c>
      <c r="Q613" s="7">
        <f>IF(P613="Yes",C613+CertValidityDays,"")</f>
        <v>0</v>
      </c>
    </row>
    <row r="614" spans="12:17">
      <c r="L614" s="2">
        <f>IFERROR(K614/J614*100,0)</f>
        <v>0</v>
      </c>
      <c r="Q614" s="7">
        <f>IF(P614="Yes",C614+CertValidityDays,"")</f>
        <v>0</v>
      </c>
    </row>
    <row r="615" spans="12:17">
      <c r="L615" s="2">
        <f>IFERROR(K615/J615*100,0)</f>
        <v>0</v>
      </c>
      <c r="Q615" s="7">
        <f>IF(P615="Yes",C615+CertValidityDays,"")</f>
        <v>0</v>
      </c>
    </row>
    <row r="616" spans="12:17">
      <c r="L616" s="2">
        <f>IFERROR(K616/J616*100,0)</f>
        <v>0</v>
      </c>
      <c r="Q616" s="7">
        <f>IF(P616="Yes",C616+CertValidityDays,"")</f>
        <v>0</v>
      </c>
    </row>
    <row r="617" spans="12:17">
      <c r="L617" s="2">
        <f>IFERROR(K617/J617*100,0)</f>
        <v>0</v>
      </c>
      <c r="Q617" s="7">
        <f>IF(P617="Yes",C617+CertValidityDays,"")</f>
        <v>0</v>
      </c>
    </row>
    <row r="618" spans="12:17">
      <c r="L618" s="2">
        <f>IFERROR(K618/J618*100,0)</f>
        <v>0</v>
      </c>
      <c r="Q618" s="7">
        <f>IF(P618="Yes",C618+CertValidityDays,"")</f>
        <v>0</v>
      </c>
    </row>
    <row r="619" spans="12:17">
      <c r="L619" s="2">
        <f>IFERROR(K619/J619*100,0)</f>
        <v>0</v>
      </c>
      <c r="Q619" s="7">
        <f>IF(P619="Yes",C619+CertValidityDays,"")</f>
        <v>0</v>
      </c>
    </row>
    <row r="620" spans="12:17">
      <c r="L620" s="2">
        <f>IFERROR(K620/J620*100,0)</f>
        <v>0</v>
      </c>
      <c r="Q620" s="7">
        <f>IF(P620="Yes",C620+CertValidityDays,"")</f>
        <v>0</v>
      </c>
    </row>
    <row r="621" spans="12:17">
      <c r="L621" s="2">
        <f>IFERROR(K621/J621*100,0)</f>
        <v>0</v>
      </c>
      <c r="Q621" s="7">
        <f>IF(P621="Yes",C621+CertValidityDays,"")</f>
        <v>0</v>
      </c>
    </row>
    <row r="622" spans="12:17">
      <c r="L622" s="2">
        <f>IFERROR(K622/J622*100,0)</f>
        <v>0</v>
      </c>
      <c r="Q622" s="7">
        <f>IF(P622="Yes",C622+CertValidityDays,"")</f>
        <v>0</v>
      </c>
    </row>
    <row r="623" spans="12:17">
      <c r="L623" s="2">
        <f>IFERROR(K623/J623*100,0)</f>
        <v>0</v>
      </c>
      <c r="Q623" s="7">
        <f>IF(P623="Yes",C623+CertValidityDays,"")</f>
        <v>0</v>
      </c>
    </row>
    <row r="624" spans="12:17">
      <c r="L624" s="2">
        <f>IFERROR(K624/J624*100,0)</f>
        <v>0</v>
      </c>
      <c r="Q624" s="7">
        <f>IF(P624="Yes",C624+CertValidityDays,"")</f>
        <v>0</v>
      </c>
    </row>
    <row r="625" spans="12:17">
      <c r="L625" s="2">
        <f>IFERROR(K625/J625*100,0)</f>
        <v>0</v>
      </c>
      <c r="Q625" s="7">
        <f>IF(P625="Yes",C625+CertValidityDays,"")</f>
        <v>0</v>
      </c>
    </row>
    <row r="626" spans="12:17">
      <c r="L626" s="2">
        <f>IFERROR(K626/J626*100,0)</f>
        <v>0</v>
      </c>
      <c r="Q626" s="7">
        <f>IF(P626="Yes",C626+CertValidityDays,"")</f>
        <v>0</v>
      </c>
    </row>
    <row r="627" spans="12:17">
      <c r="L627" s="2">
        <f>IFERROR(K627/J627*100,0)</f>
        <v>0</v>
      </c>
      <c r="Q627" s="7">
        <f>IF(P627="Yes",C627+CertValidityDays,"")</f>
        <v>0</v>
      </c>
    </row>
    <row r="628" spans="12:17">
      <c r="L628" s="2">
        <f>IFERROR(K628/J628*100,0)</f>
        <v>0</v>
      </c>
      <c r="Q628" s="7">
        <f>IF(P628="Yes",C628+CertValidityDays,"")</f>
        <v>0</v>
      </c>
    </row>
    <row r="629" spans="12:17">
      <c r="L629" s="2">
        <f>IFERROR(K629/J629*100,0)</f>
        <v>0</v>
      </c>
      <c r="Q629" s="7">
        <f>IF(P629="Yes",C629+CertValidityDays,"")</f>
        <v>0</v>
      </c>
    </row>
    <row r="630" spans="12:17">
      <c r="L630" s="2">
        <f>IFERROR(K630/J630*100,0)</f>
        <v>0</v>
      </c>
      <c r="Q630" s="7">
        <f>IF(P630="Yes",C630+CertValidityDays,"")</f>
        <v>0</v>
      </c>
    </row>
    <row r="631" spans="12:17">
      <c r="L631" s="2">
        <f>IFERROR(K631/J631*100,0)</f>
        <v>0</v>
      </c>
      <c r="Q631" s="7">
        <f>IF(P631="Yes",C631+CertValidityDays,"")</f>
        <v>0</v>
      </c>
    </row>
    <row r="632" spans="12:17">
      <c r="L632" s="2">
        <f>IFERROR(K632/J632*100,0)</f>
        <v>0</v>
      </c>
      <c r="Q632" s="7">
        <f>IF(P632="Yes",C632+CertValidityDays,"")</f>
        <v>0</v>
      </c>
    </row>
    <row r="633" spans="12:17">
      <c r="L633" s="2">
        <f>IFERROR(K633/J633*100,0)</f>
        <v>0</v>
      </c>
      <c r="Q633" s="7">
        <f>IF(P633="Yes",C633+CertValidityDays,"")</f>
        <v>0</v>
      </c>
    </row>
    <row r="634" spans="12:17">
      <c r="L634" s="2">
        <f>IFERROR(K634/J634*100,0)</f>
        <v>0</v>
      </c>
      <c r="Q634" s="7">
        <f>IF(P634="Yes",C634+CertValidityDays,"")</f>
        <v>0</v>
      </c>
    </row>
    <row r="635" spans="12:17">
      <c r="L635" s="2">
        <f>IFERROR(K635/J635*100,0)</f>
        <v>0</v>
      </c>
      <c r="Q635" s="7">
        <f>IF(P635="Yes",C635+CertValidityDays,"")</f>
        <v>0</v>
      </c>
    </row>
    <row r="636" spans="12:17">
      <c r="L636" s="2">
        <f>IFERROR(K636/J636*100,0)</f>
        <v>0</v>
      </c>
      <c r="Q636" s="7">
        <f>IF(P636="Yes",C636+CertValidityDays,"")</f>
        <v>0</v>
      </c>
    </row>
    <row r="637" spans="12:17">
      <c r="L637" s="2">
        <f>IFERROR(K637/J637*100,0)</f>
        <v>0</v>
      </c>
      <c r="Q637" s="7">
        <f>IF(P637="Yes",C637+CertValidityDays,"")</f>
        <v>0</v>
      </c>
    </row>
    <row r="638" spans="12:17">
      <c r="L638" s="2">
        <f>IFERROR(K638/J638*100,0)</f>
        <v>0</v>
      </c>
      <c r="Q638" s="7">
        <f>IF(P638="Yes",C638+CertValidityDays,"")</f>
        <v>0</v>
      </c>
    </row>
    <row r="639" spans="12:17">
      <c r="L639" s="2">
        <f>IFERROR(K639/J639*100,0)</f>
        <v>0</v>
      </c>
      <c r="Q639" s="7">
        <f>IF(P639="Yes",C639+CertValidityDays,"")</f>
        <v>0</v>
      </c>
    </row>
    <row r="640" spans="12:17">
      <c r="L640" s="2">
        <f>IFERROR(K640/J640*100,0)</f>
        <v>0</v>
      </c>
      <c r="Q640" s="7">
        <f>IF(P640="Yes",C640+CertValidityDays,"")</f>
        <v>0</v>
      </c>
    </row>
    <row r="641" spans="12:17">
      <c r="L641" s="2">
        <f>IFERROR(K641/J641*100,0)</f>
        <v>0</v>
      </c>
      <c r="Q641" s="7">
        <f>IF(P641="Yes",C641+CertValidityDays,"")</f>
        <v>0</v>
      </c>
    </row>
    <row r="642" spans="12:17">
      <c r="L642" s="2">
        <f>IFERROR(K642/J642*100,0)</f>
        <v>0</v>
      </c>
      <c r="Q642" s="7">
        <f>IF(P642="Yes",C642+CertValidityDays,"")</f>
        <v>0</v>
      </c>
    </row>
    <row r="643" spans="12:17">
      <c r="L643" s="2">
        <f>IFERROR(K643/J643*100,0)</f>
        <v>0</v>
      </c>
      <c r="Q643" s="7">
        <f>IF(P643="Yes",C643+CertValidityDays,"")</f>
        <v>0</v>
      </c>
    </row>
    <row r="644" spans="12:17">
      <c r="L644" s="2">
        <f>IFERROR(K644/J644*100,0)</f>
        <v>0</v>
      </c>
      <c r="Q644" s="7">
        <f>IF(P644="Yes",C644+CertValidityDays,"")</f>
        <v>0</v>
      </c>
    </row>
    <row r="645" spans="12:17">
      <c r="L645" s="2">
        <f>IFERROR(K645/J645*100,0)</f>
        <v>0</v>
      </c>
      <c r="Q645" s="7">
        <f>IF(P645="Yes",C645+CertValidityDays,"")</f>
        <v>0</v>
      </c>
    </row>
    <row r="646" spans="12:17">
      <c r="L646" s="2">
        <f>IFERROR(K646/J646*100,0)</f>
        <v>0</v>
      </c>
      <c r="Q646" s="7">
        <f>IF(P646="Yes",C646+CertValidityDays,"")</f>
        <v>0</v>
      </c>
    </row>
    <row r="647" spans="12:17">
      <c r="L647" s="2">
        <f>IFERROR(K647/J647*100,0)</f>
        <v>0</v>
      </c>
      <c r="Q647" s="7">
        <f>IF(P647="Yes",C647+CertValidityDays,"")</f>
        <v>0</v>
      </c>
    </row>
    <row r="648" spans="12:17">
      <c r="L648" s="2">
        <f>IFERROR(K648/J648*100,0)</f>
        <v>0</v>
      </c>
      <c r="Q648" s="7">
        <f>IF(P648="Yes",C648+CertValidityDays,"")</f>
        <v>0</v>
      </c>
    </row>
    <row r="649" spans="12:17">
      <c r="L649" s="2">
        <f>IFERROR(K649/J649*100,0)</f>
        <v>0</v>
      </c>
      <c r="Q649" s="7">
        <f>IF(P649="Yes",C649+CertValidityDays,"")</f>
        <v>0</v>
      </c>
    </row>
    <row r="650" spans="12:17">
      <c r="L650" s="2">
        <f>IFERROR(K650/J650*100,0)</f>
        <v>0</v>
      </c>
      <c r="Q650" s="7">
        <f>IF(P650="Yes",C650+CertValidityDays,"")</f>
        <v>0</v>
      </c>
    </row>
    <row r="651" spans="12:17">
      <c r="L651" s="2">
        <f>IFERROR(K651/J651*100,0)</f>
        <v>0</v>
      </c>
      <c r="Q651" s="7">
        <f>IF(P651="Yes",C651+CertValidityDays,"")</f>
        <v>0</v>
      </c>
    </row>
    <row r="652" spans="12:17">
      <c r="L652" s="2">
        <f>IFERROR(K652/J652*100,0)</f>
        <v>0</v>
      </c>
      <c r="Q652" s="7">
        <f>IF(P652="Yes",C652+CertValidityDays,"")</f>
        <v>0</v>
      </c>
    </row>
    <row r="653" spans="12:17">
      <c r="L653" s="2">
        <f>IFERROR(K653/J653*100,0)</f>
        <v>0</v>
      </c>
      <c r="Q653" s="7">
        <f>IF(P653="Yes",C653+CertValidityDays,"")</f>
        <v>0</v>
      </c>
    </row>
    <row r="654" spans="12:17">
      <c r="L654" s="2">
        <f>IFERROR(K654/J654*100,0)</f>
        <v>0</v>
      </c>
      <c r="Q654" s="7">
        <f>IF(P654="Yes",C654+CertValidityDays,"")</f>
        <v>0</v>
      </c>
    </row>
    <row r="655" spans="12:17">
      <c r="L655" s="2">
        <f>IFERROR(K655/J655*100,0)</f>
        <v>0</v>
      </c>
      <c r="Q655" s="7">
        <f>IF(P655="Yes",C655+CertValidityDays,"")</f>
        <v>0</v>
      </c>
    </row>
    <row r="656" spans="12:17">
      <c r="L656" s="2">
        <f>IFERROR(K656/J656*100,0)</f>
        <v>0</v>
      </c>
      <c r="Q656" s="7">
        <f>IF(P656="Yes",C656+CertValidityDays,"")</f>
        <v>0</v>
      </c>
    </row>
    <row r="657" spans="12:17">
      <c r="L657" s="2">
        <f>IFERROR(K657/J657*100,0)</f>
        <v>0</v>
      </c>
      <c r="Q657" s="7">
        <f>IF(P657="Yes",C657+CertValidityDays,"")</f>
        <v>0</v>
      </c>
    </row>
    <row r="658" spans="12:17">
      <c r="L658" s="2">
        <f>IFERROR(K658/J658*100,0)</f>
        <v>0</v>
      </c>
      <c r="Q658" s="7">
        <f>IF(P658="Yes",C658+CertValidityDays,"")</f>
        <v>0</v>
      </c>
    </row>
    <row r="659" spans="12:17">
      <c r="L659" s="2">
        <f>IFERROR(K659/J659*100,0)</f>
        <v>0</v>
      </c>
      <c r="Q659" s="7">
        <f>IF(P659="Yes",C659+CertValidityDays,"")</f>
        <v>0</v>
      </c>
    </row>
    <row r="660" spans="12:17">
      <c r="L660" s="2">
        <f>IFERROR(K660/J660*100,0)</f>
        <v>0</v>
      </c>
      <c r="Q660" s="7">
        <f>IF(P660="Yes",C660+CertValidityDays,"")</f>
        <v>0</v>
      </c>
    </row>
    <row r="661" spans="12:17">
      <c r="L661" s="2">
        <f>IFERROR(K661/J661*100,0)</f>
        <v>0</v>
      </c>
      <c r="Q661" s="7">
        <f>IF(P661="Yes",C661+CertValidityDays,"")</f>
        <v>0</v>
      </c>
    </row>
    <row r="662" spans="12:17">
      <c r="L662" s="2">
        <f>IFERROR(K662/J662*100,0)</f>
        <v>0</v>
      </c>
      <c r="Q662" s="7">
        <f>IF(P662="Yes",C662+CertValidityDays,"")</f>
        <v>0</v>
      </c>
    </row>
    <row r="663" spans="12:17">
      <c r="L663" s="2">
        <f>IFERROR(K663/J663*100,0)</f>
        <v>0</v>
      </c>
      <c r="Q663" s="7">
        <f>IF(P663="Yes",C663+CertValidityDays,"")</f>
        <v>0</v>
      </c>
    </row>
    <row r="664" spans="12:17">
      <c r="L664" s="2">
        <f>IFERROR(K664/J664*100,0)</f>
        <v>0</v>
      </c>
      <c r="Q664" s="7">
        <f>IF(P664="Yes",C664+CertValidityDays,"")</f>
        <v>0</v>
      </c>
    </row>
    <row r="665" spans="12:17">
      <c r="L665" s="2">
        <f>IFERROR(K665/J665*100,0)</f>
        <v>0</v>
      </c>
      <c r="Q665" s="7">
        <f>IF(P665="Yes",C665+CertValidityDays,"")</f>
        <v>0</v>
      </c>
    </row>
    <row r="666" spans="12:17">
      <c r="L666" s="2">
        <f>IFERROR(K666/J666*100,0)</f>
        <v>0</v>
      </c>
      <c r="Q666" s="7">
        <f>IF(P666="Yes",C666+CertValidityDays,"")</f>
        <v>0</v>
      </c>
    </row>
    <row r="667" spans="12:17">
      <c r="L667" s="2">
        <f>IFERROR(K667/J667*100,0)</f>
        <v>0</v>
      </c>
      <c r="Q667" s="7">
        <f>IF(P667="Yes",C667+CertValidityDays,"")</f>
        <v>0</v>
      </c>
    </row>
    <row r="668" spans="12:17">
      <c r="L668" s="2">
        <f>IFERROR(K668/J668*100,0)</f>
        <v>0</v>
      </c>
      <c r="Q668" s="7">
        <f>IF(P668="Yes",C668+CertValidityDays,"")</f>
        <v>0</v>
      </c>
    </row>
    <row r="669" spans="12:17">
      <c r="L669" s="2">
        <f>IFERROR(K669/J669*100,0)</f>
        <v>0</v>
      </c>
      <c r="Q669" s="7">
        <f>IF(P669="Yes",C669+CertValidityDays,"")</f>
        <v>0</v>
      </c>
    </row>
    <row r="670" spans="12:17">
      <c r="L670" s="2">
        <f>IFERROR(K670/J670*100,0)</f>
        <v>0</v>
      </c>
      <c r="Q670" s="7">
        <f>IF(P670="Yes",C670+CertValidityDays,"")</f>
        <v>0</v>
      </c>
    </row>
    <row r="671" spans="12:17">
      <c r="L671" s="2">
        <f>IFERROR(K671/J671*100,0)</f>
        <v>0</v>
      </c>
      <c r="Q671" s="7">
        <f>IF(P671="Yes",C671+CertValidityDays,"")</f>
        <v>0</v>
      </c>
    </row>
    <row r="672" spans="12:17">
      <c r="L672" s="2">
        <f>IFERROR(K672/J672*100,0)</f>
        <v>0</v>
      </c>
      <c r="Q672" s="7">
        <f>IF(P672="Yes",C672+CertValidityDays,"")</f>
        <v>0</v>
      </c>
    </row>
    <row r="673" spans="12:17">
      <c r="L673" s="2">
        <f>IFERROR(K673/J673*100,0)</f>
        <v>0</v>
      </c>
      <c r="Q673" s="7">
        <f>IF(P673="Yes",C673+CertValidityDays,"")</f>
        <v>0</v>
      </c>
    </row>
    <row r="674" spans="12:17">
      <c r="L674" s="2">
        <f>IFERROR(K674/J674*100,0)</f>
        <v>0</v>
      </c>
      <c r="Q674" s="7">
        <f>IF(P674="Yes",C674+CertValidityDays,"")</f>
        <v>0</v>
      </c>
    </row>
    <row r="675" spans="12:17">
      <c r="L675" s="2">
        <f>IFERROR(K675/J675*100,0)</f>
        <v>0</v>
      </c>
      <c r="Q675" s="7">
        <f>IF(P675="Yes",C675+CertValidityDays,"")</f>
        <v>0</v>
      </c>
    </row>
    <row r="676" spans="12:17">
      <c r="L676" s="2">
        <f>IFERROR(K676/J676*100,0)</f>
        <v>0</v>
      </c>
      <c r="Q676" s="7">
        <f>IF(P676="Yes",C676+CertValidityDays,"")</f>
        <v>0</v>
      </c>
    </row>
    <row r="677" spans="12:17">
      <c r="L677" s="2">
        <f>IFERROR(K677/J677*100,0)</f>
        <v>0</v>
      </c>
      <c r="Q677" s="7">
        <f>IF(P677="Yes",C677+CertValidityDays,"")</f>
        <v>0</v>
      </c>
    </row>
    <row r="678" spans="12:17">
      <c r="L678" s="2">
        <f>IFERROR(K678/J678*100,0)</f>
        <v>0</v>
      </c>
      <c r="Q678" s="7">
        <f>IF(P678="Yes",C678+CertValidityDays,"")</f>
        <v>0</v>
      </c>
    </row>
    <row r="679" spans="12:17">
      <c r="L679" s="2">
        <f>IFERROR(K679/J679*100,0)</f>
        <v>0</v>
      </c>
      <c r="Q679" s="7">
        <f>IF(P679="Yes",C679+CertValidityDays,"")</f>
        <v>0</v>
      </c>
    </row>
    <row r="680" spans="12:17">
      <c r="L680" s="2">
        <f>IFERROR(K680/J680*100,0)</f>
        <v>0</v>
      </c>
      <c r="Q680" s="7">
        <f>IF(P680="Yes",C680+CertValidityDays,"")</f>
        <v>0</v>
      </c>
    </row>
    <row r="681" spans="12:17">
      <c r="L681" s="2">
        <f>IFERROR(K681/J681*100,0)</f>
        <v>0</v>
      </c>
      <c r="Q681" s="7">
        <f>IF(P681="Yes",C681+CertValidityDays,"")</f>
        <v>0</v>
      </c>
    </row>
    <row r="682" spans="12:17">
      <c r="L682" s="2">
        <f>IFERROR(K682/J682*100,0)</f>
        <v>0</v>
      </c>
      <c r="Q682" s="7">
        <f>IF(P682="Yes",C682+CertValidityDays,"")</f>
        <v>0</v>
      </c>
    </row>
    <row r="683" spans="12:17">
      <c r="L683" s="2">
        <f>IFERROR(K683/J683*100,0)</f>
        <v>0</v>
      </c>
      <c r="Q683" s="7">
        <f>IF(P683="Yes",C683+CertValidityDays,"")</f>
        <v>0</v>
      </c>
    </row>
    <row r="684" spans="12:17">
      <c r="L684" s="2">
        <f>IFERROR(K684/J684*100,0)</f>
        <v>0</v>
      </c>
      <c r="Q684" s="7">
        <f>IF(P684="Yes",C684+CertValidityDays,"")</f>
        <v>0</v>
      </c>
    </row>
    <row r="685" spans="12:17">
      <c r="L685" s="2">
        <f>IFERROR(K685/J685*100,0)</f>
        <v>0</v>
      </c>
      <c r="Q685" s="7">
        <f>IF(P685="Yes",C685+CertValidityDays,"")</f>
        <v>0</v>
      </c>
    </row>
    <row r="686" spans="12:17">
      <c r="L686" s="2">
        <f>IFERROR(K686/J686*100,0)</f>
        <v>0</v>
      </c>
      <c r="Q686" s="7">
        <f>IF(P686="Yes",C686+CertValidityDays,"")</f>
        <v>0</v>
      </c>
    </row>
    <row r="687" spans="12:17">
      <c r="L687" s="2">
        <f>IFERROR(K687/J687*100,0)</f>
        <v>0</v>
      </c>
      <c r="Q687" s="7">
        <f>IF(P687="Yes",C687+CertValidityDays,"")</f>
        <v>0</v>
      </c>
    </row>
    <row r="688" spans="12:17">
      <c r="L688" s="2">
        <f>IFERROR(K688/J688*100,0)</f>
        <v>0</v>
      </c>
      <c r="Q688" s="7">
        <f>IF(P688="Yes",C688+CertValidityDays,"")</f>
        <v>0</v>
      </c>
    </row>
    <row r="689" spans="12:17">
      <c r="L689" s="2">
        <f>IFERROR(K689/J689*100,0)</f>
        <v>0</v>
      </c>
      <c r="Q689" s="7">
        <f>IF(P689="Yes",C689+CertValidityDays,"")</f>
        <v>0</v>
      </c>
    </row>
    <row r="690" spans="12:17">
      <c r="L690" s="2">
        <f>IFERROR(K690/J690*100,0)</f>
        <v>0</v>
      </c>
      <c r="Q690" s="7">
        <f>IF(P690="Yes",C690+CertValidityDays,"")</f>
        <v>0</v>
      </c>
    </row>
    <row r="691" spans="12:17">
      <c r="L691" s="2">
        <f>IFERROR(K691/J691*100,0)</f>
        <v>0</v>
      </c>
      <c r="Q691" s="7">
        <f>IF(P691="Yes",C691+CertValidityDays,"")</f>
        <v>0</v>
      </c>
    </row>
    <row r="692" spans="12:17">
      <c r="L692" s="2">
        <f>IFERROR(K692/J692*100,0)</f>
        <v>0</v>
      </c>
      <c r="Q692" s="7">
        <f>IF(P692="Yes",C692+CertValidityDays,"")</f>
        <v>0</v>
      </c>
    </row>
    <row r="693" spans="12:17">
      <c r="L693" s="2">
        <f>IFERROR(K693/J693*100,0)</f>
        <v>0</v>
      </c>
      <c r="Q693" s="7">
        <f>IF(P693="Yes",C693+CertValidityDays,"")</f>
        <v>0</v>
      </c>
    </row>
    <row r="694" spans="12:17">
      <c r="L694" s="2">
        <f>IFERROR(K694/J694*100,0)</f>
        <v>0</v>
      </c>
      <c r="Q694" s="7">
        <f>IF(P694="Yes",C694+CertValidityDays,"")</f>
        <v>0</v>
      </c>
    </row>
    <row r="695" spans="12:17">
      <c r="L695" s="2">
        <f>IFERROR(K695/J695*100,0)</f>
        <v>0</v>
      </c>
      <c r="Q695" s="7">
        <f>IF(P695="Yes",C695+CertValidityDays,"")</f>
        <v>0</v>
      </c>
    </row>
    <row r="696" spans="12:17">
      <c r="L696" s="2">
        <f>IFERROR(K696/J696*100,0)</f>
        <v>0</v>
      </c>
      <c r="Q696" s="7">
        <f>IF(P696="Yes",C696+CertValidityDays,"")</f>
        <v>0</v>
      </c>
    </row>
    <row r="697" spans="12:17">
      <c r="L697" s="2">
        <f>IFERROR(K697/J697*100,0)</f>
        <v>0</v>
      </c>
      <c r="Q697" s="7">
        <f>IF(P697="Yes",C697+CertValidityDays,"")</f>
        <v>0</v>
      </c>
    </row>
    <row r="698" spans="12:17">
      <c r="L698" s="2">
        <f>IFERROR(K698/J698*100,0)</f>
        <v>0</v>
      </c>
      <c r="Q698" s="7">
        <f>IF(P698="Yes",C698+CertValidityDays,"")</f>
        <v>0</v>
      </c>
    </row>
    <row r="699" spans="12:17">
      <c r="L699" s="2">
        <f>IFERROR(K699/J699*100,0)</f>
        <v>0</v>
      </c>
      <c r="Q699" s="7">
        <f>IF(P699="Yes",C699+CertValidityDays,"")</f>
        <v>0</v>
      </c>
    </row>
    <row r="700" spans="12:17">
      <c r="L700" s="2">
        <f>IFERROR(K700/J700*100,0)</f>
        <v>0</v>
      </c>
      <c r="Q700" s="7">
        <f>IF(P700="Yes",C700+CertValidityDays,"")</f>
        <v>0</v>
      </c>
    </row>
    <row r="701" spans="12:17">
      <c r="L701" s="2">
        <f>IFERROR(K701/J701*100,0)</f>
        <v>0</v>
      </c>
      <c r="Q701" s="7">
        <f>IF(P701="Yes",C701+CertValidityDays,"")</f>
        <v>0</v>
      </c>
    </row>
    <row r="702" spans="12:17">
      <c r="L702" s="2">
        <f>IFERROR(K702/J702*100,0)</f>
        <v>0</v>
      </c>
      <c r="Q702" s="7">
        <f>IF(P702="Yes",C702+CertValidityDays,"")</f>
        <v>0</v>
      </c>
    </row>
    <row r="703" spans="12:17">
      <c r="L703" s="2">
        <f>IFERROR(K703/J703*100,0)</f>
        <v>0</v>
      </c>
      <c r="Q703" s="7">
        <f>IF(P703="Yes",C703+CertValidityDays,"")</f>
        <v>0</v>
      </c>
    </row>
    <row r="704" spans="12:17">
      <c r="L704" s="2">
        <f>IFERROR(K704/J704*100,0)</f>
        <v>0</v>
      </c>
      <c r="Q704" s="7">
        <f>IF(P704="Yes",C704+CertValidityDays,"")</f>
        <v>0</v>
      </c>
    </row>
    <row r="705" spans="12:17">
      <c r="L705" s="2">
        <f>IFERROR(K705/J705*100,0)</f>
        <v>0</v>
      </c>
      <c r="Q705" s="7">
        <f>IF(P705="Yes",C705+CertValidityDays,"")</f>
        <v>0</v>
      </c>
    </row>
    <row r="706" spans="12:17">
      <c r="L706" s="2">
        <f>IFERROR(K706/J706*100,0)</f>
        <v>0</v>
      </c>
      <c r="Q706" s="7">
        <f>IF(P706="Yes",C706+CertValidityDays,"")</f>
        <v>0</v>
      </c>
    </row>
    <row r="707" spans="12:17">
      <c r="L707" s="2">
        <f>IFERROR(K707/J707*100,0)</f>
        <v>0</v>
      </c>
      <c r="Q707" s="7">
        <f>IF(P707="Yes",C707+CertValidityDays,"")</f>
        <v>0</v>
      </c>
    </row>
    <row r="708" spans="12:17">
      <c r="L708" s="2">
        <f>IFERROR(K708/J708*100,0)</f>
        <v>0</v>
      </c>
      <c r="Q708" s="7">
        <f>IF(P708="Yes",C708+CertValidityDays,"")</f>
        <v>0</v>
      </c>
    </row>
    <row r="709" spans="12:17">
      <c r="L709" s="2">
        <f>IFERROR(K709/J709*100,0)</f>
        <v>0</v>
      </c>
      <c r="Q709" s="7">
        <f>IF(P709="Yes",C709+CertValidityDays,"")</f>
        <v>0</v>
      </c>
    </row>
    <row r="710" spans="12:17">
      <c r="L710" s="2">
        <f>IFERROR(K710/J710*100,0)</f>
        <v>0</v>
      </c>
      <c r="Q710" s="7">
        <f>IF(P710="Yes",C710+CertValidityDays,"")</f>
        <v>0</v>
      </c>
    </row>
    <row r="711" spans="12:17">
      <c r="L711" s="2">
        <f>IFERROR(K711/J711*100,0)</f>
        <v>0</v>
      </c>
      <c r="Q711" s="7">
        <f>IF(P711="Yes",C711+CertValidityDays,"")</f>
        <v>0</v>
      </c>
    </row>
    <row r="712" spans="12:17">
      <c r="L712" s="2">
        <f>IFERROR(K712/J712*100,0)</f>
        <v>0</v>
      </c>
      <c r="Q712" s="7">
        <f>IF(P712="Yes",C712+CertValidityDays,"")</f>
        <v>0</v>
      </c>
    </row>
    <row r="713" spans="12:17">
      <c r="L713" s="2">
        <f>IFERROR(K713/J713*100,0)</f>
        <v>0</v>
      </c>
      <c r="Q713" s="7">
        <f>IF(P713="Yes",C713+CertValidityDays,"")</f>
        <v>0</v>
      </c>
    </row>
    <row r="714" spans="12:17">
      <c r="L714" s="2">
        <f>IFERROR(K714/J714*100,0)</f>
        <v>0</v>
      </c>
      <c r="Q714" s="7">
        <f>IF(P714="Yes",C714+CertValidityDays,"")</f>
        <v>0</v>
      </c>
    </row>
    <row r="715" spans="12:17">
      <c r="L715" s="2">
        <f>IFERROR(K715/J715*100,0)</f>
        <v>0</v>
      </c>
      <c r="Q715" s="7">
        <f>IF(P715="Yes",C715+CertValidityDays,"")</f>
        <v>0</v>
      </c>
    </row>
    <row r="716" spans="12:17">
      <c r="L716" s="2">
        <f>IFERROR(K716/J716*100,0)</f>
        <v>0</v>
      </c>
      <c r="Q716" s="7">
        <f>IF(P716="Yes",C716+CertValidityDays,"")</f>
        <v>0</v>
      </c>
    </row>
    <row r="717" spans="12:17">
      <c r="L717" s="2">
        <f>IFERROR(K717/J717*100,0)</f>
        <v>0</v>
      </c>
      <c r="Q717" s="7">
        <f>IF(P717="Yes",C717+CertValidityDays,"")</f>
        <v>0</v>
      </c>
    </row>
    <row r="718" spans="12:17">
      <c r="L718" s="2">
        <f>IFERROR(K718/J718*100,0)</f>
        <v>0</v>
      </c>
      <c r="Q718" s="7">
        <f>IF(P718="Yes",C718+CertValidityDays,"")</f>
        <v>0</v>
      </c>
    </row>
    <row r="719" spans="12:17">
      <c r="L719" s="2">
        <f>IFERROR(K719/J719*100,0)</f>
        <v>0</v>
      </c>
      <c r="Q719" s="7">
        <f>IF(P719="Yes",C719+CertValidityDays,"")</f>
        <v>0</v>
      </c>
    </row>
    <row r="720" spans="12:17">
      <c r="L720" s="2">
        <f>IFERROR(K720/J720*100,0)</f>
        <v>0</v>
      </c>
      <c r="Q720" s="7">
        <f>IF(P720="Yes",C720+CertValidityDays,"")</f>
        <v>0</v>
      </c>
    </row>
    <row r="721" spans="12:17">
      <c r="L721" s="2">
        <f>IFERROR(K721/J721*100,0)</f>
        <v>0</v>
      </c>
      <c r="Q721" s="7">
        <f>IF(P721="Yes",C721+CertValidityDays,"")</f>
        <v>0</v>
      </c>
    </row>
    <row r="722" spans="12:17">
      <c r="L722" s="2">
        <f>IFERROR(K722/J722*100,0)</f>
        <v>0</v>
      </c>
      <c r="Q722" s="7">
        <f>IF(P722="Yes",C722+CertValidityDays,"")</f>
        <v>0</v>
      </c>
    </row>
    <row r="723" spans="12:17">
      <c r="L723" s="2">
        <f>IFERROR(K723/J723*100,0)</f>
        <v>0</v>
      </c>
      <c r="Q723" s="7">
        <f>IF(P723="Yes",C723+CertValidityDays,"")</f>
        <v>0</v>
      </c>
    </row>
    <row r="724" spans="12:17">
      <c r="L724" s="2">
        <f>IFERROR(K724/J724*100,0)</f>
        <v>0</v>
      </c>
      <c r="Q724" s="7">
        <f>IF(P724="Yes",C724+CertValidityDays,"")</f>
        <v>0</v>
      </c>
    </row>
    <row r="725" spans="12:17">
      <c r="L725" s="2">
        <f>IFERROR(K725/J725*100,0)</f>
        <v>0</v>
      </c>
      <c r="Q725" s="7">
        <f>IF(P725="Yes",C725+CertValidityDays,"")</f>
        <v>0</v>
      </c>
    </row>
    <row r="726" spans="12:17">
      <c r="L726" s="2">
        <f>IFERROR(K726/J726*100,0)</f>
        <v>0</v>
      </c>
      <c r="Q726" s="7">
        <f>IF(P726="Yes",C726+CertValidityDays,"")</f>
        <v>0</v>
      </c>
    </row>
    <row r="727" spans="12:17">
      <c r="L727" s="2">
        <f>IFERROR(K727/J727*100,0)</f>
        <v>0</v>
      </c>
      <c r="Q727" s="7">
        <f>IF(P727="Yes",C727+CertValidityDays,"")</f>
        <v>0</v>
      </c>
    </row>
    <row r="728" spans="12:17">
      <c r="L728" s="2">
        <f>IFERROR(K728/J728*100,0)</f>
        <v>0</v>
      </c>
      <c r="Q728" s="7">
        <f>IF(P728="Yes",C728+CertValidityDays,"")</f>
        <v>0</v>
      </c>
    </row>
    <row r="729" spans="12:17">
      <c r="L729" s="2">
        <f>IFERROR(K729/J729*100,0)</f>
        <v>0</v>
      </c>
      <c r="Q729" s="7">
        <f>IF(P729="Yes",C729+CertValidityDays,"")</f>
        <v>0</v>
      </c>
    </row>
    <row r="730" spans="12:17">
      <c r="L730" s="2">
        <f>IFERROR(K730/J730*100,0)</f>
        <v>0</v>
      </c>
      <c r="Q730" s="7">
        <f>IF(P730="Yes",C730+CertValidityDays,"")</f>
        <v>0</v>
      </c>
    </row>
    <row r="731" spans="12:17">
      <c r="L731" s="2">
        <f>IFERROR(K731/J731*100,0)</f>
        <v>0</v>
      </c>
      <c r="Q731" s="7">
        <f>IF(P731="Yes",C731+CertValidityDays,"")</f>
        <v>0</v>
      </c>
    </row>
    <row r="732" spans="12:17">
      <c r="L732" s="2">
        <f>IFERROR(K732/J732*100,0)</f>
        <v>0</v>
      </c>
      <c r="Q732" s="7">
        <f>IF(P732="Yes",C732+CertValidityDays,"")</f>
        <v>0</v>
      </c>
    </row>
    <row r="733" spans="12:17">
      <c r="L733" s="2">
        <f>IFERROR(K733/J733*100,0)</f>
        <v>0</v>
      </c>
      <c r="Q733" s="7">
        <f>IF(P733="Yes",C733+CertValidityDays,"")</f>
        <v>0</v>
      </c>
    </row>
    <row r="734" spans="12:17">
      <c r="L734" s="2">
        <f>IFERROR(K734/J734*100,0)</f>
        <v>0</v>
      </c>
      <c r="Q734" s="7">
        <f>IF(P734="Yes",C734+CertValidityDays,"")</f>
        <v>0</v>
      </c>
    </row>
    <row r="735" spans="12:17">
      <c r="L735" s="2">
        <f>IFERROR(K735/J735*100,0)</f>
        <v>0</v>
      </c>
      <c r="Q735" s="7">
        <f>IF(P735="Yes",C735+CertValidityDays,"")</f>
        <v>0</v>
      </c>
    </row>
    <row r="736" spans="12:17">
      <c r="L736" s="2">
        <f>IFERROR(K736/J736*100,0)</f>
        <v>0</v>
      </c>
      <c r="Q736" s="7">
        <f>IF(P736="Yes",C736+CertValidityDays,"")</f>
        <v>0</v>
      </c>
    </row>
    <row r="737" spans="12:17">
      <c r="L737" s="2">
        <f>IFERROR(K737/J737*100,0)</f>
        <v>0</v>
      </c>
      <c r="Q737" s="7">
        <f>IF(P737="Yes",C737+CertValidityDays,"")</f>
        <v>0</v>
      </c>
    </row>
    <row r="738" spans="12:17">
      <c r="L738" s="2">
        <f>IFERROR(K738/J738*100,0)</f>
        <v>0</v>
      </c>
      <c r="Q738" s="7">
        <f>IF(P738="Yes",C738+CertValidityDays,"")</f>
        <v>0</v>
      </c>
    </row>
    <row r="739" spans="12:17">
      <c r="L739" s="2">
        <f>IFERROR(K739/J739*100,0)</f>
        <v>0</v>
      </c>
      <c r="Q739" s="7">
        <f>IF(P739="Yes",C739+CertValidityDays,"")</f>
        <v>0</v>
      </c>
    </row>
    <row r="740" spans="12:17">
      <c r="L740" s="2">
        <f>IFERROR(K740/J740*100,0)</f>
        <v>0</v>
      </c>
      <c r="Q740" s="7">
        <f>IF(P740="Yes",C740+CertValidityDays,"")</f>
        <v>0</v>
      </c>
    </row>
    <row r="741" spans="12:17">
      <c r="L741" s="2">
        <f>IFERROR(K741/J741*100,0)</f>
        <v>0</v>
      </c>
      <c r="Q741" s="7">
        <f>IF(P741="Yes",C741+CertValidityDays,"")</f>
        <v>0</v>
      </c>
    </row>
    <row r="742" spans="12:17">
      <c r="L742" s="2">
        <f>IFERROR(K742/J742*100,0)</f>
        <v>0</v>
      </c>
      <c r="Q742" s="7">
        <f>IF(P742="Yes",C742+CertValidityDays,"")</f>
        <v>0</v>
      </c>
    </row>
    <row r="743" spans="12:17">
      <c r="L743" s="2">
        <f>IFERROR(K743/J743*100,0)</f>
        <v>0</v>
      </c>
      <c r="Q743" s="7">
        <f>IF(P743="Yes",C743+CertValidityDays,"")</f>
        <v>0</v>
      </c>
    </row>
    <row r="744" spans="12:17">
      <c r="L744" s="2">
        <f>IFERROR(K744/J744*100,0)</f>
        <v>0</v>
      </c>
      <c r="Q744" s="7">
        <f>IF(P744="Yes",C744+CertValidityDays,"")</f>
        <v>0</v>
      </c>
    </row>
    <row r="745" spans="12:17">
      <c r="L745" s="2">
        <f>IFERROR(K745/J745*100,0)</f>
        <v>0</v>
      </c>
      <c r="Q745" s="7">
        <f>IF(P745="Yes",C745+CertValidityDays,"")</f>
        <v>0</v>
      </c>
    </row>
    <row r="746" spans="12:17">
      <c r="L746" s="2">
        <f>IFERROR(K746/J746*100,0)</f>
        <v>0</v>
      </c>
      <c r="Q746" s="7">
        <f>IF(P746="Yes",C746+CertValidityDays,"")</f>
        <v>0</v>
      </c>
    </row>
    <row r="747" spans="12:17">
      <c r="L747" s="2">
        <f>IFERROR(K747/J747*100,0)</f>
        <v>0</v>
      </c>
      <c r="Q747" s="7">
        <f>IF(P747="Yes",C747+CertValidityDays,"")</f>
        <v>0</v>
      </c>
    </row>
    <row r="748" spans="12:17">
      <c r="L748" s="2">
        <f>IFERROR(K748/J748*100,0)</f>
        <v>0</v>
      </c>
      <c r="Q748" s="7">
        <f>IF(P748="Yes",C748+CertValidityDays,"")</f>
        <v>0</v>
      </c>
    </row>
    <row r="749" spans="12:17">
      <c r="L749" s="2">
        <f>IFERROR(K749/J749*100,0)</f>
        <v>0</v>
      </c>
      <c r="Q749" s="7">
        <f>IF(P749="Yes",C749+CertValidityDays,"")</f>
        <v>0</v>
      </c>
    </row>
    <row r="750" spans="12:17">
      <c r="L750" s="2">
        <f>IFERROR(K750/J750*100,0)</f>
        <v>0</v>
      </c>
      <c r="Q750" s="7">
        <f>IF(P750="Yes",C750+CertValidityDays,"")</f>
        <v>0</v>
      </c>
    </row>
    <row r="751" spans="12:17">
      <c r="L751" s="2">
        <f>IFERROR(K751/J751*100,0)</f>
        <v>0</v>
      </c>
      <c r="Q751" s="7">
        <f>IF(P751="Yes",C751+CertValidityDays,"")</f>
        <v>0</v>
      </c>
    </row>
    <row r="752" spans="12:17">
      <c r="L752" s="2">
        <f>IFERROR(K752/J752*100,0)</f>
        <v>0</v>
      </c>
      <c r="Q752" s="7">
        <f>IF(P752="Yes",C752+CertValidityDays,"")</f>
        <v>0</v>
      </c>
    </row>
    <row r="753" spans="12:17">
      <c r="L753" s="2">
        <f>IFERROR(K753/J753*100,0)</f>
        <v>0</v>
      </c>
      <c r="Q753" s="7">
        <f>IF(P753="Yes",C753+CertValidityDays,"")</f>
        <v>0</v>
      </c>
    </row>
    <row r="754" spans="12:17">
      <c r="L754" s="2">
        <f>IFERROR(K754/J754*100,0)</f>
        <v>0</v>
      </c>
      <c r="Q754" s="7">
        <f>IF(P754="Yes",C754+CertValidityDays,"")</f>
        <v>0</v>
      </c>
    </row>
    <row r="755" spans="12:17">
      <c r="L755" s="2">
        <f>IFERROR(K755/J755*100,0)</f>
        <v>0</v>
      </c>
      <c r="Q755" s="7">
        <f>IF(P755="Yes",C755+CertValidityDays,"")</f>
        <v>0</v>
      </c>
    </row>
    <row r="756" spans="12:17">
      <c r="L756" s="2">
        <f>IFERROR(K756/J756*100,0)</f>
        <v>0</v>
      </c>
      <c r="Q756" s="7">
        <f>IF(P756="Yes",C756+CertValidityDays,"")</f>
        <v>0</v>
      </c>
    </row>
    <row r="757" spans="12:17">
      <c r="L757" s="2">
        <f>IFERROR(K757/J757*100,0)</f>
        <v>0</v>
      </c>
      <c r="Q757" s="7">
        <f>IF(P757="Yes",C757+CertValidityDays,"")</f>
        <v>0</v>
      </c>
    </row>
    <row r="758" spans="12:17">
      <c r="L758" s="2">
        <f>IFERROR(K758/J758*100,0)</f>
        <v>0</v>
      </c>
      <c r="Q758" s="7">
        <f>IF(P758="Yes",C758+CertValidityDays,"")</f>
        <v>0</v>
      </c>
    </row>
    <row r="759" spans="12:17">
      <c r="L759" s="2">
        <f>IFERROR(K759/J759*100,0)</f>
        <v>0</v>
      </c>
      <c r="Q759" s="7">
        <f>IF(P759="Yes",C759+CertValidityDays,"")</f>
        <v>0</v>
      </c>
    </row>
    <row r="760" spans="12:17">
      <c r="L760" s="2">
        <f>IFERROR(K760/J760*100,0)</f>
        <v>0</v>
      </c>
      <c r="Q760" s="7">
        <f>IF(P760="Yes",C760+CertValidityDays,"")</f>
        <v>0</v>
      </c>
    </row>
    <row r="761" spans="12:17">
      <c r="L761" s="2">
        <f>IFERROR(K761/J761*100,0)</f>
        <v>0</v>
      </c>
      <c r="Q761" s="7">
        <f>IF(P761="Yes",C761+CertValidityDays,"")</f>
        <v>0</v>
      </c>
    </row>
    <row r="762" spans="12:17">
      <c r="L762" s="2">
        <f>IFERROR(K762/J762*100,0)</f>
        <v>0</v>
      </c>
      <c r="Q762" s="7">
        <f>IF(P762="Yes",C762+CertValidityDays,"")</f>
        <v>0</v>
      </c>
    </row>
    <row r="763" spans="12:17">
      <c r="L763" s="2">
        <f>IFERROR(K763/J763*100,0)</f>
        <v>0</v>
      </c>
      <c r="Q763" s="7">
        <f>IF(P763="Yes",C763+CertValidityDays,"")</f>
        <v>0</v>
      </c>
    </row>
    <row r="764" spans="12:17">
      <c r="L764" s="2">
        <f>IFERROR(K764/J764*100,0)</f>
        <v>0</v>
      </c>
      <c r="Q764" s="7">
        <f>IF(P764="Yes",C764+CertValidityDays,"")</f>
        <v>0</v>
      </c>
    </row>
    <row r="765" spans="12:17">
      <c r="L765" s="2">
        <f>IFERROR(K765/J765*100,0)</f>
        <v>0</v>
      </c>
      <c r="Q765" s="7">
        <f>IF(P765="Yes",C765+CertValidityDays,"")</f>
        <v>0</v>
      </c>
    </row>
    <row r="766" spans="12:17">
      <c r="L766" s="2">
        <f>IFERROR(K766/J766*100,0)</f>
        <v>0</v>
      </c>
      <c r="Q766" s="7">
        <f>IF(P766="Yes",C766+CertValidityDays,"")</f>
        <v>0</v>
      </c>
    </row>
    <row r="767" spans="12:17">
      <c r="L767" s="2">
        <f>IFERROR(K767/J767*100,0)</f>
        <v>0</v>
      </c>
      <c r="Q767" s="7">
        <f>IF(P767="Yes",C767+CertValidityDays,"")</f>
        <v>0</v>
      </c>
    </row>
    <row r="768" spans="12:17">
      <c r="L768" s="2">
        <f>IFERROR(K768/J768*100,0)</f>
        <v>0</v>
      </c>
      <c r="Q768" s="7">
        <f>IF(P768="Yes",C768+CertValidityDays,"")</f>
        <v>0</v>
      </c>
    </row>
    <row r="769" spans="12:17">
      <c r="L769" s="2">
        <f>IFERROR(K769/J769*100,0)</f>
        <v>0</v>
      </c>
      <c r="Q769" s="7">
        <f>IF(P769="Yes",C769+CertValidityDays,"")</f>
        <v>0</v>
      </c>
    </row>
    <row r="770" spans="12:17">
      <c r="L770" s="2">
        <f>IFERROR(K770/J770*100,0)</f>
        <v>0</v>
      </c>
      <c r="Q770" s="7">
        <f>IF(P770="Yes",C770+CertValidityDays,"")</f>
        <v>0</v>
      </c>
    </row>
    <row r="771" spans="12:17">
      <c r="L771" s="2">
        <f>IFERROR(K771/J771*100,0)</f>
        <v>0</v>
      </c>
      <c r="Q771" s="7">
        <f>IF(P771="Yes",C771+CertValidityDays,"")</f>
        <v>0</v>
      </c>
    </row>
    <row r="772" spans="12:17">
      <c r="L772" s="2">
        <f>IFERROR(K772/J772*100,0)</f>
        <v>0</v>
      </c>
      <c r="Q772" s="7">
        <f>IF(P772="Yes",C772+CertValidityDays,"")</f>
        <v>0</v>
      </c>
    </row>
    <row r="773" spans="12:17">
      <c r="L773" s="2">
        <f>IFERROR(K773/J773*100,0)</f>
        <v>0</v>
      </c>
      <c r="Q773" s="7">
        <f>IF(P773="Yes",C773+CertValidityDays,"")</f>
        <v>0</v>
      </c>
    </row>
    <row r="774" spans="12:17">
      <c r="L774" s="2">
        <f>IFERROR(K774/J774*100,0)</f>
        <v>0</v>
      </c>
      <c r="Q774" s="7">
        <f>IF(P774="Yes",C774+CertValidityDays,"")</f>
        <v>0</v>
      </c>
    </row>
    <row r="775" spans="12:17">
      <c r="L775" s="2">
        <f>IFERROR(K775/J775*100,0)</f>
        <v>0</v>
      </c>
      <c r="Q775" s="7">
        <f>IF(P775="Yes",C775+CertValidityDays,"")</f>
        <v>0</v>
      </c>
    </row>
    <row r="776" spans="12:17">
      <c r="L776" s="2">
        <f>IFERROR(K776/J776*100,0)</f>
        <v>0</v>
      </c>
      <c r="Q776" s="7">
        <f>IF(P776="Yes",C776+CertValidityDays,"")</f>
        <v>0</v>
      </c>
    </row>
    <row r="777" spans="12:17">
      <c r="L777" s="2">
        <f>IFERROR(K777/J777*100,0)</f>
        <v>0</v>
      </c>
      <c r="Q777" s="7">
        <f>IF(P777="Yes",C777+CertValidityDays,"")</f>
        <v>0</v>
      </c>
    </row>
    <row r="778" spans="12:17">
      <c r="L778" s="2">
        <f>IFERROR(K778/J778*100,0)</f>
        <v>0</v>
      </c>
      <c r="Q778" s="7">
        <f>IF(P778="Yes",C778+CertValidityDays,"")</f>
        <v>0</v>
      </c>
    </row>
    <row r="779" spans="12:17">
      <c r="L779" s="2">
        <f>IFERROR(K779/J779*100,0)</f>
        <v>0</v>
      </c>
      <c r="Q779" s="7">
        <f>IF(P779="Yes",C779+CertValidityDays,"")</f>
        <v>0</v>
      </c>
    </row>
    <row r="780" spans="12:17">
      <c r="L780" s="2">
        <f>IFERROR(K780/J780*100,0)</f>
        <v>0</v>
      </c>
      <c r="Q780" s="7">
        <f>IF(P780="Yes",C780+CertValidityDays,"")</f>
        <v>0</v>
      </c>
    </row>
    <row r="781" spans="12:17">
      <c r="L781" s="2">
        <f>IFERROR(K781/J781*100,0)</f>
        <v>0</v>
      </c>
      <c r="Q781" s="7">
        <f>IF(P781="Yes",C781+CertValidityDays,"")</f>
        <v>0</v>
      </c>
    </row>
    <row r="782" spans="12:17">
      <c r="L782" s="2">
        <f>IFERROR(K782/J782*100,0)</f>
        <v>0</v>
      </c>
      <c r="Q782" s="7">
        <f>IF(P782="Yes",C782+CertValidityDays,"")</f>
        <v>0</v>
      </c>
    </row>
    <row r="783" spans="12:17">
      <c r="L783" s="2">
        <f>IFERROR(K783/J783*100,0)</f>
        <v>0</v>
      </c>
      <c r="Q783" s="7">
        <f>IF(P783="Yes",C783+CertValidityDays,"")</f>
        <v>0</v>
      </c>
    </row>
    <row r="784" spans="12:17">
      <c r="L784" s="2">
        <f>IFERROR(K784/J784*100,0)</f>
        <v>0</v>
      </c>
      <c r="Q784" s="7">
        <f>IF(P784="Yes",C784+CertValidityDays,"")</f>
        <v>0</v>
      </c>
    </row>
    <row r="785" spans="12:17">
      <c r="L785" s="2">
        <f>IFERROR(K785/J785*100,0)</f>
        <v>0</v>
      </c>
      <c r="Q785" s="7">
        <f>IF(P785="Yes",C785+CertValidityDays,"")</f>
        <v>0</v>
      </c>
    </row>
    <row r="786" spans="12:17">
      <c r="L786" s="2">
        <f>IFERROR(K786/J786*100,0)</f>
        <v>0</v>
      </c>
      <c r="Q786" s="7">
        <f>IF(P786="Yes",C786+CertValidityDays,"")</f>
        <v>0</v>
      </c>
    </row>
    <row r="787" spans="12:17">
      <c r="L787" s="2">
        <f>IFERROR(K787/J787*100,0)</f>
        <v>0</v>
      </c>
      <c r="Q787" s="7">
        <f>IF(P787="Yes",C787+CertValidityDays,"")</f>
        <v>0</v>
      </c>
    </row>
    <row r="788" spans="12:17">
      <c r="L788" s="2">
        <f>IFERROR(K788/J788*100,0)</f>
        <v>0</v>
      </c>
      <c r="Q788" s="7">
        <f>IF(P788="Yes",C788+CertValidityDays,"")</f>
        <v>0</v>
      </c>
    </row>
    <row r="789" spans="12:17">
      <c r="L789" s="2">
        <f>IFERROR(K789/J789*100,0)</f>
        <v>0</v>
      </c>
      <c r="Q789" s="7">
        <f>IF(P789="Yes",C789+CertValidityDays,"")</f>
        <v>0</v>
      </c>
    </row>
    <row r="790" spans="12:17">
      <c r="L790" s="2">
        <f>IFERROR(K790/J790*100,0)</f>
        <v>0</v>
      </c>
      <c r="Q790" s="7">
        <f>IF(P790="Yes",C790+CertValidityDays,"")</f>
        <v>0</v>
      </c>
    </row>
    <row r="791" spans="12:17">
      <c r="L791" s="2">
        <f>IFERROR(K791/J791*100,0)</f>
        <v>0</v>
      </c>
      <c r="Q791" s="7">
        <f>IF(P791="Yes",C791+CertValidityDays,"")</f>
        <v>0</v>
      </c>
    </row>
    <row r="792" spans="12:17">
      <c r="L792" s="2">
        <f>IFERROR(K792/J792*100,0)</f>
        <v>0</v>
      </c>
      <c r="Q792" s="7">
        <f>IF(P792="Yes",C792+CertValidityDays,"")</f>
        <v>0</v>
      </c>
    </row>
    <row r="793" spans="12:17">
      <c r="L793" s="2">
        <f>IFERROR(K793/J793*100,0)</f>
        <v>0</v>
      </c>
      <c r="Q793" s="7">
        <f>IF(P793="Yes",C793+CertValidityDays,"")</f>
        <v>0</v>
      </c>
    </row>
    <row r="794" spans="12:17">
      <c r="L794" s="2">
        <f>IFERROR(K794/J794*100,0)</f>
        <v>0</v>
      </c>
      <c r="Q794" s="7">
        <f>IF(P794="Yes",C794+CertValidityDays,"")</f>
        <v>0</v>
      </c>
    </row>
    <row r="795" spans="12:17">
      <c r="L795" s="2">
        <f>IFERROR(K795/J795*100,0)</f>
        <v>0</v>
      </c>
      <c r="Q795" s="7">
        <f>IF(P795="Yes",C795+CertValidityDays,"")</f>
        <v>0</v>
      </c>
    </row>
    <row r="796" spans="12:17">
      <c r="L796" s="2">
        <f>IFERROR(K796/J796*100,0)</f>
        <v>0</v>
      </c>
      <c r="Q796" s="7">
        <f>IF(P796="Yes",C796+CertValidityDays,"")</f>
        <v>0</v>
      </c>
    </row>
    <row r="797" spans="12:17">
      <c r="L797" s="2">
        <f>IFERROR(K797/J797*100,0)</f>
        <v>0</v>
      </c>
      <c r="Q797" s="7">
        <f>IF(P797="Yes",C797+CertValidityDays,"")</f>
        <v>0</v>
      </c>
    </row>
    <row r="798" spans="12:17">
      <c r="L798" s="2">
        <f>IFERROR(K798/J798*100,0)</f>
        <v>0</v>
      </c>
      <c r="Q798" s="7">
        <f>IF(P798="Yes",C798+CertValidityDays,"")</f>
        <v>0</v>
      </c>
    </row>
    <row r="799" spans="12:17">
      <c r="L799" s="2">
        <f>IFERROR(K799/J799*100,0)</f>
        <v>0</v>
      </c>
      <c r="Q799" s="7">
        <f>IF(P799="Yes",C799+CertValidityDays,"")</f>
        <v>0</v>
      </c>
    </row>
    <row r="800" spans="12:17">
      <c r="L800" s="2">
        <f>IFERROR(K800/J800*100,0)</f>
        <v>0</v>
      </c>
      <c r="Q800" s="7">
        <f>IF(P800="Yes",C800+CertValidityDays,"")</f>
        <v>0</v>
      </c>
    </row>
    <row r="801" spans="12:17">
      <c r="L801" s="2">
        <f>IFERROR(K801/J801*100,0)</f>
        <v>0</v>
      </c>
      <c r="Q801" s="7">
        <f>IF(P801="Yes",C801+CertValidityDays,"")</f>
        <v>0</v>
      </c>
    </row>
    <row r="802" spans="12:17">
      <c r="L802" s="2">
        <f>IFERROR(K802/J802*100,0)</f>
        <v>0</v>
      </c>
      <c r="Q802" s="7">
        <f>IF(P802="Yes",C802+CertValidityDays,"")</f>
        <v>0</v>
      </c>
    </row>
    <row r="803" spans="12:17">
      <c r="L803" s="2">
        <f>IFERROR(K803/J803*100,0)</f>
        <v>0</v>
      </c>
      <c r="Q803" s="7">
        <f>IF(P803="Yes",C803+CertValidityDays,"")</f>
        <v>0</v>
      </c>
    </row>
    <row r="804" spans="12:17">
      <c r="L804" s="2">
        <f>IFERROR(K804/J804*100,0)</f>
        <v>0</v>
      </c>
      <c r="Q804" s="7">
        <f>IF(P804="Yes",C804+CertValidityDays,"")</f>
        <v>0</v>
      </c>
    </row>
    <row r="805" spans="12:17">
      <c r="L805" s="2">
        <f>IFERROR(K805/J805*100,0)</f>
        <v>0</v>
      </c>
      <c r="Q805" s="7">
        <f>IF(P805="Yes",C805+CertValidityDays,"")</f>
        <v>0</v>
      </c>
    </row>
    <row r="806" spans="12:17">
      <c r="L806" s="2">
        <f>IFERROR(K806/J806*100,0)</f>
        <v>0</v>
      </c>
      <c r="Q806" s="7">
        <f>IF(P806="Yes",C806+CertValidityDays,"")</f>
        <v>0</v>
      </c>
    </row>
    <row r="807" spans="12:17">
      <c r="L807" s="2">
        <f>IFERROR(K807/J807*100,0)</f>
        <v>0</v>
      </c>
      <c r="Q807" s="7">
        <f>IF(P807="Yes",C807+CertValidityDays,"")</f>
        <v>0</v>
      </c>
    </row>
    <row r="808" spans="12:17">
      <c r="L808" s="2">
        <f>IFERROR(K808/J808*100,0)</f>
        <v>0</v>
      </c>
      <c r="Q808" s="7">
        <f>IF(P808="Yes",C808+CertValidityDays,"")</f>
        <v>0</v>
      </c>
    </row>
    <row r="809" spans="12:17">
      <c r="L809" s="2">
        <f>IFERROR(K809/J809*100,0)</f>
        <v>0</v>
      </c>
      <c r="Q809" s="7">
        <f>IF(P809="Yes",C809+CertValidityDays,"")</f>
        <v>0</v>
      </c>
    </row>
    <row r="810" spans="12:17">
      <c r="L810" s="2">
        <f>IFERROR(K810/J810*100,0)</f>
        <v>0</v>
      </c>
      <c r="Q810" s="7">
        <f>IF(P810="Yes",C810+CertValidityDays,"")</f>
        <v>0</v>
      </c>
    </row>
    <row r="811" spans="12:17">
      <c r="L811" s="2">
        <f>IFERROR(K811/J811*100,0)</f>
        <v>0</v>
      </c>
      <c r="Q811" s="7">
        <f>IF(P811="Yes",C811+CertValidityDays,"")</f>
        <v>0</v>
      </c>
    </row>
    <row r="812" spans="12:17">
      <c r="L812" s="2">
        <f>IFERROR(K812/J812*100,0)</f>
        <v>0</v>
      </c>
      <c r="Q812" s="7">
        <f>IF(P812="Yes",C812+CertValidityDays,"")</f>
        <v>0</v>
      </c>
    </row>
    <row r="813" spans="12:17">
      <c r="L813" s="2">
        <f>IFERROR(K813/J813*100,0)</f>
        <v>0</v>
      </c>
      <c r="Q813" s="7">
        <f>IF(P813="Yes",C813+CertValidityDays,"")</f>
        <v>0</v>
      </c>
    </row>
    <row r="814" spans="12:17">
      <c r="L814" s="2">
        <f>IFERROR(K814/J814*100,0)</f>
        <v>0</v>
      </c>
      <c r="Q814" s="7">
        <f>IF(P814="Yes",C814+CertValidityDays,"")</f>
        <v>0</v>
      </c>
    </row>
    <row r="815" spans="12:17">
      <c r="L815" s="2">
        <f>IFERROR(K815/J815*100,0)</f>
        <v>0</v>
      </c>
      <c r="Q815" s="7">
        <f>IF(P815="Yes",C815+CertValidityDays,"")</f>
        <v>0</v>
      </c>
    </row>
    <row r="816" spans="12:17">
      <c r="L816" s="2">
        <f>IFERROR(K816/J816*100,0)</f>
        <v>0</v>
      </c>
      <c r="Q816" s="7">
        <f>IF(P816="Yes",C816+CertValidityDays,"")</f>
        <v>0</v>
      </c>
    </row>
    <row r="817" spans="12:17">
      <c r="L817" s="2">
        <f>IFERROR(K817/J817*100,0)</f>
        <v>0</v>
      </c>
      <c r="Q817" s="7">
        <f>IF(P817="Yes",C817+CertValidityDays,"")</f>
        <v>0</v>
      </c>
    </row>
    <row r="818" spans="12:17">
      <c r="L818" s="2">
        <f>IFERROR(K818/J818*100,0)</f>
        <v>0</v>
      </c>
      <c r="Q818" s="7">
        <f>IF(P818="Yes",C818+CertValidityDays,"")</f>
        <v>0</v>
      </c>
    </row>
    <row r="819" spans="12:17">
      <c r="L819" s="2">
        <f>IFERROR(K819/J819*100,0)</f>
        <v>0</v>
      </c>
      <c r="Q819" s="7">
        <f>IF(P819="Yes",C819+CertValidityDays,"")</f>
        <v>0</v>
      </c>
    </row>
    <row r="820" spans="12:17">
      <c r="L820" s="2">
        <f>IFERROR(K820/J820*100,0)</f>
        <v>0</v>
      </c>
      <c r="Q820" s="7">
        <f>IF(P820="Yes",C820+CertValidityDays,"")</f>
        <v>0</v>
      </c>
    </row>
    <row r="821" spans="12:17">
      <c r="L821" s="2">
        <f>IFERROR(K821/J821*100,0)</f>
        <v>0</v>
      </c>
      <c r="Q821" s="7">
        <f>IF(P821="Yes",C821+CertValidityDays,"")</f>
        <v>0</v>
      </c>
    </row>
    <row r="822" spans="12:17">
      <c r="L822" s="2">
        <f>IFERROR(K822/J822*100,0)</f>
        <v>0</v>
      </c>
      <c r="Q822" s="7">
        <f>IF(P822="Yes",C822+CertValidityDays,"")</f>
        <v>0</v>
      </c>
    </row>
    <row r="823" spans="12:17">
      <c r="L823" s="2">
        <f>IFERROR(K823/J823*100,0)</f>
        <v>0</v>
      </c>
      <c r="Q823" s="7">
        <f>IF(P823="Yes",C823+CertValidityDays,"")</f>
        <v>0</v>
      </c>
    </row>
    <row r="824" spans="12:17">
      <c r="L824" s="2">
        <f>IFERROR(K824/J824*100,0)</f>
        <v>0</v>
      </c>
      <c r="Q824" s="7">
        <f>IF(P824="Yes",C824+CertValidityDays,"")</f>
        <v>0</v>
      </c>
    </row>
    <row r="825" spans="12:17">
      <c r="L825" s="2">
        <f>IFERROR(K825/J825*100,0)</f>
        <v>0</v>
      </c>
      <c r="Q825" s="7">
        <f>IF(P825="Yes",C825+CertValidityDays,"")</f>
        <v>0</v>
      </c>
    </row>
    <row r="826" spans="12:17">
      <c r="L826" s="2">
        <f>IFERROR(K826/J826*100,0)</f>
        <v>0</v>
      </c>
      <c r="Q826" s="7">
        <f>IF(P826="Yes",C826+CertValidityDays,"")</f>
        <v>0</v>
      </c>
    </row>
    <row r="827" spans="12:17">
      <c r="L827" s="2">
        <f>IFERROR(K827/J827*100,0)</f>
        <v>0</v>
      </c>
      <c r="Q827" s="7">
        <f>IF(P827="Yes",C827+CertValidityDays,"")</f>
        <v>0</v>
      </c>
    </row>
    <row r="828" spans="12:17">
      <c r="L828" s="2">
        <f>IFERROR(K828/J828*100,0)</f>
        <v>0</v>
      </c>
      <c r="Q828" s="7">
        <f>IF(P828="Yes",C828+CertValidityDays,"")</f>
        <v>0</v>
      </c>
    </row>
    <row r="829" spans="12:17">
      <c r="L829" s="2">
        <f>IFERROR(K829/J829*100,0)</f>
        <v>0</v>
      </c>
      <c r="Q829" s="7">
        <f>IF(P829="Yes",C829+CertValidityDays,"")</f>
        <v>0</v>
      </c>
    </row>
    <row r="830" spans="12:17">
      <c r="L830" s="2">
        <f>IFERROR(K830/J830*100,0)</f>
        <v>0</v>
      </c>
      <c r="Q830" s="7">
        <f>IF(P830="Yes",C830+CertValidityDays,"")</f>
        <v>0</v>
      </c>
    </row>
    <row r="831" spans="12:17">
      <c r="L831" s="2">
        <f>IFERROR(K831/J831*100,0)</f>
        <v>0</v>
      </c>
      <c r="Q831" s="7">
        <f>IF(P831="Yes",C831+CertValidityDays,"")</f>
        <v>0</v>
      </c>
    </row>
    <row r="832" spans="12:17">
      <c r="L832" s="2">
        <f>IFERROR(K832/J832*100,0)</f>
        <v>0</v>
      </c>
      <c r="Q832" s="7">
        <f>IF(P832="Yes",C832+CertValidityDays,"")</f>
        <v>0</v>
      </c>
    </row>
    <row r="833" spans="12:17">
      <c r="L833" s="2">
        <f>IFERROR(K833/J833*100,0)</f>
        <v>0</v>
      </c>
      <c r="Q833" s="7">
        <f>IF(P833="Yes",C833+CertValidityDays,"")</f>
        <v>0</v>
      </c>
    </row>
    <row r="834" spans="12:17">
      <c r="L834" s="2">
        <f>IFERROR(K834/J834*100,0)</f>
        <v>0</v>
      </c>
      <c r="Q834" s="7">
        <f>IF(P834="Yes",C834+CertValidityDays,"")</f>
        <v>0</v>
      </c>
    </row>
    <row r="835" spans="12:17">
      <c r="L835" s="2">
        <f>IFERROR(K835/J835*100,0)</f>
        <v>0</v>
      </c>
      <c r="Q835" s="7">
        <f>IF(P835="Yes",C835+CertValidityDays,"")</f>
        <v>0</v>
      </c>
    </row>
    <row r="836" spans="12:17">
      <c r="L836" s="2">
        <f>IFERROR(K836/J836*100,0)</f>
        <v>0</v>
      </c>
      <c r="Q836" s="7">
        <f>IF(P836="Yes",C836+CertValidityDays,"")</f>
        <v>0</v>
      </c>
    </row>
    <row r="837" spans="12:17">
      <c r="L837" s="2">
        <f>IFERROR(K837/J837*100,0)</f>
        <v>0</v>
      </c>
      <c r="Q837" s="7">
        <f>IF(P837="Yes",C837+CertValidityDays,"")</f>
        <v>0</v>
      </c>
    </row>
    <row r="838" spans="12:17">
      <c r="L838" s="2">
        <f>IFERROR(K838/J838*100,0)</f>
        <v>0</v>
      </c>
      <c r="Q838" s="7">
        <f>IF(P838="Yes",C838+CertValidityDays,"")</f>
        <v>0</v>
      </c>
    </row>
    <row r="839" spans="12:17">
      <c r="L839" s="2">
        <f>IFERROR(K839/J839*100,0)</f>
        <v>0</v>
      </c>
      <c r="Q839" s="7">
        <f>IF(P839="Yes",C839+CertValidityDays,"")</f>
        <v>0</v>
      </c>
    </row>
    <row r="840" spans="12:17">
      <c r="L840" s="2">
        <f>IFERROR(K840/J840*100,0)</f>
        <v>0</v>
      </c>
      <c r="Q840" s="7">
        <f>IF(P840="Yes",C840+CertValidityDays,"")</f>
        <v>0</v>
      </c>
    </row>
    <row r="841" spans="12:17">
      <c r="L841" s="2">
        <f>IFERROR(K841/J841*100,0)</f>
        <v>0</v>
      </c>
      <c r="Q841" s="7">
        <f>IF(P841="Yes",C841+CertValidityDays,"")</f>
        <v>0</v>
      </c>
    </row>
    <row r="842" spans="12:17">
      <c r="L842" s="2">
        <f>IFERROR(K842/J842*100,0)</f>
        <v>0</v>
      </c>
      <c r="Q842" s="7">
        <f>IF(P842="Yes",C842+CertValidityDays,"")</f>
        <v>0</v>
      </c>
    </row>
    <row r="843" spans="12:17">
      <c r="L843" s="2">
        <f>IFERROR(K843/J843*100,0)</f>
        <v>0</v>
      </c>
      <c r="Q843" s="7">
        <f>IF(P843="Yes",C843+CertValidityDays,"")</f>
        <v>0</v>
      </c>
    </row>
    <row r="844" spans="12:17">
      <c r="L844" s="2">
        <f>IFERROR(K844/J844*100,0)</f>
        <v>0</v>
      </c>
      <c r="Q844" s="7">
        <f>IF(P844="Yes",C844+CertValidityDays,"")</f>
        <v>0</v>
      </c>
    </row>
    <row r="845" spans="12:17">
      <c r="L845" s="2">
        <f>IFERROR(K845/J845*100,0)</f>
        <v>0</v>
      </c>
      <c r="Q845" s="7">
        <f>IF(P845="Yes",C845+CertValidityDays,"")</f>
        <v>0</v>
      </c>
    </row>
    <row r="846" spans="12:17">
      <c r="L846" s="2">
        <f>IFERROR(K846/J846*100,0)</f>
        <v>0</v>
      </c>
      <c r="Q846" s="7">
        <f>IF(P846="Yes",C846+CertValidityDays,"")</f>
        <v>0</v>
      </c>
    </row>
    <row r="847" spans="12:17">
      <c r="L847" s="2">
        <f>IFERROR(K847/J847*100,0)</f>
        <v>0</v>
      </c>
      <c r="Q847" s="7">
        <f>IF(P847="Yes",C847+CertValidityDays,"")</f>
        <v>0</v>
      </c>
    </row>
    <row r="848" spans="12:17">
      <c r="L848" s="2">
        <f>IFERROR(K848/J848*100,0)</f>
        <v>0</v>
      </c>
      <c r="Q848" s="7">
        <f>IF(P848="Yes",C848+CertValidityDays,"")</f>
        <v>0</v>
      </c>
    </row>
    <row r="849" spans="12:17">
      <c r="L849" s="2">
        <f>IFERROR(K849/J849*100,0)</f>
        <v>0</v>
      </c>
      <c r="Q849" s="7">
        <f>IF(P849="Yes",C849+CertValidityDays,"")</f>
        <v>0</v>
      </c>
    </row>
    <row r="850" spans="12:17">
      <c r="L850" s="2">
        <f>IFERROR(K850/J850*100,0)</f>
        <v>0</v>
      </c>
      <c r="Q850" s="7">
        <f>IF(P850="Yes",C850+CertValidityDays,"")</f>
        <v>0</v>
      </c>
    </row>
    <row r="851" spans="12:17">
      <c r="L851" s="2">
        <f>IFERROR(K851/J851*100,0)</f>
        <v>0</v>
      </c>
      <c r="Q851" s="7">
        <f>IF(P851="Yes",C851+CertValidityDays,"")</f>
        <v>0</v>
      </c>
    </row>
    <row r="852" spans="12:17">
      <c r="L852" s="2">
        <f>IFERROR(K852/J852*100,0)</f>
        <v>0</v>
      </c>
      <c r="Q852" s="7">
        <f>IF(P852="Yes",C852+CertValidityDays,"")</f>
        <v>0</v>
      </c>
    </row>
    <row r="853" spans="12:17">
      <c r="L853" s="2">
        <f>IFERROR(K853/J853*100,0)</f>
        <v>0</v>
      </c>
      <c r="Q853" s="7">
        <f>IF(P853="Yes",C853+CertValidityDays,"")</f>
        <v>0</v>
      </c>
    </row>
    <row r="854" spans="12:17">
      <c r="L854" s="2">
        <f>IFERROR(K854/J854*100,0)</f>
        <v>0</v>
      </c>
      <c r="Q854" s="7">
        <f>IF(P854="Yes",C854+CertValidityDays,"")</f>
        <v>0</v>
      </c>
    </row>
    <row r="855" spans="12:17">
      <c r="L855" s="2">
        <f>IFERROR(K855/J855*100,0)</f>
        <v>0</v>
      </c>
      <c r="Q855" s="7">
        <f>IF(P855="Yes",C855+CertValidityDays,"")</f>
        <v>0</v>
      </c>
    </row>
    <row r="856" spans="12:17">
      <c r="L856" s="2">
        <f>IFERROR(K856/J856*100,0)</f>
        <v>0</v>
      </c>
      <c r="Q856" s="7">
        <f>IF(P856="Yes",C856+CertValidityDays,"")</f>
        <v>0</v>
      </c>
    </row>
    <row r="857" spans="12:17">
      <c r="L857" s="2">
        <f>IFERROR(K857/J857*100,0)</f>
        <v>0</v>
      </c>
      <c r="Q857" s="7">
        <f>IF(P857="Yes",C857+CertValidityDays,"")</f>
        <v>0</v>
      </c>
    </row>
    <row r="858" spans="12:17">
      <c r="L858" s="2">
        <f>IFERROR(K858/J858*100,0)</f>
        <v>0</v>
      </c>
      <c r="Q858" s="7">
        <f>IF(P858="Yes",C858+CertValidityDays,"")</f>
        <v>0</v>
      </c>
    </row>
    <row r="859" spans="12:17">
      <c r="L859" s="2">
        <f>IFERROR(K859/J859*100,0)</f>
        <v>0</v>
      </c>
      <c r="Q859" s="7">
        <f>IF(P859="Yes",C859+CertValidityDays,"")</f>
        <v>0</v>
      </c>
    </row>
    <row r="860" spans="12:17">
      <c r="L860" s="2">
        <f>IFERROR(K860/J860*100,0)</f>
        <v>0</v>
      </c>
      <c r="Q860" s="7">
        <f>IF(P860="Yes",C860+CertValidityDays,"")</f>
        <v>0</v>
      </c>
    </row>
    <row r="861" spans="12:17">
      <c r="L861" s="2">
        <f>IFERROR(K861/J861*100,0)</f>
        <v>0</v>
      </c>
      <c r="Q861" s="7">
        <f>IF(P861="Yes",C861+CertValidityDays,"")</f>
        <v>0</v>
      </c>
    </row>
    <row r="862" spans="12:17">
      <c r="L862" s="2">
        <f>IFERROR(K862/J862*100,0)</f>
        <v>0</v>
      </c>
      <c r="Q862" s="7">
        <f>IF(P862="Yes",C862+CertValidityDays,"")</f>
        <v>0</v>
      </c>
    </row>
    <row r="863" spans="12:17">
      <c r="L863" s="2">
        <f>IFERROR(K863/J863*100,0)</f>
        <v>0</v>
      </c>
      <c r="Q863" s="7">
        <f>IF(P863="Yes",C863+CertValidityDays,"")</f>
        <v>0</v>
      </c>
    </row>
    <row r="864" spans="12:17">
      <c r="L864" s="2">
        <f>IFERROR(K864/J864*100,0)</f>
        <v>0</v>
      </c>
      <c r="Q864" s="7">
        <f>IF(P864="Yes",C864+CertValidityDays,"")</f>
        <v>0</v>
      </c>
    </row>
    <row r="865" spans="12:17">
      <c r="L865" s="2">
        <f>IFERROR(K865/J865*100,0)</f>
        <v>0</v>
      </c>
      <c r="Q865" s="7">
        <f>IF(P865="Yes",C865+CertValidityDays,"")</f>
        <v>0</v>
      </c>
    </row>
    <row r="866" spans="12:17">
      <c r="L866" s="2">
        <f>IFERROR(K866/J866*100,0)</f>
        <v>0</v>
      </c>
      <c r="Q866" s="7">
        <f>IF(P866="Yes",C866+CertValidityDays,"")</f>
        <v>0</v>
      </c>
    </row>
    <row r="867" spans="12:17">
      <c r="L867" s="2">
        <f>IFERROR(K867/J867*100,0)</f>
        <v>0</v>
      </c>
      <c r="Q867" s="7">
        <f>IF(P867="Yes",C867+CertValidityDays,"")</f>
        <v>0</v>
      </c>
    </row>
    <row r="868" spans="12:17">
      <c r="L868" s="2">
        <f>IFERROR(K868/J868*100,0)</f>
        <v>0</v>
      </c>
      <c r="Q868" s="7">
        <f>IF(P868="Yes",C868+CertValidityDays,"")</f>
        <v>0</v>
      </c>
    </row>
    <row r="869" spans="12:17">
      <c r="L869" s="2">
        <f>IFERROR(K869/J869*100,0)</f>
        <v>0</v>
      </c>
      <c r="Q869" s="7">
        <f>IF(P869="Yes",C869+CertValidityDays,"")</f>
        <v>0</v>
      </c>
    </row>
    <row r="870" spans="12:17">
      <c r="L870" s="2">
        <f>IFERROR(K870/J870*100,0)</f>
        <v>0</v>
      </c>
      <c r="Q870" s="7">
        <f>IF(P870="Yes",C870+CertValidityDays,"")</f>
        <v>0</v>
      </c>
    </row>
    <row r="871" spans="12:17">
      <c r="L871" s="2">
        <f>IFERROR(K871/J871*100,0)</f>
        <v>0</v>
      </c>
      <c r="Q871" s="7">
        <f>IF(P871="Yes",C871+CertValidityDays,"")</f>
        <v>0</v>
      </c>
    </row>
    <row r="872" spans="12:17">
      <c r="L872" s="2">
        <f>IFERROR(K872/J872*100,0)</f>
        <v>0</v>
      </c>
      <c r="Q872" s="7">
        <f>IF(P872="Yes",C872+CertValidityDays,"")</f>
        <v>0</v>
      </c>
    </row>
    <row r="873" spans="12:17">
      <c r="L873" s="2">
        <f>IFERROR(K873/J873*100,0)</f>
        <v>0</v>
      </c>
      <c r="Q873" s="7">
        <f>IF(P873="Yes",C873+CertValidityDays,"")</f>
        <v>0</v>
      </c>
    </row>
    <row r="874" spans="12:17">
      <c r="L874" s="2">
        <f>IFERROR(K874/J874*100,0)</f>
        <v>0</v>
      </c>
      <c r="Q874" s="7">
        <f>IF(P874="Yes",C874+CertValidityDays,"")</f>
        <v>0</v>
      </c>
    </row>
    <row r="875" spans="12:17">
      <c r="L875" s="2">
        <f>IFERROR(K875/J875*100,0)</f>
        <v>0</v>
      </c>
      <c r="Q875" s="7">
        <f>IF(P875="Yes",C875+CertValidityDays,"")</f>
        <v>0</v>
      </c>
    </row>
    <row r="876" spans="12:17">
      <c r="L876" s="2">
        <f>IFERROR(K876/J876*100,0)</f>
        <v>0</v>
      </c>
      <c r="Q876" s="7">
        <f>IF(P876="Yes",C876+CertValidityDays,"")</f>
        <v>0</v>
      </c>
    </row>
    <row r="877" spans="12:17">
      <c r="L877" s="2">
        <f>IFERROR(K877/J877*100,0)</f>
        <v>0</v>
      </c>
      <c r="Q877" s="7">
        <f>IF(P877="Yes",C877+CertValidityDays,"")</f>
        <v>0</v>
      </c>
    </row>
    <row r="878" spans="12:17">
      <c r="L878" s="2">
        <f>IFERROR(K878/J878*100,0)</f>
        <v>0</v>
      </c>
      <c r="Q878" s="7">
        <f>IF(P878="Yes",C878+CertValidityDays,"")</f>
        <v>0</v>
      </c>
    </row>
    <row r="879" spans="12:17">
      <c r="L879" s="2">
        <f>IFERROR(K879/J879*100,0)</f>
        <v>0</v>
      </c>
      <c r="Q879" s="7">
        <f>IF(P879="Yes",C879+CertValidityDays,"")</f>
        <v>0</v>
      </c>
    </row>
    <row r="880" spans="12:17">
      <c r="L880" s="2">
        <f>IFERROR(K880/J880*100,0)</f>
        <v>0</v>
      </c>
      <c r="Q880" s="7">
        <f>IF(P880="Yes",C880+CertValidityDays,"")</f>
        <v>0</v>
      </c>
    </row>
    <row r="881" spans="12:17">
      <c r="L881" s="2">
        <f>IFERROR(K881/J881*100,0)</f>
        <v>0</v>
      </c>
      <c r="Q881" s="7">
        <f>IF(P881="Yes",C881+CertValidityDays,"")</f>
        <v>0</v>
      </c>
    </row>
    <row r="882" spans="12:17">
      <c r="L882" s="2">
        <f>IFERROR(K882/J882*100,0)</f>
        <v>0</v>
      </c>
      <c r="Q882" s="7">
        <f>IF(P882="Yes",C882+CertValidityDays,"")</f>
        <v>0</v>
      </c>
    </row>
    <row r="883" spans="12:17">
      <c r="L883" s="2">
        <f>IFERROR(K883/J883*100,0)</f>
        <v>0</v>
      </c>
      <c r="Q883" s="7">
        <f>IF(P883="Yes",C883+CertValidityDays,"")</f>
        <v>0</v>
      </c>
    </row>
    <row r="884" spans="12:17">
      <c r="L884" s="2">
        <f>IFERROR(K884/J884*100,0)</f>
        <v>0</v>
      </c>
      <c r="Q884" s="7">
        <f>IF(P884="Yes",C884+CertValidityDays,"")</f>
        <v>0</v>
      </c>
    </row>
    <row r="885" spans="12:17">
      <c r="L885" s="2">
        <f>IFERROR(K885/J885*100,0)</f>
        <v>0</v>
      </c>
      <c r="Q885" s="7">
        <f>IF(P885="Yes",C885+CertValidityDays,"")</f>
        <v>0</v>
      </c>
    </row>
    <row r="886" spans="12:17">
      <c r="L886" s="2">
        <f>IFERROR(K886/J886*100,0)</f>
        <v>0</v>
      </c>
      <c r="Q886" s="7">
        <f>IF(P886="Yes",C886+CertValidityDays,"")</f>
        <v>0</v>
      </c>
    </row>
    <row r="887" spans="12:17">
      <c r="L887" s="2">
        <f>IFERROR(K887/J887*100,0)</f>
        <v>0</v>
      </c>
      <c r="Q887" s="7">
        <f>IF(P887="Yes",C887+CertValidityDays,"")</f>
        <v>0</v>
      </c>
    </row>
    <row r="888" spans="12:17">
      <c r="L888" s="2">
        <f>IFERROR(K888/J888*100,0)</f>
        <v>0</v>
      </c>
      <c r="Q888" s="7">
        <f>IF(P888="Yes",C888+CertValidityDays,"")</f>
        <v>0</v>
      </c>
    </row>
    <row r="889" spans="12:17">
      <c r="L889" s="2">
        <f>IFERROR(K889/J889*100,0)</f>
        <v>0</v>
      </c>
      <c r="Q889" s="7">
        <f>IF(P889="Yes",C889+CertValidityDays,"")</f>
        <v>0</v>
      </c>
    </row>
    <row r="890" spans="12:17">
      <c r="L890" s="2">
        <f>IFERROR(K890/J890*100,0)</f>
        <v>0</v>
      </c>
      <c r="Q890" s="7">
        <f>IF(P890="Yes",C890+CertValidityDays,"")</f>
        <v>0</v>
      </c>
    </row>
    <row r="891" spans="12:17">
      <c r="L891" s="2">
        <f>IFERROR(K891/J891*100,0)</f>
        <v>0</v>
      </c>
      <c r="Q891" s="7">
        <f>IF(P891="Yes",C891+CertValidityDays,"")</f>
        <v>0</v>
      </c>
    </row>
    <row r="892" spans="12:17">
      <c r="L892" s="2">
        <f>IFERROR(K892/J892*100,0)</f>
        <v>0</v>
      </c>
      <c r="Q892" s="7">
        <f>IF(P892="Yes",C892+CertValidityDays,"")</f>
        <v>0</v>
      </c>
    </row>
    <row r="893" spans="12:17">
      <c r="L893" s="2">
        <f>IFERROR(K893/J893*100,0)</f>
        <v>0</v>
      </c>
      <c r="Q893" s="7">
        <f>IF(P893="Yes",C893+CertValidityDays,"")</f>
        <v>0</v>
      </c>
    </row>
    <row r="894" spans="12:17">
      <c r="L894" s="2">
        <f>IFERROR(K894/J894*100,0)</f>
        <v>0</v>
      </c>
      <c r="Q894" s="7">
        <f>IF(P894="Yes",C894+CertValidityDays,"")</f>
        <v>0</v>
      </c>
    </row>
    <row r="895" spans="12:17">
      <c r="L895" s="2">
        <f>IFERROR(K895/J895*100,0)</f>
        <v>0</v>
      </c>
      <c r="Q895" s="7">
        <f>IF(P895="Yes",C895+CertValidityDays,"")</f>
        <v>0</v>
      </c>
    </row>
    <row r="896" spans="12:17">
      <c r="L896" s="2">
        <f>IFERROR(K896/J896*100,0)</f>
        <v>0</v>
      </c>
      <c r="Q896" s="7">
        <f>IF(P896="Yes",C896+CertValidityDays,"")</f>
        <v>0</v>
      </c>
    </row>
    <row r="897" spans="12:17">
      <c r="L897" s="2">
        <f>IFERROR(K897/J897*100,0)</f>
        <v>0</v>
      </c>
      <c r="Q897" s="7">
        <f>IF(P897="Yes",C897+CertValidityDays,"")</f>
        <v>0</v>
      </c>
    </row>
    <row r="898" spans="12:17">
      <c r="L898" s="2">
        <f>IFERROR(K898/J898*100,0)</f>
        <v>0</v>
      </c>
      <c r="Q898" s="7">
        <f>IF(P898="Yes",C898+CertValidityDays,"")</f>
        <v>0</v>
      </c>
    </row>
    <row r="899" spans="12:17">
      <c r="L899" s="2">
        <f>IFERROR(K899/J899*100,0)</f>
        <v>0</v>
      </c>
      <c r="Q899" s="7">
        <f>IF(P899="Yes",C899+CertValidityDays,"")</f>
        <v>0</v>
      </c>
    </row>
    <row r="900" spans="12:17">
      <c r="L900" s="2">
        <f>IFERROR(K900/J900*100,0)</f>
        <v>0</v>
      </c>
      <c r="Q900" s="7">
        <f>IF(P900="Yes",C900+CertValidityDays,"")</f>
        <v>0</v>
      </c>
    </row>
    <row r="901" spans="12:17">
      <c r="L901" s="2">
        <f>IFERROR(K901/J901*100,0)</f>
        <v>0</v>
      </c>
      <c r="Q901" s="7">
        <f>IF(P901="Yes",C901+CertValidityDays,"")</f>
        <v>0</v>
      </c>
    </row>
    <row r="902" spans="12:17">
      <c r="L902" s="2">
        <f>IFERROR(K902/J902*100,0)</f>
        <v>0</v>
      </c>
      <c r="Q902" s="7">
        <f>IF(P902="Yes",C902+CertValidityDays,"")</f>
        <v>0</v>
      </c>
    </row>
    <row r="903" spans="12:17">
      <c r="L903" s="2">
        <f>IFERROR(K903/J903*100,0)</f>
        <v>0</v>
      </c>
      <c r="Q903" s="7">
        <f>IF(P903="Yes",C903+CertValidityDays,"")</f>
        <v>0</v>
      </c>
    </row>
    <row r="904" spans="12:17">
      <c r="L904" s="2">
        <f>IFERROR(K904/J904*100,0)</f>
        <v>0</v>
      </c>
      <c r="Q904" s="7">
        <f>IF(P904="Yes",C904+CertValidityDays,"")</f>
        <v>0</v>
      </c>
    </row>
    <row r="905" spans="12:17">
      <c r="L905" s="2">
        <f>IFERROR(K905/J905*100,0)</f>
        <v>0</v>
      </c>
      <c r="Q905" s="7">
        <f>IF(P905="Yes",C905+CertValidityDays,"")</f>
        <v>0</v>
      </c>
    </row>
    <row r="906" spans="12:17">
      <c r="L906" s="2">
        <f>IFERROR(K906/J906*100,0)</f>
        <v>0</v>
      </c>
      <c r="Q906" s="7">
        <f>IF(P906="Yes",C906+CertValidityDays,"")</f>
        <v>0</v>
      </c>
    </row>
    <row r="907" spans="12:17">
      <c r="L907" s="2">
        <f>IFERROR(K907/J907*100,0)</f>
        <v>0</v>
      </c>
      <c r="Q907" s="7">
        <f>IF(P907="Yes",C907+CertValidityDays,"")</f>
        <v>0</v>
      </c>
    </row>
    <row r="908" spans="12:17">
      <c r="L908" s="2">
        <f>IFERROR(K908/J908*100,0)</f>
        <v>0</v>
      </c>
      <c r="Q908" s="7">
        <f>IF(P908="Yes",C908+CertValidityDays,"")</f>
        <v>0</v>
      </c>
    </row>
    <row r="909" spans="12:17">
      <c r="L909" s="2">
        <f>IFERROR(K909/J909*100,0)</f>
        <v>0</v>
      </c>
      <c r="Q909" s="7">
        <f>IF(P909="Yes",C909+CertValidityDays,"")</f>
        <v>0</v>
      </c>
    </row>
    <row r="910" spans="12:17">
      <c r="L910" s="2">
        <f>IFERROR(K910/J910*100,0)</f>
        <v>0</v>
      </c>
      <c r="Q910" s="7">
        <f>IF(P910="Yes",C910+CertValidityDays,"")</f>
        <v>0</v>
      </c>
    </row>
    <row r="911" spans="12:17">
      <c r="L911" s="2">
        <f>IFERROR(K911/J911*100,0)</f>
        <v>0</v>
      </c>
      <c r="Q911" s="7">
        <f>IF(P911="Yes",C911+CertValidityDays,"")</f>
        <v>0</v>
      </c>
    </row>
    <row r="912" spans="12:17">
      <c r="L912" s="2">
        <f>IFERROR(K912/J912*100,0)</f>
        <v>0</v>
      </c>
      <c r="Q912" s="7">
        <f>IF(P912="Yes",C912+CertValidityDays,"")</f>
        <v>0</v>
      </c>
    </row>
    <row r="913" spans="12:17">
      <c r="L913" s="2">
        <f>IFERROR(K913/J913*100,0)</f>
        <v>0</v>
      </c>
      <c r="Q913" s="7">
        <f>IF(P913="Yes",C913+CertValidityDays,"")</f>
        <v>0</v>
      </c>
    </row>
    <row r="914" spans="12:17">
      <c r="L914" s="2">
        <f>IFERROR(K914/J914*100,0)</f>
        <v>0</v>
      </c>
      <c r="Q914" s="7">
        <f>IF(P914="Yes",C914+CertValidityDays,"")</f>
        <v>0</v>
      </c>
    </row>
    <row r="915" spans="12:17">
      <c r="L915" s="2">
        <f>IFERROR(K915/J915*100,0)</f>
        <v>0</v>
      </c>
      <c r="Q915" s="7">
        <f>IF(P915="Yes",C915+CertValidityDays,"")</f>
        <v>0</v>
      </c>
    </row>
    <row r="916" spans="12:17">
      <c r="L916" s="2">
        <f>IFERROR(K916/J916*100,0)</f>
        <v>0</v>
      </c>
      <c r="Q916" s="7">
        <f>IF(P916="Yes",C916+CertValidityDays,"")</f>
        <v>0</v>
      </c>
    </row>
    <row r="917" spans="12:17">
      <c r="L917" s="2">
        <f>IFERROR(K917/J917*100,0)</f>
        <v>0</v>
      </c>
      <c r="Q917" s="7">
        <f>IF(P917="Yes",C917+CertValidityDays,"")</f>
        <v>0</v>
      </c>
    </row>
    <row r="918" spans="12:17">
      <c r="L918" s="2">
        <f>IFERROR(K918/J918*100,0)</f>
        <v>0</v>
      </c>
      <c r="Q918" s="7">
        <f>IF(P918="Yes",C918+CertValidityDays,"")</f>
        <v>0</v>
      </c>
    </row>
    <row r="919" spans="12:17">
      <c r="L919" s="2">
        <f>IFERROR(K919/J919*100,0)</f>
        <v>0</v>
      </c>
      <c r="Q919" s="7">
        <f>IF(P919="Yes",C919+CertValidityDays,"")</f>
        <v>0</v>
      </c>
    </row>
    <row r="920" spans="12:17">
      <c r="L920" s="2">
        <f>IFERROR(K920/J920*100,0)</f>
        <v>0</v>
      </c>
      <c r="Q920" s="7">
        <f>IF(P920="Yes",C920+CertValidityDays,"")</f>
        <v>0</v>
      </c>
    </row>
    <row r="921" spans="12:17">
      <c r="L921" s="2">
        <f>IFERROR(K921/J921*100,0)</f>
        <v>0</v>
      </c>
      <c r="Q921" s="7">
        <f>IF(P921="Yes",C921+CertValidityDays,"")</f>
        <v>0</v>
      </c>
    </row>
    <row r="922" spans="12:17">
      <c r="L922" s="2">
        <f>IFERROR(K922/J922*100,0)</f>
        <v>0</v>
      </c>
      <c r="Q922" s="7">
        <f>IF(P922="Yes",C922+CertValidityDays,"")</f>
        <v>0</v>
      </c>
    </row>
    <row r="923" spans="12:17">
      <c r="L923" s="2">
        <f>IFERROR(K923/J923*100,0)</f>
        <v>0</v>
      </c>
      <c r="Q923" s="7">
        <f>IF(P923="Yes",C923+CertValidityDays,"")</f>
        <v>0</v>
      </c>
    </row>
    <row r="924" spans="12:17">
      <c r="L924" s="2">
        <f>IFERROR(K924/J924*100,0)</f>
        <v>0</v>
      </c>
      <c r="Q924" s="7">
        <f>IF(P924="Yes",C924+CertValidityDays,"")</f>
        <v>0</v>
      </c>
    </row>
    <row r="925" spans="12:17">
      <c r="L925" s="2">
        <f>IFERROR(K925/J925*100,0)</f>
        <v>0</v>
      </c>
      <c r="Q925" s="7">
        <f>IF(P925="Yes",C925+CertValidityDays,"")</f>
        <v>0</v>
      </c>
    </row>
    <row r="926" spans="12:17">
      <c r="L926" s="2">
        <f>IFERROR(K926/J926*100,0)</f>
        <v>0</v>
      </c>
      <c r="Q926" s="7">
        <f>IF(P926="Yes",C926+CertValidityDays,"")</f>
        <v>0</v>
      </c>
    </row>
    <row r="927" spans="12:17">
      <c r="L927" s="2">
        <f>IFERROR(K927/J927*100,0)</f>
        <v>0</v>
      </c>
      <c r="Q927" s="7">
        <f>IF(P927="Yes",C927+CertValidityDays,"")</f>
        <v>0</v>
      </c>
    </row>
    <row r="928" spans="12:17">
      <c r="L928" s="2">
        <f>IFERROR(K928/J928*100,0)</f>
        <v>0</v>
      </c>
      <c r="Q928" s="7">
        <f>IF(P928="Yes",C928+CertValidityDays,"")</f>
        <v>0</v>
      </c>
    </row>
    <row r="929" spans="12:17">
      <c r="L929" s="2">
        <f>IFERROR(K929/J929*100,0)</f>
        <v>0</v>
      </c>
      <c r="Q929" s="7">
        <f>IF(P929="Yes",C929+CertValidityDays,"")</f>
        <v>0</v>
      </c>
    </row>
    <row r="930" spans="12:17">
      <c r="L930" s="2">
        <f>IFERROR(K930/J930*100,0)</f>
        <v>0</v>
      </c>
      <c r="Q930" s="7">
        <f>IF(P930="Yes",C930+CertValidityDays,"")</f>
        <v>0</v>
      </c>
    </row>
    <row r="931" spans="12:17">
      <c r="L931" s="2">
        <f>IFERROR(K931/J931*100,0)</f>
        <v>0</v>
      </c>
      <c r="Q931" s="7">
        <f>IF(P931="Yes",C931+CertValidityDays,"")</f>
        <v>0</v>
      </c>
    </row>
    <row r="932" spans="12:17">
      <c r="L932" s="2">
        <f>IFERROR(K932/J932*100,0)</f>
        <v>0</v>
      </c>
      <c r="Q932" s="7">
        <f>IF(P932="Yes",C932+CertValidityDays,"")</f>
        <v>0</v>
      </c>
    </row>
    <row r="933" spans="12:17">
      <c r="L933" s="2">
        <f>IFERROR(K933/J933*100,0)</f>
        <v>0</v>
      </c>
      <c r="Q933" s="7">
        <f>IF(P933="Yes",C933+CertValidityDays,"")</f>
        <v>0</v>
      </c>
    </row>
    <row r="934" spans="12:17">
      <c r="L934" s="2">
        <f>IFERROR(K934/J934*100,0)</f>
        <v>0</v>
      </c>
      <c r="Q934" s="7">
        <f>IF(P934="Yes",C934+CertValidityDays,"")</f>
        <v>0</v>
      </c>
    </row>
    <row r="935" spans="12:17">
      <c r="L935" s="2">
        <f>IFERROR(K935/J935*100,0)</f>
        <v>0</v>
      </c>
      <c r="Q935" s="7">
        <f>IF(P935="Yes",C935+CertValidityDays,"")</f>
        <v>0</v>
      </c>
    </row>
    <row r="936" spans="12:17">
      <c r="L936" s="2">
        <f>IFERROR(K936/J936*100,0)</f>
        <v>0</v>
      </c>
      <c r="Q936" s="7">
        <f>IF(P936="Yes",C936+CertValidityDays,"")</f>
        <v>0</v>
      </c>
    </row>
    <row r="937" spans="12:17">
      <c r="L937" s="2">
        <f>IFERROR(K937/J937*100,0)</f>
        <v>0</v>
      </c>
      <c r="Q937" s="7">
        <f>IF(P937="Yes",C937+CertValidityDays,"")</f>
        <v>0</v>
      </c>
    </row>
    <row r="938" spans="12:17">
      <c r="L938" s="2">
        <f>IFERROR(K938/J938*100,0)</f>
        <v>0</v>
      </c>
      <c r="Q938" s="7">
        <f>IF(P938="Yes",C938+CertValidityDays,"")</f>
        <v>0</v>
      </c>
    </row>
    <row r="939" spans="12:17">
      <c r="L939" s="2">
        <f>IFERROR(K939/J939*100,0)</f>
        <v>0</v>
      </c>
      <c r="Q939" s="7">
        <f>IF(P939="Yes",C939+CertValidityDays,"")</f>
        <v>0</v>
      </c>
    </row>
    <row r="940" spans="12:17">
      <c r="L940" s="2">
        <f>IFERROR(K940/J940*100,0)</f>
        <v>0</v>
      </c>
      <c r="Q940" s="7">
        <f>IF(P940="Yes",C940+CertValidityDays,"")</f>
        <v>0</v>
      </c>
    </row>
    <row r="941" spans="12:17">
      <c r="L941" s="2">
        <f>IFERROR(K941/J941*100,0)</f>
        <v>0</v>
      </c>
      <c r="Q941" s="7">
        <f>IF(P941="Yes",C941+CertValidityDays,"")</f>
        <v>0</v>
      </c>
    </row>
    <row r="942" spans="12:17">
      <c r="L942" s="2">
        <f>IFERROR(K942/J942*100,0)</f>
        <v>0</v>
      </c>
      <c r="Q942" s="7">
        <f>IF(P942="Yes",C942+CertValidityDays,"")</f>
        <v>0</v>
      </c>
    </row>
    <row r="943" spans="12:17">
      <c r="L943" s="2">
        <f>IFERROR(K943/J943*100,0)</f>
        <v>0</v>
      </c>
      <c r="Q943" s="7">
        <f>IF(P943="Yes",C943+CertValidityDays,"")</f>
        <v>0</v>
      </c>
    </row>
    <row r="944" spans="12:17">
      <c r="L944" s="2">
        <f>IFERROR(K944/J944*100,0)</f>
        <v>0</v>
      </c>
      <c r="Q944" s="7">
        <f>IF(P944="Yes",C944+CertValidityDays,"")</f>
        <v>0</v>
      </c>
    </row>
    <row r="945" spans="12:17">
      <c r="L945" s="2">
        <f>IFERROR(K945/J945*100,0)</f>
        <v>0</v>
      </c>
      <c r="Q945" s="7">
        <f>IF(P945="Yes",C945+CertValidityDays,"")</f>
        <v>0</v>
      </c>
    </row>
    <row r="946" spans="12:17">
      <c r="L946" s="2">
        <f>IFERROR(K946/J946*100,0)</f>
        <v>0</v>
      </c>
      <c r="Q946" s="7">
        <f>IF(P946="Yes",C946+CertValidityDays,"")</f>
        <v>0</v>
      </c>
    </row>
    <row r="947" spans="12:17">
      <c r="L947" s="2">
        <f>IFERROR(K947/J947*100,0)</f>
        <v>0</v>
      </c>
      <c r="Q947" s="7">
        <f>IF(P947="Yes",C947+CertValidityDays,"")</f>
        <v>0</v>
      </c>
    </row>
    <row r="948" spans="12:17">
      <c r="L948" s="2">
        <f>IFERROR(K948/J948*100,0)</f>
        <v>0</v>
      </c>
      <c r="Q948" s="7">
        <f>IF(P948="Yes",C948+CertValidityDays,"")</f>
        <v>0</v>
      </c>
    </row>
    <row r="949" spans="12:17">
      <c r="L949" s="2">
        <f>IFERROR(K949/J949*100,0)</f>
        <v>0</v>
      </c>
      <c r="Q949" s="7">
        <f>IF(P949="Yes",C949+CertValidityDays,"")</f>
        <v>0</v>
      </c>
    </row>
    <row r="950" spans="12:17">
      <c r="L950" s="2">
        <f>IFERROR(K950/J950*100,0)</f>
        <v>0</v>
      </c>
      <c r="Q950" s="7">
        <f>IF(P950="Yes",C950+CertValidityDays,"")</f>
        <v>0</v>
      </c>
    </row>
    <row r="951" spans="12:17">
      <c r="L951" s="2">
        <f>IFERROR(K951/J951*100,0)</f>
        <v>0</v>
      </c>
      <c r="Q951" s="7">
        <f>IF(P951="Yes",C951+CertValidityDays,"")</f>
        <v>0</v>
      </c>
    </row>
    <row r="952" spans="12:17">
      <c r="L952" s="2">
        <f>IFERROR(K952/J952*100,0)</f>
        <v>0</v>
      </c>
      <c r="Q952" s="7">
        <f>IF(P952="Yes",C952+CertValidityDays,"")</f>
        <v>0</v>
      </c>
    </row>
    <row r="953" spans="12:17">
      <c r="L953" s="2">
        <f>IFERROR(K953/J953*100,0)</f>
        <v>0</v>
      </c>
      <c r="Q953" s="7">
        <f>IF(P953="Yes",C953+CertValidityDays,"")</f>
        <v>0</v>
      </c>
    </row>
    <row r="954" spans="12:17">
      <c r="L954" s="2">
        <f>IFERROR(K954/J954*100,0)</f>
        <v>0</v>
      </c>
      <c r="Q954" s="7">
        <f>IF(P954="Yes",C954+CertValidityDays,"")</f>
        <v>0</v>
      </c>
    </row>
    <row r="955" spans="12:17">
      <c r="L955" s="2">
        <f>IFERROR(K955/J955*100,0)</f>
        <v>0</v>
      </c>
      <c r="Q955" s="7">
        <f>IF(P955="Yes",C955+CertValidityDays,"")</f>
        <v>0</v>
      </c>
    </row>
    <row r="956" spans="12:17">
      <c r="L956" s="2">
        <f>IFERROR(K956/J956*100,0)</f>
        <v>0</v>
      </c>
      <c r="Q956" s="7">
        <f>IF(P956="Yes",C956+CertValidityDays,"")</f>
        <v>0</v>
      </c>
    </row>
    <row r="957" spans="12:17">
      <c r="L957" s="2">
        <f>IFERROR(K957/J957*100,0)</f>
        <v>0</v>
      </c>
      <c r="Q957" s="7">
        <f>IF(P957="Yes",C957+CertValidityDays,"")</f>
        <v>0</v>
      </c>
    </row>
    <row r="958" spans="12:17">
      <c r="L958" s="2">
        <f>IFERROR(K958/J958*100,0)</f>
        <v>0</v>
      </c>
      <c r="Q958" s="7">
        <f>IF(P958="Yes",C958+CertValidityDays,"")</f>
        <v>0</v>
      </c>
    </row>
    <row r="959" spans="12:17">
      <c r="L959" s="2">
        <f>IFERROR(K959/J959*100,0)</f>
        <v>0</v>
      </c>
      <c r="Q959" s="7">
        <f>IF(P959="Yes",C959+CertValidityDays,"")</f>
        <v>0</v>
      </c>
    </row>
    <row r="960" spans="12:17">
      <c r="L960" s="2">
        <f>IFERROR(K960/J960*100,0)</f>
        <v>0</v>
      </c>
      <c r="Q960" s="7">
        <f>IF(P960="Yes",C960+CertValidityDays,"")</f>
        <v>0</v>
      </c>
    </row>
    <row r="961" spans="12:17">
      <c r="L961" s="2">
        <f>IFERROR(K961/J961*100,0)</f>
        <v>0</v>
      </c>
      <c r="Q961" s="7">
        <f>IF(P961="Yes",C961+CertValidityDays,"")</f>
        <v>0</v>
      </c>
    </row>
    <row r="962" spans="12:17">
      <c r="L962" s="2">
        <f>IFERROR(K962/J962*100,0)</f>
        <v>0</v>
      </c>
      <c r="Q962" s="7">
        <f>IF(P962="Yes",C962+CertValidityDays,"")</f>
        <v>0</v>
      </c>
    </row>
    <row r="963" spans="12:17">
      <c r="L963" s="2">
        <f>IFERROR(K963/J963*100,0)</f>
        <v>0</v>
      </c>
      <c r="Q963" s="7">
        <f>IF(P963="Yes",C963+CertValidityDays,"")</f>
        <v>0</v>
      </c>
    </row>
    <row r="964" spans="12:17">
      <c r="L964" s="2">
        <f>IFERROR(K964/J964*100,0)</f>
        <v>0</v>
      </c>
      <c r="Q964" s="7">
        <f>IF(P964="Yes",C964+CertValidityDays,"")</f>
        <v>0</v>
      </c>
    </row>
    <row r="965" spans="12:17">
      <c r="L965" s="2">
        <f>IFERROR(K965/J965*100,0)</f>
        <v>0</v>
      </c>
      <c r="Q965" s="7">
        <f>IF(P965="Yes",C965+CertValidityDays,"")</f>
        <v>0</v>
      </c>
    </row>
    <row r="966" spans="12:17">
      <c r="L966" s="2">
        <f>IFERROR(K966/J966*100,0)</f>
        <v>0</v>
      </c>
      <c r="Q966" s="7">
        <f>IF(P966="Yes",C966+CertValidityDays,"")</f>
        <v>0</v>
      </c>
    </row>
    <row r="967" spans="12:17">
      <c r="L967" s="2">
        <f>IFERROR(K967/J967*100,0)</f>
        <v>0</v>
      </c>
      <c r="Q967" s="7">
        <f>IF(P967="Yes",C967+CertValidityDays,"")</f>
        <v>0</v>
      </c>
    </row>
    <row r="968" spans="12:17">
      <c r="L968" s="2">
        <f>IFERROR(K968/J968*100,0)</f>
        <v>0</v>
      </c>
      <c r="Q968" s="7">
        <f>IF(P968="Yes",C968+CertValidityDays,"")</f>
        <v>0</v>
      </c>
    </row>
    <row r="969" spans="12:17">
      <c r="L969" s="2">
        <f>IFERROR(K969/J969*100,0)</f>
        <v>0</v>
      </c>
      <c r="Q969" s="7">
        <f>IF(P969="Yes",C969+CertValidityDays,"")</f>
        <v>0</v>
      </c>
    </row>
    <row r="970" spans="12:17">
      <c r="L970" s="2">
        <f>IFERROR(K970/J970*100,0)</f>
        <v>0</v>
      </c>
      <c r="Q970" s="7">
        <f>IF(P970="Yes",C970+CertValidityDays,"")</f>
        <v>0</v>
      </c>
    </row>
    <row r="971" spans="12:17">
      <c r="L971" s="2">
        <f>IFERROR(K971/J971*100,0)</f>
        <v>0</v>
      </c>
      <c r="Q971" s="7">
        <f>IF(P971="Yes",C971+CertValidityDays,"")</f>
        <v>0</v>
      </c>
    </row>
    <row r="972" spans="12:17">
      <c r="L972" s="2">
        <f>IFERROR(K972/J972*100,0)</f>
        <v>0</v>
      </c>
      <c r="Q972" s="7">
        <f>IF(P972="Yes",C972+CertValidityDays,"")</f>
        <v>0</v>
      </c>
    </row>
    <row r="973" spans="12:17">
      <c r="L973" s="2">
        <f>IFERROR(K973/J973*100,0)</f>
        <v>0</v>
      </c>
      <c r="Q973" s="7">
        <f>IF(P973="Yes",C973+CertValidityDays,"")</f>
        <v>0</v>
      </c>
    </row>
    <row r="974" spans="12:17">
      <c r="L974" s="2">
        <f>IFERROR(K974/J974*100,0)</f>
        <v>0</v>
      </c>
      <c r="Q974" s="7">
        <f>IF(P974="Yes",C974+CertValidityDays,"")</f>
        <v>0</v>
      </c>
    </row>
    <row r="975" spans="12:17">
      <c r="L975" s="2">
        <f>IFERROR(K975/J975*100,0)</f>
        <v>0</v>
      </c>
      <c r="Q975" s="7">
        <f>IF(P975="Yes",C975+CertValidityDays,"")</f>
        <v>0</v>
      </c>
    </row>
    <row r="976" spans="12:17">
      <c r="L976" s="2">
        <f>IFERROR(K976/J976*100,0)</f>
        <v>0</v>
      </c>
      <c r="Q976" s="7">
        <f>IF(P976="Yes",C976+CertValidityDays,"")</f>
        <v>0</v>
      </c>
    </row>
    <row r="977" spans="12:17">
      <c r="L977" s="2">
        <f>IFERROR(K977/J977*100,0)</f>
        <v>0</v>
      </c>
      <c r="Q977" s="7">
        <f>IF(P977="Yes",C977+CertValidityDays,"")</f>
        <v>0</v>
      </c>
    </row>
    <row r="978" spans="12:17">
      <c r="L978" s="2">
        <f>IFERROR(K978/J978*100,0)</f>
        <v>0</v>
      </c>
      <c r="Q978" s="7">
        <f>IF(P978="Yes",C978+CertValidityDays,"")</f>
        <v>0</v>
      </c>
    </row>
    <row r="979" spans="12:17">
      <c r="L979" s="2">
        <f>IFERROR(K979/J979*100,0)</f>
        <v>0</v>
      </c>
      <c r="Q979" s="7">
        <f>IF(P979="Yes",C979+CertValidityDays,"")</f>
        <v>0</v>
      </c>
    </row>
    <row r="980" spans="12:17">
      <c r="L980" s="2">
        <f>IFERROR(K980/J980*100,0)</f>
        <v>0</v>
      </c>
      <c r="Q980" s="7">
        <f>IF(P980="Yes",C980+CertValidityDays,"")</f>
        <v>0</v>
      </c>
    </row>
    <row r="981" spans="12:17">
      <c r="L981" s="2">
        <f>IFERROR(K981/J981*100,0)</f>
        <v>0</v>
      </c>
      <c r="Q981" s="7">
        <f>IF(P981="Yes",C981+CertValidityDays,"")</f>
        <v>0</v>
      </c>
    </row>
    <row r="982" spans="12:17">
      <c r="L982" s="2">
        <f>IFERROR(K982/J982*100,0)</f>
        <v>0</v>
      </c>
      <c r="Q982" s="7">
        <f>IF(P982="Yes",C982+CertValidityDays,"")</f>
        <v>0</v>
      </c>
    </row>
    <row r="983" spans="12:17">
      <c r="L983" s="2">
        <f>IFERROR(K983/J983*100,0)</f>
        <v>0</v>
      </c>
      <c r="Q983" s="7">
        <f>IF(P983="Yes",C983+CertValidityDays,"")</f>
        <v>0</v>
      </c>
    </row>
    <row r="984" spans="12:17">
      <c r="L984" s="2">
        <f>IFERROR(K984/J984*100,0)</f>
        <v>0</v>
      </c>
      <c r="Q984" s="7">
        <f>IF(P984="Yes",C984+CertValidityDays,"")</f>
        <v>0</v>
      </c>
    </row>
    <row r="985" spans="12:17">
      <c r="L985" s="2">
        <f>IFERROR(K985/J985*100,0)</f>
        <v>0</v>
      </c>
      <c r="Q985" s="7">
        <f>IF(P985="Yes",C985+CertValidityDays,"")</f>
        <v>0</v>
      </c>
    </row>
    <row r="986" spans="12:17">
      <c r="L986" s="2">
        <f>IFERROR(K986/J986*100,0)</f>
        <v>0</v>
      </c>
      <c r="Q986" s="7">
        <f>IF(P986="Yes",C986+CertValidityDays,"")</f>
        <v>0</v>
      </c>
    </row>
    <row r="987" spans="12:17">
      <c r="L987" s="2">
        <f>IFERROR(K987/J987*100,0)</f>
        <v>0</v>
      </c>
      <c r="Q987" s="7">
        <f>IF(P987="Yes",C987+CertValidityDays,"")</f>
        <v>0</v>
      </c>
    </row>
    <row r="988" spans="12:17">
      <c r="L988" s="2">
        <f>IFERROR(K988/J988*100,0)</f>
        <v>0</v>
      </c>
      <c r="Q988" s="7">
        <f>IF(P988="Yes",C988+CertValidityDays,"")</f>
        <v>0</v>
      </c>
    </row>
    <row r="989" spans="12:17">
      <c r="L989" s="2">
        <f>IFERROR(K989/J989*100,0)</f>
        <v>0</v>
      </c>
      <c r="Q989" s="7">
        <f>IF(P989="Yes",C989+CertValidityDays,"")</f>
        <v>0</v>
      </c>
    </row>
    <row r="990" spans="12:17">
      <c r="L990" s="2">
        <f>IFERROR(K990/J990*100,0)</f>
        <v>0</v>
      </c>
      <c r="Q990" s="7">
        <f>IF(P990="Yes",C990+CertValidityDays,"")</f>
        <v>0</v>
      </c>
    </row>
    <row r="991" spans="12:17">
      <c r="L991" s="2">
        <f>IFERROR(K991/J991*100,0)</f>
        <v>0</v>
      </c>
      <c r="Q991" s="7">
        <f>IF(P991="Yes",C991+CertValidityDays,"")</f>
        <v>0</v>
      </c>
    </row>
    <row r="992" spans="12:17">
      <c r="L992" s="2">
        <f>IFERROR(K992/J992*100,0)</f>
        <v>0</v>
      </c>
      <c r="Q992" s="7">
        <f>IF(P992="Yes",C992+CertValidityDays,"")</f>
        <v>0</v>
      </c>
    </row>
    <row r="993" spans="12:17">
      <c r="L993" s="2">
        <f>IFERROR(K993/J993*100,0)</f>
        <v>0</v>
      </c>
      <c r="Q993" s="7">
        <f>IF(P993="Yes",C993+CertValidityDays,"")</f>
        <v>0</v>
      </c>
    </row>
    <row r="994" spans="12:17">
      <c r="L994" s="2">
        <f>IFERROR(K994/J994*100,0)</f>
        <v>0</v>
      </c>
      <c r="Q994" s="7">
        <f>IF(P994="Yes",C994+CertValidityDays,"")</f>
        <v>0</v>
      </c>
    </row>
    <row r="995" spans="12:17">
      <c r="L995" s="2">
        <f>IFERROR(K995/J995*100,0)</f>
        <v>0</v>
      </c>
      <c r="Q995" s="7">
        <f>IF(P995="Yes",C995+CertValidityDays,"")</f>
        <v>0</v>
      </c>
    </row>
    <row r="996" spans="12:17">
      <c r="L996" s="2">
        <f>IFERROR(K996/J996*100,0)</f>
        <v>0</v>
      </c>
      <c r="Q996" s="7">
        <f>IF(P996="Yes",C996+CertValidityDays,"")</f>
        <v>0</v>
      </c>
    </row>
    <row r="997" spans="12:17">
      <c r="L997" s="2">
        <f>IFERROR(K997/J997*100,0)</f>
        <v>0</v>
      </c>
      <c r="Q997" s="7">
        <f>IF(P997="Yes",C997+CertValidityDays,"")</f>
        <v>0</v>
      </c>
    </row>
    <row r="998" spans="12:17">
      <c r="L998" s="2">
        <f>IFERROR(K998/J998*100,0)</f>
        <v>0</v>
      </c>
      <c r="Q998" s="7">
        <f>IF(P998="Yes",C998+CertValidityDays,"")</f>
        <v>0</v>
      </c>
    </row>
    <row r="999" spans="12:17">
      <c r="L999" s="2">
        <f>IFERROR(K999/J999*100,0)</f>
        <v>0</v>
      </c>
      <c r="Q999" s="7">
        <f>IF(P999="Yes",C999+CertValidityDays,"")</f>
        <v>0</v>
      </c>
    </row>
    <row r="1000" spans="12:17">
      <c r="L1000" s="2">
        <f>IFERROR(K1000/J1000*100,0)</f>
        <v>0</v>
      </c>
      <c r="Q1000" s="7">
        <f>IF(P1000="Yes",C1000+CertValidityDays,"")</f>
        <v>0</v>
      </c>
    </row>
    <row r="1001" spans="12:17">
      <c r="L1001" s="2">
        <f>IFERROR(K1001/J1001*100,0)</f>
        <v>0</v>
      </c>
      <c r="Q1001" s="7">
        <f>IF(P1001="Yes",C1001+CertValidityDays,"")</f>
        <v>0</v>
      </c>
    </row>
    <row r="1002" spans="12:17">
      <c r="L1002" s="2">
        <f>IFERROR(K1002/J1002*100,0)</f>
        <v>0</v>
      </c>
      <c r="Q1002" s="7">
        <f>IF(P1002="Yes",C1002+CertValidityDays,"")</f>
        <v>0</v>
      </c>
    </row>
    <row r="1003" spans="12:17">
      <c r="L1003" s="2">
        <f>IFERROR(K1003/J1003*100,0)</f>
        <v>0</v>
      </c>
      <c r="Q1003" s="7">
        <f>IF(P1003="Yes",C1003+CertValidityDays,"")</f>
        <v>0</v>
      </c>
    </row>
  </sheetData>
  <mergeCells count="2">
    <mergeCell ref="A1:Q1"/>
    <mergeCell ref="A2:Q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S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290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351</v>
      </c>
      <c r="C3" s="1" t="s">
        <v>126</v>
      </c>
      <c r="D3" s="1" t="s">
        <v>127</v>
      </c>
      <c r="E3" s="1" t="s">
        <v>352</v>
      </c>
      <c r="F3" s="1" t="s">
        <v>353</v>
      </c>
      <c r="G3" s="1" t="s">
        <v>129</v>
      </c>
      <c r="H3" s="1" t="s">
        <v>130</v>
      </c>
      <c r="I3" s="1" t="s">
        <v>354</v>
      </c>
      <c r="J3" s="1" t="s">
        <v>355</v>
      </c>
      <c r="K3" s="1" t="s">
        <v>356</v>
      </c>
      <c r="L3" s="1" t="s">
        <v>210</v>
      </c>
      <c r="M3" s="1" t="s">
        <v>286</v>
      </c>
      <c r="N3" s="1" t="s">
        <v>357</v>
      </c>
      <c r="O3" s="1" t="s">
        <v>358</v>
      </c>
    </row>
    <row r="4" spans="1:17">
      <c r="A4" s="1">
        <v>1</v>
      </c>
      <c r="B4" s="1" t="s">
        <v>291</v>
      </c>
      <c r="C4" s="5">
        <v>46025</v>
      </c>
      <c r="D4" s="1" t="s">
        <v>3</v>
      </c>
      <c r="E4" s="6" t="s">
        <v>292</v>
      </c>
      <c r="F4" s="6" t="s">
        <v>38</v>
      </c>
      <c r="G4" s="1" t="s">
        <v>27</v>
      </c>
      <c r="H4" s="1" t="s">
        <v>87</v>
      </c>
      <c r="I4" s="1" t="s">
        <v>15</v>
      </c>
      <c r="J4" s="1" t="s">
        <v>41</v>
      </c>
      <c r="K4" s="1" t="s">
        <v>55</v>
      </c>
      <c r="L4" s="1" t="s">
        <v>151</v>
      </c>
      <c r="M4" s="1" t="s">
        <v>220</v>
      </c>
      <c r="N4" s="1" t="s">
        <v>293</v>
      </c>
      <c r="O4" s="5">
        <v>46031</v>
      </c>
    </row>
    <row r="5" spans="1:17">
      <c r="A5" s="1">
        <v>2</v>
      </c>
      <c r="B5" s="1" t="s">
        <v>294</v>
      </c>
      <c r="C5" s="5">
        <v>46030</v>
      </c>
      <c r="D5" s="1" t="s">
        <v>3</v>
      </c>
      <c r="E5" s="6" t="s">
        <v>295</v>
      </c>
      <c r="F5" s="6" t="s">
        <v>12</v>
      </c>
      <c r="G5" s="1" t="s">
        <v>46</v>
      </c>
      <c r="H5" s="1" t="s">
        <v>40</v>
      </c>
      <c r="I5" s="1" t="s">
        <v>62</v>
      </c>
      <c r="J5" s="1" t="s">
        <v>104</v>
      </c>
      <c r="K5" s="1" t="s">
        <v>47</v>
      </c>
      <c r="L5" s="1" t="s">
        <v>161</v>
      </c>
      <c r="M5" s="1" t="s">
        <v>220</v>
      </c>
      <c r="N5" s="1" t="s">
        <v>293</v>
      </c>
      <c r="O5" s="5">
        <v>46065</v>
      </c>
    </row>
    <row r="6" spans="1:17">
      <c r="A6" s="1">
        <v>3</v>
      </c>
      <c r="B6" s="1" t="s">
        <v>296</v>
      </c>
      <c r="C6" s="5">
        <v>46028</v>
      </c>
      <c r="D6" s="1" t="s">
        <v>3</v>
      </c>
      <c r="E6" s="6" t="s">
        <v>297</v>
      </c>
      <c r="F6" s="6" t="s">
        <v>49</v>
      </c>
      <c r="G6" s="1" t="s">
        <v>13</v>
      </c>
      <c r="H6" s="1" t="s">
        <v>87</v>
      </c>
      <c r="I6" s="1" t="s">
        <v>22</v>
      </c>
      <c r="J6" s="1" t="s">
        <v>28</v>
      </c>
      <c r="K6" s="1" t="s">
        <v>33</v>
      </c>
      <c r="L6" s="1" t="s">
        <v>161</v>
      </c>
      <c r="M6" s="1" t="s">
        <v>224</v>
      </c>
      <c r="N6" s="1" t="s">
        <v>298</v>
      </c>
      <c r="O6" s="5">
        <v>46072</v>
      </c>
    </row>
    <row r="7" spans="1:17">
      <c r="A7" s="1">
        <v>4</v>
      </c>
      <c r="B7" s="1" t="s">
        <v>299</v>
      </c>
      <c r="C7" s="5">
        <v>46048</v>
      </c>
      <c r="D7" s="1" t="s">
        <v>3</v>
      </c>
      <c r="E7" s="6" t="s">
        <v>295</v>
      </c>
      <c r="F7" s="6" t="s">
        <v>45</v>
      </c>
      <c r="G7" s="1" t="s">
        <v>89</v>
      </c>
      <c r="H7" s="1" t="s">
        <v>95</v>
      </c>
      <c r="I7" s="1" t="s">
        <v>32</v>
      </c>
      <c r="J7" s="1" t="s">
        <v>78</v>
      </c>
      <c r="K7" s="1" t="s">
        <v>55</v>
      </c>
      <c r="L7" s="1" t="s">
        <v>142</v>
      </c>
      <c r="M7" s="1" t="s">
        <v>220</v>
      </c>
      <c r="N7" s="1" t="s">
        <v>300</v>
      </c>
      <c r="O7" s="5">
        <v>46063</v>
      </c>
    </row>
    <row r="8" spans="1:17">
      <c r="A8" s="1">
        <v>5</v>
      </c>
      <c r="B8" s="1" t="s">
        <v>301</v>
      </c>
      <c r="C8" s="5">
        <v>46057</v>
      </c>
      <c r="D8" s="1" t="s">
        <v>19</v>
      </c>
      <c r="E8" s="6" t="s">
        <v>295</v>
      </c>
      <c r="F8" s="6" t="s">
        <v>91</v>
      </c>
      <c r="G8" s="1" t="s">
        <v>65</v>
      </c>
      <c r="H8" s="1" t="s">
        <v>6</v>
      </c>
      <c r="I8" s="1" t="s">
        <v>22</v>
      </c>
      <c r="J8" s="1" t="s">
        <v>66</v>
      </c>
      <c r="K8" s="1" t="s">
        <v>47</v>
      </c>
      <c r="L8" s="1" t="s">
        <v>161</v>
      </c>
      <c r="M8" s="1" t="s">
        <v>302</v>
      </c>
      <c r="N8" s="1" t="s">
        <v>303</v>
      </c>
      <c r="O8" s="5">
        <v>46076</v>
      </c>
    </row>
    <row r="9" spans="1:17">
      <c r="A9" s="1">
        <v>6</v>
      </c>
      <c r="B9" s="1" t="s">
        <v>304</v>
      </c>
      <c r="C9" s="5">
        <v>46057</v>
      </c>
      <c r="D9" s="1" t="s">
        <v>19</v>
      </c>
      <c r="E9" s="6" t="s">
        <v>305</v>
      </c>
      <c r="F9" s="6" t="s">
        <v>12</v>
      </c>
      <c r="G9" s="1" t="s">
        <v>65</v>
      </c>
      <c r="H9" s="1" t="s">
        <v>77</v>
      </c>
      <c r="I9" s="1" t="s">
        <v>70</v>
      </c>
      <c r="J9" s="1" t="s">
        <v>7</v>
      </c>
      <c r="K9" s="1" t="s">
        <v>47</v>
      </c>
      <c r="L9" s="1" t="s">
        <v>157</v>
      </c>
      <c r="M9" s="1" t="s">
        <v>224</v>
      </c>
      <c r="N9" s="1" t="s">
        <v>293</v>
      </c>
      <c r="O9" s="5">
        <v>46065</v>
      </c>
    </row>
    <row r="10" spans="1:17">
      <c r="A10" s="1">
        <v>7</v>
      </c>
      <c r="B10" s="1" t="s">
        <v>306</v>
      </c>
      <c r="C10" s="5">
        <v>46064</v>
      </c>
      <c r="D10" s="1" t="s">
        <v>19</v>
      </c>
      <c r="E10" s="6" t="s">
        <v>295</v>
      </c>
      <c r="F10" s="6" t="s">
        <v>61</v>
      </c>
      <c r="G10" s="1" t="s">
        <v>5</v>
      </c>
      <c r="H10" s="1" t="s">
        <v>82</v>
      </c>
      <c r="I10" s="1" t="s">
        <v>7</v>
      </c>
      <c r="J10" s="1" t="s">
        <v>70</v>
      </c>
      <c r="K10" s="1" t="s">
        <v>47</v>
      </c>
      <c r="L10" s="1" t="s">
        <v>142</v>
      </c>
      <c r="M10" s="1" t="s">
        <v>220</v>
      </c>
      <c r="N10" s="1" t="s">
        <v>293</v>
      </c>
      <c r="O10" s="5">
        <v>46078</v>
      </c>
    </row>
    <row r="11" spans="1:17">
      <c r="A11" s="1">
        <v>8</v>
      </c>
      <c r="B11" s="1" t="s">
        <v>307</v>
      </c>
      <c r="C11" s="5">
        <v>46066</v>
      </c>
      <c r="D11" s="1" t="s">
        <v>19</v>
      </c>
      <c r="E11" s="6" t="s">
        <v>305</v>
      </c>
      <c r="F11" s="6" t="s">
        <v>26</v>
      </c>
      <c r="G11" s="1" t="s">
        <v>46</v>
      </c>
      <c r="H11" s="1" t="s">
        <v>6</v>
      </c>
      <c r="I11" s="1" t="s">
        <v>66</v>
      </c>
      <c r="J11" s="1" t="s">
        <v>22</v>
      </c>
      <c r="K11" s="1" t="s">
        <v>99</v>
      </c>
      <c r="L11" s="1" t="s">
        <v>142</v>
      </c>
      <c r="M11" s="1" t="s">
        <v>220</v>
      </c>
      <c r="N11" s="1" t="s">
        <v>300</v>
      </c>
      <c r="O11" s="5">
        <v>46076</v>
      </c>
    </row>
    <row r="12" spans="1:17">
      <c r="A12" s="1">
        <v>9</v>
      </c>
      <c r="B12" s="1" t="s">
        <v>308</v>
      </c>
      <c r="C12" s="5">
        <v>46064</v>
      </c>
      <c r="D12" s="1" t="s">
        <v>19</v>
      </c>
      <c r="E12" s="6" t="s">
        <v>305</v>
      </c>
      <c r="F12" s="6" t="s">
        <v>20</v>
      </c>
      <c r="G12" s="1" t="s">
        <v>92</v>
      </c>
      <c r="H12" s="1" t="s">
        <v>87</v>
      </c>
      <c r="I12" s="1" t="s">
        <v>22</v>
      </c>
      <c r="J12" s="1" t="s">
        <v>70</v>
      </c>
      <c r="K12" s="1" t="s">
        <v>47</v>
      </c>
      <c r="L12" s="1" t="s">
        <v>151</v>
      </c>
      <c r="M12" s="1" t="s">
        <v>224</v>
      </c>
      <c r="N12" s="1" t="s">
        <v>303</v>
      </c>
      <c r="O12" s="5">
        <v>46080</v>
      </c>
    </row>
    <row r="13" spans="1:17">
      <c r="A13" s="1">
        <v>10</v>
      </c>
      <c r="B13" s="1" t="s">
        <v>309</v>
      </c>
      <c r="C13" s="5">
        <v>46066</v>
      </c>
      <c r="D13" s="1" t="s">
        <v>19</v>
      </c>
      <c r="E13" s="6" t="s">
        <v>295</v>
      </c>
      <c r="F13" s="6" t="s">
        <v>64</v>
      </c>
      <c r="G13" s="1" t="s">
        <v>92</v>
      </c>
      <c r="H13" s="1" t="s">
        <v>87</v>
      </c>
      <c r="I13" s="1" t="s">
        <v>66</v>
      </c>
      <c r="J13" s="1" t="s">
        <v>66</v>
      </c>
      <c r="K13" s="1" t="s">
        <v>99</v>
      </c>
      <c r="L13" s="1" t="s">
        <v>157</v>
      </c>
      <c r="M13" s="1" t="s">
        <v>220</v>
      </c>
      <c r="N13" s="1" t="s">
        <v>310</v>
      </c>
      <c r="O13" s="5">
        <v>46071</v>
      </c>
    </row>
    <row r="14" spans="1:17">
      <c r="A14" s="1">
        <v>11</v>
      </c>
      <c r="B14" s="1" t="s">
        <v>311</v>
      </c>
      <c r="C14" s="5">
        <v>46072</v>
      </c>
      <c r="D14" s="1" t="s">
        <v>19</v>
      </c>
      <c r="E14" s="6" t="s">
        <v>292</v>
      </c>
      <c r="F14" s="6" t="s">
        <v>49</v>
      </c>
      <c r="G14" s="1" t="s">
        <v>27</v>
      </c>
      <c r="H14" s="1" t="s">
        <v>82</v>
      </c>
      <c r="I14" s="1" t="s">
        <v>62</v>
      </c>
      <c r="J14" s="1" t="s">
        <v>78</v>
      </c>
      <c r="K14" s="1" t="s">
        <v>55</v>
      </c>
      <c r="L14" s="1" t="s">
        <v>142</v>
      </c>
      <c r="M14" s="1" t="s">
        <v>302</v>
      </c>
      <c r="N14" s="1" t="s">
        <v>303</v>
      </c>
      <c r="O14" s="5">
        <v>46085</v>
      </c>
    </row>
    <row r="15" spans="1:17">
      <c r="A15" s="1">
        <v>12</v>
      </c>
      <c r="B15" s="1" t="s">
        <v>312</v>
      </c>
      <c r="C15" s="5">
        <v>46090</v>
      </c>
      <c r="D15" s="1" t="s">
        <v>44</v>
      </c>
      <c r="E15" s="6" t="s">
        <v>305</v>
      </c>
      <c r="F15" s="6" t="s">
        <v>49</v>
      </c>
      <c r="G15" s="1" t="s">
        <v>65</v>
      </c>
      <c r="H15" s="1" t="s">
        <v>40</v>
      </c>
      <c r="I15" s="1" t="s">
        <v>70</v>
      </c>
      <c r="J15" s="1" t="s">
        <v>93</v>
      </c>
      <c r="K15" s="1" t="s">
        <v>99</v>
      </c>
      <c r="L15" s="1" t="s">
        <v>142</v>
      </c>
      <c r="M15" s="1" t="s">
        <v>224</v>
      </c>
      <c r="N15" s="1" t="s">
        <v>293</v>
      </c>
      <c r="O15" s="5">
        <v>46130</v>
      </c>
    </row>
    <row r="16" spans="1:17">
      <c r="A16" s="1">
        <v>13</v>
      </c>
      <c r="B16" s="1" t="s">
        <v>313</v>
      </c>
      <c r="C16" s="5">
        <v>46090</v>
      </c>
      <c r="D16" s="1" t="s">
        <v>44</v>
      </c>
      <c r="E16" s="6" t="s">
        <v>305</v>
      </c>
      <c r="F16" s="6" t="s">
        <v>64</v>
      </c>
      <c r="G16" s="1" t="s">
        <v>92</v>
      </c>
      <c r="H16" s="1" t="s">
        <v>21</v>
      </c>
      <c r="I16" s="1" t="s">
        <v>32</v>
      </c>
      <c r="J16" s="1" t="s">
        <v>66</v>
      </c>
      <c r="K16" s="1" t="s">
        <v>16</v>
      </c>
      <c r="L16" s="1" t="s">
        <v>142</v>
      </c>
      <c r="M16" s="1" t="s">
        <v>302</v>
      </c>
      <c r="N16" s="1" t="s">
        <v>298</v>
      </c>
      <c r="O16" s="5">
        <v>46120</v>
      </c>
    </row>
    <row r="17" spans="1:15">
      <c r="A17" s="1">
        <v>14</v>
      </c>
      <c r="B17" s="1" t="s">
        <v>314</v>
      </c>
      <c r="C17" s="5">
        <v>46098</v>
      </c>
      <c r="D17" s="1" t="s">
        <v>44</v>
      </c>
      <c r="E17" s="6" t="s">
        <v>315</v>
      </c>
      <c r="F17" s="6" t="s">
        <v>64</v>
      </c>
      <c r="G17" s="1" t="s">
        <v>39</v>
      </c>
      <c r="H17" s="1" t="s">
        <v>14</v>
      </c>
      <c r="I17" s="1" t="s">
        <v>68</v>
      </c>
      <c r="J17" s="1" t="s">
        <v>66</v>
      </c>
      <c r="K17" s="1" t="s">
        <v>33</v>
      </c>
      <c r="L17" s="1" t="s">
        <v>142</v>
      </c>
      <c r="M17" s="1" t="s">
        <v>302</v>
      </c>
      <c r="N17" s="1" t="s">
        <v>310</v>
      </c>
      <c r="O17" s="5">
        <v>46122</v>
      </c>
    </row>
    <row r="18" spans="1:15">
      <c r="A18" s="1">
        <v>15</v>
      </c>
      <c r="B18" s="1" t="s">
        <v>316</v>
      </c>
      <c r="C18" s="5">
        <v>46102</v>
      </c>
      <c r="D18" s="1" t="s">
        <v>44</v>
      </c>
      <c r="E18" s="6" t="s">
        <v>295</v>
      </c>
      <c r="F18" s="6" t="s">
        <v>57</v>
      </c>
      <c r="G18" s="1" t="s">
        <v>39</v>
      </c>
      <c r="H18" s="1" t="s">
        <v>95</v>
      </c>
      <c r="I18" s="1" t="s">
        <v>78</v>
      </c>
      <c r="J18" s="1" t="s">
        <v>66</v>
      </c>
      <c r="K18" s="1" t="s">
        <v>8</v>
      </c>
      <c r="L18" s="1" t="s">
        <v>151</v>
      </c>
      <c r="M18" s="1" t="s">
        <v>224</v>
      </c>
      <c r="N18" s="1" t="s">
        <v>293</v>
      </c>
      <c r="O18" s="5">
        <v>46145</v>
      </c>
    </row>
    <row r="19" spans="1:15">
      <c r="A19" s="1">
        <v>16</v>
      </c>
      <c r="B19" s="1" t="s">
        <v>317</v>
      </c>
      <c r="C19" s="5">
        <v>46083</v>
      </c>
      <c r="D19" s="1" t="s">
        <v>44</v>
      </c>
      <c r="E19" s="6" t="s">
        <v>315</v>
      </c>
      <c r="F19" s="6" t="s">
        <v>49</v>
      </c>
      <c r="G19" s="1" t="s">
        <v>89</v>
      </c>
      <c r="H19" s="1" t="s">
        <v>95</v>
      </c>
      <c r="I19" s="1" t="s">
        <v>7</v>
      </c>
      <c r="J19" s="1" t="s">
        <v>93</v>
      </c>
      <c r="K19" s="1" t="s">
        <v>55</v>
      </c>
      <c r="L19" s="1" t="s">
        <v>142</v>
      </c>
      <c r="M19" s="1" t="s">
        <v>220</v>
      </c>
      <c r="N19" s="1" t="s">
        <v>300</v>
      </c>
      <c r="O19" s="5">
        <v>46109</v>
      </c>
    </row>
    <row r="20" spans="1:15">
      <c r="A20" s="1">
        <v>17</v>
      </c>
      <c r="B20" s="1" t="s">
        <v>318</v>
      </c>
      <c r="C20" s="5">
        <v>46101</v>
      </c>
      <c r="D20" s="1" t="s">
        <v>44</v>
      </c>
      <c r="E20" s="6" t="s">
        <v>295</v>
      </c>
      <c r="F20" s="6" t="s">
        <v>49</v>
      </c>
      <c r="G20" s="1" t="s">
        <v>13</v>
      </c>
      <c r="H20" s="1" t="s">
        <v>51</v>
      </c>
      <c r="I20" s="1" t="s">
        <v>62</v>
      </c>
      <c r="J20" s="1" t="s">
        <v>66</v>
      </c>
      <c r="K20" s="1" t="s">
        <v>33</v>
      </c>
      <c r="L20" s="1" t="s">
        <v>161</v>
      </c>
      <c r="M20" s="1" t="s">
        <v>302</v>
      </c>
      <c r="N20" s="1" t="s">
        <v>310</v>
      </c>
      <c r="O20" s="5">
        <v>46123</v>
      </c>
    </row>
    <row r="21" spans="1:15">
      <c r="A21" s="1">
        <v>18</v>
      </c>
      <c r="B21" s="1" t="s">
        <v>319</v>
      </c>
      <c r="C21" s="5">
        <v>46096</v>
      </c>
      <c r="D21" s="1" t="s">
        <v>44</v>
      </c>
      <c r="E21" s="6" t="s">
        <v>295</v>
      </c>
      <c r="F21" s="6" t="s">
        <v>4</v>
      </c>
      <c r="G21" s="1" t="s">
        <v>92</v>
      </c>
      <c r="H21" s="1" t="s">
        <v>77</v>
      </c>
      <c r="I21" s="1" t="s">
        <v>66</v>
      </c>
      <c r="J21" s="1" t="s">
        <v>93</v>
      </c>
      <c r="K21" s="1" t="s">
        <v>99</v>
      </c>
      <c r="L21" s="1" t="s">
        <v>161</v>
      </c>
      <c r="M21" s="1" t="s">
        <v>224</v>
      </c>
      <c r="N21" s="1" t="s">
        <v>303</v>
      </c>
      <c r="O21" s="5">
        <v>46102</v>
      </c>
    </row>
    <row r="22" spans="1:15">
      <c r="A22" s="1">
        <v>19</v>
      </c>
      <c r="B22" s="1" t="s">
        <v>320</v>
      </c>
      <c r="C22" s="5">
        <v>46114</v>
      </c>
      <c r="D22" s="1" t="s">
        <v>53</v>
      </c>
      <c r="E22" s="6" t="s">
        <v>315</v>
      </c>
      <c r="F22" s="6" t="s">
        <v>20</v>
      </c>
      <c r="G22" s="1" t="s">
        <v>65</v>
      </c>
      <c r="H22" s="1" t="s">
        <v>51</v>
      </c>
      <c r="I22" s="1" t="s">
        <v>28</v>
      </c>
      <c r="J22" s="1" t="s">
        <v>32</v>
      </c>
      <c r="K22" s="1" t="s">
        <v>8</v>
      </c>
      <c r="L22" s="1" t="s">
        <v>161</v>
      </c>
      <c r="M22" s="1" t="s">
        <v>220</v>
      </c>
      <c r="N22" s="1" t="s">
        <v>298</v>
      </c>
      <c r="O22" s="5">
        <v>46144</v>
      </c>
    </row>
    <row r="23" spans="1:15">
      <c r="A23" s="1">
        <v>20</v>
      </c>
      <c r="B23" s="1" t="s">
        <v>321</v>
      </c>
      <c r="C23" s="5">
        <v>46132</v>
      </c>
      <c r="D23" s="1" t="s">
        <v>53</v>
      </c>
      <c r="E23" s="6" t="s">
        <v>295</v>
      </c>
      <c r="F23" s="6" t="s">
        <v>4</v>
      </c>
      <c r="G23" s="1" t="s">
        <v>13</v>
      </c>
      <c r="H23" s="1" t="s">
        <v>82</v>
      </c>
      <c r="I23" s="1" t="s">
        <v>28</v>
      </c>
      <c r="J23" s="1" t="s">
        <v>7</v>
      </c>
      <c r="K23" s="1" t="s">
        <v>47</v>
      </c>
      <c r="L23" s="1" t="s">
        <v>161</v>
      </c>
      <c r="M23" s="1" t="s">
        <v>224</v>
      </c>
      <c r="N23" s="1" t="s">
        <v>293</v>
      </c>
      <c r="O23" s="5">
        <v>46169</v>
      </c>
    </row>
    <row r="24" spans="1:15">
      <c r="A24" s="1">
        <v>21</v>
      </c>
      <c r="B24" s="1" t="s">
        <v>322</v>
      </c>
      <c r="C24" s="5">
        <v>46140</v>
      </c>
      <c r="D24" s="1" t="s">
        <v>53</v>
      </c>
      <c r="E24" s="6" t="s">
        <v>295</v>
      </c>
      <c r="F24" s="6" t="s">
        <v>38</v>
      </c>
      <c r="G24" s="1" t="s">
        <v>5</v>
      </c>
      <c r="H24" s="1" t="s">
        <v>35</v>
      </c>
      <c r="I24" s="1" t="s">
        <v>68</v>
      </c>
      <c r="J24" s="1" t="s">
        <v>7</v>
      </c>
      <c r="K24" s="1" t="s">
        <v>16</v>
      </c>
      <c r="L24" s="1" t="s">
        <v>151</v>
      </c>
      <c r="M24" s="1" t="s">
        <v>302</v>
      </c>
      <c r="N24" s="1" t="s">
        <v>298</v>
      </c>
      <c r="O24" s="5">
        <v>46149</v>
      </c>
    </row>
    <row r="25" spans="1:15">
      <c r="A25" s="1">
        <v>22</v>
      </c>
      <c r="B25" s="1" t="s">
        <v>323</v>
      </c>
      <c r="C25" s="5">
        <v>46132</v>
      </c>
      <c r="D25" s="1" t="s">
        <v>53</v>
      </c>
      <c r="E25" s="6" t="s">
        <v>305</v>
      </c>
      <c r="F25" s="6" t="s">
        <v>91</v>
      </c>
      <c r="G25" s="1" t="s">
        <v>89</v>
      </c>
      <c r="H25" s="1" t="s">
        <v>21</v>
      </c>
      <c r="I25" s="1" t="s">
        <v>41</v>
      </c>
      <c r="J25" s="1" t="s">
        <v>41</v>
      </c>
      <c r="K25" s="1" t="s">
        <v>33</v>
      </c>
      <c r="L25" s="1" t="s">
        <v>142</v>
      </c>
      <c r="M25" s="1" t="s">
        <v>220</v>
      </c>
      <c r="N25" s="1" t="s">
        <v>298</v>
      </c>
      <c r="O25" s="5">
        <v>46137</v>
      </c>
    </row>
    <row r="26" spans="1:15">
      <c r="A26" s="1">
        <v>23</v>
      </c>
      <c r="B26" s="1" t="s">
        <v>324</v>
      </c>
      <c r="C26" s="5">
        <v>46136</v>
      </c>
      <c r="D26" s="1" t="s">
        <v>53</v>
      </c>
      <c r="E26" s="6" t="s">
        <v>305</v>
      </c>
      <c r="F26" s="6" t="s">
        <v>45</v>
      </c>
      <c r="G26" s="1" t="s">
        <v>58</v>
      </c>
      <c r="H26" s="1" t="s">
        <v>87</v>
      </c>
      <c r="I26" s="1" t="s">
        <v>7</v>
      </c>
      <c r="J26" s="1" t="s">
        <v>68</v>
      </c>
      <c r="K26" s="1" t="s">
        <v>8</v>
      </c>
      <c r="L26" s="1" t="s">
        <v>142</v>
      </c>
      <c r="M26" s="1" t="s">
        <v>302</v>
      </c>
      <c r="N26" s="1" t="s">
        <v>298</v>
      </c>
      <c r="O26" s="5">
        <v>46142</v>
      </c>
    </row>
    <row r="27" spans="1:15">
      <c r="A27" s="1">
        <v>24</v>
      </c>
      <c r="B27" s="1" t="s">
        <v>325</v>
      </c>
      <c r="C27" s="5">
        <v>46162</v>
      </c>
      <c r="D27" s="1" t="s">
        <v>60</v>
      </c>
      <c r="E27" s="6" t="s">
        <v>295</v>
      </c>
      <c r="F27" s="6" t="s">
        <v>57</v>
      </c>
      <c r="G27" s="1" t="s">
        <v>65</v>
      </c>
      <c r="H27" s="1" t="s">
        <v>95</v>
      </c>
      <c r="I27" s="1" t="s">
        <v>93</v>
      </c>
      <c r="J27" s="1" t="s">
        <v>36</v>
      </c>
      <c r="K27" s="1" t="s">
        <v>16</v>
      </c>
      <c r="L27" s="1" t="s">
        <v>142</v>
      </c>
      <c r="M27" s="1" t="s">
        <v>326</v>
      </c>
      <c r="N27" s="1" t="s">
        <v>293</v>
      </c>
      <c r="O27" s="5">
        <v>46202</v>
      </c>
    </row>
    <row r="28" spans="1:15">
      <c r="A28" s="1">
        <v>25</v>
      </c>
      <c r="B28" s="1" t="s">
        <v>327</v>
      </c>
      <c r="C28" s="5">
        <v>46143</v>
      </c>
      <c r="D28" s="1" t="s">
        <v>60</v>
      </c>
      <c r="E28" s="6" t="s">
        <v>295</v>
      </c>
      <c r="F28" s="6" t="s">
        <v>91</v>
      </c>
      <c r="G28" s="1" t="s">
        <v>89</v>
      </c>
      <c r="H28" s="1" t="s">
        <v>80</v>
      </c>
      <c r="I28" s="1" t="s">
        <v>66</v>
      </c>
      <c r="J28" s="1" t="s">
        <v>78</v>
      </c>
      <c r="K28" s="1" t="s">
        <v>47</v>
      </c>
      <c r="L28" s="1" t="s">
        <v>161</v>
      </c>
      <c r="M28" s="1" t="s">
        <v>326</v>
      </c>
      <c r="N28" s="1" t="s">
        <v>298</v>
      </c>
      <c r="O28" s="5">
        <v>46179</v>
      </c>
    </row>
    <row r="29" spans="1:15">
      <c r="A29" s="1">
        <v>26</v>
      </c>
      <c r="B29" s="1" t="s">
        <v>328</v>
      </c>
      <c r="C29" s="5">
        <v>46149</v>
      </c>
      <c r="D29" s="1" t="s">
        <v>60</v>
      </c>
      <c r="E29" s="6" t="s">
        <v>292</v>
      </c>
      <c r="F29" s="6" t="s">
        <v>30</v>
      </c>
      <c r="G29" s="1" t="s">
        <v>92</v>
      </c>
      <c r="H29" s="1" t="s">
        <v>51</v>
      </c>
      <c r="I29" s="1" t="s">
        <v>36</v>
      </c>
      <c r="J29" s="1" t="s">
        <v>78</v>
      </c>
      <c r="K29" s="1" t="s">
        <v>16</v>
      </c>
      <c r="L29" s="1" t="s">
        <v>142</v>
      </c>
      <c r="M29" s="1" t="s">
        <v>220</v>
      </c>
      <c r="N29" s="1" t="s">
        <v>310</v>
      </c>
      <c r="O29" s="5">
        <v>46161</v>
      </c>
    </row>
    <row r="30" spans="1:15">
      <c r="A30" s="1">
        <v>27</v>
      </c>
      <c r="B30" s="1" t="s">
        <v>329</v>
      </c>
      <c r="C30" s="5">
        <v>46157</v>
      </c>
      <c r="D30" s="1" t="s">
        <v>60</v>
      </c>
      <c r="E30" s="6" t="s">
        <v>292</v>
      </c>
      <c r="F30" s="6" t="s">
        <v>16</v>
      </c>
      <c r="G30" s="1" t="s">
        <v>58</v>
      </c>
      <c r="H30" s="1" t="s">
        <v>51</v>
      </c>
      <c r="I30" s="1" t="s">
        <v>66</v>
      </c>
      <c r="J30" s="1" t="s">
        <v>15</v>
      </c>
      <c r="K30" s="1" t="s">
        <v>99</v>
      </c>
      <c r="L30" s="1" t="s">
        <v>161</v>
      </c>
      <c r="M30" s="1" t="s">
        <v>220</v>
      </c>
      <c r="N30" s="1" t="s">
        <v>300</v>
      </c>
      <c r="O30" s="5">
        <v>46198</v>
      </c>
    </row>
    <row r="31" spans="1:15">
      <c r="A31" s="1">
        <v>28</v>
      </c>
      <c r="B31" s="1" t="s">
        <v>330</v>
      </c>
      <c r="C31" s="5">
        <v>46191</v>
      </c>
      <c r="D31" s="1" t="s">
        <v>73</v>
      </c>
      <c r="E31" s="6" t="s">
        <v>295</v>
      </c>
      <c r="F31" s="6" t="s">
        <v>26</v>
      </c>
      <c r="G31" s="1" t="s">
        <v>5</v>
      </c>
      <c r="H31" s="1" t="s">
        <v>6</v>
      </c>
      <c r="I31" s="1" t="s">
        <v>15</v>
      </c>
      <c r="J31" s="1" t="s">
        <v>78</v>
      </c>
      <c r="K31" s="1" t="s">
        <v>8</v>
      </c>
      <c r="L31" s="1" t="s">
        <v>157</v>
      </c>
      <c r="M31" s="1" t="s">
        <v>220</v>
      </c>
      <c r="N31" s="1" t="s">
        <v>303</v>
      </c>
      <c r="O31" s="5">
        <v>46209</v>
      </c>
    </row>
    <row r="32" spans="1:15">
      <c r="A32" s="1">
        <v>29</v>
      </c>
      <c r="B32" s="1" t="s">
        <v>331</v>
      </c>
      <c r="C32" s="5">
        <v>46196</v>
      </c>
      <c r="D32" s="1" t="s">
        <v>73</v>
      </c>
      <c r="E32" s="6" t="s">
        <v>295</v>
      </c>
      <c r="F32" s="6" t="s">
        <v>20</v>
      </c>
      <c r="G32" s="1" t="s">
        <v>92</v>
      </c>
      <c r="H32" s="1" t="s">
        <v>95</v>
      </c>
      <c r="I32" s="1" t="s">
        <v>93</v>
      </c>
      <c r="J32" s="1" t="s">
        <v>15</v>
      </c>
      <c r="K32" s="1" t="s">
        <v>99</v>
      </c>
      <c r="L32" s="1" t="s">
        <v>161</v>
      </c>
      <c r="M32" s="1" t="s">
        <v>302</v>
      </c>
      <c r="N32" s="1" t="s">
        <v>310</v>
      </c>
      <c r="O32" s="5">
        <v>46219</v>
      </c>
    </row>
    <row r="33" spans="1:15">
      <c r="A33" s="1">
        <v>30</v>
      </c>
      <c r="B33" s="1" t="s">
        <v>332</v>
      </c>
      <c r="C33" s="5">
        <v>46186</v>
      </c>
      <c r="D33" s="1" t="s">
        <v>73</v>
      </c>
      <c r="E33" s="6" t="s">
        <v>315</v>
      </c>
      <c r="F33" s="6" t="s">
        <v>16</v>
      </c>
      <c r="G33" s="1" t="s">
        <v>13</v>
      </c>
      <c r="H33" s="1" t="s">
        <v>31</v>
      </c>
      <c r="I33" s="1" t="s">
        <v>70</v>
      </c>
      <c r="J33" s="1" t="s">
        <v>78</v>
      </c>
      <c r="K33" s="1" t="s">
        <v>55</v>
      </c>
      <c r="L33" s="1" t="s">
        <v>142</v>
      </c>
      <c r="M33" s="1" t="s">
        <v>220</v>
      </c>
      <c r="N33" s="1" t="s">
        <v>300</v>
      </c>
      <c r="O33" s="5">
        <v>46224</v>
      </c>
    </row>
    <row r="34" spans="1:15">
      <c r="A34" s="1">
        <v>31</v>
      </c>
      <c r="B34" s="1" t="s">
        <v>333</v>
      </c>
      <c r="C34" s="5">
        <v>46207</v>
      </c>
      <c r="D34" s="1" t="s">
        <v>76</v>
      </c>
      <c r="E34" s="6" t="s">
        <v>315</v>
      </c>
      <c r="F34" s="6" t="s">
        <v>45</v>
      </c>
      <c r="G34" s="1" t="s">
        <v>5</v>
      </c>
      <c r="H34" s="1" t="s">
        <v>95</v>
      </c>
      <c r="I34" s="1" t="s">
        <v>22</v>
      </c>
      <c r="J34" s="1" t="s">
        <v>93</v>
      </c>
      <c r="K34" s="1" t="s">
        <v>8</v>
      </c>
      <c r="L34" s="1" t="s">
        <v>142</v>
      </c>
      <c r="M34" s="1" t="s">
        <v>326</v>
      </c>
      <c r="N34" s="1" t="s">
        <v>298</v>
      </c>
      <c r="O34" s="5">
        <v>46213</v>
      </c>
    </row>
    <row r="35" spans="1:15">
      <c r="A35" s="1">
        <v>32</v>
      </c>
      <c r="B35" s="1" t="s">
        <v>334</v>
      </c>
      <c r="C35" s="5">
        <v>46222</v>
      </c>
      <c r="D35" s="1" t="s">
        <v>76</v>
      </c>
      <c r="E35" s="6" t="s">
        <v>292</v>
      </c>
      <c r="F35" s="6" t="s">
        <v>16</v>
      </c>
      <c r="G35" s="1" t="s">
        <v>5</v>
      </c>
      <c r="H35" s="1" t="s">
        <v>35</v>
      </c>
      <c r="I35" s="1" t="s">
        <v>104</v>
      </c>
      <c r="J35" s="1" t="s">
        <v>15</v>
      </c>
      <c r="K35" s="1" t="s">
        <v>16</v>
      </c>
      <c r="L35" s="1" t="s">
        <v>142</v>
      </c>
      <c r="M35" s="1" t="s">
        <v>302</v>
      </c>
      <c r="N35" s="1" t="s">
        <v>310</v>
      </c>
      <c r="O35" s="5">
        <v>46256</v>
      </c>
    </row>
    <row r="36" spans="1:15">
      <c r="A36" s="1">
        <v>33</v>
      </c>
      <c r="B36" s="1" t="s">
        <v>335</v>
      </c>
      <c r="C36" s="5">
        <v>46226</v>
      </c>
      <c r="D36" s="1" t="s">
        <v>76</v>
      </c>
      <c r="E36" s="6" t="s">
        <v>315</v>
      </c>
      <c r="F36" s="6" t="s">
        <v>49</v>
      </c>
      <c r="G36" s="1" t="s">
        <v>27</v>
      </c>
      <c r="H36" s="1" t="s">
        <v>77</v>
      </c>
      <c r="I36" s="1" t="s">
        <v>32</v>
      </c>
      <c r="J36" s="1" t="s">
        <v>22</v>
      </c>
      <c r="K36" s="1" t="s">
        <v>8</v>
      </c>
      <c r="L36" s="1" t="s">
        <v>142</v>
      </c>
      <c r="M36" s="1" t="s">
        <v>220</v>
      </c>
      <c r="N36" s="1" t="s">
        <v>293</v>
      </c>
      <c r="O36" s="5">
        <v>46243</v>
      </c>
    </row>
    <row r="37" spans="1:15">
      <c r="A37" s="1">
        <v>34</v>
      </c>
      <c r="B37" s="1" t="s">
        <v>336</v>
      </c>
      <c r="C37" s="5">
        <v>46221</v>
      </c>
      <c r="D37" s="1" t="s">
        <v>76</v>
      </c>
      <c r="E37" s="6" t="s">
        <v>305</v>
      </c>
      <c r="F37" s="6" t="s">
        <v>91</v>
      </c>
      <c r="G37" s="1" t="s">
        <v>46</v>
      </c>
      <c r="H37" s="1" t="s">
        <v>14</v>
      </c>
      <c r="I37" s="1" t="s">
        <v>68</v>
      </c>
      <c r="J37" s="1" t="s">
        <v>93</v>
      </c>
      <c r="K37" s="1" t="s">
        <v>16</v>
      </c>
      <c r="L37" s="1" t="s">
        <v>142</v>
      </c>
      <c r="M37" s="1" t="s">
        <v>220</v>
      </c>
      <c r="N37" s="1" t="s">
        <v>300</v>
      </c>
      <c r="O37" s="5">
        <v>46245</v>
      </c>
    </row>
    <row r="38" spans="1:15">
      <c r="A38" s="1">
        <v>35</v>
      </c>
      <c r="B38" s="1" t="s">
        <v>337</v>
      </c>
      <c r="C38" s="5">
        <v>46226</v>
      </c>
      <c r="D38" s="1" t="s">
        <v>76</v>
      </c>
      <c r="E38" s="6" t="s">
        <v>292</v>
      </c>
      <c r="F38" s="6" t="s">
        <v>54</v>
      </c>
      <c r="G38" s="1" t="s">
        <v>46</v>
      </c>
      <c r="H38" s="1" t="s">
        <v>14</v>
      </c>
      <c r="I38" s="1" t="s">
        <v>66</v>
      </c>
      <c r="J38" s="1" t="s">
        <v>70</v>
      </c>
      <c r="K38" s="1" t="s">
        <v>99</v>
      </c>
      <c r="L38" s="1" t="s">
        <v>151</v>
      </c>
      <c r="M38" s="1" t="s">
        <v>220</v>
      </c>
      <c r="N38" s="1" t="s">
        <v>310</v>
      </c>
      <c r="O38" s="5">
        <v>46249</v>
      </c>
    </row>
    <row r="39" spans="1:15">
      <c r="A39" s="1">
        <v>36</v>
      </c>
      <c r="B39" s="1" t="s">
        <v>338</v>
      </c>
      <c r="C39" s="5">
        <v>46277</v>
      </c>
      <c r="D39" s="1" t="s">
        <v>102</v>
      </c>
      <c r="E39" s="6" t="s">
        <v>295</v>
      </c>
      <c r="F39" s="6" t="s">
        <v>91</v>
      </c>
      <c r="G39" s="1" t="s">
        <v>50</v>
      </c>
      <c r="H39" s="1" t="s">
        <v>87</v>
      </c>
      <c r="I39" s="1" t="s">
        <v>66</v>
      </c>
      <c r="J39" s="1" t="s">
        <v>66</v>
      </c>
      <c r="K39" s="1" t="s">
        <v>47</v>
      </c>
      <c r="L39" s="1" t="s">
        <v>142</v>
      </c>
      <c r="M39" s="1" t="s">
        <v>326</v>
      </c>
      <c r="N39" s="1" t="s">
        <v>300</v>
      </c>
      <c r="O39" s="5">
        <v>46307</v>
      </c>
    </row>
    <row r="40" spans="1:15">
      <c r="A40" s="1">
        <v>37</v>
      </c>
      <c r="B40" s="1" t="s">
        <v>339</v>
      </c>
      <c r="C40" s="5">
        <v>46280</v>
      </c>
      <c r="D40" s="1" t="s">
        <v>102</v>
      </c>
      <c r="E40" s="6" t="s">
        <v>305</v>
      </c>
      <c r="F40" s="6" t="s">
        <v>57</v>
      </c>
      <c r="G40" s="1" t="s">
        <v>46</v>
      </c>
      <c r="H40" s="1" t="s">
        <v>35</v>
      </c>
      <c r="I40" s="1" t="s">
        <v>7</v>
      </c>
      <c r="J40" s="1" t="s">
        <v>41</v>
      </c>
      <c r="K40" s="1" t="s">
        <v>99</v>
      </c>
      <c r="L40" s="1" t="s">
        <v>161</v>
      </c>
      <c r="M40" s="1" t="s">
        <v>220</v>
      </c>
      <c r="N40" s="1" t="s">
        <v>298</v>
      </c>
      <c r="O40" s="5">
        <v>46318</v>
      </c>
    </row>
    <row r="41" spans="1:15">
      <c r="A41" s="1">
        <v>38</v>
      </c>
      <c r="B41" s="1" t="s">
        <v>340</v>
      </c>
      <c r="C41" s="5">
        <v>46299</v>
      </c>
      <c r="D41" s="1" t="s">
        <v>106</v>
      </c>
      <c r="E41" s="6" t="s">
        <v>297</v>
      </c>
      <c r="F41" s="6" t="s">
        <v>4</v>
      </c>
      <c r="G41" s="1" t="s">
        <v>46</v>
      </c>
      <c r="H41" s="1" t="s">
        <v>14</v>
      </c>
      <c r="I41" s="1" t="s">
        <v>66</v>
      </c>
      <c r="J41" s="1" t="s">
        <v>28</v>
      </c>
      <c r="K41" s="1" t="s">
        <v>47</v>
      </c>
      <c r="L41" s="1" t="s">
        <v>161</v>
      </c>
      <c r="M41" s="1" t="s">
        <v>220</v>
      </c>
      <c r="N41" s="1" t="s">
        <v>298</v>
      </c>
      <c r="O41" s="5">
        <v>46306</v>
      </c>
    </row>
    <row r="42" spans="1:15">
      <c r="A42" s="1">
        <v>39</v>
      </c>
      <c r="B42" s="1" t="s">
        <v>341</v>
      </c>
      <c r="C42" s="5">
        <v>46323</v>
      </c>
      <c r="D42" s="1" t="s">
        <v>106</v>
      </c>
      <c r="E42" s="6" t="s">
        <v>305</v>
      </c>
      <c r="F42" s="6" t="s">
        <v>26</v>
      </c>
      <c r="G42" s="1" t="s">
        <v>46</v>
      </c>
      <c r="H42" s="1" t="s">
        <v>31</v>
      </c>
      <c r="I42" s="1" t="s">
        <v>68</v>
      </c>
      <c r="J42" s="1" t="s">
        <v>28</v>
      </c>
      <c r="K42" s="1" t="s">
        <v>8</v>
      </c>
      <c r="L42" s="1" t="s">
        <v>161</v>
      </c>
      <c r="M42" s="1" t="s">
        <v>224</v>
      </c>
      <c r="N42" s="1" t="s">
        <v>300</v>
      </c>
      <c r="O42" s="5">
        <v>46338</v>
      </c>
    </row>
    <row r="43" spans="1:15">
      <c r="A43" s="1">
        <v>40</v>
      </c>
      <c r="B43" s="1" t="s">
        <v>342</v>
      </c>
      <c r="C43" s="5">
        <v>46306</v>
      </c>
      <c r="D43" s="1" t="s">
        <v>106</v>
      </c>
      <c r="E43" s="6" t="s">
        <v>295</v>
      </c>
      <c r="F43" s="6" t="s">
        <v>49</v>
      </c>
      <c r="G43" s="1" t="s">
        <v>89</v>
      </c>
      <c r="H43" s="1" t="s">
        <v>51</v>
      </c>
      <c r="I43" s="1" t="s">
        <v>36</v>
      </c>
      <c r="J43" s="1" t="s">
        <v>68</v>
      </c>
      <c r="K43" s="1" t="s">
        <v>16</v>
      </c>
      <c r="L43" s="1" t="s">
        <v>161</v>
      </c>
      <c r="M43" s="1" t="s">
        <v>302</v>
      </c>
      <c r="N43" s="1" t="s">
        <v>293</v>
      </c>
      <c r="O43" s="5">
        <v>46315</v>
      </c>
    </row>
    <row r="44" spans="1:15">
      <c r="A44" s="1">
        <v>41</v>
      </c>
      <c r="B44" s="1" t="s">
        <v>343</v>
      </c>
      <c r="C44" s="5">
        <v>46309</v>
      </c>
      <c r="D44" s="1" t="s">
        <v>106</v>
      </c>
      <c r="E44" s="6" t="s">
        <v>305</v>
      </c>
      <c r="F44" s="6" t="s">
        <v>57</v>
      </c>
      <c r="G44" s="1" t="s">
        <v>27</v>
      </c>
      <c r="H44" s="1" t="s">
        <v>35</v>
      </c>
      <c r="I44" s="1" t="s">
        <v>104</v>
      </c>
      <c r="J44" s="1" t="s">
        <v>104</v>
      </c>
      <c r="K44" s="1" t="s">
        <v>47</v>
      </c>
      <c r="L44" s="1" t="s">
        <v>142</v>
      </c>
      <c r="M44" s="1" t="s">
        <v>326</v>
      </c>
      <c r="N44" s="1" t="s">
        <v>300</v>
      </c>
      <c r="O44" s="5">
        <v>46324</v>
      </c>
    </row>
    <row r="45" spans="1:15">
      <c r="A45" s="1">
        <v>42</v>
      </c>
      <c r="B45" s="1" t="s">
        <v>344</v>
      </c>
      <c r="C45" s="5">
        <v>46339</v>
      </c>
      <c r="D45" s="1" t="s">
        <v>111</v>
      </c>
      <c r="E45" s="6" t="s">
        <v>292</v>
      </c>
      <c r="F45" s="6" t="s">
        <v>12</v>
      </c>
      <c r="G45" s="1" t="s">
        <v>46</v>
      </c>
      <c r="H45" s="1" t="s">
        <v>80</v>
      </c>
      <c r="I45" s="1" t="s">
        <v>62</v>
      </c>
      <c r="J45" s="1" t="s">
        <v>41</v>
      </c>
      <c r="K45" s="1" t="s">
        <v>33</v>
      </c>
      <c r="L45" s="1" t="s">
        <v>142</v>
      </c>
      <c r="M45" s="1" t="s">
        <v>326</v>
      </c>
      <c r="N45" s="1" t="s">
        <v>310</v>
      </c>
      <c r="O45" s="5">
        <v>46365</v>
      </c>
    </row>
    <row r="46" spans="1:15">
      <c r="A46" s="1">
        <v>43</v>
      </c>
      <c r="B46" s="1" t="s">
        <v>345</v>
      </c>
      <c r="C46" s="5">
        <v>46349</v>
      </c>
      <c r="D46" s="1" t="s">
        <v>111</v>
      </c>
      <c r="E46" s="6" t="s">
        <v>295</v>
      </c>
      <c r="F46" s="6" t="s">
        <v>91</v>
      </c>
      <c r="G46" s="1" t="s">
        <v>5</v>
      </c>
      <c r="H46" s="1" t="s">
        <v>21</v>
      </c>
      <c r="I46" s="1" t="s">
        <v>70</v>
      </c>
      <c r="J46" s="1" t="s">
        <v>62</v>
      </c>
      <c r="K46" s="1" t="s">
        <v>8</v>
      </c>
      <c r="L46" s="1" t="s">
        <v>142</v>
      </c>
      <c r="M46" s="1" t="s">
        <v>224</v>
      </c>
      <c r="N46" s="1" t="s">
        <v>293</v>
      </c>
      <c r="O46" s="5">
        <v>46373</v>
      </c>
    </row>
    <row r="47" spans="1:15">
      <c r="A47" s="1">
        <v>44</v>
      </c>
      <c r="B47" s="1" t="s">
        <v>346</v>
      </c>
      <c r="C47" s="5">
        <v>46342</v>
      </c>
      <c r="D47" s="1" t="s">
        <v>111</v>
      </c>
      <c r="E47" s="6" t="s">
        <v>295</v>
      </c>
      <c r="F47" s="6" t="s">
        <v>64</v>
      </c>
      <c r="G47" s="1" t="s">
        <v>65</v>
      </c>
      <c r="H47" s="1" t="s">
        <v>51</v>
      </c>
      <c r="I47" s="1" t="s">
        <v>78</v>
      </c>
      <c r="J47" s="1" t="s">
        <v>78</v>
      </c>
      <c r="K47" s="1" t="s">
        <v>33</v>
      </c>
      <c r="L47" s="1" t="s">
        <v>142</v>
      </c>
      <c r="M47" s="1" t="s">
        <v>326</v>
      </c>
      <c r="N47" s="1" t="s">
        <v>298</v>
      </c>
      <c r="O47" s="5">
        <v>46352</v>
      </c>
    </row>
    <row r="48" spans="1:15">
      <c r="A48" s="1">
        <v>45</v>
      </c>
      <c r="B48" s="1" t="s">
        <v>347</v>
      </c>
      <c r="C48" s="5">
        <v>46331</v>
      </c>
      <c r="D48" s="1" t="s">
        <v>111</v>
      </c>
      <c r="E48" s="6" t="s">
        <v>305</v>
      </c>
      <c r="F48" s="6" t="s">
        <v>61</v>
      </c>
      <c r="G48" s="1" t="s">
        <v>58</v>
      </c>
      <c r="H48" s="1" t="s">
        <v>95</v>
      </c>
      <c r="I48" s="1" t="s">
        <v>7</v>
      </c>
      <c r="J48" s="1" t="s">
        <v>28</v>
      </c>
      <c r="K48" s="1" t="s">
        <v>99</v>
      </c>
      <c r="L48" s="1" t="s">
        <v>151</v>
      </c>
      <c r="M48" s="1" t="s">
        <v>220</v>
      </c>
      <c r="N48" s="1" t="s">
        <v>303</v>
      </c>
      <c r="O48" s="5">
        <v>46367</v>
      </c>
    </row>
    <row r="49" spans="1:15">
      <c r="A49" s="1">
        <v>46</v>
      </c>
      <c r="B49" s="1" t="s">
        <v>348</v>
      </c>
      <c r="C49" s="5">
        <v>46379</v>
      </c>
      <c r="D49" s="1" t="s">
        <v>122</v>
      </c>
      <c r="E49" s="6" t="s">
        <v>295</v>
      </c>
      <c r="F49" s="6" t="s">
        <v>64</v>
      </c>
      <c r="G49" s="1" t="s">
        <v>46</v>
      </c>
      <c r="H49" s="1" t="s">
        <v>77</v>
      </c>
      <c r="I49" s="1" t="s">
        <v>66</v>
      </c>
      <c r="J49" s="1" t="s">
        <v>68</v>
      </c>
      <c r="K49" s="1" t="s">
        <v>99</v>
      </c>
      <c r="L49" s="1" t="s">
        <v>151</v>
      </c>
      <c r="M49" s="1" t="s">
        <v>224</v>
      </c>
      <c r="N49" s="1" t="s">
        <v>293</v>
      </c>
      <c r="O49" s="5">
        <v>46410</v>
      </c>
    </row>
    <row r="50" spans="1:15">
      <c r="A50" s="1">
        <v>47</v>
      </c>
      <c r="B50" s="1" t="s">
        <v>349</v>
      </c>
      <c r="C50" s="5">
        <v>46360</v>
      </c>
      <c r="D50" s="1" t="s">
        <v>122</v>
      </c>
      <c r="E50" s="6" t="s">
        <v>295</v>
      </c>
      <c r="F50" s="6" t="s">
        <v>4</v>
      </c>
      <c r="G50" s="1" t="s">
        <v>39</v>
      </c>
      <c r="H50" s="1" t="s">
        <v>35</v>
      </c>
      <c r="I50" s="1" t="s">
        <v>68</v>
      </c>
      <c r="J50" s="1" t="s">
        <v>68</v>
      </c>
      <c r="K50" s="1" t="s">
        <v>8</v>
      </c>
      <c r="L50" s="1" t="s">
        <v>161</v>
      </c>
      <c r="M50" s="1" t="s">
        <v>224</v>
      </c>
      <c r="N50" s="1" t="s">
        <v>310</v>
      </c>
      <c r="O50" s="5">
        <v>46396</v>
      </c>
    </row>
    <row r="51" spans="1:15">
      <c r="A51" s="1">
        <v>48</v>
      </c>
      <c r="B51" s="1" t="s">
        <v>350</v>
      </c>
      <c r="C51" s="5">
        <v>46367</v>
      </c>
      <c r="D51" s="1" t="s">
        <v>122</v>
      </c>
      <c r="E51" s="6" t="s">
        <v>315</v>
      </c>
      <c r="F51" s="6" t="s">
        <v>57</v>
      </c>
      <c r="G51" s="1" t="s">
        <v>65</v>
      </c>
      <c r="H51" s="1" t="s">
        <v>95</v>
      </c>
      <c r="I51" s="1" t="s">
        <v>68</v>
      </c>
      <c r="J51" s="1" t="s">
        <v>28</v>
      </c>
      <c r="K51" s="1" t="s">
        <v>16</v>
      </c>
      <c r="L51" s="1" t="s">
        <v>142</v>
      </c>
      <c r="M51" s="1" t="s">
        <v>326</v>
      </c>
      <c r="N51" s="1" t="s">
        <v>310</v>
      </c>
      <c r="O51" s="5">
        <v>46411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359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408</v>
      </c>
      <c r="F3" s="1" t="s">
        <v>129</v>
      </c>
      <c r="G3" s="1" t="s">
        <v>130</v>
      </c>
      <c r="H3" s="1" t="s">
        <v>409</v>
      </c>
      <c r="I3" s="1" t="s">
        <v>410</v>
      </c>
      <c r="J3" s="1" t="s">
        <v>411</v>
      </c>
      <c r="K3" s="1" t="s">
        <v>412</v>
      </c>
      <c r="L3" s="1" t="s">
        <v>413</v>
      </c>
      <c r="M3" s="1" t="s">
        <v>286</v>
      </c>
      <c r="N3" s="1" t="s">
        <v>414</v>
      </c>
      <c r="O3" s="1" t="s">
        <v>358</v>
      </c>
    </row>
    <row r="4" spans="1:17">
      <c r="A4" s="1">
        <v>1</v>
      </c>
      <c r="B4" s="1" t="s">
        <v>360</v>
      </c>
      <c r="C4" s="5">
        <v>46028</v>
      </c>
      <c r="D4" s="1" t="s">
        <v>3</v>
      </c>
      <c r="E4" s="6" t="s">
        <v>80</v>
      </c>
      <c r="F4" s="6" t="s">
        <v>13</v>
      </c>
      <c r="G4" s="1" t="s">
        <v>6</v>
      </c>
      <c r="H4" s="1" t="s">
        <v>41</v>
      </c>
      <c r="I4" s="1">
        <v>23</v>
      </c>
      <c r="J4" s="1">
        <v>5</v>
      </c>
      <c r="K4" s="1">
        <v>8</v>
      </c>
      <c r="L4" s="1" t="s">
        <v>10</v>
      </c>
      <c r="M4" s="1" t="s">
        <v>302</v>
      </c>
      <c r="N4" s="1" t="s">
        <v>64</v>
      </c>
      <c r="O4" s="5">
        <v>46056</v>
      </c>
    </row>
    <row r="5" spans="1:17">
      <c r="A5" s="1">
        <v>2</v>
      </c>
      <c r="B5" s="1" t="s">
        <v>361</v>
      </c>
      <c r="C5" s="5">
        <v>46070</v>
      </c>
      <c r="D5" s="1" t="s">
        <v>19</v>
      </c>
      <c r="E5" s="6" t="s">
        <v>77</v>
      </c>
      <c r="F5" s="6" t="s">
        <v>50</v>
      </c>
      <c r="G5" s="1" t="s">
        <v>82</v>
      </c>
      <c r="H5" s="1" t="s">
        <v>15</v>
      </c>
      <c r="I5" s="1">
        <v>31</v>
      </c>
      <c r="J5" s="1">
        <v>0</v>
      </c>
      <c r="K5" s="1">
        <v>6</v>
      </c>
      <c r="L5" s="1" t="s">
        <v>24</v>
      </c>
      <c r="M5" s="1" t="s">
        <v>224</v>
      </c>
      <c r="N5" s="1" t="s">
        <v>16</v>
      </c>
      <c r="O5" s="5">
        <v>46089</v>
      </c>
    </row>
    <row r="6" spans="1:17">
      <c r="A6" s="1">
        <v>3</v>
      </c>
      <c r="B6" s="1" t="s">
        <v>362</v>
      </c>
      <c r="C6" s="5">
        <v>46062</v>
      </c>
      <c r="D6" s="1" t="s">
        <v>19</v>
      </c>
      <c r="E6" s="6" t="s">
        <v>14</v>
      </c>
      <c r="F6" s="6" t="s">
        <v>89</v>
      </c>
      <c r="G6" s="1" t="s">
        <v>21</v>
      </c>
      <c r="H6" s="1" t="s">
        <v>22</v>
      </c>
      <c r="I6" s="1">
        <v>38</v>
      </c>
      <c r="J6" s="1">
        <v>4</v>
      </c>
      <c r="K6" s="1">
        <v>6</v>
      </c>
      <c r="L6" s="1" t="s">
        <v>10</v>
      </c>
      <c r="M6" s="1" t="s">
        <v>224</v>
      </c>
      <c r="N6" s="1" t="s">
        <v>38</v>
      </c>
      <c r="O6" s="5">
        <v>46095</v>
      </c>
    </row>
    <row r="7" spans="1:17">
      <c r="A7" s="1">
        <v>4</v>
      </c>
      <c r="B7" s="1" t="s">
        <v>363</v>
      </c>
      <c r="C7" s="5">
        <v>46063</v>
      </c>
      <c r="D7" s="1" t="s">
        <v>19</v>
      </c>
      <c r="E7" s="6" t="s">
        <v>82</v>
      </c>
      <c r="F7" s="6" t="s">
        <v>89</v>
      </c>
      <c r="G7" s="1" t="s">
        <v>31</v>
      </c>
      <c r="H7" s="1" t="s">
        <v>93</v>
      </c>
      <c r="I7" s="1">
        <v>20</v>
      </c>
      <c r="J7" s="1">
        <v>8</v>
      </c>
      <c r="K7" s="1">
        <v>3</v>
      </c>
      <c r="L7" s="1" t="s">
        <v>24</v>
      </c>
      <c r="M7" s="1" t="s">
        <v>220</v>
      </c>
      <c r="N7" s="1" t="s">
        <v>57</v>
      </c>
      <c r="O7" s="5">
        <v>46107</v>
      </c>
    </row>
    <row r="8" spans="1:17">
      <c r="A8" s="1">
        <v>5</v>
      </c>
      <c r="B8" s="1" t="s">
        <v>364</v>
      </c>
      <c r="C8" s="5">
        <v>46058</v>
      </c>
      <c r="D8" s="1" t="s">
        <v>19</v>
      </c>
      <c r="E8" s="6" t="s">
        <v>35</v>
      </c>
      <c r="F8" s="6" t="s">
        <v>5</v>
      </c>
      <c r="G8" s="1" t="s">
        <v>95</v>
      </c>
      <c r="H8" s="1" t="s">
        <v>7</v>
      </c>
      <c r="I8" s="1">
        <v>34</v>
      </c>
      <c r="J8" s="1">
        <v>2</v>
      </c>
      <c r="K8" s="1">
        <v>6</v>
      </c>
      <c r="L8" s="1" t="s">
        <v>17</v>
      </c>
      <c r="M8" s="1" t="s">
        <v>302</v>
      </c>
      <c r="N8" s="1" t="s">
        <v>45</v>
      </c>
      <c r="O8" s="5">
        <v>46087</v>
      </c>
    </row>
    <row r="9" spans="1:17">
      <c r="A9" s="1">
        <v>6</v>
      </c>
      <c r="B9" s="1" t="s">
        <v>365</v>
      </c>
      <c r="C9" s="5">
        <v>46073</v>
      </c>
      <c r="D9" s="1" t="s">
        <v>19</v>
      </c>
      <c r="E9" s="6" t="s">
        <v>31</v>
      </c>
      <c r="F9" s="6" t="s">
        <v>58</v>
      </c>
      <c r="G9" s="1" t="s">
        <v>35</v>
      </c>
      <c r="H9" s="1" t="s">
        <v>22</v>
      </c>
      <c r="I9" s="1">
        <v>38</v>
      </c>
      <c r="J9" s="1">
        <v>3</v>
      </c>
      <c r="K9" s="1">
        <v>2</v>
      </c>
      <c r="L9" s="1" t="s">
        <v>24</v>
      </c>
      <c r="M9" s="1" t="s">
        <v>302</v>
      </c>
      <c r="N9" s="1" t="s">
        <v>20</v>
      </c>
      <c r="O9" s="5">
        <v>46083</v>
      </c>
    </row>
    <row r="10" spans="1:17">
      <c r="A10" s="1">
        <v>7</v>
      </c>
      <c r="B10" s="1" t="s">
        <v>366</v>
      </c>
      <c r="C10" s="5">
        <v>46101</v>
      </c>
      <c r="D10" s="1" t="s">
        <v>44</v>
      </c>
      <c r="E10" s="6" t="s">
        <v>82</v>
      </c>
      <c r="F10" s="6" t="s">
        <v>27</v>
      </c>
      <c r="G10" s="1" t="s">
        <v>31</v>
      </c>
      <c r="H10" s="1" t="s">
        <v>28</v>
      </c>
      <c r="I10" s="1">
        <v>36</v>
      </c>
      <c r="J10" s="1">
        <v>0</v>
      </c>
      <c r="K10" s="1">
        <v>5</v>
      </c>
      <c r="L10" s="1" t="s">
        <v>24</v>
      </c>
      <c r="M10" s="1" t="s">
        <v>220</v>
      </c>
      <c r="N10" s="1" t="s">
        <v>26</v>
      </c>
      <c r="O10" s="5">
        <v>46137</v>
      </c>
    </row>
    <row r="11" spans="1:17">
      <c r="A11" s="1">
        <v>8</v>
      </c>
      <c r="B11" s="1" t="s">
        <v>367</v>
      </c>
      <c r="C11" s="5">
        <v>46094</v>
      </c>
      <c r="D11" s="1" t="s">
        <v>44</v>
      </c>
      <c r="E11" s="6" t="s">
        <v>31</v>
      </c>
      <c r="F11" s="6" t="s">
        <v>58</v>
      </c>
      <c r="G11" s="1" t="s">
        <v>6</v>
      </c>
      <c r="H11" s="1" t="s">
        <v>104</v>
      </c>
      <c r="I11" s="1">
        <v>37</v>
      </c>
      <c r="J11" s="1">
        <v>0</v>
      </c>
      <c r="K11" s="1">
        <v>2</v>
      </c>
      <c r="L11" s="1" t="s">
        <v>96</v>
      </c>
      <c r="M11" s="1" t="s">
        <v>302</v>
      </c>
      <c r="N11" s="1" t="s">
        <v>91</v>
      </c>
      <c r="O11" s="5">
        <v>46122</v>
      </c>
    </row>
    <row r="12" spans="1:17">
      <c r="A12" s="1">
        <v>9</v>
      </c>
      <c r="B12" s="1" t="s">
        <v>368</v>
      </c>
      <c r="C12" s="5">
        <v>46099</v>
      </c>
      <c r="D12" s="1" t="s">
        <v>44</v>
      </c>
      <c r="E12" s="6" t="s">
        <v>31</v>
      </c>
      <c r="F12" s="6" t="s">
        <v>50</v>
      </c>
      <c r="G12" s="1" t="s">
        <v>35</v>
      </c>
      <c r="H12" s="1" t="s">
        <v>93</v>
      </c>
      <c r="I12" s="1">
        <v>34</v>
      </c>
      <c r="J12" s="1">
        <v>6</v>
      </c>
      <c r="K12" s="1">
        <v>0</v>
      </c>
      <c r="L12" s="1" t="s">
        <v>17</v>
      </c>
      <c r="M12" s="1" t="s">
        <v>220</v>
      </c>
      <c r="N12" s="1" t="s">
        <v>26</v>
      </c>
      <c r="O12" s="5">
        <v>46144</v>
      </c>
    </row>
    <row r="13" spans="1:17">
      <c r="A13" s="1">
        <v>10</v>
      </c>
      <c r="B13" s="1" t="s">
        <v>369</v>
      </c>
      <c r="C13" s="5">
        <v>46094</v>
      </c>
      <c r="D13" s="1" t="s">
        <v>44</v>
      </c>
      <c r="E13" s="6" t="s">
        <v>80</v>
      </c>
      <c r="F13" s="6" t="s">
        <v>5</v>
      </c>
      <c r="G13" s="1" t="s">
        <v>14</v>
      </c>
      <c r="H13" s="1" t="s">
        <v>68</v>
      </c>
      <c r="I13" s="1">
        <v>17</v>
      </c>
      <c r="J13" s="1">
        <v>8</v>
      </c>
      <c r="K13" s="1">
        <v>8</v>
      </c>
      <c r="L13" s="1" t="s">
        <v>42</v>
      </c>
      <c r="M13" s="1" t="s">
        <v>220</v>
      </c>
      <c r="N13" s="1" t="s">
        <v>20</v>
      </c>
      <c r="O13" s="5">
        <v>46116</v>
      </c>
    </row>
    <row r="14" spans="1:17">
      <c r="A14" s="1">
        <v>11</v>
      </c>
      <c r="B14" s="1" t="s">
        <v>370</v>
      </c>
      <c r="C14" s="5">
        <v>46097</v>
      </c>
      <c r="D14" s="1" t="s">
        <v>44</v>
      </c>
      <c r="E14" s="6" t="s">
        <v>82</v>
      </c>
      <c r="F14" s="6" t="s">
        <v>65</v>
      </c>
      <c r="G14" s="1" t="s">
        <v>40</v>
      </c>
      <c r="H14" s="1" t="s">
        <v>15</v>
      </c>
      <c r="I14" s="1">
        <v>50</v>
      </c>
      <c r="J14" s="1">
        <v>0</v>
      </c>
      <c r="K14" s="1">
        <v>4</v>
      </c>
      <c r="L14" s="1" t="s">
        <v>42</v>
      </c>
      <c r="M14" s="1" t="s">
        <v>220</v>
      </c>
      <c r="N14" s="1" t="s">
        <v>57</v>
      </c>
      <c r="O14" s="5">
        <v>46108</v>
      </c>
    </row>
    <row r="15" spans="1:17">
      <c r="A15" s="1">
        <v>12</v>
      </c>
      <c r="B15" s="1" t="s">
        <v>371</v>
      </c>
      <c r="C15" s="5">
        <v>46115</v>
      </c>
      <c r="D15" s="1" t="s">
        <v>53</v>
      </c>
      <c r="E15" s="6" t="s">
        <v>80</v>
      </c>
      <c r="F15" s="6" t="s">
        <v>39</v>
      </c>
      <c r="G15" s="1" t="s">
        <v>31</v>
      </c>
      <c r="H15" s="1" t="s">
        <v>66</v>
      </c>
      <c r="I15" s="1">
        <v>50</v>
      </c>
      <c r="J15" s="1">
        <v>7</v>
      </c>
      <c r="K15" s="1">
        <v>7</v>
      </c>
      <c r="L15" s="1" t="s">
        <v>10</v>
      </c>
      <c r="M15" s="1" t="s">
        <v>220</v>
      </c>
      <c r="N15" s="1" t="s">
        <v>38</v>
      </c>
      <c r="O15" s="5">
        <v>46148</v>
      </c>
    </row>
    <row r="16" spans="1:17">
      <c r="A16" s="1">
        <v>13</v>
      </c>
      <c r="B16" s="1" t="s">
        <v>372</v>
      </c>
      <c r="C16" s="5">
        <v>46113</v>
      </c>
      <c r="D16" s="1" t="s">
        <v>53</v>
      </c>
      <c r="E16" s="6" t="s">
        <v>14</v>
      </c>
      <c r="F16" s="6" t="s">
        <v>5</v>
      </c>
      <c r="G16" s="1" t="s">
        <v>35</v>
      </c>
      <c r="H16" s="1" t="s">
        <v>68</v>
      </c>
      <c r="I16" s="1">
        <v>15</v>
      </c>
      <c r="J16" s="1">
        <v>6</v>
      </c>
      <c r="K16" s="1">
        <v>1</v>
      </c>
      <c r="L16" s="1" t="s">
        <v>24</v>
      </c>
      <c r="M16" s="1" t="s">
        <v>220</v>
      </c>
      <c r="N16" s="1" t="s">
        <v>30</v>
      </c>
      <c r="O16" s="5">
        <v>46146</v>
      </c>
    </row>
    <row r="17" spans="1:15">
      <c r="A17" s="1">
        <v>14</v>
      </c>
      <c r="B17" s="1" t="s">
        <v>373</v>
      </c>
      <c r="C17" s="5">
        <v>46148</v>
      </c>
      <c r="D17" s="1" t="s">
        <v>60</v>
      </c>
      <c r="E17" s="6" t="s">
        <v>51</v>
      </c>
      <c r="F17" s="6" t="s">
        <v>89</v>
      </c>
      <c r="G17" s="1" t="s">
        <v>21</v>
      </c>
      <c r="H17" s="1" t="s">
        <v>104</v>
      </c>
      <c r="I17" s="1">
        <v>28</v>
      </c>
      <c r="J17" s="1">
        <v>6</v>
      </c>
      <c r="K17" s="1">
        <v>7</v>
      </c>
      <c r="L17" s="1" t="s">
        <v>24</v>
      </c>
      <c r="M17" s="1" t="s">
        <v>220</v>
      </c>
      <c r="N17" s="1" t="s">
        <v>45</v>
      </c>
      <c r="O17" s="5">
        <v>46179</v>
      </c>
    </row>
    <row r="18" spans="1:15">
      <c r="A18" s="1">
        <v>15</v>
      </c>
      <c r="B18" s="1" t="s">
        <v>374</v>
      </c>
      <c r="C18" s="5">
        <v>46151</v>
      </c>
      <c r="D18" s="1" t="s">
        <v>60</v>
      </c>
      <c r="E18" s="6" t="s">
        <v>80</v>
      </c>
      <c r="F18" s="6" t="s">
        <v>27</v>
      </c>
      <c r="G18" s="1" t="s">
        <v>82</v>
      </c>
      <c r="H18" s="1" t="s">
        <v>22</v>
      </c>
      <c r="I18" s="1">
        <v>17</v>
      </c>
      <c r="J18" s="1">
        <v>6</v>
      </c>
      <c r="K18" s="1">
        <v>4</v>
      </c>
      <c r="L18" s="1" t="s">
        <v>42</v>
      </c>
      <c r="M18" s="1" t="s">
        <v>224</v>
      </c>
      <c r="N18" s="1" t="s">
        <v>57</v>
      </c>
      <c r="O18" s="5">
        <v>46169</v>
      </c>
    </row>
    <row r="19" spans="1:15">
      <c r="A19" s="1">
        <v>16</v>
      </c>
      <c r="B19" s="1" t="s">
        <v>375</v>
      </c>
      <c r="C19" s="5">
        <v>46189</v>
      </c>
      <c r="D19" s="1" t="s">
        <v>73</v>
      </c>
      <c r="E19" s="6" t="s">
        <v>35</v>
      </c>
      <c r="F19" s="6" t="s">
        <v>5</v>
      </c>
      <c r="G19" s="1" t="s">
        <v>21</v>
      </c>
      <c r="H19" s="1" t="s">
        <v>104</v>
      </c>
      <c r="I19" s="1">
        <v>23</v>
      </c>
      <c r="J19" s="1">
        <v>1</v>
      </c>
      <c r="K19" s="1">
        <v>0</v>
      </c>
      <c r="L19" s="1" t="s">
        <v>42</v>
      </c>
      <c r="M19" s="1" t="s">
        <v>220</v>
      </c>
      <c r="N19" s="1" t="s">
        <v>61</v>
      </c>
      <c r="O19" s="5">
        <v>46196</v>
      </c>
    </row>
    <row r="20" spans="1:15">
      <c r="A20" s="1">
        <v>17</v>
      </c>
      <c r="B20" s="1" t="s">
        <v>376</v>
      </c>
      <c r="C20" s="5">
        <v>46174</v>
      </c>
      <c r="D20" s="1" t="s">
        <v>73</v>
      </c>
      <c r="E20" s="6" t="s">
        <v>14</v>
      </c>
      <c r="F20" s="6" t="s">
        <v>50</v>
      </c>
      <c r="G20" s="1" t="s">
        <v>35</v>
      </c>
      <c r="H20" s="1" t="s">
        <v>36</v>
      </c>
      <c r="I20" s="1">
        <v>25</v>
      </c>
      <c r="J20" s="1">
        <v>6</v>
      </c>
      <c r="K20" s="1">
        <v>6</v>
      </c>
      <c r="L20" s="1" t="s">
        <v>24</v>
      </c>
      <c r="M20" s="1" t="s">
        <v>224</v>
      </c>
      <c r="N20" s="1" t="s">
        <v>45</v>
      </c>
      <c r="O20" s="5">
        <v>46198</v>
      </c>
    </row>
    <row r="21" spans="1:15">
      <c r="A21" s="1">
        <v>18</v>
      </c>
      <c r="B21" s="1" t="s">
        <v>377</v>
      </c>
      <c r="C21" s="5">
        <v>46186</v>
      </c>
      <c r="D21" s="1" t="s">
        <v>73</v>
      </c>
      <c r="E21" s="6" t="s">
        <v>6</v>
      </c>
      <c r="F21" s="6" t="s">
        <v>46</v>
      </c>
      <c r="G21" s="1" t="s">
        <v>77</v>
      </c>
      <c r="H21" s="1" t="s">
        <v>28</v>
      </c>
      <c r="I21" s="1">
        <v>24</v>
      </c>
      <c r="J21" s="1">
        <v>4</v>
      </c>
      <c r="K21" s="1">
        <v>6</v>
      </c>
      <c r="L21" s="1" t="s">
        <v>96</v>
      </c>
      <c r="M21" s="1" t="s">
        <v>220</v>
      </c>
      <c r="N21" s="1" t="s">
        <v>49</v>
      </c>
      <c r="O21" s="5">
        <v>46200</v>
      </c>
    </row>
    <row r="22" spans="1:15">
      <c r="A22" s="1">
        <v>19</v>
      </c>
      <c r="B22" s="1" t="s">
        <v>378</v>
      </c>
      <c r="C22" s="5">
        <v>46198</v>
      </c>
      <c r="D22" s="1" t="s">
        <v>73</v>
      </c>
      <c r="E22" s="6" t="s">
        <v>35</v>
      </c>
      <c r="F22" s="6" t="s">
        <v>92</v>
      </c>
      <c r="G22" s="1" t="s">
        <v>80</v>
      </c>
      <c r="H22" s="1" t="s">
        <v>104</v>
      </c>
      <c r="I22" s="1">
        <v>35</v>
      </c>
      <c r="J22" s="1">
        <v>1</v>
      </c>
      <c r="K22" s="1">
        <v>1</v>
      </c>
      <c r="L22" s="1" t="s">
        <v>17</v>
      </c>
      <c r="M22" s="1" t="s">
        <v>224</v>
      </c>
      <c r="N22" s="1" t="s">
        <v>54</v>
      </c>
      <c r="O22" s="5">
        <v>46243</v>
      </c>
    </row>
    <row r="23" spans="1:15">
      <c r="A23" s="1">
        <v>20</v>
      </c>
      <c r="B23" s="1" t="s">
        <v>379</v>
      </c>
      <c r="C23" s="5">
        <v>46199</v>
      </c>
      <c r="D23" s="1" t="s">
        <v>73</v>
      </c>
      <c r="E23" s="6" t="s">
        <v>80</v>
      </c>
      <c r="F23" s="6" t="s">
        <v>46</v>
      </c>
      <c r="G23" s="1" t="s">
        <v>80</v>
      </c>
      <c r="H23" s="1" t="s">
        <v>70</v>
      </c>
      <c r="I23" s="1">
        <v>35</v>
      </c>
      <c r="J23" s="1">
        <v>8</v>
      </c>
      <c r="K23" s="1">
        <v>6</v>
      </c>
      <c r="L23" s="1" t="s">
        <v>96</v>
      </c>
      <c r="M23" s="1" t="s">
        <v>220</v>
      </c>
      <c r="N23" s="1" t="s">
        <v>64</v>
      </c>
      <c r="O23" s="5">
        <v>46234</v>
      </c>
    </row>
    <row r="24" spans="1:15">
      <c r="A24" s="1">
        <v>21</v>
      </c>
      <c r="B24" s="1" t="s">
        <v>380</v>
      </c>
      <c r="C24" s="5">
        <v>46184</v>
      </c>
      <c r="D24" s="1" t="s">
        <v>73</v>
      </c>
      <c r="E24" s="6" t="s">
        <v>31</v>
      </c>
      <c r="F24" s="6" t="s">
        <v>89</v>
      </c>
      <c r="G24" s="1" t="s">
        <v>80</v>
      </c>
      <c r="H24" s="1" t="s">
        <v>62</v>
      </c>
      <c r="I24" s="1">
        <v>30</v>
      </c>
      <c r="J24" s="1">
        <v>4</v>
      </c>
      <c r="K24" s="1">
        <v>4</v>
      </c>
      <c r="L24" s="1" t="s">
        <v>96</v>
      </c>
      <c r="M24" s="1" t="s">
        <v>220</v>
      </c>
      <c r="N24" s="1" t="s">
        <v>64</v>
      </c>
      <c r="O24" s="5">
        <v>46211</v>
      </c>
    </row>
    <row r="25" spans="1:15">
      <c r="A25" s="1">
        <v>22</v>
      </c>
      <c r="B25" s="1" t="s">
        <v>381</v>
      </c>
      <c r="C25" s="5">
        <v>46178</v>
      </c>
      <c r="D25" s="1" t="s">
        <v>73</v>
      </c>
      <c r="E25" s="6" t="s">
        <v>6</v>
      </c>
      <c r="F25" s="6" t="s">
        <v>50</v>
      </c>
      <c r="G25" s="1" t="s">
        <v>87</v>
      </c>
      <c r="H25" s="1" t="s">
        <v>41</v>
      </c>
      <c r="I25" s="1">
        <v>46</v>
      </c>
      <c r="J25" s="1">
        <v>8</v>
      </c>
      <c r="K25" s="1">
        <v>6</v>
      </c>
      <c r="L25" s="1" t="s">
        <v>10</v>
      </c>
      <c r="M25" s="1" t="s">
        <v>220</v>
      </c>
      <c r="N25" s="1" t="s">
        <v>30</v>
      </c>
      <c r="O25" s="5">
        <v>46190</v>
      </c>
    </row>
    <row r="26" spans="1:15">
      <c r="A26" s="1">
        <v>23</v>
      </c>
      <c r="B26" s="1" t="s">
        <v>382</v>
      </c>
      <c r="C26" s="5">
        <v>46205</v>
      </c>
      <c r="D26" s="1" t="s">
        <v>76</v>
      </c>
      <c r="E26" s="6" t="s">
        <v>40</v>
      </c>
      <c r="F26" s="6" t="s">
        <v>58</v>
      </c>
      <c r="G26" s="1" t="s">
        <v>31</v>
      </c>
      <c r="H26" s="1" t="s">
        <v>22</v>
      </c>
      <c r="I26" s="1">
        <v>49</v>
      </c>
      <c r="J26" s="1">
        <v>4</v>
      </c>
      <c r="K26" s="1">
        <v>5</v>
      </c>
      <c r="L26" s="1" t="s">
        <v>10</v>
      </c>
      <c r="M26" s="1" t="s">
        <v>220</v>
      </c>
      <c r="N26" s="1" t="s">
        <v>64</v>
      </c>
      <c r="O26" s="5">
        <v>46227</v>
      </c>
    </row>
    <row r="27" spans="1:15">
      <c r="A27" s="1">
        <v>24</v>
      </c>
      <c r="B27" s="1" t="s">
        <v>383</v>
      </c>
      <c r="C27" s="5">
        <v>46205</v>
      </c>
      <c r="D27" s="1" t="s">
        <v>76</v>
      </c>
      <c r="E27" s="6" t="s">
        <v>21</v>
      </c>
      <c r="F27" s="6" t="s">
        <v>65</v>
      </c>
      <c r="G27" s="1" t="s">
        <v>87</v>
      </c>
      <c r="H27" s="1" t="s">
        <v>62</v>
      </c>
      <c r="I27" s="1">
        <v>27</v>
      </c>
      <c r="J27" s="1">
        <v>7</v>
      </c>
      <c r="K27" s="1">
        <v>8</v>
      </c>
      <c r="L27" s="1" t="s">
        <v>10</v>
      </c>
      <c r="M27" s="1" t="s">
        <v>224</v>
      </c>
      <c r="N27" s="1" t="s">
        <v>26</v>
      </c>
      <c r="O27" s="5">
        <v>46249</v>
      </c>
    </row>
    <row r="28" spans="1:15">
      <c r="A28" s="1">
        <v>25</v>
      </c>
      <c r="B28" s="1" t="s">
        <v>384</v>
      </c>
      <c r="C28" s="5">
        <v>46206</v>
      </c>
      <c r="D28" s="1" t="s">
        <v>76</v>
      </c>
      <c r="E28" s="6" t="s">
        <v>77</v>
      </c>
      <c r="F28" s="6" t="s">
        <v>27</v>
      </c>
      <c r="G28" s="1" t="s">
        <v>87</v>
      </c>
      <c r="H28" s="1" t="s">
        <v>70</v>
      </c>
      <c r="I28" s="1">
        <v>36</v>
      </c>
      <c r="J28" s="1">
        <v>4</v>
      </c>
      <c r="K28" s="1">
        <v>4</v>
      </c>
      <c r="L28" s="1" t="s">
        <v>17</v>
      </c>
      <c r="M28" s="1" t="s">
        <v>220</v>
      </c>
      <c r="N28" s="1" t="s">
        <v>12</v>
      </c>
      <c r="O28" s="5">
        <v>46217</v>
      </c>
    </row>
    <row r="29" spans="1:15">
      <c r="A29" s="1">
        <v>26</v>
      </c>
      <c r="B29" s="1" t="s">
        <v>385</v>
      </c>
      <c r="C29" s="5">
        <v>46206</v>
      </c>
      <c r="D29" s="1" t="s">
        <v>76</v>
      </c>
      <c r="E29" s="6" t="s">
        <v>40</v>
      </c>
      <c r="F29" s="6" t="s">
        <v>13</v>
      </c>
      <c r="G29" s="1" t="s">
        <v>35</v>
      </c>
      <c r="H29" s="1" t="s">
        <v>104</v>
      </c>
      <c r="I29" s="1">
        <v>31</v>
      </c>
      <c r="J29" s="1">
        <v>0</v>
      </c>
      <c r="K29" s="1">
        <v>5</v>
      </c>
      <c r="L29" s="1" t="s">
        <v>96</v>
      </c>
      <c r="M29" s="1" t="s">
        <v>220</v>
      </c>
      <c r="N29" s="1" t="s">
        <v>12</v>
      </c>
      <c r="O29" s="5">
        <v>46242</v>
      </c>
    </row>
    <row r="30" spans="1:15">
      <c r="A30" s="1">
        <v>27</v>
      </c>
      <c r="B30" s="1" t="s">
        <v>386</v>
      </c>
      <c r="C30" s="5">
        <v>46204</v>
      </c>
      <c r="D30" s="1" t="s">
        <v>76</v>
      </c>
      <c r="E30" s="6" t="s">
        <v>31</v>
      </c>
      <c r="F30" s="6" t="s">
        <v>5</v>
      </c>
      <c r="G30" s="1" t="s">
        <v>80</v>
      </c>
      <c r="H30" s="1" t="s">
        <v>15</v>
      </c>
      <c r="I30" s="1">
        <v>48</v>
      </c>
      <c r="J30" s="1">
        <v>3</v>
      </c>
      <c r="K30" s="1">
        <v>6</v>
      </c>
      <c r="L30" s="1" t="s">
        <v>96</v>
      </c>
      <c r="M30" s="1" t="s">
        <v>220</v>
      </c>
      <c r="N30" s="1" t="s">
        <v>20</v>
      </c>
      <c r="O30" s="5">
        <v>46240</v>
      </c>
    </row>
    <row r="31" spans="1:15">
      <c r="A31" s="1">
        <v>28</v>
      </c>
      <c r="B31" s="1" t="s">
        <v>387</v>
      </c>
      <c r="C31" s="5">
        <v>46247</v>
      </c>
      <c r="D31" s="1" t="s">
        <v>86</v>
      </c>
      <c r="E31" s="6" t="s">
        <v>21</v>
      </c>
      <c r="F31" s="6" t="s">
        <v>89</v>
      </c>
      <c r="G31" s="1" t="s">
        <v>6</v>
      </c>
      <c r="H31" s="1" t="s">
        <v>62</v>
      </c>
      <c r="I31" s="1">
        <v>40</v>
      </c>
      <c r="J31" s="1">
        <v>1</v>
      </c>
      <c r="K31" s="1">
        <v>8</v>
      </c>
      <c r="L31" s="1" t="s">
        <v>10</v>
      </c>
      <c r="M31" s="1" t="s">
        <v>220</v>
      </c>
      <c r="N31" s="1" t="s">
        <v>30</v>
      </c>
      <c r="O31" s="5">
        <v>46269</v>
      </c>
    </row>
    <row r="32" spans="1:15">
      <c r="A32" s="1">
        <v>29</v>
      </c>
      <c r="B32" s="1" t="s">
        <v>388</v>
      </c>
      <c r="C32" s="5">
        <v>46251</v>
      </c>
      <c r="D32" s="1" t="s">
        <v>86</v>
      </c>
      <c r="E32" s="6" t="s">
        <v>35</v>
      </c>
      <c r="F32" s="6" t="s">
        <v>5</v>
      </c>
      <c r="G32" s="1" t="s">
        <v>80</v>
      </c>
      <c r="H32" s="1" t="s">
        <v>41</v>
      </c>
      <c r="I32" s="1">
        <v>45</v>
      </c>
      <c r="J32" s="1">
        <v>1</v>
      </c>
      <c r="K32" s="1">
        <v>0</v>
      </c>
      <c r="L32" s="1" t="s">
        <v>10</v>
      </c>
      <c r="M32" s="1" t="s">
        <v>302</v>
      </c>
      <c r="N32" s="1" t="s">
        <v>26</v>
      </c>
      <c r="O32" s="5">
        <v>46280</v>
      </c>
    </row>
    <row r="33" spans="1:15">
      <c r="A33" s="1">
        <v>30</v>
      </c>
      <c r="B33" s="1" t="s">
        <v>389</v>
      </c>
      <c r="C33" s="5">
        <v>46259</v>
      </c>
      <c r="D33" s="1" t="s">
        <v>86</v>
      </c>
      <c r="E33" s="6" t="s">
        <v>35</v>
      </c>
      <c r="F33" s="6" t="s">
        <v>39</v>
      </c>
      <c r="G33" s="1" t="s">
        <v>95</v>
      </c>
      <c r="H33" s="1" t="s">
        <v>104</v>
      </c>
      <c r="I33" s="1">
        <v>32</v>
      </c>
      <c r="J33" s="1">
        <v>8</v>
      </c>
      <c r="K33" s="1">
        <v>8</v>
      </c>
      <c r="L33" s="1" t="s">
        <v>24</v>
      </c>
      <c r="M33" s="1" t="s">
        <v>302</v>
      </c>
      <c r="N33" s="1" t="s">
        <v>91</v>
      </c>
      <c r="O33" s="5">
        <v>46274</v>
      </c>
    </row>
    <row r="34" spans="1:15">
      <c r="A34" s="1">
        <v>31</v>
      </c>
      <c r="B34" s="1" t="s">
        <v>390</v>
      </c>
      <c r="C34" s="5">
        <v>46236</v>
      </c>
      <c r="D34" s="1" t="s">
        <v>86</v>
      </c>
      <c r="E34" s="6" t="s">
        <v>35</v>
      </c>
      <c r="F34" s="6" t="s">
        <v>89</v>
      </c>
      <c r="G34" s="1" t="s">
        <v>40</v>
      </c>
      <c r="H34" s="1" t="s">
        <v>70</v>
      </c>
      <c r="I34" s="1">
        <v>27</v>
      </c>
      <c r="J34" s="1">
        <v>8</v>
      </c>
      <c r="K34" s="1">
        <v>7</v>
      </c>
      <c r="L34" s="1" t="s">
        <v>42</v>
      </c>
      <c r="M34" s="1" t="s">
        <v>220</v>
      </c>
      <c r="N34" s="1" t="s">
        <v>4</v>
      </c>
      <c r="O34" s="5">
        <v>46269</v>
      </c>
    </row>
    <row r="35" spans="1:15">
      <c r="A35" s="1">
        <v>32</v>
      </c>
      <c r="B35" s="1" t="s">
        <v>391</v>
      </c>
      <c r="C35" s="5">
        <v>46276</v>
      </c>
      <c r="D35" s="1" t="s">
        <v>102</v>
      </c>
      <c r="E35" s="6" t="s">
        <v>95</v>
      </c>
      <c r="F35" s="6" t="s">
        <v>65</v>
      </c>
      <c r="G35" s="1" t="s">
        <v>80</v>
      </c>
      <c r="H35" s="1" t="s">
        <v>28</v>
      </c>
      <c r="I35" s="1">
        <v>34</v>
      </c>
      <c r="J35" s="1">
        <v>4</v>
      </c>
      <c r="K35" s="1">
        <v>8</v>
      </c>
      <c r="L35" s="1" t="s">
        <v>10</v>
      </c>
      <c r="M35" s="1" t="s">
        <v>220</v>
      </c>
      <c r="N35" s="1" t="s">
        <v>57</v>
      </c>
      <c r="O35" s="5">
        <v>46319</v>
      </c>
    </row>
    <row r="36" spans="1:15">
      <c r="A36" s="1">
        <v>33</v>
      </c>
      <c r="B36" s="1" t="s">
        <v>392</v>
      </c>
      <c r="C36" s="5">
        <v>46267</v>
      </c>
      <c r="D36" s="1" t="s">
        <v>102</v>
      </c>
      <c r="E36" s="6" t="s">
        <v>31</v>
      </c>
      <c r="F36" s="6" t="s">
        <v>50</v>
      </c>
      <c r="G36" s="1" t="s">
        <v>31</v>
      </c>
      <c r="H36" s="1" t="s">
        <v>62</v>
      </c>
      <c r="I36" s="1">
        <v>37</v>
      </c>
      <c r="J36" s="1">
        <v>6</v>
      </c>
      <c r="K36" s="1">
        <v>2</v>
      </c>
      <c r="L36" s="1" t="s">
        <v>17</v>
      </c>
      <c r="M36" s="1" t="s">
        <v>220</v>
      </c>
      <c r="N36" s="1" t="s">
        <v>57</v>
      </c>
      <c r="O36" s="5">
        <v>46292</v>
      </c>
    </row>
    <row r="37" spans="1:15">
      <c r="A37" s="1">
        <v>34</v>
      </c>
      <c r="B37" s="1" t="s">
        <v>393</v>
      </c>
      <c r="C37" s="5">
        <v>46276</v>
      </c>
      <c r="D37" s="1" t="s">
        <v>102</v>
      </c>
      <c r="E37" s="6" t="s">
        <v>77</v>
      </c>
      <c r="F37" s="6" t="s">
        <v>89</v>
      </c>
      <c r="G37" s="1" t="s">
        <v>40</v>
      </c>
      <c r="H37" s="1" t="s">
        <v>66</v>
      </c>
      <c r="I37" s="1">
        <v>31</v>
      </c>
      <c r="J37" s="1">
        <v>4</v>
      </c>
      <c r="K37" s="1">
        <v>8</v>
      </c>
      <c r="L37" s="1" t="s">
        <v>96</v>
      </c>
      <c r="M37" s="1" t="s">
        <v>220</v>
      </c>
      <c r="N37" s="1" t="s">
        <v>54</v>
      </c>
      <c r="O37" s="5">
        <v>46297</v>
      </c>
    </row>
    <row r="38" spans="1:15">
      <c r="A38" s="1">
        <v>35</v>
      </c>
      <c r="B38" s="1" t="s">
        <v>394</v>
      </c>
      <c r="C38" s="5">
        <v>46272</v>
      </c>
      <c r="D38" s="1" t="s">
        <v>102</v>
      </c>
      <c r="E38" s="6" t="s">
        <v>21</v>
      </c>
      <c r="F38" s="6" t="s">
        <v>50</v>
      </c>
      <c r="G38" s="1" t="s">
        <v>80</v>
      </c>
      <c r="H38" s="1" t="s">
        <v>7</v>
      </c>
      <c r="I38" s="1">
        <v>27</v>
      </c>
      <c r="J38" s="1">
        <v>2</v>
      </c>
      <c r="K38" s="1">
        <v>0</v>
      </c>
      <c r="L38" s="1" t="s">
        <v>10</v>
      </c>
      <c r="M38" s="1" t="s">
        <v>224</v>
      </c>
      <c r="N38" s="1" t="s">
        <v>54</v>
      </c>
      <c r="O38" s="5">
        <v>46287</v>
      </c>
    </row>
    <row r="39" spans="1:15">
      <c r="A39" s="1">
        <v>36</v>
      </c>
      <c r="B39" s="1" t="s">
        <v>395</v>
      </c>
      <c r="C39" s="5">
        <v>46280</v>
      </c>
      <c r="D39" s="1" t="s">
        <v>102</v>
      </c>
      <c r="E39" s="6" t="s">
        <v>40</v>
      </c>
      <c r="F39" s="6" t="s">
        <v>89</v>
      </c>
      <c r="G39" s="1" t="s">
        <v>40</v>
      </c>
      <c r="H39" s="1" t="s">
        <v>28</v>
      </c>
      <c r="I39" s="1">
        <v>34</v>
      </c>
      <c r="J39" s="1">
        <v>7</v>
      </c>
      <c r="K39" s="1">
        <v>1</v>
      </c>
      <c r="L39" s="1" t="s">
        <v>17</v>
      </c>
      <c r="M39" s="1" t="s">
        <v>302</v>
      </c>
      <c r="N39" s="1" t="s">
        <v>4</v>
      </c>
      <c r="O39" s="5">
        <v>46293</v>
      </c>
    </row>
    <row r="40" spans="1:15">
      <c r="A40" s="1">
        <v>37</v>
      </c>
      <c r="B40" s="1" t="s">
        <v>396</v>
      </c>
      <c r="C40" s="5">
        <v>46273</v>
      </c>
      <c r="D40" s="1" t="s">
        <v>102</v>
      </c>
      <c r="E40" s="6" t="s">
        <v>87</v>
      </c>
      <c r="F40" s="6" t="s">
        <v>27</v>
      </c>
      <c r="G40" s="1" t="s">
        <v>21</v>
      </c>
      <c r="H40" s="1" t="s">
        <v>7</v>
      </c>
      <c r="I40" s="1">
        <v>43</v>
      </c>
      <c r="J40" s="1">
        <v>1</v>
      </c>
      <c r="K40" s="1">
        <v>4</v>
      </c>
      <c r="L40" s="1" t="s">
        <v>96</v>
      </c>
      <c r="M40" s="1" t="s">
        <v>220</v>
      </c>
      <c r="N40" s="1" t="s">
        <v>12</v>
      </c>
      <c r="O40" s="5">
        <v>46299</v>
      </c>
    </row>
    <row r="41" spans="1:15">
      <c r="A41" s="1">
        <v>38</v>
      </c>
      <c r="B41" s="1" t="s">
        <v>397</v>
      </c>
      <c r="C41" s="5">
        <v>46312</v>
      </c>
      <c r="D41" s="1" t="s">
        <v>106</v>
      </c>
      <c r="E41" s="6" t="s">
        <v>51</v>
      </c>
      <c r="F41" s="6" t="s">
        <v>89</v>
      </c>
      <c r="G41" s="1" t="s">
        <v>77</v>
      </c>
      <c r="H41" s="1" t="s">
        <v>28</v>
      </c>
      <c r="I41" s="1">
        <v>40</v>
      </c>
      <c r="J41" s="1">
        <v>3</v>
      </c>
      <c r="K41" s="1">
        <v>4</v>
      </c>
      <c r="L41" s="1" t="s">
        <v>17</v>
      </c>
      <c r="M41" s="1" t="s">
        <v>220</v>
      </c>
      <c r="N41" s="1" t="s">
        <v>26</v>
      </c>
      <c r="O41" s="5">
        <v>46319</v>
      </c>
    </row>
    <row r="42" spans="1:15">
      <c r="A42" s="1">
        <v>39</v>
      </c>
      <c r="B42" s="1" t="s">
        <v>398</v>
      </c>
      <c r="C42" s="5">
        <v>46314</v>
      </c>
      <c r="D42" s="1" t="s">
        <v>106</v>
      </c>
      <c r="E42" s="6" t="s">
        <v>40</v>
      </c>
      <c r="F42" s="6" t="s">
        <v>58</v>
      </c>
      <c r="G42" s="1" t="s">
        <v>21</v>
      </c>
      <c r="H42" s="1" t="s">
        <v>70</v>
      </c>
      <c r="I42" s="1">
        <v>46</v>
      </c>
      <c r="J42" s="1">
        <v>7</v>
      </c>
      <c r="K42" s="1">
        <v>8</v>
      </c>
      <c r="L42" s="1" t="s">
        <v>17</v>
      </c>
      <c r="M42" s="1" t="s">
        <v>220</v>
      </c>
      <c r="N42" s="1" t="s">
        <v>12</v>
      </c>
      <c r="O42" s="5">
        <v>46345</v>
      </c>
    </row>
    <row r="43" spans="1:15">
      <c r="A43" s="1">
        <v>40</v>
      </c>
      <c r="B43" s="1" t="s">
        <v>399</v>
      </c>
      <c r="C43" s="5">
        <v>46314</v>
      </c>
      <c r="D43" s="1" t="s">
        <v>106</v>
      </c>
      <c r="E43" s="6" t="s">
        <v>14</v>
      </c>
      <c r="F43" s="6" t="s">
        <v>39</v>
      </c>
      <c r="G43" s="1" t="s">
        <v>82</v>
      </c>
      <c r="H43" s="1" t="s">
        <v>32</v>
      </c>
      <c r="I43" s="1">
        <v>48</v>
      </c>
      <c r="J43" s="1">
        <v>3</v>
      </c>
      <c r="K43" s="1">
        <v>2</v>
      </c>
      <c r="L43" s="1" t="s">
        <v>96</v>
      </c>
      <c r="M43" s="1" t="s">
        <v>220</v>
      </c>
      <c r="N43" s="1" t="s">
        <v>54</v>
      </c>
      <c r="O43" s="5">
        <v>46336</v>
      </c>
    </row>
    <row r="44" spans="1:15">
      <c r="A44" s="1">
        <v>41</v>
      </c>
      <c r="B44" s="1" t="s">
        <v>400</v>
      </c>
      <c r="C44" s="5">
        <v>46297</v>
      </c>
      <c r="D44" s="1" t="s">
        <v>106</v>
      </c>
      <c r="E44" s="6" t="s">
        <v>40</v>
      </c>
      <c r="F44" s="6" t="s">
        <v>13</v>
      </c>
      <c r="G44" s="1" t="s">
        <v>95</v>
      </c>
      <c r="H44" s="1" t="s">
        <v>28</v>
      </c>
      <c r="I44" s="1">
        <v>44</v>
      </c>
      <c r="J44" s="1">
        <v>3</v>
      </c>
      <c r="K44" s="1">
        <v>2</v>
      </c>
      <c r="L44" s="1" t="s">
        <v>96</v>
      </c>
      <c r="M44" s="1" t="s">
        <v>220</v>
      </c>
      <c r="N44" s="1" t="s">
        <v>57</v>
      </c>
      <c r="O44" s="5">
        <v>46322</v>
      </c>
    </row>
    <row r="45" spans="1:15">
      <c r="A45" s="1">
        <v>42</v>
      </c>
      <c r="B45" s="1" t="s">
        <v>401</v>
      </c>
      <c r="C45" s="5">
        <v>46346</v>
      </c>
      <c r="D45" s="1" t="s">
        <v>111</v>
      </c>
      <c r="E45" s="6" t="s">
        <v>21</v>
      </c>
      <c r="F45" s="6" t="s">
        <v>39</v>
      </c>
      <c r="G45" s="1" t="s">
        <v>77</v>
      </c>
      <c r="H45" s="1" t="s">
        <v>62</v>
      </c>
      <c r="I45" s="1">
        <v>47</v>
      </c>
      <c r="J45" s="1">
        <v>0</v>
      </c>
      <c r="K45" s="1">
        <v>4</v>
      </c>
      <c r="L45" s="1" t="s">
        <v>24</v>
      </c>
      <c r="M45" s="1" t="s">
        <v>224</v>
      </c>
      <c r="N45" s="1" t="s">
        <v>4</v>
      </c>
      <c r="O45" s="5">
        <v>46355</v>
      </c>
    </row>
    <row r="46" spans="1:15">
      <c r="A46" s="1">
        <v>43</v>
      </c>
      <c r="B46" s="1" t="s">
        <v>402</v>
      </c>
      <c r="C46" s="5">
        <v>46333</v>
      </c>
      <c r="D46" s="1" t="s">
        <v>111</v>
      </c>
      <c r="E46" s="6" t="s">
        <v>77</v>
      </c>
      <c r="F46" s="6" t="s">
        <v>89</v>
      </c>
      <c r="G46" s="1" t="s">
        <v>51</v>
      </c>
      <c r="H46" s="1" t="s">
        <v>93</v>
      </c>
      <c r="I46" s="1">
        <v>20</v>
      </c>
      <c r="J46" s="1">
        <v>4</v>
      </c>
      <c r="K46" s="1">
        <v>3</v>
      </c>
      <c r="L46" s="1" t="s">
        <v>10</v>
      </c>
      <c r="M46" s="1" t="s">
        <v>224</v>
      </c>
      <c r="N46" s="1" t="s">
        <v>54</v>
      </c>
      <c r="O46" s="5">
        <v>46366</v>
      </c>
    </row>
    <row r="47" spans="1:15">
      <c r="A47" s="1">
        <v>44</v>
      </c>
      <c r="B47" s="1" t="s">
        <v>403</v>
      </c>
      <c r="C47" s="5">
        <v>46341</v>
      </c>
      <c r="D47" s="1" t="s">
        <v>111</v>
      </c>
      <c r="E47" s="6" t="s">
        <v>21</v>
      </c>
      <c r="F47" s="6" t="s">
        <v>58</v>
      </c>
      <c r="G47" s="1" t="s">
        <v>51</v>
      </c>
      <c r="H47" s="1" t="s">
        <v>62</v>
      </c>
      <c r="I47" s="1">
        <v>19</v>
      </c>
      <c r="J47" s="1">
        <v>7</v>
      </c>
      <c r="K47" s="1">
        <v>6</v>
      </c>
      <c r="L47" s="1" t="s">
        <v>24</v>
      </c>
      <c r="M47" s="1" t="s">
        <v>224</v>
      </c>
      <c r="N47" s="1" t="s">
        <v>20</v>
      </c>
      <c r="O47" s="5">
        <v>46362</v>
      </c>
    </row>
    <row r="48" spans="1:15">
      <c r="A48" s="1">
        <v>45</v>
      </c>
      <c r="B48" s="1" t="s">
        <v>404</v>
      </c>
      <c r="C48" s="5">
        <v>46352</v>
      </c>
      <c r="D48" s="1" t="s">
        <v>111</v>
      </c>
      <c r="E48" s="6" t="s">
        <v>82</v>
      </c>
      <c r="F48" s="6" t="s">
        <v>13</v>
      </c>
      <c r="G48" s="1" t="s">
        <v>35</v>
      </c>
      <c r="H48" s="1" t="s">
        <v>22</v>
      </c>
      <c r="I48" s="1">
        <v>45</v>
      </c>
      <c r="J48" s="1">
        <v>6</v>
      </c>
      <c r="K48" s="1">
        <v>1</v>
      </c>
      <c r="L48" s="1" t="s">
        <v>42</v>
      </c>
      <c r="M48" s="1" t="s">
        <v>220</v>
      </c>
      <c r="N48" s="1" t="s">
        <v>61</v>
      </c>
      <c r="O48" s="5">
        <v>46392</v>
      </c>
    </row>
    <row r="49" spans="1:15">
      <c r="A49" s="1">
        <v>46</v>
      </c>
      <c r="B49" s="1" t="s">
        <v>405</v>
      </c>
      <c r="C49" s="5">
        <v>46370</v>
      </c>
      <c r="D49" s="1" t="s">
        <v>122</v>
      </c>
      <c r="E49" s="6" t="s">
        <v>31</v>
      </c>
      <c r="F49" s="6" t="s">
        <v>65</v>
      </c>
      <c r="G49" s="1" t="s">
        <v>87</v>
      </c>
      <c r="H49" s="1" t="s">
        <v>22</v>
      </c>
      <c r="I49" s="1">
        <v>19</v>
      </c>
      <c r="J49" s="1">
        <v>1</v>
      </c>
      <c r="K49" s="1">
        <v>4</v>
      </c>
      <c r="L49" s="1" t="s">
        <v>17</v>
      </c>
      <c r="M49" s="1" t="s">
        <v>224</v>
      </c>
      <c r="N49" s="1" t="s">
        <v>30</v>
      </c>
      <c r="O49" s="5">
        <v>46393</v>
      </c>
    </row>
    <row r="50" spans="1:15">
      <c r="A50" s="1">
        <v>47</v>
      </c>
      <c r="B50" s="1" t="s">
        <v>406</v>
      </c>
      <c r="C50" s="5">
        <v>46373</v>
      </c>
      <c r="D50" s="1" t="s">
        <v>122</v>
      </c>
      <c r="E50" s="6" t="s">
        <v>77</v>
      </c>
      <c r="F50" s="6" t="s">
        <v>5</v>
      </c>
      <c r="G50" s="1" t="s">
        <v>80</v>
      </c>
      <c r="H50" s="1" t="s">
        <v>62</v>
      </c>
      <c r="I50" s="1">
        <v>22</v>
      </c>
      <c r="J50" s="1">
        <v>0</v>
      </c>
      <c r="K50" s="1">
        <v>1</v>
      </c>
      <c r="L50" s="1" t="s">
        <v>42</v>
      </c>
      <c r="M50" s="1" t="s">
        <v>302</v>
      </c>
      <c r="N50" s="1" t="s">
        <v>45</v>
      </c>
      <c r="O50" s="5">
        <v>46401</v>
      </c>
    </row>
    <row r="51" spans="1:15">
      <c r="A51" s="1">
        <v>48</v>
      </c>
      <c r="B51" s="1" t="s">
        <v>407</v>
      </c>
      <c r="C51" s="5">
        <v>46362</v>
      </c>
      <c r="D51" s="1" t="s">
        <v>122</v>
      </c>
      <c r="E51" s="6" t="s">
        <v>51</v>
      </c>
      <c r="F51" s="6" t="s">
        <v>5</v>
      </c>
      <c r="G51" s="1" t="s">
        <v>31</v>
      </c>
      <c r="H51" s="1" t="s">
        <v>32</v>
      </c>
      <c r="I51" s="1">
        <v>30</v>
      </c>
      <c r="J51" s="1">
        <v>7</v>
      </c>
      <c r="K51" s="1">
        <v>0</v>
      </c>
      <c r="L51" s="1" t="s">
        <v>96</v>
      </c>
      <c r="M51" s="1" t="s">
        <v>220</v>
      </c>
      <c r="N51" s="1" t="s">
        <v>20</v>
      </c>
      <c r="O51" s="5">
        <v>46367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408</v>
      </c>
      <c r="F3" s="1" t="s">
        <v>129</v>
      </c>
      <c r="G3" s="1" t="s">
        <v>130</v>
      </c>
      <c r="H3" s="1" t="s">
        <v>409</v>
      </c>
      <c r="I3" s="1" t="s">
        <v>410</v>
      </c>
      <c r="J3" s="1" t="s">
        <v>411</v>
      </c>
      <c r="K3" s="1" t="s">
        <v>412</v>
      </c>
      <c r="L3" s="1" t="s">
        <v>413</v>
      </c>
      <c r="M3" s="1" t="s">
        <v>286</v>
      </c>
      <c r="N3" s="1" t="s">
        <v>414</v>
      </c>
      <c r="O3" s="1" t="s">
        <v>358</v>
      </c>
    </row>
    <row r="4" spans="1:17">
      <c r="A4" s="1">
        <v>1</v>
      </c>
      <c r="B4" s="1" t="s">
        <v>416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224</v>
      </c>
      <c r="N4" s="1" t="s">
        <v>20</v>
      </c>
      <c r="O4" s="5">
        <v>46039</v>
      </c>
    </row>
    <row r="5" spans="1:17">
      <c r="A5" s="1">
        <v>2</v>
      </c>
      <c r="B5" s="1" t="s">
        <v>417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302</v>
      </c>
      <c r="N5" s="1" t="s">
        <v>38</v>
      </c>
      <c r="O5" s="5">
        <v>46047</v>
      </c>
    </row>
    <row r="6" spans="1:17">
      <c r="A6" s="1">
        <v>3</v>
      </c>
      <c r="B6" s="1" t="s">
        <v>418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220</v>
      </c>
      <c r="N6" s="1" t="s">
        <v>4</v>
      </c>
      <c r="O6" s="5">
        <v>46083</v>
      </c>
    </row>
    <row r="7" spans="1:17">
      <c r="A7" s="1">
        <v>4</v>
      </c>
      <c r="B7" s="1" t="s">
        <v>419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220</v>
      </c>
      <c r="N7" s="1" t="s">
        <v>4</v>
      </c>
      <c r="O7" s="5">
        <v>46078</v>
      </c>
    </row>
    <row r="8" spans="1:17">
      <c r="A8" s="1">
        <v>5</v>
      </c>
      <c r="B8" s="1" t="s">
        <v>420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220</v>
      </c>
      <c r="N8" s="1" t="s">
        <v>26</v>
      </c>
      <c r="O8" s="5">
        <v>46030</v>
      </c>
    </row>
    <row r="9" spans="1:17">
      <c r="A9" s="1">
        <v>6</v>
      </c>
      <c r="B9" s="1" t="s">
        <v>421</v>
      </c>
      <c r="C9" s="5">
        <v>46066</v>
      </c>
      <c r="D9" s="1" t="s">
        <v>19</v>
      </c>
      <c r="E9" s="6" t="s">
        <v>40</v>
      </c>
      <c r="F9" s="6" t="s">
        <v>58</v>
      </c>
      <c r="G9" s="1" t="s">
        <v>51</v>
      </c>
      <c r="H9" s="1" t="s">
        <v>78</v>
      </c>
      <c r="I9" s="1">
        <v>34</v>
      </c>
      <c r="J9" s="1">
        <v>4</v>
      </c>
      <c r="K9" s="1">
        <v>7</v>
      </c>
      <c r="L9" s="1" t="s">
        <v>24</v>
      </c>
      <c r="M9" s="1" t="s">
        <v>224</v>
      </c>
      <c r="N9" s="1" t="s">
        <v>20</v>
      </c>
      <c r="O9" s="5">
        <v>46086</v>
      </c>
    </row>
    <row r="10" spans="1:17">
      <c r="A10" s="1">
        <v>7</v>
      </c>
      <c r="B10" s="1" t="s">
        <v>422</v>
      </c>
      <c r="C10" s="5">
        <v>46079</v>
      </c>
      <c r="D10" s="1" t="s">
        <v>19</v>
      </c>
      <c r="E10" s="6" t="s">
        <v>95</v>
      </c>
      <c r="F10" s="6" t="s">
        <v>46</v>
      </c>
      <c r="G10" s="1" t="s">
        <v>77</v>
      </c>
      <c r="H10" s="1" t="s">
        <v>78</v>
      </c>
      <c r="I10" s="1">
        <v>49</v>
      </c>
      <c r="J10" s="1">
        <v>3</v>
      </c>
      <c r="K10" s="1">
        <v>5</v>
      </c>
      <c r="L10" s="1" t="s">
        <v>96</v>
      </c>
      <c r="M10" s="1" t="s">
        <v>224</v>
      </c>
      <c r="N10" s="1" t="s">
        <v>45</v>
      </c>
      <c r="O10" s="5">
        <v>46111</v>
      </c>
    </row>
    <row r="11" spans="1:17">
      <c r="A11" s="1">
        <v>8</v>
      </c>
      <c r="B11" s="1" t="s">
        <v>423</v>
      </c>
      <c r="C11" s="5">
        <v>46066</v>
      </c>
      <c r="D11" s="1" t="s">
        <v>19</v>
      </c>
      <c r="E11" s="6" t="s">
        <v>6</v>
      </c>
      <c r="F11" s="6" t="s">
        <v>92</v>
      </c>
      <c r="G11" s="1" t="s">
        <v>6</v>
      </c>
      <c r="H11" s="1" t="s">
        <v>70</v>
      </c>
      <c r="I11" s="1">
        <v>31</v>
      </c>
      <c r="J11" s="1">
        <v>4</v>
      </c>
      <c r="K11" s="1">
        <v>3</v>
      </c>
      <c r="L11" s="1" t="s">
        <v>42</v>
      </c>
      <c r="M11" s="1" t="s">
        <v>220</v>
      </c>
      <c r="N11" s="1" t="s">
        <v>30</v>
      </c>
      <c r="O11" s="5">
        <v>46072</v>
      </c>
    </row>
    <row r="12" spans="1:17">
      <c r="A12" s="1">
        <v>9</v>
      </c>
      <c r="B12" s="1" t="s">
        <v>424</v>
      </c>
      <c r="C12" s="5">
        <v>46074</v>
      </c>
      <c r="D12" s="1" t="s">
        <v>19</v>
      </c>
      <c r="E12" s="6" t="s">
        <v>77</v>
      </c>
      <c r="F12" s="6" t="s">
        <v>92</v>
      </c>
      <c r="G12" s="1" t="s">
        <v>77</v>
      </c>
      <c r="H12" s="1" t="s">
        <v>78</v>
      </c>
      <c r="I12" s="1">
        <v>47</v>
      </c>
      <c r="J12" s="1">
        <v>7</v>
      </c>
      <c r="K12" s="1">
        <v>2</v>
      </c>
      <c r="L12" s="1" t="s">
        <v>24</v>
      </c>
      <c r="M12" s="1" t="s">
        <v>224</v>
      </c>
      <c r="N12" s="1" t="s">
        <v>57</v>
      </c>
      <c r="O12" s="5">
        <v>46081</v>
      </c>
    </row>
    <row r="13" spans="1:17">
      <c r="A13" s="1">
        <v>10</v>
      </c>
      <c r="B13" s="1" t="s">
        <v>425</v>
      </c>
      <c r="C13" s="5">
        <v>46076</v>
      </c>
      <c r="D13" s="1" t="s">
        <v>19</v>
      </c>
      <c r="E13" s="6" t="s">
        <v>40</v>
      </c>
      <c r="F13" s="6" t="s">
        <v>5</v>
      </c>
      <c r="G13" s="1" t="s">
        <v>51</v>
      </c>
      <c r="H13" s="1" t="s">
        <v>66</v>
      </c>
      <c r="I13" s="1">
        <v>21</v>
      </c>
      <c r="J13" s="1">
        <v>6</v>
      </c>
      <c r="K13" s="1">
        <v>1</v>
      </c>
      <c r="L13" s="1" t="s">
        <v>10</v>
      </c>
      <c r="M13" s="1" t="s">
        <v>302</v>
      </c>
      <c r="N13" s="1" t="s">
        <v>64</v>
      </c>
      <c r="O13" s="5">
        <v>46087</v>
      </c>
    </row>
    <row r="14" spans="1:17">
      <c r="A14" s="1">
        <v>11</v>
      </c>
      <c r="B14" s="1" t="s">
        <v>426</v>
      </c>
      <c r="C14" s="5">
        <v>46088</v>
      </c>
      <c r="D14" s="1" t="s">
        <v>44</v>
      </c>
      <c r="E14" s="6" t="s">
        <v>31</v>
      </c>
      <c r="F14" s="6" t="s">
        <v>50</v>
      </c>
      <c r="G14" s="1" t="s">
        <v>35</v>
      </c>
      <c r="H14" s="1" t="s">
        <v>93</v>
      </c>
      <c r="I14" s="1">
        <v>41</v>
      </c>
      <c r="J14" s="1">
        <v>6</v>
      </c>
      <c r="K14" s="1">
        <v>0</v>
      </c>
      <c r="L14" s="1" t="s">
        <v>42</v>
      </c>
      <c r="M14" s="1" t="s">
        <v>220</v>
      </c>
      <c r="N14" s="1" t="s">
        <v>20</v>
      </c>
      <c r="O14" s="5">
        <v>46108</v>
      </c>
    </row>
    <row r="15" spans="1:17">
      <c r="A15" s="1">
        <v>12</v>
      </c>
      <c r="B15" s="1" t="s">
        <v>427</v>
      </c>
      <c r="C15" s="5">
        <v>46085</v>
      </c>
      <c r="D15" s="1" t="s">
        <v>44</v>
      </c>
      <c r="E15" s="6" t="s">
        <v>40</v>
      </c>
      <c r="F15" s="6" t="s">
        <v>58</v>
      </c>
      <c r="G15" s="1" t="s">
        <v>87</v>
      </c>
      <c r="H15" s="1" t="s">
        <v>28</v>
      </c>
      <c r="I15" s="1">
        <v>42</v>
      </c>
      <c r="J15" s="1">
        <v>3</v>
      </c>
      <c r="K15" s="1">
        <v>8</v>
      </c>
      <c r="L15" s="1" t="s">
        <v>96</v>
      </c>
      <c r="M15" s="1" t="s">
        <v>220</v>
      </c>
      <c r="N15" s="1" t="s">
        <v>12</v>
      </c>
      <c r="O15" s="5">
        <v>46097</v>
      </c>
    </row>
    <row r="16" spans="1:17">
      <c r="A16" s="1">
        <v>13</v>
      </c>
      <c r="B16" s="1" t="s">
        <v>428</v>
      </c>
      <c r="C16" s="5">
        <v>46084</v>
      </c>
      <c r="D16" s="1" t="s">
        <v>44</v>
      </c>
      <c r="E16" s="6" t="s">
        <v>80</v>
      </c>
      <c r="F16" s="6" t="s">
        <v>27</v>
      </c>
      <c r="G16" s="1" t="s">
        <v>6</v>
      </c>
      <c r="H16" s="1" t="s">
        <v>70</v>
      </c>
      <c r="I16" s="1">
        <v>18</v>
      </c>
      <c r="J16" s="1">
        <v>3</v>
      </c>
      <c r="K16" s="1">
        <v>5</v>
      </c>
      <c r="L16" s="1" t="s">
        <v>42</v>
      </c>
      <c r="M16" s="1" t="s">
        <v>220</v>
      </c>
      <c r="N16" s="1" t="s">
        <v>20</v>
      </c>
      <c r="O16" s="5">
        <v>46117</v>
      </c>
    </row>
    <row r="17" spans="1:15">
      <c r="A17" s="1">
        <v>14</v>
      </c>
      <c r="B17" s="1" t="s">
        <v>429</v>
      </c>
      <c r="C17" s="5">
        <v>46155</v>
      </c>
      <c r="D17" s="1" t="s">
        <v>60</v>
      </c>
      <c r="E17" s="6" t="s">
        <v>6</v>
      </c>
      <c r="F17" s="6" t="s">
        <v>92</v>
      </c>
      <c r="G17" s="1" t="s">
        <v>77</v>
      </c>
      <c r="H17" s="1" t="s">
        <v>70</v>
      </c>
      <c r="I17" s="1">
        <v>47</v>
      </c>
      <c r="J17" s="1">
        <v>3</v>
      </c>
      <c r="K17" s="1">
        <v>3</v>
      </c>
      <c r="L17" s="1" t="s">
        <v>10</v>
      </c>
      <c r="M17" s="1" t="s">
        <v>224</v>
      </c>
      <c r="N17" s="1" t="s">
        <v>49</v>
      </c>
      <c r="O17" s="5">
        <v>46163</v>
      </c>
    </row>
    <row r="18" spans="1:15">
      <c r="A18" s="1">
        <v>15</v>
      </c>
      <c r="B18" s="1" t="s">
        <v>430</v>
      </c>
      <c r="C18" s="5">
        <v>46161</v>
      </c>
      <c r="D18" s="1" t="s">
        <v>60</v>
      </c>
      <c r="E18" s="6" t="s">
        <v>77</v>
      </c>
      <c r="F18" s="6" t="s">
        <v>39</v>
      </c>
      <c r="G18" s="1" t="s">
        <v>21</v>
      </c>
      <c r="H18" s="1" t="s">
        <v>28</v>
      </c>
      <c r="I18" s="1">
        <v>16</v>
      </c>
      <c r="J18" s="1">
        <v>7</v>
      </c>
      <c r="K18" s="1">
        <v>8</v>
      </c>
      <c r="L18" s="1" t="s">
        <v>24</v>
      </c>
      <c r="M18" s="1" t="s">
        <v>326</v>
      </c>
      <c r="N18" s="1" t="s">
        <v>57</v>
      </c>
      <c r="O18" s="5">
        <v>46187</v>
      </c>
    </row>
    <row r="19" spans="1:15">
      <c r="A19" s="1">
        <v>16</v>
      </c>
      <c r="B19" s="1" t="s">
        <v>431</v>
      </c>
      <c r="C19" s="5">
        <v>46166</v>
      </c>
      <c r="D19" s="1" t="s">
        <v>60</v>
      </c>
      <c r="E19" s="6" t="s">
        <v>95</v>
      </c>
      <c r="F19" s="6" t="s">
        <v>58</v>
      </c>
      <c r="G19" s="1" t="s">
        <v>80</v>
      </c>
      <c r="H19" s="1" t="s">
        <v>36</v>
      </c>
      <c r="I19" s="1">
        <v>25</v>
      </c>
      <c r="J19" s="1">
        <v>1</v>
      </c>
      <c r="K19" s="1">
        <v>4</v>
      </c>
      <c r="L19" s="1" t="s">
        <v>42</v>
      </c>
      <c r="M19" s="1" t="s">
        <v>220</v>
      </c>
      <c r="N19" s="1" t="s">
        <v>4</v>
      </c>
      <c r="O19" s="5">
        <v>46191</v>
      </c>
    </row>
    <row r="20" spans="1:15">
      <c r="A20" s="1">
        <v>17</v>
      </c>
      <c r="B20" s="1" t="s">
        <v>432</v>
      </c>
      <c r="C20" s="5">
        <v>46183</v>
      </c>
      <c r="D20" s="1" t="s">
        <v>73</v>
      </c>
      <c r="E20" s="6" t="s">
        <v>21</v>
      </c>
      <c r="F20" s="6" t="s">
        <v>27</v>
      </c>
      <c r="G20" s="1" t="s">
        <v>35</v>
      </c>
      <c r="H20" s="1" t="s">
        <v>15</v>
      </c>
      <c r="I20" s="1">
        <v>34</v>
      </c>
      <c r="J20" s="1">
        <v>1</v>
      </c>
      <c r="K20" s="1">
        <v>5</v>
      </c>
      <c r="L20" s="1" t="s">
        <v>42</v>
      </c>
      <c r="M20" s="1" t="s">
        <v>220</v>
      </c>
      <c r="N20" s="1" t="s">
        <v>16</v>
      </c>
      <c r="O20" s="5">
        <v>46220</v>
      </c>
    </row>
    <row r="21" spans="1:15">
      <c r="A21" s="1">
        <v>18</v>
      </c>
      <c r="B21" s="1" t="s">
        <v>433</v>
      </c>
      <c r="C21" s="5">
        <v>46176</v>
      </c>
      <c r="D21" s="1" t="s">
        <v>73</v>
      </c>
      <c r="E21" s="6" t="s">
        <v>51</v>
      </c>
      <c r="F21" s="6" t="s">
        <v>39</v>
      </c>
      <c r="G21" s="1" t="s">
        <v>21</v>
      </c>
      <c r="H21" s="1" t="s">
        <v>66</v>
      </c>
      <c r="I21" s="1">
        <v>38</v>
      </c>
      <c r="J21" s="1">
        <v>5</v>
      </c>
      <c r="K21" s="1">
        <v>5</v>
      </c>
      <c r="L21" s="1" t="s">
        <v>96</v>
      </c>
      <c r="M21" s="1" t="s">
        <v>220</v>
      </c>
      <c r="N21" s="1" t="s">
        <v>54</v>
      </c>
      <c r="O21" s="5">
        <v>46200</v>
      </c>
    </row>
    <row r="22" spans="1:15">
      <c r="A22" s="1">
        <v>19</v>
      </c>
      <c r="B22" s="1" t="s">
        <v>434</v>
      </c>
      <c r="C22" s="5">
        <v>46180</v>
      </c>
      <c r="D22" s="1" t="s">
        <v>73</v>
      </c>
      <c r="E22" s="6" t="s">
        <v>87</v>
      </c>
      <c r="F22" s="6" t="s">
        <v>27</v>
      </c>
      <c r="G22" s="1" t="s">
        <v>31</v>
      </c>
      <c r="H22" s="1" t="s">
        <v>7</v>
      </c>
      <c r="I22" s="1">
        <v>26</v>
      </c>
      <c r="J22" s="1">
        <v>7</v>
      </c>
      <c r="K22" s="1">
        <v>7</v>
      </c>
      <c r="L22" s="1" t="s">
        <v>17</v>
      </c>
      <c r="M22" s="1" t="s">
        <v>224</v>
      </c>
      <c r="N22" s="1" t="s">
        <v>20</v>
      </c>
      <c r="O22" s="5">
        <v>46219</v>
      </c>
    </row>
    <row r="23" spans="1:15">
      <c r="A23" s="1">
        <v>20</v>
      </c>
      <c r="B23" s="1" t="s">
        <v>435</v>
      </c>
      <c r="C23" s="5">
        <v>46224</v>
      </c>
      <c r="D23" s="1" t="s">
        <v>76</v>
      </c>
      <c r="E23" s="6" t="s">
        <v>51</v>
      </c>
      <c r="F23" s="6" t="s">
        <v>5</v>
      </c>
      <c r="G23" s="1" t="s">
        <v>40</v>
      </c>
      <c r="H23" s="1" t="s">
        <v>28</v>
      </c>
      <c r="I23" s="1">
        <v>37</v>
      </c>
      <c r="J23" s="1">
        <v>2</v>
      </c>
      <c r="K23" s="1">
        <v>6</v>
      </c>
      <c r="L23" s="1" t="s">
        <v>10</v>
      </c>
      <c r="M23" s="1" t="s">
        <v>220</v>
      </c>
      <c r="N23" s="1" t="s">
        <v>64</v>
      </c>
      <c r="O23" s="5">
        <v>46234</v>
      </c>
    </row>
    <row r="24" spans="1:15">
      <c r="A24" s="1">
        <v>21</v>
      </c>
      <c r="B24" s="1" t="s">
        <v>436</v>
      </c>
      <c r="C24" s="5">
        <v>46229</v>
      </c>
      <c r="D24" s="1" t="s">
        <v>76</v>
      </c>
      <c r="E24" s="6" t="s">
        <v>31</v>
      </c>
      <c r="F24" s="6" t="s">
        <v>58</v>
      </c>
      <c r="G24" s="1" t="s">
        <v>31</v>
      </c>
      <c r="H24" s="1" t="s">
        <v>7</v>
      </c>
      <c r="I24" s="1">
        <v>34</v>
      </c>
      <c r="J24" s="1">
        <v>3</v>
      </c>
      <c r="K24" s="1">
        <v>7</v>
      </c>
      <c r="L24" s="1" t="s">
        <v>17</v>
      </c>
      <c r="M24" s="1" t="s">
        <v>220</v>
      </c>
      <c r="N24" s="1" t="s">
        <v>49</v>
      </c>
      <c r="O24" s="5">
        <v>46256</v>
      </c>
    </row>
    <row r="25" spans="1:15">
      <c r="A25" s="1">
        <v>22</v>
      </c>
      <c r="B25" s="1" t="s">
        <v>437</v>
      </c>
      <c r="C25" s="5">
        <v>46209</v>
      </c>
      <c r="D25" s="1" t="s">
        <v>76</v>
      </c>
      <c r="E25" s="6" t="s">
        <v>35</v>
      </c>
      <c r="F25" s="6" t="s">
        <v>13</v>
      </c>
      <c r="G25" s="1" t="s">
        <v>51</v>
      </c>
      <c r="H25" s="1" t="s">
        <v>22</v>
      </c>
      <c r="I25" s="1">
        <v>26</v>
      </c>
      <c r="J25" s="1">
        <v>0</v>
      </c>
      <c r="K25" s="1">
        <v>4</v>
      </c>
      <c r="L25" s="1" t="s">
        <v>17</v>
      </c>
      <c r="M25" s="1" t="s">
        <v>302</v>
      </c>
      <c r="N25" s="1" t="s">
        <v>4</v>
      </c>
      <c r="O25" s="5">
        <v>46226</v>
      </c>
    </row>
    <row r="26" spans="1:15">
      <c r="A26" s="1">
        <v>23</v>
      </c>
      <c r="B26" s="1" t="s">
        <v>438</v>
      </c>
      <c r="C26" s="5">
        <v>46229</v>
      </c>
      <c r="D26" s="1" t="s">
        <v>76</v>
      </c>
      <c r="E26" s="6" t="s">
        <v>82</v>
      </c>
      <c r="F26" s="6" t="s">
        <v>89</v>
      </c>
      <c r="G26" s="1" t="s">
        <v>14</v>
      </c>
      <c r="H26" s="1" t="s">
        <v>66</v>
      </c>
      <c r="I26" s="1">
        <v>49</v>
      </c>
      <c r="J26" s="1">
        <v>5</v>
      </c>
      <c r="K26" s="1">
        <v>1</v>
      </c>
      <c r="L26" s="1" t="s">
        <v>10</v>
      </c>
      <c r="M26" s="1" t="s">
        <v>302</v>
      </c>
      <c r="N26" s="1" t="s">
        <v>49</v>
      </c>
      <c r="O26" s="5">
        <v>46270</v>
      </c>
    </row>
    <row r="27" spans="1:15">
      <c r="A27" s="1">
        <v>24</v>
      </c>
      <c r="B27" s="1" t="s">
        <v>439</v>
      </c>
      <c r="C27" s="5">
        <v>46240</v>
      </c>
      <c r="D27" s="1" t="s">
        <v>86</v>
      </c>
      <c r="E27" s="6" t="s">
        <v>77</v>
      </c>
      <c r="F27" s="6" t="s">
        <v>50</v>
      </c>
      <c r="G27" s="1" t="s">
        <v>80</v>
      </c>
      <c r="H27" s="1" t="s">
        <v>15</v>
      </c>
      <c r="I27" s="1">
        <v>23</v>
      </c>
      <c r="J27" s="1">
        <v>2</v>
      </c>
      <c r="K27" s="1">
        <v>5</v>
      </c>
      <c r="L27" s="1" t="s">
        <v>10</v>
      </c>
      <c r="M27" s="1" t="s">
        <v>302</v>
      </c>
      <c r="N27" s="1" t="s">
        <v>49</v>
      </c>
      <c r="O27" s="5">
        <v>46249</v>
      </c>
    </row>
    <row r="28" spans="1:15">
      <c r="A28" s="1">
        <v>25</v>
      </c>
      <c r="B28" s="1" t="s">
        <v>440</v>
      </c>
      <c r="C28" s="5">
        <v>46250</v>
      </c>
      <c r="D28" s="1" t="s">
        <v>86</v>
      </c>
      <c r="E28" s="6" t="s">
        <v>14</v>
      </c>
      <c r="F28" s="6" t="s">
        <v>27</v>
      </c>
      <c r="G28" s="1" t="s">
        <v>77</v>
      </c>
      <c r="H28" s="1" t="s">
        <v>104</v>
      </c>
      <c r="I28" s="1">
        <v>20</v>
      </c>
      <c r="J28" s="1">
        <v>7</v>
      </c>
      <c r="K28" s="1">
        <v>5</v>
      </c>
      <c r="L28" s="1" t="s">
        <v>96</v>
      </c>
      <c r="M28" s="1" t="s">
        <v>220</v>
      </c>
      <c r="N28" s="1" t="s">
        <v>16</v>
      </c>
      <c r="O28" s="5">
        <v>46258</v>
      </c>
    </row>
    <row r="29" spans="1:15">
      <c r="A29" s="1">
        <v>26</v>
      </c>
      <c r="B29" s="1" t="s">
        <v>441</v>
      </c>
      <c r="C29" s="5">
        <v>46248</v>
      </c>
      <c r="D29" s="1" t="s">
        <v>86</v>
      </c>
      <c r="E29" s="6" t="s">
        <v>14</v>
      </c>
      <c r="F29" s="6" t="s">
        <v>13</v>
      </c>
      <c r="G29" s="1" t="s">
        <v>21</v>
      </c>
      <c r="H29" s="1" t="s">
        <v>68</v>
      </c>
      <c r="I29" s="1">
        <v>22</v>
      </c>
      <c r="J29" s="1">
        <v>7</v>
      </c>
      <c r="K29" s="1">
        <v>7</v>
      </c>
      <c r="L29" s="1" t="s">
        <v>96</v>
      </c>
      <c r="M29" s="1" t="s">
        <v>326</v>
      </c>
      <c r="N29" s="1" t="s">
        <v>4</v>
      </c>
      <c r="O29" s="5">
        <v>46271</v>
      </c>
    </row>
    <row r="30" spans="1:15">
      <c r="A30" s="1">
        <v>27</v>
      </c>
      <c r="B30" s="1" t="s">
        <v>442</v>
      </c>
      <c r="C30" s="5">
        <v>46245</v>
      </c>
      <c r="D30" s="1" t="s">
        <v>86</v>
      </c>
      <c r="E30" s="6" t="s">
        <v>35</v>
      </c>
      <c r="F30" s="6" t="s">
        <v>65</v>
      </c>
      <c r="G30" s="1" t="s">
        <v>51</v>
      </c>
      <c r="H30" s="1" t="s">
        <v>36</v>
      </c>
      <c r="I30" s="1">
        <v>21</v>
      </c>
      <c r="J30" s="1">
        <v>5</v>
      </c>
      <c r="K30" s="1">
        <v>4</v>
      </c>
      <c r="L30" s="1" t="s">
        <v>96</v>
      </c>
      <c r="M30" s="1" t="s">
        <v>224</v>
      </c>
      <c r="N30" s="1" t="s">
        <v>4</v>
      </c>
      <c r="O30" s="5">
        <v>46263</v>
      </c>
    </row>
    <row r="31" spans="1:15">
      <c r="A31" s="1">
        <v>28</v>
      </c>
      <c r="B31" s="1" t="s">
        <v>443</v>
      </c>
      <c r="C31" s="5">
        <v>46235</v>
      </c>
      <c r="D31" s="1" t="s">
        <v>86</v>
      </c>
      <c r="E31" s="6" t="s">
        <v>6</v>
      </c>
      <c r="F31" s="6" t="s">
        <v>46</v>
      </c>
      <c r="G31" s="1" t="s">
        <v>35</v>
      </c>
      <c r="H31" s="1" t="s">
        <v>68</v>
      </c>
      <c r="I31" s="1">
        <v>33</v>
      </c>
      <c r="J31" s="1">
        <v>4</v>
      </c>
      <c r="K31" s="1">
        <v>3</v>
      </c>
      <c r="L31" s="1" t="s">
        <v>10</v>
      </c>
      <c r="M31" s="1" t="s">
        <v>224</v>
      </c>
      <c r="N31" s="1" t="s">
        <v>16</v>
      </c>
      <c r="O31" s="5">
        <v>46270</v>
      </c>
    </row>
    <row r="32" spans="1:15">
      <c r="A32" s="1">
        <v>29</v>
      </c>
      <c r="B32" s="1" t="s">
        <v>444</v>
      </c>
      <c r="C32" s="5">
        <v>46239</v>
      </c>
      <c r="D32" s="1" t="s">
        <v>86</v>
      </c>
      <c r="E32" s="6" t="s">
        <v>87</v>
      </c>
      <c r="F32" s="6" t="s">
        <v>50</v>
      </c>
      <c r="G32" s="1" t="s">
        <v>87</v>
      </c>
      <c r="H32" s="1" t="s">
        <v>70</v>
      </c>
      <c r="I32" s="1">
        <v>23</v>
      </c>
      <c r="J32" s="1">
        <v>0</v>
      </c>
      <c r="K32" s="1">
        <v>2</v>
      </c>
      <c r="L32" s="1" t="s">
        <v>96</v>
      </c>
      <c r="M32" s="1" t="s">
        <v>220</v>
      </c>
      <c r="N32" s="1" t="s">
        <v>49</v>
      </c>
      <c r="O32" s="5">
        <v>46272</v>
      </c>
    </row>
    <row r="33" spans="1:15">
      <c r="A33" s="1">
        <v>30</v>
      </c>
      <c r="B33" s="1" t="s">
        <v>445</v>
      </c>
      <c r="C33" s="5">
        <v>46252</v>
      </c>
      <c r="D33" s="1" t="s">
        <v>86</v>
      </c>
      <c r="E33" s="6" t="s">
        <v>87</v>
      </c>
      <c r="F33" s="6" t="s">
        <v>92</v>
      </c>
      <c r="G33" s="1" t="s">
        <v>35</v>
      </c>
      <c r="H33" s="1" t="s">
        <v>70</v>
      </c>
      <c r="I33" s="1">
        <v>15</v>
      </c>
      <c r="J33" s="1">
        <v>8</v>
      </c>
      <c r="K33" s="1">
        <v>1</v>
      </c>
      <c r="L33" s="1" t="s">
        <v>10</v>
      </c>
      <c r="M33" s="1" t="s">
        <v>220</v>
      </c>
      <c r="N33" s="1" t="s">
        <v>4</v>
      </c>
      <c r="O33" s="5">
        <v>46265</v>
      </c>
    </row>
    <row r="34" spans="1:15">
      <c r="A34" s="1">
        <v>31</v>
      </c>
      <c r="B34" s="1" t="s">
        <v>446</v>
      </c>
      <c r="C34" s="5">
        <v>46256</v>
      </c>
      <c r="D34" s="1" t="s">
        <v>86</v>
      </c>
      <c r="E34" s="6" t="s">
        <v>77</v>
      </c>
      <c r="F34" s="6" t="s">
        <v>27</v>
      </c>
      <c r="G34" s="1" t="s">
        <v>80</v>
      </c>
      <c r="H34" s="1" t="s">
        <v>78</v>
      </c>
      <c r="I34" s="1">
        <v>38</v>
      </c>
      <c r="J34" s="1">
        <v>7</v>
      </c>
      <c r="K34" s="1">
        <v>6</v>
      </c>
      <c r="L34" s="1" t="s">
        <v>10</v>
      </c>
      <c r="M34" s="1" t="s">
        <v>220</v>
      </c>
      <c r="N34" s="1" t="s">
        <v>16</v>
      </c>
      <c r="O34" s="5">
        <v>46283</v>
      </c>
    </row>
    <row r="35" spans="1:15">
      <c r="A35" s="1">
        <v>32</v>
      </c>
      <c r="B35" s="1" t="s">
        <v>447</v>
      </c>
      <c r="C35" s="5">
        <v>46258</v>
      </c>
      <c r="D35" s="1" t="s">
        <v>86</v>
      </c>
      <c r="E35" s="6" t="s">
        <v>95</v>
      </c>
      <c r="F35" s="6" t="s">
        <v>46</v>
      </c>
      <c r="G35" s="1" t="s">
        <v>77</v>
      </c>
      <c r="H35" s="1" t="s">
        <v>7</v>
      </c>
      <c r="I35" s="1">
        <v>50</v>
      </c>
      <c r="J35" s="1">
        <v>3</v>
      </c>
      <c r="K35" s="1">
        <v>5</v>
      </c>
      <c r="L35" s="1" t="s">
        <v>96</v>
      </c>
      <c r="M35" s="1" t="s">
        <v>326</v>
      </c>
      <c r="N35" s="1" t="s">
        <v>61</v>
      </c>
      <c r="O35" s="5">
        <v>46299</v>
      </c>
    </row>
    <row r="36" spans="1:15">
      <c r="A36" s="1">
        <v>33</v>
      </c>
      <c r="B36" s="1" t="s">
        <v>448</v>
      </c>
      <c r="C36" s="5">
        <v>46236</v>
      </c>
      <c r="D36" s="1" t="s">
        <v>86</v>
      </c>
      <c r="E36" s="6" t="s">
        <v>82</v>
      </c>
      <c r="F36" s="6" t="s">
        <v>13</v>
      </c>
      <c r="G36" s="1" t="s">
        <v>80</v>
      </c>
      <c r="H36" s="1" t="s">
        <v>22</v>
      </c>
      <c r="I36" s="1">
        <v>16</v>
      </c>
      <c r="J36" s="1">
        <v>8</v>
      </c>
      <c r="K36" s="1">
        <v>3</v>
      </c>
      <c r="L36" s="1" t="s">
        <v>24</v>
      </c>
      <c r="M36" s="1" t="s">
        <v>302</v>
      </c>
      <c r="N36" s="1" t="s">
        <v>57</v>
      </c>
      <c r="O36" s="5">
        <v>46255</v>
      </c>
    </row>
    <row r="37" spans="1:15">
      <c r="A37" s="1">
        <v>34</v>
      </c>
      <c r="B37" s="1" t="s">
        <v>449</v>
      </c>
      <c r="C37" s="5">
        <v>46282</v>
      </c>
      <c r="D37" s="1" t="s">
        <v>102</v>
      </c>
      <c r="E37" s="6" t="s">
        <v>6</v>
      </c>
      <c r="F37" s="6" t="s">
        <v>5</v>
      </c>
      <c r="G37" s="1" t="s">
        <v>14</v>
      </c>
      <c r="H37" s="1" t="s">
        <v>68</v>
      </c>
      <c r="I37" s="1">
        <v>27</v>
      </c>
      <c r="J37" s="1">
        <v>8</v>
      </c>
      <c r="K37" s="1">
        <v>3</v>
      </c>
      <c r="L37" s="1" t="s">
        <v>42</v>
      </c>
      <c r="M37" s="1" t="s">
        <v>224</v>
      </c>
      <c r="N37" s="1" t="s">
        <v>38</v>
      </c>
      <c r="O37" s="5">
        <v>46288</v>
      </c>
    </row>
    <row r="38" spans="1:15">
      <c r="A38" s="1">
        <v>35</v>
      </c>
      <c r="B38" s="1" t="s">
        <v>450</v>
      </c>
      <c r="C38" s="5">
        <v>46274</v>
      </c>
      <c r="D38" s="1" t="s">
        <v>102</v>
      </c>
      <c r="E38" s="6" t="s">
        <v>14</v>
      </c>
      <c r="F38" s="6" t="s">
        <v>58</v>
      </c>
      <c r="G38" s="1" t="s">
        <v>21</v>
      </c>
      <c r="H38" s="1" t="s">
        <v>66</v>
      </c>
      <c r="I38" s="1">
        <v>17</v>
      </c>
      <c r="J38" s="1">
        <v>4</v>
      </c>
      <c r="K38" s="1">
        <v>0</v>
      </c>
      <c r="L38" s="1" t="s">
        <v>17</v>
      </c>
      <c r="M38" s="1" t="s">
        <v>326</v>
      </c>
      <c r="N38" s="1" t="s">
        <v>61</v>
      </c>
      <c r="O38" s="5">
        <v>46283</v>
      </c>
    </row>
    <row r="39" spans="1:15">
      <c r="A39" s="1">
        <v>36</v>
      </c>
      <c r="B39" s="1" t="s">
        <v>451</v>
      </c>
      <c r="C39" s="5">
        <v>46266</v>
      </c>
      <c r="D39" s="1" t="s">
        <v>102</v>
      </c>
      <c r="E39" s="6" t="s">
        <v>21</v>
      </c>
      <c r="F39" s="6" t="s">
        <v>5</v>
      </c>
      <c r="G39" s="1" t="s">
        <v>82</v>
      </c>
      <c r="H39" s="1" t="s">
        <v>41</v>
      </c>
      <c r="I39" s="1">
        <v>17</v>
      </c>
      <c r="J39" s="1">
        <v>1</v>
      </c>
      <c r="K39" s="1">
        <v>1</v>
      </c>
      <c r="L39" s="1" t="s">
        <v>24</v>
      </c>
      <c r="M39" s="1" t="s">
        <v>326</v>
      </c>
      <c r="N39" s="1" t="s">
        <v>12</v>
      </c>
      <c r="O39" s="5">
        <v>46280</v>
      </c>
    </row>
    <row r="40" spans="1:15">
      <c r="A40" s="1">
        <v>37</v>
      </c>
      <c r="B40" s="1" t="s">
        <v>452</v>
      </c>
      <c r="C40" s="5">
        <v>46310</v>
      </c>
      <c r="D40" s="1" t="s">
        <v>106</v>
      </c>
      <c r="E40" s="6" t="s">
        <v>40</v>
      </c>
      <c r="F40" s="6" t="s">
        <v>89</v>
      </c>
      <c r="G40" s="1" t="s">
        <v>51</v>
      </c>
      <c r="H40" s="1" t="s">
        <v>15</v>
      </c>
      <c r="I40" s="1">
        <v>42</v>
      </c>
      <c r="J40" s="1">
        <v>6</v>
      </c>
      <c r="K40" s="1">
        <v>6</v>
      </c>
      <c r="L40" s="1" t="s">
        <v>24</v>
      </c>
      <c r="M40" s="1" t="s">
        <v>224</v>
      </c>
      <c r="N40" s="1" t="s">
        <v>16</v>
      </c>
      <c r="O40" s="5">
        <v>46352</v>
      </c>
    </row>
    <row r="41" spans="1:15">
      <c r="A41" s="1">
        <v>38</v>
      </c>
      <c r="B41" s="1" t="s">
        <v>453</v>
      </c>
      <c r="C41" s="5">
        <v>46302</v>
      </c>
      <c r="D41" s="1" t="s">
        <v>106</v>
      </c>
      <c r="E41" s="6" t="s">
        <v>14</v>
      </c>
      <c r="F41" s="6" t="s">
        <v>46</v>
      </c>
      <c r="G41" s="1" t="s">
        <v>35</v>
      </c>
      <c r="H41" s="1" t="s">
        <v>22</v>
      </c>
      <c r="I41" s="1">
        <v>44</v>
      </c>
      <c r="J41" s="1">
        <v>4</v>
      </c>
      <c r="K41" s="1">
        <v>6</v>
      </c>
      <c r="L41" s="1" t="s">
        <v>42</v>
      </c>
      <c r="M41" s="1" t="s">
        <v>220</v>
      </c>
      <c r="N41" s="1" t="s">
        <v>12</v>
      </c>
      <c r="O41" s="5">
        <v>46346</v>
      </c>
    </row>
    <row r="42" spans="1:15">
      <c r="A42" s="1">
        <v>39</v>
      </c>
      <c r="B42" s="1" t="s">
        <v>454</v>
      </c>
      <c r="C42" s="5">
        <v>46323</v>
      </c>
      <c r="D42" s="1" t="s">
        <v>106</v>
      </c>
      <c r="E42" s="6" t="s">
        <v>77</v>
      </c>
      <c r="F42" s="6" t="s">
        <v>50</v>
      </c>
      <c r="G42" s="1" t="s">
        <v>14</v>
      </c>
      <c r="H42" s="1" t="s">
        <v>22</v>
      </c>
      <c r="I42" s="1">
        <v>35</v>
      </c>
      <c r="J42" s="1">
        <v>3</v>
      </c>
      <c r="K42" s="1">
        <v>0</v>
      </c>
      <c r="L42" s="1" t="s">
        <v>24</v>
      </c>
      <c r="M42" s="1" t="s">
        <v>302</v>
      </c>
      <c r="N42" s="1" t="s">
        <v>12</v>
      </c>
      <c r="O42" s="5">
        <v>46337</v>
      </c>
    </row>
    <row r="43" spans="1:15">
      <c r="A43" s="1">
        <v>40</v>
      </c>
      <c r="B43" s="1" t="s">
        <v>455</v>
      </c>
      <c r="C43" s="5">
        <v>46333</v>
      </c>
      <c r="D43" s="1" t="s">
        <v>111</v>
      </c>
      <c r="E43" s="6" t="s">
        <v>80</v>
      </c>
      <c r="F43" s="6" t="s">
        <v>46</v>
      </c>
      <c r="G43" s="1" t="s">
        <v>21</v>
      </c>
      <c r="H43" s="1" t="s">
        <v>68</v>
      </c>
      <c r="I43" s="1">
        <v>29</v>
      </c>
      <c r="J43" s="1">
        <v>6</v>
      </c>
      <c r="K43" s="1">
        <v>6</v>
      </c>
      <c r="L43" s="1" t="s">
        <v>42</v>
      </c>
      <c r="M43" s="1" t="s">
        <v>220</v>
      </c>
      <c r="N43" s="1" t="s">
        <v>26</v>
      </c>
      <c r="O43" s="5">
        <v>46357</v>
      </c>
    </row>
    <row r="44" spans="1:15">
      <c r="A44" s="1">
        <v>41</v>
      </c>
      <c r="B44" s="1" t="s">
        <v>456</v>
      </c>
      <c r="C44" s="5">
        <v>46342</v>
      </c>
      <c r="D44" s="1" t="s">
        <v>111</v>
      </c>
      <c r="E44" s="6" t="s">
        <v>77</v>
      </c>
      <c r="F44" s="6" t="s">
        <v>89</v>
      </c>
      <c r="G44" s="1" t="s">
        <v>40</v>
      </c>
      <c r="H44" s="1" t="s">
        <v>36</v>
      </c>
      <c r="I44" s="1">
        <v>49</v>
      </c>
      <c r="J44" s="1">
        <v>1</v>
      </c>
      <c r="K44" s="1">
        <v>8</v>
      </c>
      <c r="L44" s="1" t="s">
        <v>17</v>
      </c>
      <c r="M44" s="1" t="s">
        <v>302</v>
      </c>
      <c r="N44" s="1" t="s">
        <v>91</v>
      </c>
      <c r="O44" s="5">
        <v>46386</v>
      </c>
    </row>
    <row r="45" spans="1:15">
      <c r="A45" s="1">
        <v>42</v>
      </c>
      <c r="B45" s="1" t="s">
        <v>457</v>
      </c>
      <c r="C45" s="5">
        <v>46337</v>
      </c>
      <c r="D45" s="1" t="s">
        <v>111</v>
      </c>
      <c r="E45" s="6" t="s">
        <v>14</v>
      </c>
      <c r="F45" s="6" t="s">
        <v>5</v>
      </c>
      <c r="G45" s="1" t="s">
        <v>21</v>
      </c>
      <c r="H45" s="1" t="s">
        <v>68</v>
      </c>
      <c r="I45" s="1">
        <v>29</v>
      </c>
      <c r="J45" s="1">
        <v>2</v>
      </c>
      <c r="K45" s="1">
        <v>8</v>
      </c>
      <c r="L45" s="1" t="s">
        <v>42</v>
      </c>
      <c r="M45" s="1" t="s">
        <v>220</v>
      </c>
      <c r="N45" s="1" t="s">
        <v>26</v>
      </c>
      <c r="O45" s="5">
        <v>46343</v>
      </c>
    </row>
    <row r="46" spans="1:15">
      <c r="A46" s="1">
        <v>43</v>
      </c>
      <c r="B46" s="1" t="s">
        <v>458</v>
      </c>
      <c r="C46" s="5">
        <v>46354</v>
      </c>
      <c r="D46" s="1" t="s">
        <v>111</v>
      </c>
      <c r="E46" s="6" t="s">
        <v>87</v>
      </c>
      <c r="F46" s="6" t="s">
        <v>39</v>
      </c>
      <c r="G46" s="1" t="s">
        <v>82</v>
      </c>
      <c r="H46" s="1" t="s">
        <v>66</v>
      </c>
      <c r="I46" s="1">
        <v>36</v>
      </c>
      <c r="J46" s="1">
        <v>8</v>
      </c>
      <c r="K46" s="1">
        <v>8</v>
      </c>
      <c r="L46" s="1" t="s">
        <v>42</v>
      </c>
      <c r="M46" s="1" t="s">
        <v>224</v>
      </c>
      <c r="N46" s="1" t="s">
        <v>54</v>
      </c>
      <c r="O46" s="5">
        <v>46365</v>
      </c>
    </row>
    <row r="47" spans="1:15">
      <c r="A47" s="1">
        <v>44</v>
      </c>
      <c r="B47" s="1" t="s">
        <v>459</v>
      </c>
      <c r="C47" s="5">
        <v>46345</v>
      </c>
      <c r="D47" s="1" t="s">
        <v>111</v>
      </c>
      <c r="E47" s="6" t="s">
        <v>14</v>
      </c>
      <c r="F47" s="6" t="s">
        <v>65</v>
      </c>
      <c r="G47" s="1" t="s">
        <v>77</v>
      </c>
      <c r="H47" s="1" t="s">
        <v>22</v>
      </c>
      <c r="I47" s="1">
        <v>21</v>
      </c>
      <c r="J47" s="1">
        <v>0</v>
      </c>
      <c r="K47" s="1">
        <v>7</v>
      </c>
      <c r="L47" s="1" t="s">
        <v>10</v>
      </c>
      <c r="M47" s="1" t="s">
        <v>220</v>
      </c>
      <c r="N47" s="1" t="s">
        <v>57</v>
      </c>
      <c r="O47" s="5">
        <v>46380</v>
      </c>
    </row>
    <row r="48" spans="1:15">
      <c r="A48" s="1">
        <v>45</v>
      </c>
      <c r="B48" s="1" t="s">
        <v>460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326</v>
      </c>
      <c r="N48" s="1" t="s">
        <v>54</v>
      </c>
      <c r="O48" s="5">
        <v>46402</v>
      </c>
    </row>
    <row r="49" spans="1:15">
      <c r="A49" s="1">
        <v>46</v>
      </c>
      <c r="B49" s="1" t="s">
        <v>461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220</v>
      </c>
      <c r="N49" s="1" t="s">
        <v>64</v>
      </c>
      <c r="O49" s="5">
        <v>46391</v>
      </c>
    </row>
    <row r="50" spans="1:15">
      <c r="A50" s="1">
        <v>47</v>
      </c>
      <c r="B50" s="1" t="s">
        <v>462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326</v>
      </c>
      <c r="N50" s="1" t="s">
        <v>38</v>
      </c>
      <c r="O50" s="5">
        <v>46390</v>
      </c>
    </row>
    <row r="51" spans="1:15">
      <c r="A51" s="1">
        <v>48</v>
      </c>
      <c r="B51" s="1" t="s">
        <v>463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224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408</v>
      </c>
      <c r="F3" s="1" t="s">
        <v>129</v>
      </c>
      <c r="G3" s="1" t="s">
        <v>130</v>
      </c>
      <c r="H3" s="1" t="s">
        <v>409</v>
      </c>
      <c r="I3" s="1" t="s">
        <v>410</v>
      </c>
      <c r="J3" s="1" t="s">
        <v>411</v>
      </c>
      <c r="K3" s="1" t="s">
        <v>412</v>
      </c>
      <c r="L3" s="1" t="s">
        <v>413</v>
      </c>
      <c r="M3" s="1" t="s">
        <v>286</v>
      </c>
      <c r="N3" s="1" t="s">
        <v>414</v>
      </c>
      <c r="O3" s="1" t="s">
        <v>358</v>
      </c>
    </row>
    <row r="4" spans="1:17">
      <c r="A4" s="1">
        <v>1</v>
      </c>
      <c r="B4" s="1" t="s">
        <v>465</v>
      </c>
      <c r="C4" s="5">
        <v>46024</v>
      </c>
      <c r="D4" s="1" t="s">
        <v>3</v>
      </c>
      <c r="E4" s="6" t="s">
        <v>21</v>
      </c>
      <c r="F4" s="6" t="s">
        <v>89</v>
      </c>
      <c r="G4" s="1" t="s">
        <v>80</v>
      </c>
      <c r="H4" s="1" t="s">
        <v>78</v>
      </c>
      <c r="I4" s="1">
        <v>48</v>
      </c>
      <c r="J4" s="1">
        <v>4</v>
      </c>
      <c r="K4" s="1">
        <v>2</v>
      </c>
      <c r="L4" s="1" t="s">
        <v>10</v>
      </c>
      <c r="M4" s="1" t="s">
        <v>302</v>
      </c>
      <c r="N4" s="1" t="s">
        <v>57</v>
      </c>
      <c r="O4" s="5">
        <v>46031</v>
      </c>
    </row>
    <row r="5" spans="1:17">
      <c r="A5" s="1">
        <v>2</v>
      </c>
      <c r="B5" s="1" t="s">
        <v>466</v>
      </c>
      <c r="C5" s="5">
        <v>46026</v>
      </c>
      <c r="D5" s="1" t="s">
        <v>3</v>
      </c>
      <c r="E5" s="6" t="s">
        <v>95</v>
      </c>
      <c r="F5" s="6" t="s">
        <v>46</v>
      </c>
      <c r="G5" s="1" t="s">
        <v>51</v>
      </c>
      <c r="H5" s="1" t="s">
        <v>70</v>
      </c>
      <c r="I5" s="1">
        <v>44</v>
      </c>
      <c r="J5" s="1">
        <v>2</v>
      </c>
      <c r="K5" s="1">
        <v>2</v>
      </c>
      <c r="L5" s="1" t="s">
        <v>17</v>
      </c>
      <c r="M5" s="1" t="s">
        <v>326</v>
      </c>
      <c r="N5" s="1" t="s">
        <v>26</v>
      </c>
      <c r="O5" s="5">
        <v>46068</v>
      </c>
    </row>
    <row r="6" spans="1:17">
      <c r="A6" s="1">
        <v>3</v>
      </c>
      <c r="B6" s="1" t="s">
        <v>467</v>
      </c>
      <c r="C6" s="5">
        <v>46045</v>
      </c>
      <c r="D6" s="1" t="s">
        <v>3</v>
      </c>
      <c r="E6" s="6" t="s">
        <v>40</v>
      </c>
      <c r="F6" s="6" t="s">
        <v>39</v>
      </c>
      <c r="G6" s="1" t="s">
        <v>80</v>
      </c>
      <c r="H6" s="1" t="s">
        <v>32</v>
      </c>
      <c r="I6" s="1">
        <v>32</v>
      </c>
      <c r="J6" s="1">
        <v>0</v>
      </c>
      <c r="K6" s="1">
        <v>8</v>
      </c>
      <c r="L6" s="1" t="s">
        <v>10</v>
      </c>
      <c r="M6" s="1" t="s">
        <v>224</v>
      </c>
      <c r="N6" s="1" t="s">
        <v>61</v>
      </c>
      <c r="O6" s="5">
        <v>46071</v>
      </c>
    </row>
    <row r="7" spans="1:17">
      <c r="A7" s="1">
        <v>4</v>
      </c>
      <c r="B7" s="1" t="s">
        <v>468</v>
      </c>
      <c r="C7" s="5">
        <v>46037</v>
      </c>
      <c r="D7" s="1" t="s">
        <v>3</v>
      </c>
      <c r="E7" s="6" t="s">
        <v>82</v>
      </c>
      <c r="F7" s="6" t="s">
        <v>92</v>
      </c>
      <c r="G7" s="1" t="s">
        <v>31</v>
      </c>
      <c r="H7" s="1" t="s">
        <v>104</v>
      </c>
      <c r="I7" s="1">
        <v>34</v>
      </c>
      <c r="J7" s="1">
        <v>3</v>
      </c>
      <c r="K7" s="1">
        <v>6</v>
      </c>
      <c r="L7" s="1" t="s">
        <v>24</v>
      </c>
      <c r="M7" s="1" t="s">
        <v>220</v>
      </c>
      <c r="N7" s="1" t="s">
        <v>16</v>
      </c>
      <c r="O7" s="5">
        <v>46071</v>
      </c>
    </row>
    <row r="8" spans="1:17">
      <c r="A8" s="1">
        <v>5</v>
      </c>
      <c r="B8" s="1" t="s">
        <v>469</v>
      </c>
      <c r="C8" s="5">
        <v>46023</v>
      </c>
      <c r="D8" s="1" t="s">
        <v>3</v>
      </c>
      <c r="E8" s="6" t="s">
        <v>80</v>
      </c>
      <c r="F8" s="6" t="s">
        <v>5</v>
      </c>
      <c r="G8" s="1" t="s">
        <v>40</v>
      </c>
      <c r="H8" s="1" t="s">
        <v>41</v>
      </c>
      <c r="I8" s="1">
        <v>50</v>
      </c>
      <c r="J8" s="1">
        <v>6</v>
      </c>
      <c r="K8" s="1">
        <v>5</v>
      </c>
      <c r="L8" s="1" t="s">
        <v>24</v>
      </c>
      <c r="M8" s="1" t="s">
        <v>220</v>
      </c>
      <c r="N8" s="1" t="s">
        <v>64</v>
      </c>
      <c r="O8" s="5">
        <v>46053</v>
      </c>
    </row>
    <row r="9" spans="1:17">
      <c r="A9" s="1">
        <v>6</v>
      </c>
      <c r="B9" s="1" t="s">
        <v>470</v>
      </c>
      <c r="C9" s="5">
        <v>46031</v>
      </c>
      <c r="D9" s="1" t="s">
        <v>3</v>
      </c>
      <c r="E9" s="6" t="s">
        <v>35</v>
      </c>
      <c r="F9" s="6" t="s">
        <v>27</v>
      </c>
      <c r="G9" s="1" t="s">
        <v>21</v>
      </c>
      <c r="H9" s="1" t="s">
        <v>22</v>
      </c>
      <c r="I9" s="1">
        <v>22</v>
      </c>
      <c r="J9" s="1">
        <v>4</v>
      </c>
      <c r="K9" s="1">
        <v>8</v>
      </c>
      <c r="L9" s="1" t="s">
        <v>96</v>
      </c>
      <c r="M9" s="1" t="s">
        <v>326</v>
      </c>
      <c r="N9" s="1" t="s">
        <v>64</v>
      </c>
      <c r="O9" s="5">
        <v>46047</v>
      </c>
    </row>
    <row r="10" spans="1:17">
      <c r="A10" s="1">
        <v>7</v>
      </c>
      <c r="B10" s="1" t="s">
        <v>471</v>
      </c>
      <c r="C10" s="5">
        <v>46055</v>
      </c>
      <c r="D10" s="1" t="s">
        <v>19</v>
      </c>
      <c r="E10" s="6" t="s">
        <v>31</v>
      </c>
      <c r="F10" s="6" t="s">
        <v>58</v>
      </c>
      <c r="G10" s="1" t="s">
        <v>77</v>
      </c>
      <c r="H10" s="1" t="s">
        <v>15</v>
      </c>
      <c r="I10" s="1">
        <v>19</v>
      </c>
      <c r="J10" s="1">
        <v>7</v>
      </c>
      <c r="K10" s="1">
        <v>0</v>
      </c>
      <c r="L10" s="1" t="s">
        <v>42</v>
      </c>
      <c r="M10" s="1" t="s">
        <v>220</v>
      </c>
      <c r="N10" s="1" t="s">
        <v>26</v>
      </c>
      <c r="O10" s="5">
        <v>46082</v>
      </c>
    </row>
    <row r="11" spans="1:17">
      <c r="A11" s="1">
        <v>8</v>
      </c>
      <c r="B11" s="1" t="s">
        <v>472</v>
      </c>
      <c r="C11" s="5">
        <v>46073</v>
      </c>
      <c r="D11" s="1" t="s">
        <v>19</v>
      </c>
      <c r="E11" s="6" t="s">
        <v>77</v>
      </c>
      <c r="F11" s="6" t="s">
        <v>46</v>
      </c>
      <c r="G11" s="1" t="s">
        <v>77</v>
      </c>
      <c r="H11" s="1" t="s">
        <v>7</v>
      </c>
      <c r="I11" s="1">
        <v>15</v>
      </c>
      <c r="J11" s="1">
        <v>5</v>
      </c>
      <c r="K11" s="1">
        <v>2</v>
      </c>
      <c r="L11" s="1" t="s">
        <v>17</v>
      </c>
      <c r="M11" s="1" t="s">
        <v>224</v>
      </c>
      <c r="N11" s="1" t="s">
        <v>91</v>
      </c>
      <c r="O11" s="5">
        <v>46107</v>
      </c>
    </row>
    <row r="12" spans="1:17">
      <c r="A12" s="1">
        <v>9</v>
      </c>
      <c r="B12" s="1" t="s">
        <v>473</v>
      </c>
      <c r="C12" s="5">
        <v>46072</v>
      </c>
      <c r="D12" s="1" t="s">
        <v>19</v>
      </c>
      <c r="E12" s="6" t="s">
        <v>51</v>
      </c>
      <c r="F12" s="6" t="s">
        <v>5</v>
      </c>
      <c r="G12" s="1" t="s">
        <v>82</v>
      </c>
      <c r="H12" s="1" t="s">
        <v>68</v>
      </c>
      <c r="I12" s="1">
        <v>31</v>
      </c>
      <c r="J12" s="1">
        <v>8</v>
      </c>
      <c r="K12" s="1">
        <v>1</v>
      </c>
      <c r="L12" s="1" t="s">
        <v>42</v>
      </c>
      <c r="M12" s="1" t="s">
        <v>220</v>
      </c>
      <c r="N12" s="1" t="s">
        <v>20</v>
      </c>
      <c r="O12" s="5">
        <v>46097</v>
      </c>
    </row>
    <row r="13" spans="1:17">
      <c r="A13" s="1">
        <v>10</v>
      </c>
      <c r="B13" s="1" t="s">
        <v>474</v>
      </c>
      <c r="C13" s="5">
        <v>46084</v>
      </c>
      <c r="D13" s="1" t="s">
        <v>44</v>
      </c>
      <c r="E13" s="6" t="s">
        <v>95</v>
      </c>
      <c r="F13" s="6" t="s">
        <v>50</v>
      </c>
      <c r="G13" s="1" t="s">
        <v>77</v>
      </c>
      <c r="H13" s="1" t="s">
        <v>36</v>
      </c>
      <c r="I13" s="1">
        <v>31</v>
      </c>
      <c r="J13" s="1">
        <v>6</v>
      </c>
      <c r="K13" s="1">
        <v>1</v>
      </c>
      <c r="L13" s="1" t="s">
        <v>42</v>
      </c>
      <c r="M13" s="1" t="s">
        <v>220</v>
      </c>
      <c r="N13" s="1" t="s">
        <v>4</v>
      </c>
      <c r="O13" s="5">
        <v>46128</v>
      </c>
    </row>
    <row r="14" spans="1:17">
      <c r="A14" s="1">
        <v>11</v>
      </c>
      <c r="B14" s="1" t="s">
        <v>475</v>
      </c>
      <c r="C14" s="5">
        <v>46103</v>
      </c>
      <c r="D14" s="1" t="s">
        <v>44</v>
      </c>
      <c r="E14" s="6" t="s">
        <v>80</v>
      </c>
      <c r="F14" s="6" t="s">
        <v>27</v>
      </c>
      <c r="G14" s="1" t="s">
        <v>40</v>
      </c>
      <c r="H14" s="1" t="s">
        <v>62</v>
      </c>
      <c r="I14" s="1">
        <v>46</v>
      </c>
      <c r="J14" s="1">
        <v>0</v>
      </c>
      <c r="K14" s="1">
        <v>1</v>
      </c>
      <c r="L14" s="1" t="s">
        <v>10</v>
      </c>
      <c r="M14" s="1" t="s">
        <v>220</v>
      </c>
      <c r="N14" s="1" t="s">
        <v>45</v>
      </c>
      <c r="O14" s="5">
        <v>46129</v>
      </c>
    </row>
    <row r="15" spans="1:17">
      <c r="A15" s="1">
        <v>12</v>
      </c>
      <c r="B15" s="1" t="s">
        <v>476</v>
      </c>
      <c r="C15" s="5">
        <v>46097</v>
      </c>
      <c r="D15" s="1" t="s">
        <v>44</v>
      </c>
      <c r="E15" s="6" t="s">
        <v>80</v>
      </c>
      <c r="F15" s="6" t="s">
        <v>39</v>
      </c>
      <c r="G15" s="1" t="s">
        <v>82</v>
      </c>
      <c r="H15" s="1" t="s">
        <v>22</v>
      </c>
      <c r="I15" s="1">
        <v>25</v>
      </c>
      <c r="J15" s="1">
        <v>8</v>
      </c>
      <c r="K15" s="1">
        <v>6</v>
      </c>
      <c r="L15" s="1" t="s">
        <v>24</v>
      </c>
      <c r="M15" s="1" t="s">
        <v>220</v>
      </c>
      <c r="N15" s="1" t="s">
        <v>91</v>
      </c>
      <c r="O15" s="5">
        <v>46117</v>
      </c>
    </row>
    <row r="16" spans="1:17">
      <c r="A16" s="1">
        <v>13</v>
      </c>
      <c r="B16" s="1" t="s">
        <v>477</v>
      </c>
      <c r="C16" s="5">
        <v>46114</v>
      </c>
      <c r="D16" s="1" t="s">
        <v>53</v>
      </c>
      <c r="E16" s="6" t="s">
        <v>87</v>
      </c>
      <c r="F16" s="6" t="s">
        <v>46</v>
      </c>
      <c r="G16" s="1" t="s">
        <v>35</v>
      </c>
      <c r="H16" s="1" t="s">
        <v>68</v>
      </c>
      <c r="I16" s="1">
        <v>15</v>
      </c>
      <c r="J16" s="1">
        <v>1</v>
      </c>
      <c r="K16" s="1">
        <v>5</v>
      </c>
      <c r="L16" s="1" t="s">
        <v>42</v>
      </c>
      <c r="M16" s="1" t="s">
        <v>224</v>
      </c>
      <c r="N16" s="1" t="s">
        <v>26</v>
      </c>
      <c r="O16" s="5">
        <v>46125</v>
      </c>
    </row>
    <row r="17" spans="1:15">
      <c r="A17" s="1">
        <v>14</v>
      </c>
      <c r="B17" s="1" t="s">
        <v>478</v>
      </c>
      <c r="C17" s="5">
        <v>46117</v>
      </c>
      <c r="D17" s="1" t="s">
        <v>53</v>
      </c>
      <c r="E17" s="6" t="s">
        <v>35</v>
      </c>
      <c r="F17" s="6" t="s">
        <v>92</v>
      </c>
      <c r="G17" s="1" t="s">
        <v>87</v>
      </c>
      <c r="H17" s="1" t="s">
        <v>28</v>
      </c>
      <c r="I17" s="1">
        <v>44</v>
      </c>
      <c r="J17" s="1">
        <v>2</v>
      </c>
      <c r="K17" s="1">
        <v>5</v>
      </c>
      <c r="L17" s="1" t="s">
        <v>96</v>
      </c>
      <c r="M17" s="1" t="s">
        <v>220</v>
      </c>
      <c r="N17" s="1" t="s">
        <v>12</v>
      </c>
      <c r="O17" s="5">
        <v>46124</v>
      </c>
    </row>
    <row r="18" spans="1:15">
      <c r="A18" s="1">
        <v>15</v>
      </c>
      <c r="B18" s="1" t="s">
        <v>479</v>
      </c>
      <c r="C18" s="5">
        <v>46140</v>
      </c>
      <c r="D18" s="1" t="s">
        <v>53</v>
      </c>
      <c r="E18" s="6" t="s">
        <v>82</v>
      </c>
      <c r="F18" s="6" t="s">
        <v>50</v>
      </c>
      <c r="G18" s="1" t="s">
        <v>80</v>
      </c>
      <c r="H18" s="1" t="s">
        <v>22</v>
      </c>
      <c r="I18" s="1">
        <v>38</v>
      </c>
      <c r="J18" s="1">
        <v>4</v>
      </c>
      <c r="K18" s="1">
        <v>6</v>
      </c>
      <c r="L18" s="1" t="s">
        <v>42</v>
      </c>
      <c r="M18" s="1" t="s">
        <v>224</v>
      </c>
      <c r="N18" s="1" t="s">
        <v>20</v>
      </c>
      <c r="O18" s="5">
        <v>46166</v>
      </c>
    </row>
    <row r="19" spans="1:15">
      <c r="A19" s="1">
        <v>16</v>
      </c>
      <c r="B19" s="1" t="s">
        <v>480</v>
      </c>
      <c r="C19" s="5">
        <v>46133</v>
      </c>
      <c r="D19" s="1" t="s">
        <v>53</v>
      </c>
      <c r="E19" s="6" t="s">
        <v>14</v>
      </c>
      <c r="F19" s="6" t="s">
        <v>50</v>
      </c>
      <c r="G19" s="1" t="s">
        <v>21</v>
      </c>
      <c r="H19" s="1" t="s">
        <v>93</v>
      </c>
      <c r="I19" s="1">
        <v>40</v>
      </c>
      <c r="J19" s="1">
        <v>5</v>
      </c>
      <c r="K19" s="1">
        <v>3</v>
      </c>
      <c r="L19" s="1" t="s">
        <v>24</v>
      </c>
      <c r="M19" s="1" t="s">
        <v>220</v>
      </c>
      <c r="N19" s="1" t="s">
        <v>20</v>
      </c>
      <c r="O19" s="5">
        <v>46146</v>
      </c>
    </row>
    <row r="20" spans="1:15">
      <c r="A20" s="1">
        <v>17</v>
      </c>
      <c r="B20" s="1" t="s">
        <v>481</v>
      </c>
      <c r="C20" s="5">
        <v>46128</v>
      </c>
      <c r="D20" s="1" t="s">
        <v>53</v>
      </c>
      <c r="E20" s="6" t="s">
        <v>6</v>
      </c>
      <c r="F20" s="6" t="s">
        <v>50</v>
      </c>
      <c r="G20" s="1" t="s">
        <v>31</v>
      </c>
      <c r="H20" s="1" t="s">
        <v>22</v>
      </c>
      <c r="I20" s="1">
        <v>49</v>
      </c>
      <c r="J20" s="1">
        <v>3</v>
      </c>
      <c r="K20" s="1">
        <v>4</v>
      </c>
      <c r="L20" s="1" t="s">
        <v>42</v>
      </c>
      <c r="M20" s="1" t="s">
        <v>326</v>
      </c>
      <c r="N20" s="1" t="s">
        <v>12</v>
      </c>
      <c r="O20" s="5">
        <v>46156</v>
      </c>
    </row>
    <row r="21" spans="1:15">
      <c r="A21" s="1">
        <v>18</v>
      </c>
      <c r="B21" s="1" t="s">
        <v>482</v>
      </c>
      <c r="C21" s="5">
        <v>46130</v>
      </c>
      <c r="D21" s="1" t="s">
        <v>53</v>
      </c>
      <c r="E21" s="6" t="s">
        <v>95</v>
      </c>
      <c r="F21" s="6" t="s">
        <v>92</v>
      </c>
      <c r="G21" s="1" t="s">
        <v>14</v>
      </c>
      <c r="H21" s="1" t="s">
        <v>78</v>
      </c>
      <c r="I21" s="1">
        <v>30</v>
      </c>
      <c r="J21" s="1">
        <v>4</v>
      </c>
      <c r="K21" s="1">
        <v>7</v>
      </c>
      <c r="L21" s="1" t="s">
        <v>96</v>
      </c>
      <c r="M21" s="1" t="s">
        <v>224</v>
      </c>
      <c r="N21" s="1" t="s">
        <v>20</v>
      </c>
      <c r="O21" s="5">
        <v>46159</v>
      </c>
    </row>
    <row r="22" spans="1:15">
      <c r="A22" s="1">
        <v>19</v>
      </c>
      <c r="B22" s="1" t="s">
        <v>483</v>
      </c>
      <c r="C22" s="5">
        <v>46166</v>
      </c>
      <c r="D22" s="1" t="s">
        <v>60</v>
      </c>
      <c r="E22" s="6" t="s">
        <v>6</v>
      </c>
      <c r="F22" s="6" t="s">
        <v>89</v>
      </c>
      <c r="G22" s="1" t="s">
        <v>77</v>
      </c>
      <c r="H22" s="1" t="s">
        <v>41</v>
      </c>
      <c r="I22" s="1">
        <v>40</v>
      </c>
      <c r="J22" s="1">
        <v>4</v>
      </c>
      <c r="K22" s="1">
        <v>1</v>
      </c>
      <c r="L22" s="1" t="s">
        <v>10</v>
      </c>
      <c r="M22" s="1" t="s">
        <v>220</v>
      </c>
      <c r="N22" s="1" t="s">
        <v>57</v>
      </c>
      <c r="O22" s="5">
        <v>46173</v>
      </c>
    </row>
    <row r="23" spans="1:15">
      <c r="A23" s="1">
        <v>20</v>
      </c>
      <c r="B23" s="1" t="s">
        <v>484</v>
      </c>
      <c r="C23" s="5">
        <v>46162</v>
      </c>
      <c r="D23" s="1" t="s">
        <v>60</v>
      </c>
      <c r="E23" s="6" t="s">
        <v>6</v>
      </c>
      <c r="F23" s="6" t="s">
        <v>92</v>
      </c>
      <c r="G23" s="1" t="s">
        <v>6</v>
      </c>
      <c r="H23" s="1" t="s">
        <v>36</v>
      </c>
      <c r="I23" s="1">
        <v>46</v>
      </c>
      <c r="J23" s="1">
        <v>8</v>
      </c>
      <c r="K23" s="1">
        <v>5</v>
      </c>
      <c r="L23" s="1" t="s">
        <v>17</v>
      </c>
      <c r="M23" s="1" t="s">
        <v>224</v>
      </c>
      <c r="N23" s="1" t="s">
        <v>30</v>
      </c>
      <c r="O23" s="5">
        <v>46175</v>
      </c>
    </row>
    <row r="24" spans="1:15">
      <c r="A24" s="1">
        <v>21</v>
      </c>
      <c r="B24" s="1" t="s">
        <v>485</v>
      </c>
      <c r="C24" s="5">
        <v>46144</v>
      </c>
      <c r="D24" s="1" t="s">
        <v>60</v>
      </c>
      <c r="E24" s="6" t="s">
        <v>51</v>
      </c>
      <c r="F24" s="6" t="s">
        <v>5</v>
      </c>
      <c r="G24" s="1" t="s">
        <v>80</v>
      </c>
      <c r="H24" s="1" t="s">
        <v>36</v>
      </c>
      <c r="I24" s="1">
        <v>33</v>
      </c>
      <c r="J24" s="1">
        <v>8</v>
      </c>
      <c r="K24" s="1">
        <v>6</v>
      </c>
      <c r="L24" s="1" t="s">
        <v>10</v>
      </c>
      <c r="M24" s="1" t="s">
        <v>224</v>
      </c>
      <c r="N24" s="1" t="s">
        <v>45</v>
      </c>
      <c r="O24" s="5">
        <v>46186</v>
      </c>
    </row>
    <row r="25" spans="1:15">
      <c r="A25" s="1">
        <v>22</v>
      </c>
      <c r="B25" s="1" t="s">
        <v>486</v>
      </c>
      <c r="C25" s="5">
        <v>46153</v>
      </c>
      <c r="D25" s="1" t="s">
        <v>60</v>
      </c>
      <c r="E25" s="6" t="s">
        <v>87</v>
      </c>
      <c r="F25" s="6" t="s">
        <v>89</v>
      </c>
      <c r="G25" s="1" t="s">
        <v>95</v>
      </c>
      <c r="H25" s="1" t="s">
        <v>41</v>
      </c>
      <c r="I25" s="1">
        <v>34</v>
      </c>
      <c r="J25" s="1">
        <v>4</v>
      </c>
      <c r="K25" s="1">
        <v>1</v>
      </c>
      <c r="L25" s="1" t="s">
        <v>42</v>
      </c>
      <c r="M25" s="1" t="s">
        <v>220</v>
      </c>
      <c r="N25" s="1" t="s">
        <v>45</v>
      </c>
      <c r="O25" s="5">
        <v>46188</v>
      </c>
    </row>
    <row r="26" spans="1:15">
      <c r="A26" s="1">
        <v>23</v>
      </c>
      <c r="B26" s="1" t="s">
        <v>487</v>
      </c>
      <c r="C26" s="5">
        <v>46167</v>
      </c>
      <c r="D26" s="1" t="s">
        <v>60</v>
      </c>
      <c r="E26" s="6" t="s">
        <v>31</v>
      </c>
      <c r="F26" s="6" t="s">
        <v>92</v>
      </c>
      <c r="G26" s="1" t="s">
        <v>51</v>
      </c>
      <c r="H26" s="1" t="s">
        <v>36</v>
      </c>
      <c r="I26" s="1">
        <v>30</v>
      </c>
      <c r="J26" s="1">
        <v>8</v>
      </c>
      <c r="K26" s="1">
        <v>0</v>
      </c>
      <c r="L26" s="1" t="s">
        <v>42</v>
      </c>
      <c r="M26" s="1" t="s">
        <v>220</v>
      </c>
      <c r="N26" s="1" t="s">
        <v>54</v>
      </c>
      <c r="O26" s="5">
        <v>46175</v>
      </c>
    </row>
    <row r="27" spans="1:15">
      <c r="A27" s="1">
        <v>24</v>
      </c>
      <c r="B27" s="1" t="s">
        <v>488</v>
      </c>
      <c r="C27" s="5">
        <v>46186</v>
      </c>
      <c r="D27" s="1" t="s">
        <v>73</v>
      </c>
      <c r="E27" s="6" t="s">
        <v>21</v>
      </c>
      <c r="F27" s="6" t="s">
        <v>39</v>
      </c>
      <c r="G27" s="1" t="s">
        <v>35</v>
      </c>
      <c r="H27" s="1" t="s">
        <v>7</v>
      </c>
      <c r="I27" s="1">
        <v>18</v>
      </c>
      <c r="J27" s="1">
        <v>1</v>
      </c>
      <c r="K27" s="1">
        <v>1</v>
      </c>
      <c r="L27" s="1" t="s">
        <v>10</v>
      </c>
      <c r="M27" s="1" t="s">
        <v>224</v>
      </c>
      <c r="N27" s="1" t="s">
        <v>54</v>
      </c>
      <c r="O27" s="5">
        <v>46211</v>
      </c>
    </row>
    <row r="28" spans="1:15">
      <c r="A28" s="1">
        <v>25</v>
      </c>
      <c r="B28" s="1" t="s">
        <v>489</v>
      </c>
      <c r="C28" s="5">
        <v>46182</v>
      </c>
      <c r="D28" s="1" t="s">
        <v>73</v>
      </c>
      <c r="E28" s="6" t="s">
        <v>14</v>
      </c>
      <c r="F28" s="6" t="s">
        <v>13</v>
      </c>
      <c r="G28" s="1" t="s">
        <v>31</v>
      </c>
      <c r="H28" s="1" t="s">
        <v>22</v>
      </c>
      <c r="I28" s="1">
        <v>47</v>
      </c>
      <c r="J28" s="1">
        <v>6</v>
      </c>
      <c r="K28" s="1">
        <v>4</v>
      </c>
      <c r="L28" s="1" t="s">
        <v>42</v>
      </c>
      <c r="M28" s="1" t="s">
        <v>220</v>
      </c>
      <c r="N28" s="1" t="s">
        <v>64</v>
      </c>
      <c r="O28" s="5">
        <v>46222</v>
      </c>
    </row>
    <row r="29" spans="1:15">
      <c r="A29" s="1">
        <v>26</v>
      </c>
      <c r="B29" s="1" t="s">
        <v>490</v>
      </c>
      <c r="C29" s="5">
        <v>46178</v>
      </c>
      <c r="D29" s="1" t="s">
        <v>73</v>
      </c>
      <c r="E29" s="6" t="s">
        <v>35</v>
      </c>
      <c r="F29" s="6" t="s">
        <v>50</v>
      </c>
      <c r="G29" s="1" t="s">
        <v>6</v>
      </c>
      <c r="H29" s="1" t="s">
        <v>70</v>
      </c>
      <c r="I29" s="1">
        <v>47</v>
      </c>
      <c r="J29" s="1">
        <v>8</v>
      </c>
      <c r="K29" s="1">
        <v>1</v>
      </c>
      <c r="L29" s="1" t="s">
        <v>42</v>
      </c>
      <c r="M29" s="1" t="s">
        <v>220</v>
      </c>
      <c r="N29" s="1" t="s">
        <v>16</v>
      </c>
      <c r="O29" s="5">
        <v>46200</v>
      </c>
    </row>
    <row r="30" spans="1:15">
      <c r="A30" s="1">
        <v>27</v>
      </c>
      <c r="B30" s="1" t="s">
        <v>491</v>
      </c>
      <c r="C30" s="5">
        <v>46198</v>
      </c>
      <c r="D30" s="1" t="s">
        <v>73</v>
      </c>
      <c r="E30" s="6" t="s">
        <v>80</v>
      </c>
      <c r="F30" s="6" t="s">
        <v>92</v>
      </c>
      <c r="G30" s="1" t="s">
        <v>35</v>
      </c>
      <c r="H30" s="1" t="s">
        <v>66</v>
      </c>
      <c r="I30" s="1">
        <v>30</v>
      </c>
      <c r="J30" s="1">
        <v>0</v>
      </c>
      <c r="K30" s="1">
        <v>2</v>
      </c>
      <c r="L30" s="1" t="s">
        <v>17</v>
      </c>
      <c r="M30" s="1" t="s">
        <v>220</v>
      </c>
      <c r="N30" s="1" t="s">
        <v>20</v>
      </c>
      <c r="O30" s="5">
        <v>46203</v>
      </c>
    </row>
    <row r="31" spans="1:15">
      <c r="A31" s="1">
        <v>28</v>
      </c>
      <c r="B31" s="1" t="s">
        <v>492</v>
      </c>
      <c r="C31" s="5">
        <v>46218</v>
      </c>
      <c r="D31" s="1" t="s">
        <v>76</v>
      </c>
      <c r="E31" s="6" t="s">
        <v>31</v>
      </c>
      <c r="F31" s="6" t="s">
        <v>50</v>
      </c>
      <c r="G31" s="1" t="s">
        <v>87</v>
      </c>
      <c r="H31" s="1" t="s">
        <v>41</v>
      </c>
      <c r="I31" s="1">
        <v>24</v>
      </c>
      <c r="J31" s="1">
        <v>6</v>
      </c>
      <c r="K31" s="1">
        <v>5</v>
      </c>
      <c r="L31" s="1" t="s">
        <v>10</v>
      </c>
      <c r="M31" s="1" t="s">
        <v>326</v>
      </c>
      <c r="N31" s="1" t="s">
        <v>91</v>
      </c>
      <c r="O31" s="5">
        <v>46237</v>
      </c>
    </row>
    <row r="32" spans="1:15">
      <c r="A32" s="1">
        <v>29</v>
      </c>
      <c r="B32" s="1" t="s">
        <v>493</v>
      </c>
      <c r="C32" s="5">
        <v>46205</v>
      </c>
      <c r="D32" s="1" t="s">
        <v>76</v>
      </c>
      <c r="E32" s="6" t="s">
        <v>80</v>
      </c>
      <c r="F32" s="6" t="s">
        <v>89</v>
      </c>
      <c r="G32" s="1" t="s">
        <v>14</v>
      </c>
      <c r="H32" s="1" t="s">
        <v>78</v>
      </c>
      <c r="I32" s="1">
        <v>17</v>
      </c>
      <c r="J32" s="1">
        <v>2</v>
      </c>
      <c r="K32" s="1">
        <v>3</v>
      </c>
      <c r="L32" s="1" t="s">
        <v>96</v>
      </c>
      <c r="M32" s="1" t="s">
        <v>302</v>
      </c>
      <c r="N32" s="1" t="s">
        <v>38</v>
      </c>
      <c r="O32" s="5">
        <v>46248</v>
      </c>
    </row>
    <row r="33" spans="1:15">
      <c r="A33" s="1">
        <v>30</v>
      </c>
      <c r="B33" s="1" t="s">
        <v>494</v>
      </c>
      <c r="C33" s="5">
        <v>46231</v>
      </c>
      <c r="D33" s="1" t="s">
        <v>76</v>
      </c>
      <c r="E33" s="6" t="s">
        <v>82</v>
      </c>
      <c r="F33" s="6" t="s">
        <v>92</v>
      </c>
      <c r="G33" s="1" t="s">
        <v>77</v>
      </c>
      <c r="H33" s="1" t="s">
        <v>28</v>
      </c>
      <c r="I33" s="1">
        <v>49</v>
      </c>
      <c r="J33" s="1">
        <v>5</v>
      </c>
      <c r="K33" s="1">
        <v>7</v>
      </c>
      <c r="L33" s="1" t="s">
        <v>10</v>
      </c>
      <c r="M33" s="1" t="s">
        <v>302</v>
      </c>
      <c r="N33" s="1" t="s">
        <v>57</v>
      </c>
      <c r="O33" s="5">
        <v>46246</v>
      </c>
    </row>
    <row r="34" spans="1:15">
      <c r="A34" s="1">
        <v>31</v>
      </c>
      <c r="B34" s="1" t="s">
        <v>495</v>
      </c>
      <c r="C34" s="5">
        <v>46207</v>
      </c>
      <c r="D34" s="1" t="s">
        <v>76</v>
      </c>
      <c r="E34" s="6" t="s">
        <v>21</v>
      </c>
      <c r="F34" s="6" t="s">
        <v>50</v>
      </c>
      <c r="G34" s="1" t="s">
        <v>95</v>
      </c>
      <c r="H34" s="1" t="s">
        <v>41</v>
      </c>
      <c r="I34" s="1">
        <v>48</v>
      </c>
      <c r="J34" s="1">
        <v>6</v>
      </c>
      <c r="K34" s="1">
        <v>6</v>
      </c>
      <c r="L34" s="1" t="s">
        <v>17</v>
      </c>
      <c r="M34" s="1" t="s">
        <v>326</v>
      </c>
      <c r="N34" s="1" t="s">
        <v>38</v>
      </c>
      <c r="O34" s="5">
        <v>46232</v>
      </c>
    </row>
    <row r="35" spans="1:15">
      <c r="A35" s="1">
        <v>32</v>
      </c>
      <c r="B35" s="1" t="s">
        <v>496</v>
      </c>
      <c r="C35" s="5">
        <v>46212</v>
      </c>
      <c r="D35" s="1" t="s">
        <v>76</v>
      </c>
      <c r="E35" s="6" t="s">
        <v>51</v>
      </c>
      <c r="F35" s="6" t="s">
        <v>50</v>
      </c>
      <c r="G35" s="1" t="s">
        <v>6</v>
      </c>
      <c r="H35" s="1" t="s">
        <v>68</v>
      </c>
      <c r="I35" s="1">
        <v>29</v>
      </c>
      <c r="J35" s="1">
        <v>1</v>
      </c>
      <c r="K35" s="1">
        <v>8</v>
      </c>
      <c r="L35" s="1" t="s">
        <v>17</v>
      </c>
      <c r="M35" s="1" t="s">
        <v>220</v>
      </c>
      <c r="N35" s="1" t="s">
        <v>38</v>
      </c>
      <c r="O35" s="5">
        <v>46223</v>
      </c>
    </row>
    <row r="36" spans="1:15">
      <c r="A36" s="1">
        <v>33</v>
      </c>
      <c r="B36" s="1" t="s">
        <v>497</v>
      </c>
      <c r="C36" s="5">
        <v>46222</v>
      </c>
      <c r="D36" s="1" t="s">
        <v>76</v>
      </c>
      <c r="E36" s="6" t="s">
        <v>82</v>
      </c>
      <c r="F36" s="6" t="s">
        <v>27</v>
      </c>
      <c r="G36" s="1" t="s">
        <v>87</v>
      </c>
      <c r="H36" s="1" t="s">
        <v>28</v>
      </c>
      <c r="I36" s="1">
        <v>32</v>
      </c>
      <c r="J36" s="1">
        <v>8</v>
      </c>
      <c r="K36" s="1">
        <v>1</v>
      </c>
      <c r="L36" s="1" t="s">
        <v>24</v>
      </c>
      <c r="M36" s="1" t="s">
        <v>224</v>
      </c>
      <c r="N36" s="1" t="s">
        <v>12</v>
      </c>
      <c r="O36" s="5">
        <v>46232</v>
      </c>
    </row>
    <row r="37" spans="1:15">
      <c r="A37" s="1">
        <v>34</v>
      </c>
      <c r="B37" s="1" t="s">
        <v>498</v>
      </c>
      <c r="C37" s="5">
        <v>46223</v>
      </c>
      <c r="D37" s="1" t="s">
        <v>76</v>
      </c>
      <c r="E37" s="6" t="s">
        <v>82</v>
      </c>
      <c r="F37" s="6" t="s">
        <v>13</v>
      </c>
      <c r="G37" s="1" t="s">
        <v>80</v>
      </c>
      <c r="H37" s="1" t="s">
        <v>68</v>
      </c>
      <c r="I37" s="1">
        <v>22</v>
      </c>
      <c r="J37" s="1">
        <v>0</v>
      </c>
      <c r="K37" s="1">
        <v>3</v>
      </c>
      <c r="L37" s="1" t="s">
        <v>42</v>
      </c>
      <c r="M37" s="1" t="s">
        <v>224</v>
      </c>
      <c r="N37" s="1" t="s">
        <v>45</v>
      </c>
      <c r="O37" s="5">
        <v>46265</v>
      </c>
    </row>
    <row r="38" spans="1:15">
      <c r="A38" s="1">
        <v>35</v>
      </c>
      <c r="B38" s="1" t="s">
        <v>499</v>
      </c>
      <c r="C38" s="5">
        <v>46247</v>
      </c>
      <c r="D38" s="1" t="s">
        <v>86</v>
      </c>
      <c r="E38" s="6" t="s">
        <v>77</v>
      </c>
      <c r="F38" s="6" t="s">
        <v>65</v>
      </c>
      <c r="G38" s="1" t="s">
        <v>31</v>
      </c>
      <c r="H38" s="1" t="s">
        <v>66</v>
      </c>
      <c r="I38" s="1">
        <v>34</v>
      </c>
      <c r="J38" s="1">
        <v>7</v>
      </c>
      <c r="K38" s="1">
        <v>7</v>
      </c>
      <c r="L38" s="1" t="s">
        <v>10</v>
      </c>
      <c r="M38" s="1" t="s">
        <v>220</v>
      </c>
      <c r="N38" s="1" t="s">
        <v>4</v>
      </c>
      <c r="O38" s="5">
        <v>46276</v>
      </c>
    </row>
    <row r="39" spans="1:15">
      <c r="A39" s="1">
        <v>36</v>
      </c>
      <c r="B39" s="1" t="s">
        <v>500</v>
      </c>
      <c r="C39" s="5">
        <v>46245</v>
      </c>
      <c r="D39" s="1" t="s">
        <v>86</v>
      </c>
      <c r="E39" s="6" t="s">
        <v>95</v>
      </c>
      <c r="F39" s="6" t="s">
        <v>92</v>
      </c>
      <c r="G39" s="1" t="s">
        <v>95</v>
      </c>
      <c r="H39" s="1" t="s">
        <v>62</v>
      </c>
      <c r="I39" s="1">
        <v>16</v>
      </c>
      <c r="J39" s="1">
        <v>8</v>
      </c>
      <c r="K39" s="1">
        <v>5</v>
      </c>
      <c r="L39" s="1" t="s">
        <v>96</v>
      </c>
      <c r="M39" s="1" t="s">
        <v>224</v>
      </c>
      <c r="N39" s="1" t="s">
        <v>61</v>
      </c>
      <c r="O39" s="5">
        <v>46253</v>
      </c>
    </row>
    <row r="40" spans="1:15">
      <c r="A40" s="1">
        <v>37</v>
      </c>
      <c r="B40" s="1" t="s">
        <v>501</v>
      </c>
      <c r="C40" s="5">
        <v>46262</v>
      </c>
      <c r="D40" s="1" t="s">
        <v>86</v>
      </c>
      <c r="E40" s="6" t="s">
        <v>14</v>
      </c>
      <c r="F40" s="6" t="s">
        <v>13</v>
      </c>
      <c r="G40" s="1" t="s">
        <v>51</v>
      </c>
      <c r="H40" s="1" t="s">
        <v>15</v>
      </c>
      <c r="I40" s="1">
        <v>31</v>
      </c>
      <c r="J40" s="1">
        <v>8</v>
      </c>
      <c r="K40" s="1">
        <v>6</v>
      </c>
      <c r="L40" s="1" t="s">
        <v>17</v>
      </c>
      <c r="M40" s="1" t="s">
        <v>220</v>
      </c>
      <c r="N40" s="1" t="s">
        <v>30</v>
      </c>
      <c r="O40" s="5">
        <v>46292</v>
      </c>
    </row>
    <row r="41" spans="1:15">
      <c r="A41" s="1">
        <v>38</v>
      </c>
      <c r="B41" s="1" t="s">
        <v>502</v>
      </c>
      <c r="C41" s="5">
        <v>46238</v>
      </c>
      <c r="D41" s="1" t="s">
        <v>86</v>
      </c>
      <c r="E41" s="6" t="s">
        <v>35</v>
      </c>
      <c r="F41" s="6" t="s">
        <v>13</v>
      </c>
      <c r="G41" s="1" t="s">
        <v>40</v>
      </c>
      <c r="H41" s="1" t="s">
        <v>62</v>
      </c>
      <c r="I41" s="1">
        <v>31</v>
      </c>
      <c r="J41" s="1">
        <v>1</v>
      </c>
      <c r="K41" s="1">
        <v>6</v>
      </c>
      <c r="L41" s="1" t="s">
        <v>24</v>
      </c>
      <c r="M41" s="1" t="s">
        <v>302</v>
      </c>
      <c r="N41" s="1" t="s">
        <v>12</v>
      </c>
      <c r="O41" s="5">
        <v>46281</v>
      </c>
    </row>
    <row r="42" spans="1:15">
      <c r="A42" s="1">
        <v>39</v>
      </c>
      <c r="B42" s="1" t="s">
        <v>503</v>
      </c>
      <c r="C42" s="5">
        <v>46276</v>
      </c>
      <c r="D42" s="1" t="s">
        <v>102</v>
      </c>
      <c r="E42" s="6" t="s">
        <v>14</v>
      </c>
      <c r="F42" s="6" t="s">
        <v>89</v>
      </c>
      <c r="G42" s="1" t="s">
        <v>31</v>
      </c>
      <c r="H42" s="1" t="s">
        <v>93</v>
      </c>
      <c r="I42" s="1">
        <v>47</v>
      </c>
      <c r="J42" s="1">
        <v>3</v>
      </c>
      <c r="K42" s="1">
        <v>2</v>
      </c>
      <c r="L42" s="1" t="s">
        <v>42</v>
      </c>
      <c r="M42" s="1" t="s">
        <v>302</v>
      </c>
      <c r="N42" s="1" t="s">
        <v>61</v>
      </c>
      <c r="O42" s="5">
        <v>46294</v>
      </c>
    </row>
    <row r="43" spans="1:15">
      <c r="A43" s="1">
        <v>40</v>
      </c>
      <c r="B43" s="1" t="s">
        <v>504</v>
      </c>
      <c r="C43" s="5">
        <v>46305</v>
      </c>
      <c r="D43" s="1" t="s">
        <v>106</v>
      </c>
      <c r="E43" s="6" t="s">
        <v>87</v>
      </c>
      <c r="F43" s="6" t="s">
        <v>58</v>
      </c>
      <c r="G43" s="1" t="s">
        <v>80</v>
      </c>
      <c r="H43" s="1" t="s">
        <v>41</v>
      </c>
      <c r="I43" s="1">
        <v>24</v>
      </c>
      <c r="J43" s="1">
        <v>3</v>
      </c>
      <c r="K43" s="1">
        <v>1</v>
      </c>
      <c r="L43" s="1" t="s">
        <v>42</v>
      </c>
      <c r="M43" s="1" t="s">
        <v>220</v>
      </c>
      <c r="N43" s="1" t="s">
        <v>61</v>
      </c>
      <c r="O43" s="5">
        <v>46311</v>
      </c>
    </row>
    <row r="44" spans="1:15">
      <c r="A44" s="1">
        <v>41</v>
      </c>
      <c r="B44" s="1" t="s">
        <v>505</v>
      </c>
      <c r="C44" s="5">
        <v>46297</v>
      </c>
      <c r="D44" s="1" t="s">
        <v>106</v>
      </c>
      <c r="E44" s="6" t="s">
        <v>6</v>
      </c>
      <c r="F44" s="6" t="s">
        <v>27</v>
      </c>
      <c r="G44" s="1" t="s">
        <v>82</v>
      </c>
      <c r="H44" s="1" t="s">
        <v>7</v>
      </c>
      <c r="I44" s="1">
        <v>28</v>
      </c>
      <c r="J44" s="1">
        <v>4</v>
      </c>
      <c r="K44" s="1">
        <v>5</v>
      </c>
      <c r="L44" s="1" t="s">
        <v>17</v>
      </c>
      <c r="M44" s="1" t="s">
        <v>224</v>
      </c>
      <c r="N44" s="1" t="s">
        <v>12</v>
      </c>
      <c r="O44" s="5">
        <v>46311</v>
      </c>
    </row>
    <row r="45" spans="1:15">
      <c r="A45" s="1">
        <v>42</v>
      </c>
      <c r="B45" s="1" t="s">
        <v>506</v>
      </c>
      <c r="C45" s="5">
        <v>46310</v>
      </c>
      <c r="D45" s="1" t="s">
        <v>106</v>
      </c>
      <c r="E45" s="6" t="s">
        <v>87</v>
      </c>
      <c r="F45" s="6" t="s">
        <v>5</v>
      </c>
      <c r="G45" s="1" t="s">
        <v>51</v>
      </c>
      <c r="H45" s="1" t="s">
        <v>28</v>
      </c>
      <c r="I45" s="1">
        <v>43</v>
      </c>
      <c r="J45" s="1">
        <v>3</v>
      </c>
      <c r="K45" s="1">
        <v>4</v>
      </c>
      <c r="L45" s="1" t="s">
        <v>17</v>
      </c>
      <c r="M45" s="1" t="s">
        <v>326</v>
      </c>
      <c r="N45" s="1" t="s">
        <v>12</v>
      </c>
      <c r="O45" s="5">
        <v>46322</v>
      </c>
    </row>
    <row r="46" spans="1:15">
      <c r="A46" s="1">
        <v>43</v>
      </c>
      <c r="B46" s="1" t="s">
        <v>507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302</v>
      </c>
      <c r="N46" s="1" t="s">
        <v>61</v>
      </c>
      <c r="O46" s="5">
        <v>46362</v>
      </c>
    </row>
    <row r="47" spans="1:15">
      <c r="A47" s="1">
        <v>44</v>
      </c>
      <c r="B47" s="1" t="s">
        <v>508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224</v>
      </c>
      <c r="N47" s="1" t="s">
        <v>16</v>
      </c>
      <c r="O47" s="5">
        <v>46361</v>
      </c>
    </row>
    <row r="48" spans="1:15">
      <c r="A48" s="1">
        <v>45</v>
      </c>
      <c r="B48" s="1" t="s">
        <v>509</v>
      </c>
      <c r="C48" s="5">
        <v>46351</v>
      </c>
      <c r="D48" s="1" t="s">
        <v>111</v>
      </c>
      <c r="E48" s="6" t="s">
        <v>87</v>
      </c>
      <c r="F48" s="6" t="s">
        <v>65</v>
      </c>
      <c r="G48" s="1" t="s">
        <v>31</v>
      </c>
      <c r="H48" s="1" t="s">
        <v>41</v>
      </c>
      <c r="I48" s="1">
        <v>32</v>
      </c>
      <c r="J48" s="1">
        <v>5</v>
      </c>
      <c r="K48" s="1">
        <v>8</v>
      </c>
      <c r="L48" s="1" t="s">
        <v>24</v>
      </c>
      <c r="M48" s="1" t="s">
        <v>220</v>
      </c>
      <c r="N48" s="1" t="s">
        <v>91</v>
      </c>
      <c r="O48" s="5">
        <v>46374</v>
      </c>
    </row>
    <row r="49" spans="1:15">
      <c r="A49" s="1">
        <v>46</v>
      </c>
      <c r="B49" s="1" t="s">
        <v>510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326</v>
      </c>
      <c r="N49" s="1" t="s">
        <v>64</v>
      </c>
      <c r="O49" s="5">
        <v>46390</v>
      </c>
    </row>
    <row r="50" spans="1:15">
      <c r="A50" s="1">
        <v>47</v>
      </c>
      <c r="B50" s="1" t="s">
        <v>511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220</v>
      </c>
      <c r="N50" s="1" t="s">
        <v>91</v>
      </c>
      <c r="O50" s="5">
        <v>46403</v>
      </c>
    </row>
    <row r="51" spans="1:15">
      <c r="A51" s="1">
        <v>48</v>
      </c>
      <c r="B51" s="1" t="s">
        <v>512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224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566</v>
      </c>
      <c r="C3" s="1" t="s">
        <v>126</v>
      </c>
      <c r="D3" s="1" t="s">
        <v>127</v>
      </c>
      <c r="E3" s="1" t="s">
        <v>567</v>
      </c>
      <c r="F3" s="1" t="s">
        <v>568</v>
      </c>
      <c r="G3" s="1" t="s">
        <v>129</v>
      </c>
      <c r="H3" s="1" t="s">
        <v>569</v>
      </c>
      <c r="I3" s="1" t="s">
        <v>570</v>
      </c>
      <c r="J3" s="1" t="s">
        <v>571</v>
      </c>
      <c r="K3" s="2" t="s">
        <v>134</v>
      </c>
      <c r="L3" s="1" t="s">
        <v>135</v>
      </c>
      <c r="M3" s="1" t="s">
        <v>572</v>
      </c>
      <c r="N3" s="1" t="s">
        <v>573</v>
      </c>
      <c r="O3" s="2" t="s">
        <v>574</v>
      </c>
      <c r="P3" s="1" t="s">
        <v>575</v>
      </c>
    </row>
    <row r="4" spans="1:18">
      <c r="A4" s="1">
        <v>1</v>
      </c>
      <c r="B4" s="1" t="s">
        <v>514</v>
      </c>
      <c r="C4" s="5">
        <v>46032</v>
      </c>
      <c r="D4" s="1" t="s">
        <v>3</v>
      </c>
      <c r="E4" s="6" t="s">
        <v>515</v>
      </c>
      <c r="F4" s="6" t="s">
        <v>30</v>
      </c>
      <c r="G4" s="1" t="s">
        <v>13</v>
      </c>
      <c r="H4" s="1" t="s">
        <v>70</v>
      </c>
      <c r="I4" s="1">
        <v>40</v>
      </c>
      <c r="J4" s="1">
        <v>45</v>
      </c>
      <c r="K4" s="2">
        <f>IFERROR(J4/I4*100,0)</f>
        <v>0</v>
      </c>
      <c r="L4" s="1">
        <v>48</v>
      </c>
      <c r="M4" s="1">
        <v>0</v>
      </c>
      <c r="N4" s="1">
        <v>4</v>
      </c>
      <c r="O4" s="2">
        <f>IFERROR(N4/M4*100,0)</f>
        <v>0</v>
      </c>
      <c r="P4" s="1" t="s">
        <v>9</v>
      </c>
    </row>
    <row r="5" spans="1:18">
      <c r="A5" s="1">
        <v>2</v>
      </c>
      <c r="B5" s="1" t="s">
        <v>516</v>
      </c>
      <c r="C5" s="5">
        <v>46078</v>
      </c>
      <c r="D5" s="1" t="s">
        <v>19</v>
      </c>
      <c r="E5" s="6" t="s">
        <v>517</v>
      </c>
      <c r="F5" s="6" t="s">
        <v>64</v>
      </c>
      <c r="G5" s="1" t="s">
        <v>5</v>
      </c>
      <c r="H5" s="1" t="s">
        <v>68</v>
      </c>
      <c r="I5" s="1">
        <v>37</v>
      </c>
      <c r="J5" s="1">
        <v>11</v>
      </c>
      <c r="K5" s="2">
        <f>IFERROR(J5/I5*100,0)</f>
        <v>0</v>
      </c>
      <c r="L5" s="1">
        <v>36</v>
      </c>
      <c r="M5" s="1">
        <v>1</v>
      </c>
      <c r="N5" s="1">
        <v>3</v>
      </c>
      <c r="O5" s="2">
        <f>IFERROR(N5/M5*100,0)</f>
        <v>0</v>
      </c>
      <c r="P5" s="1" t="s">
        <v>9</v>
      </c>
    </row>
    <row r="6" spans="1:18">
      <c r="A6" s="1">
        <v>3</v>
      </c>
      <c r="B6" s="1" t="s">
        <v>518</v>
      </c>
      <c r="C6" s="5">
        <v>46056</v>
      </c>
      <c r="D6" s="1" t="s">
        <v>19</v>
      </c>
      <c r="E6" s="6" t="s">
        <v>519</v>
      </c>
      <c r="F6" s="6" t="s">
        <v>12</v>
      </c>
      <c r="G6" s="1" t="s">
        <v>92</v>
      </c>
      <c r="H6" s="1" t="s">
        <v>36</v>
      </c>
      <c r="I6" s="1">
        <v>49</v>
      </c>
      <c r="J6" s="1">
        <v>29</v>
      </c>
      <c r="K6" s="2">
        <f>IFERROR(J6/I6*100,0)</f>
        <v>0</v>
      </c>
      <c r="L6" s="1">
        <v>111</v>
      </c>
      <c r="M6" s="1">
        <v>5</v>
      </c>
      <c r="N6" s="1">
        <v>7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520</v>
      </c>
      <c r="C7" s="5">
        <v>46080</v>
      </c>
      <c r="D7" s="1" t="s">
        <v>19</v>
      </c>
      <c r="E7" s="6" t="s">
        <v>521</v>
      </c>
      <c r="F7" s="6" t="s">
        <v>26</v>
      </c>
      <c r="G7" s="1" t="s">
        <v>46</v>
      </c>
      <c r="H7" s="1" t="s">
        <v>41</v>
      </c>
      <c r="I7" s="1">
        <v>41</v>
      </c>
      <c r="J7" s="1">
        <v>51</v>
      </c>
      <c r="K7" s="2">
        <f>IFERROR(J7/I7*100,0)</f>
        <v>0</v>
      </c>
      <c r="L7" s="1">
        <v>99</v>
      </c>
      <c r="M7" s="1">
        <v>2</v>
      </c>
      <c r="N7" s="1">
        <v>0</v>
      </c>
      <c r="O7" s="2">
        <f>IFERROR(N7/M7*100,0)</f>
        <v>0</v>
      </c>
      <c r="P7" s="1" t="s">
        <v>23</v>
      </c>
    </row>
    <row r="8" spans="1:18">
      <c r="A8" s="1">
        <v>5</v>
      </c>
      <c r="B8" s="1" t="s">
        <v>522</v>
      </c>
      <c r="C8" s="5">
        <v>46054</v>
      </c>
      <c r="D8" s="1" t="s">
        <v>19</v>
      </c>
      <c r="E8" s="6" t="s">
        <v>521</v>
      </c>
      <c r="F8" s="6" t="s">
        <v>16</v>
      </c>
      <c r="G8" s="1" t="s">
        <v>92</v>
      </c>
      <c r="H8" s="1" t="s">
        <v>66</v>
      </c>
      <c r="I8" s="1">
        <v>41</v>
      </c>
      <c r="J8" s="1">
        <v>10</v>
      </c>
      <c r="K8" s="2">
        <f>IFERROR(J8/I8*100,0)</f>
        <v>0</v>
      </c>
      <c r="L8" s="1">
        <v>40</v>
      </c>
      <c r="M8" s="1">
        <v>0</v>
      </c>
      <c r="N8" s="1">
        <v>4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523</v>
      </c>
      <c r="C9" s="5">
        <v>46077</v>
      </c>
      <c r="D9" s="1" t="s">
        <v>19</v>
      </c>
      <c r="E9" s="6" t="s">
        <v>515</v>
      </c>
      <c r="F9" s="6" t="s">
        <v>16</v>
      </c>
      <c r="G9" s="1" t="s">
        <v>13</v>
      </c>
      <c r="H9" s="1" t="s">
        <v>93</v>
      </c>
      <c r="I9" s="1">
        <v>29</v>
      </c>
      <c r="J9" s="1">
        <v>15</v>
      </c>
      <c r="K9" s="2">
        <f>IFERROR(J9/I9*100,0)</f>
        <v>0</v>
      </c>
      <c r="L9" s="1">
        <v>55</v>
      </c>
      <c r="M9" s="1">
        <v>5</v>
      </c>
      <c r="N9" s="1">
        <v>3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524</v>
      </c>
      <c r="C10" s="5">
        <v>46071</v>
      </c>
      <c r="D10" s="1" t="s">
        <v>19</v>
      </c>
      <c r="E10" s="6" t="s">
        <v>515</v>
      </c>
      <c r="F10" s="6" t="s">
        <v>30</v>
      </c>
      <c r="G10" s="1" t="s">
        <v>65</v>
      </c>
      <c r="H10" s="1" t="s">
        <v>78</v>
      </c>
      <c r="I10" s="1">
        <v>51</v>
      </c>
      <c r="J10" s="1">
        <v>53</v>
      </c>
      <c r="K10" s="2">
        <f>IFERROR(J10/I10*100,0)</f>
        <v>0</v>
      </c>
      <c r="L10" s="1">
        <v>95</v>
      </c>
      <c r="M10" s="1">
        <v>8</v>
      </c>
      <c r="N10" s="1">
        <v>4</v>
      </c>
      <c r="O10" s="2">
        <f>IFERROR(N10/M10*100,0)</f>
        <v>0</v>
      </c>
      <c r="P10" s="1" t="s">
        <v>9</v>
      </c>
    </row>
    <row r="11" spans="1:18">
      <c r="A11" s="1">
        <v>8</v>
      </c>
      <c r="B11" s="1" t="s">
        <v>525</v>
      </c>
      <c r="C11" s="5">
        <v>46092</v>
      </c>
      <c r="D11" s="1" t="s">
        <v>44</v>
      </c>
      <c r="E11" s="6" t="s">
        <v>517</v>
      </c>
      <c r="F11" s="6" t="s">
        <v>30</v>
      </c>
      <c r="G11" s="1" t="s">
        <v>89</v>
      </c>
      <c r="H11" s="1" t="s">
        <v>66</v>
      </c>
      <c r="I11" s="1">
        <v>10</v>
      </c>
      <c r="J11" s="1">
        <v>17</v>
      </c>
      <c r="K11" s="2">
        <f>IFERROR(J11/I11*100,0)</f>
        <v>0</v>
      </c>
      <c r="L11" s="1">
        <v>104</v>
      </c>
      <c r="M11" s="1">
        <v>4</v>
      </c>
      <c r="N11" s="1">
        <v>1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526</v>
      </c>
      <c r="C12" s="5">
        <v>46109</v>
      </c>
      <c r="D12" s="1" t="s">
        <v>44</v>
      </c>
      <c r="E12" s="6" t="s">
        <v>519</v>
      </c>
      <c r="F12" s="6" t="s">
        <v>61</v>
      </c>
      <c r="G12" s="1" t="s">
        <v>13</v>
      </c>
      <c r="H12" s="1" t="s">
        <v>62</v>
      </c>
      <c r="I12" s="1">
        <v>13</v>
      </c>
      <c r="J12" s="1">
        <v>39</v>
      </c>
      <c r="K12" s="2">
        <f>IFERROR(J12/I12*100,0)</f>
        <v>0</v>
      </c>
      <c r="L12" s="1">
        <v>116</v>
      </c>
      <c r="M12" s="1">
        <v>3</v>
      </c>
      <c r="N12" s="1">
        <v>0</v>
      </c>
      <c r="O12" s="2">
        <f>IFERROR(N12/M12*100,0)</f>
        <v>0</v>
      </c>
      <c r="P12" s="1" t="s">
        <v>23</v>
      </c>
    </row>
    <row r="13" spans="1:18">
      <c r="A13" s="1">
        <v>10</v>
      </c>
      <c r="B13" s="1" t="s">
        <v>527</v>
      </c>
      <c r="C13" s="5">
        <v>46108</v>
      </c>
      <c r="D13" s="1" t="s">
        <v>44</v>
      </c>
      <c r="E13" s="6" t="s">
        <v>521</v>
      </c>
      <c r="F13" s="6" t="s">
        <v>64</v>
      </c>
      <c r="G13" s="1" t="s">
        <v>89</v>
      </c>
      <c r="H13" s="1" t="s">
        <v>41</v>
      </c>
      <c r="I13" s="1">
        <v>13</v>
      </c>
      <c r="J13" s="1">
        <v>14</v>
      </c>
      <c r="K13" s="2">
        <f>IFERROR(J13/I13*100,0)</f>
        <v>0</v>
      </c>
      <c r="L13" s="1">
        <v>109</v>
      </c>
      <c r="M13" s="1">
        <v>7</v>
      </c>
      <c r="N13" s="1">
        <v>8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528</v>
      </c>
      <c r="C14" s="5">
        <v>46082</v>
      </c>
      <c r="D14" s="1" t="s">
        <v>44</v>
      </c>
      <c r="E14" s="6" t="s">
        <v>515</v>
      </c>
      <c r="F14" s="6" t="s">
        <v>64</v>
      </c>
      <c r="G14" s="1" t="s">
        <v>46</v>
      </c>
      <c r="H14" s="1" t="s">
        <v>68</v>
      </c>
      <c r="I14" s="1">
        <v>46</v>
      </c>
      <c r="J14" s="1">
        <v>26</v>
      </c>
      <c r="K14" s="2">
        <f>IFERROR(J14/I14*100,0)</f>
        <v>0</v>
      </c>
      <c r="L14" s="1">
        <v>30</v>
      </c>
      <c r="M14" s="1">
        <v>6</v>
      </c>
      <c r="N14" s="1">
        <v>5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529</v>
      </c>
      <c r="C15" s="5">
        <v>46109</v>
      </c>
      <c r="D15" s="1" t="s">
        <v>44</v>
      </c>
      <c r="E15" s="6" t="s">
        <v>519</v>
      </c>
      <c r="F15" s="6" t="s">
        <v>30</v>
      </c>
      <c r="G15" s="1" t="s">
        <v>92</v>
      </c>
      <c r="H15" s="1" t="s">
        <v>36</v>
      </c>
      <c r="I15" s="1">
        <v>40</v>
      </c>
      <c r="J15" s="1">
        <v>40</v>
      </c>
      <c r="K15" s="2">
        <f>IFERROR(J15/I15*100,0)</f>
        <v>0</v>
      </c>
      <c r="L15" s="1">
        <v>108</v>
      </c>
      <c r="M15" s="1">
        <v>1</v>
      </c>
      <c r="N15" s="1">
        <v>2</v>
      </c>
      <c r="O15" s="2">
        <f>IFERROR(N15/M15*100,0)</f>
        <v>0</v>
      </c>
      <c r="P15" s="1" t="s">
        <v>23</v>
      </c>
    </row>
    <row r="16" spans="1:18">
      <c r="A16" s="1">
        <v>13</v>
      </c>
      <c r="B16" s="1" t="s">
        <v>530</v>
      </c>
      <c r="C16" s="5">
        <v>46131</v>
      </c>
      <c r="D16" s="1" t="s">
        <v>53</v>
      </c>
      <c r="E16" s="6" t="s">
        <v>517</v>
      </c>
      <c r="F16" s="6" t="s">
        <v>4</v>
      </c>
      <c r="G16" s="1" t="s">
        <v>92</v>
      </c>
      <c r="H16" s="1" t="s">
        <v>70</v>
      </c>
      <c r="I16" s="1">
        <v>41</v>
      </c>
      <c r="J16" s="1">
        <v>12</v>
      </c>
      <c r="K16" s="2">
        <f>IFERROR(J16/I16*100,0)</f>
        <v>0</v>
      </c>
      <c r="L16" s="1">
        <v>112</v>
      </c>
      <c r="M16" s="1">
        <v>0</v>
      </c>
      <c r="N16" s="1">
        <v>5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531</v>
      </c>
      <c r="C17" s="5">
        <v>46118</v>
      </c>
      <c r="D17" s="1" t="s">
        <v>53</v>
      </c>
      <c r="E17" s="6" t="s">
        <v>519</v>
      </c>
      <c r="F17" s="6" t="s">
        <v>16</v>
      </c>
      <c r="G17" s="1" t="s">
        <v>65</v>
      </c>
      <c r="H17" s="1" t="s">
        <v>41</v>
      </c>
      <c r="I17" s="1">
        <v>10</v>
      </c>
      <c r="J17" s="1">
        <v>30</v>
      </c>
      <c r="K17" s="2">
        <f>IFERROR(J17/I17*100,0)</f>
        <v>0</v>
      </c>
      <c r="L17" s="1">
        <v>48</v>
      </c>
      <c r="M17" s="1">
        <v>3</v>
      </c>
      <c r="N17" s="1">
        <v>4</v>
      </c>
      <c r="O17" s="2">
        <f>IFERROR(N17/M17*100,0)</f>
        <v>0</v>
      </c>
      <c r="P17" s="1" t="s">
        <v>23</v>
      </c>
    </row>
    <row r="18" spans="1:16">
      <c r="A18" s="1">
        <v>15</v>
      </c>
      <c r="B18" s="1" t="s">
        <v>532</v>
      </c>
      <c r="C18" s="5">
        <v>46139</v>
      </c>
      <c r="D18" s="1" t="s">
        <v>53</v>
      </c>
      <c r="E18" s="6" t="s">
        <v>521</v>
      </c>
      <c r="F18" s="6" t="s">
        <v>4</v>
      </c>
      <c r="G18" s="1" t="s">
        <v>89</v>
      </c>
      <c r="H18" s="1" t="s">
        <v>15</v>
      </c>
      <c r="I18" s="1">
        <v>57</v>
      </c>
      <c r="J18" s="1">
        <v>57</v>
      </c>
      <c r="K18" s="2">
        <f>IFERROR(J18/I18*100,0)</f>
        <v>0</v>
      </c>
      <c r="L18" s="1">
        <v>35</v>
      </c>
      <c r="M18" s="1">
        <v>8</v>
      </c>
      <c r="N18" s="1">
        <v>3</v>
      </c>
      <c r="O18" s="2">
        <f>IFERROR(N18/M18*100,0)</f>
        <v>0</v>
      </c>
      <c r="P18" s="1" t="s">
        <v>23</v>
      </c>
    </row>
    <row r="19" spans="1:16">
      <c r="A19" s="1">
        <v>16</v>
      </c>
      <c r="B19" s="1" t="s">
        <v>533</v>
      </c>
      <c r="C19" s="5">
        <v>46130</v>
      </c>
      <c r="D19" s="1" t="s">
        <v>53</v>
      </c>
      <c r="E19" s="6" t="s">
        <v>517</v>
      </c>
      <c r="F19" s="6" t="s">
        <v>20</v>
      </c>
      <c r="G19" s="1" t="s">
        <v>89</v>
      </c>
      <c r="H19" s="1" t="s">
        <v>68</v>
      </c>
      <c r="I19" s="1">
        <v>29</v>
      </c>
      <c r="J19" s="1">
        <v>16</v>
      </c>
      <c r="K19" s="2">
        <f>IFERROR(J19/I19*100,0)</f>
        <v>0</v>
      </c>
      <c r="L19" s="1">
        <v>70</v>
      </c>
      <c r="M19" s="1">
        <v>4</v>
      </c>
      <c r="N19" s="1">
        <v>4</v>
      </c>
      <c r="O19" s="2">
        <f>IFERROR(N19/M19*100,0)</f>
        <v>0</v>
      </c>
      <c r="P19" s="1" t="s">
        <v>9</v>
      </c>
    </row>
    <row r="20" spans="1:16">
      <c r="A20" s="1">
        <v>17</v>
      </c>
      <c r="B20" s="1" t="s">
        <v>534</v>
      </c>
      <c r="C20" s="5">
        <v>46124</v>
      </c>
      <c r="D20" s="1" t="s">
        <v>53</v>
      </c>
      <c r="E20" s="6" t="s">
        <v>517</v>
      </c>
      <c r="F20" s="6" t="s">
        <v>30</v>
      </c>
      <c r="G20" s="1" t="s">
        <v>89</v>
      </c>
      <c r="H20" s="1" t="s">
        <v>78</v>
      </c>
      <c r="I20" s="1">
        <v>58</v>
      </c>
      <c r="J20" s="1">
        <v>16</v>
      </c>
      <c r="K20" s="2">
        <f>IFERROR(J20/I20*100,0)</f>
        <v>0</v>
      </c>
      <c r="L20" s="1">
        <v>111</v>
      </c>
      <c r="M20" s="1">
        <v>7</v>
      </c>
      <c r="N20" s="1">
        <v>5</v>
      </c>
      <c r="O20" s="2">
        <f>IFERROR(N20/M20*100,0)</f>
        <v>0</v>
      </c>
      <c r="P20" s="1" t="s">
        <v>9</v>
      </c>
    </row>
    <row r="21" spans="1:16">
      <c r="A21" s="1">
        <v>18</v>
      </c>
      <c r="B21" s="1" t="s">
        <v>535</v>
      </c>
      <c r="C21" s="5">
        <v>46118</v>
      </c>
      <c r="D21" s="1" t="s">
        <v>53</v>
      </c>
      <c r="E21" s="6" t="s">
        <v>519</v>
      </c>
      <c r="F21" s="6" t="s">
        <v>57</v>
      </c>
      <c r="G21" s="1" t="s">
        <v>58</v>
      </c>
      <c r="H21" s="1" t="s">
        <v>36</v>
      </c>
      <c r="I21" s="1">
        <v>34</v>
      </c>
      <c r="J21" s="1">
        <v>31</v>
      </c>
      <c r="K21" s="2">
        <f>IFERROR(J21/I21*100,0)</f>
        <v>0</v>
      </c>
      <c r="L21" s="1">
        <v>95</v>
      </c>
      <c r="M21" s="1">
        <v>3</v>
      </c>
      <c r="N21" s="1">
        <v>7</v>
      </c>
      <c r="O21" s="2">
        <f>IFERROR(N21/M21*100,0)</f>
        <v>0</v>
      </c>
      <c r="P21" s="1" t="s">
        <v>9</v>
      </c>
    </row>
    <row r="22" spans="1:16">
      <c r="A22" s="1">
        <v>19</v>
      </c>
      <c r="B22" s="1" t="s">
        <v>536</v>
      </c>
      <c r="C22" s="5">
        <v>46121</v>
      </c>
      <c r="D22" s="1" t="s">
        <v>53</v>
      </c>
      <c r="E22" s="6" t="s">
        <v>517</v>
      </c>
      <c r="F22" s="6" t="s">
        <v>91</v>
      </c>
      <c r="G22" s="1" t="s">
        <v>65</v>
      </c>
      <c r="H22" s="1" t="s">
        <v>66</v>
      </c>
      <c r="I22" s="1">
        <v>57</v>
      </c>
      <c r="J22" s="1">
        <v>23</v>
      </c>
      <c r="K22" s="2">
        <f>IFERROR(J22/I22*100,0)</f>
        <v>0</v>
      </c>
      <c r="L22" s="1">
        <v>87</v>
      </c>
      <c r="M22" s="1">
        <v>3</v>
      </c>
      <c r="N22" s="1">
        <v>5</v>
      </c>
      <c r="O22" s="2">
        <f>IFERROR(N22/M22*100,0)</f>
        <v>0</v>
      </c>
      <c r="P22" s="1" t="s">
        <v>9</v>
      </c>
    </row>
    <row r="23" spans="1:16">
      <c r="A23" s="1">
        <v>20</v>
      </c>
      <c r="B23" s="1" t="s">
        <v>537</v>
      </c>
      <c r="C23" s="5">
        <v>46118</v>
      </c>
      <c r="D23" s="1" t="s">
        <v>53</v>
      </c>
      <c r="E23" s="6" t="s">
        <v>519</v>
      </c>
      <c r="F23" s="6" t="s">
        <v>38</v>
      </c>
      <c r="G23" s="1" t="s">
        <v>58</v>
      </c>
      <c r="H23" s="1" t="s">
        <v>104</v>
      </c>
      <c r="I23" s="1">
        <v>56</v>
      </c>
      <c r="J23" s="1">
        <v>11</v>
      </c>
      <c r="K23" s="2">
        <f>IFERROR(J23/I23*100,0)</f>
        <v>0</v>
      </c>
      <c r="L23" s="1">
        <v>46</v>
      </c>
      <c r="M23" s="1">
        <v>0</v>
      </c>
      <c r="N23" s="1">
        <v>4</v>
      </c>
      <c r="O23" s="2">
        <f>IFERROR(N23/M23*100,0)</f>
        <v>0</v>
      </c>
      <c r="P23" s="1" t="s">
        <v>23</v>
      </c>
    </row>
    <row r="24" spans="1:16">
      <c r="A24" s="1">
        <v>21</v>
      </c>
      <c r="B24" s="1" t="s">
        <v>538</v>
      </c>
      <c r="C24" s="5">
        <v>46143</v>
      </c>
      <c r="D24" s="1" t="s">
        <v>60</v>
      </c>
      <c r="E24" s="6" t="s">
        <v>517</v>
      </c>
      <c r="F24" s="6" t="s">
        <v>61</v>
      </c>
      <c r="G24" s="1" t="s">
        <v>13</v>
      </c>
      <c r="H24" s="1" t="s">
        <v>32</v>
      </c>
      <c r="I24" s="1">
        <v>31</v>
      </c>
      <c r="J24" s="1">
        <v>10</v>
      </c>
      <c r="K24" s="2">
        <f>IFERROR(J24/I24*100,0)</f>
        <v>0</v>
      </c>
      <c r="L24" s="1">
        <v>78</v>
      </c>
      <c r="M24" s="1">
        <v>3</v>
      </c>
      <c r="N24" s="1">
        <v>2</v>
      </c>
      <c r="O24" s="2">
        <f>IFERROR(N24/M24*100,0)</f>
        <v>0</v>
      </c>
      <c r="P24" s="1" t="s">
        <v>9</v>
      </c>
    </row>
    <row r="25" spans="1:16">
      <c r="A25" s="1">
        <v>22</v>
      </c>
      <c r="B25" s="1" t="s">
        <v>539</v>
      </c>
      <c r="C25" s="5">
        <v>46169</v>
      </c>
      <c r="D25" s="1" t="s">
        <v>60</v>
      </c>
      <c r="E25" s="6" t="s">
        <v>517</v>
      </c>
      <c r="F25" s="6" t="s">
        <v>61</v>
      </c>
      <c r="G25" s="1" t="s">
        <v>46</v>
      </c>
      <c r="H25" s="1" t="s">
        <v>78</v>
      </c>
      <c r="I25" s="1">
        <v>52</v>
      </c>
      <c r="J25" s="1">
        <v>36</v>
      </c>
      <c r="K25" s="2">
        <f>IFERROR(J25/I25*100,0)</f>
        <v>0</v>
      </c>
      <c r="L25" s="1">
        <v>85</v>
      </c>
      <c r="M25" s="1">
        <v>3</v>
      </c>
      <c r="N25" s="1">
        <v>1</v>
      </c>
      <c r="O25" s="2">
        <f>IFERROR(N25/M25*100,0)</f>
        <v>0</v>
      </c>
      <c r="P25" s="1" t="s">
        <v>23</v>
      </c>
    </row>
    <row r="26" spans="1:16">
      <c r="A26" s="1">
        <v>23</v>
      </c>
      <c r="B26" s="1" t="s">
        <v>540</v>
      </c>
      <c r="C26" s="5">
        <v>46143</v>
      </c>
      <c r="D26" s="1" t="s">
        <v>60</v>
      </c>
      <c r="E26" s="6" t="s">
        <v>519</v>
      </c>
      <c r="F26" s="6" t="s">
        <v>45</v>
      </c>
      <c r="G26" s="1" t="s">
        <v>5</v>
      </c>
      <c r="H26" s="1" t="s">
        <v>62</v>
      </c>
      <c r="I26" s="1">
        <v>38</v>
      </c>
      <c r="J26" s="1">
        <v>53</v>
      </c>
      <c r="K26" s="2">
        <f>IFERROR(J26/I26*100,0)</f>
        <v>0</v>
      </c>
      <c r="L26" s="1">
        <v>105</v>
      </c>
      <c r="M26" s="1">
        <v>3</v>
      </c>
      <c r="N26" s="1">
        <v>5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541</v>
      </c>
      <c r="C27" s="5">
        <v>46156</v>
      </c>
      <c r="D27" s="1" t="s">
        <v>60</v>
      </c>
      <c r="E27" s="6" t="s">
        <v>521</v>
      </c>
      <c r="F27" s="6" t="s">
        <v>12</v>
      </c>
      <c r="G27" s="1" t="s">
        <v>5</v>
      </c>
      <c r="H27" s="1" t="s">
        <v>62</v>
      </c>
      <c r="I27" s="1">
        <v>22</v>
      </c>
      <c r="J27" s="1">
        <v>21</v>
      </c>
      <c r="K27" s="2">
        <f>IFERROR(J27/I27*100,0)</f>
        <v>0</v>
      </c>
      <c r="L27" s="1">
        <v>47</v>
      </c>
      <c r="M27" s="1">
        <v>3</v>
      </c>
      <c r="N27" s="1">
        <v>6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542</v>
      </c>
      <c r="C28" s="5">
        <v>46161</v>
      </c>
      <c r="D28" s="1" t="s">
        <v>60</v>
      </c>
      <c r="E28" s="6" t="s">
        <v>519</v>
      </c>
      <c r="F28" s="6" t="s">
        <v>30</v>
      </c>
      <c r="G28" s="1" t="s">
        <v>92</v>
      </c>
      <c r="H28" s="1" t="s">
        <v>62</v>
      </c>
      <c r="I28" s="1">
        <v>43</v>
      </c>
      <c r="J28" s="1">
        <v>54</v>
      </c>
      <c r="K28" s="2">
        <f>IFERROR(J28/I28*100,0)</f>
        <v>0</v>
      </c>
      <c r="L28" s="1">
        <v>25</v>
      </c>
      <c r="M28" s="1">
        <v>8</v>
      </c>
      <c r="N28" s="1">
        <v>1</v>
      </c>
      <c r="O28" s="2">
        <f>IFERROR(N28/M28*100,0)</f>
        <v>0</v>
      </c>
      <c r="P28" s="1" t="s">
        <v>9</v>
      </c>
    </row>
    <row r="29" spans="1:16">
      <c r="A29" s="1">
        <v>26</v>
      </c>
      <c r="B29" s="1" t="s">
        <v>543</v>
      </c>
      <c r="C29" s="5">
        <v>46182</v>
      </c>
      <c r="D29" s="1" t="s">
        <v>73</v>
      </c>
      <c r="E29" s="6" t="s">
        <v>515</v>
      </c>
      <c r="F29" s="6" t="s">
        <v>91</v>
      </c>
      <c r="G29" s="1" t="s">
        <v>13</v>
      </c>
      <c r="H29" s="1" t="s">
        <v>32</v>
      </c>
      <c r="I29" s="1">
        <v>44</v>
      </c>
      <c r="J29" s="1">
        <v>11</v>
      </c>
      <c r="K29" s="2">
        <f>IFERROR(J29/I29*100,0)</f>
        <v>0</v>
      </c>
      <c r="L29" s="1">
        <v>98</v>
      </c>
      <c r="M29" s="1">
        <v>2</v>
      </c>
      <c r="N29" s="1">
        <v>2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544</v>
      </c>
      <c r="C30" s="5">
        <v>46195</v>
      </c>
      <c r="D30" s="1" t="s">
        <v>73</v>
      </c>
      <c r="E30" s="6" t="s">
        <v>515</v>
      </c>
      <c r="F30" s="6" t="s">
        <v>61</v>
      </c>
      <c r="G30" s="1" t="s">
        <v>65</v>
      </c>
      <c r="H30" s="1" t="s">
        <v>7</v>
      </c>
      <c r="I30" s="1">
        <v>59</v>
      </c>
      <c r="J30" s="1">
        <v>44</v>
      </c>
      <c r="K30" s="2">
        <f>IFERROR(J30/I30*100,0)</f>
        <v>0</v>
      </c>
      <c r="L30" s="1">
        <v>54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545</v>
      </c>
      <c r="C31" s="5">
        <v>46174</v>
      </c>
      <c r="D31" s="1" t="s">
        <v>73</v>
      </c>
      <c r="E31" s="6" t="s">
        <v>515</v>
      </c>
      <c r="F31" s="6" t="s">
        <v>49</v>
      </c>
      <c r="G31" s="1" t="s">
        <v>27</v>
      </c>
      <c r="H31" s="1" t="s">
        <v>22</v>
      </c>
      <c r="I31" s="1">
        <v>10</v>
      </c>
      <c r="J31" s="1">
        <v>16</v>
      </c>
      <c r="K31" s="2">
        <f>IFERROR(J31/I31*100,0)</f>
        <v>0</v>
      </c>
      <c r="L31" s="1">
        <v>41</v>
      </c>
      <c r="M31" s="1">
        <v>1</v>
      </c>
      <c r="N31" s="1">
        <v>4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546</v>
      </c>
      <c r="C32" s="5">
        <v>46199</v>
      </c>
      <c r="D32" s="1" t="s">
        <v>73</v>
      </c>
      <c r="E32" s="6" t="s">
        <v>519</v>
      </c>
      <c r="F32" s="6" t="s">
        <v>26</v>
      </c>
      <c r="G32" s="1" t="s">
        <v>58</v>
      </c>
      <c r="H32" s="1" t="s">
        <v>15</v>
      </c>
      <c r="I32" s="1">
        <v>44</v>
      </c>
      <c r="J32" s="1">
        <v>49</v>
      </c>
      <c r="K32" s="2">
        <f>IFERROR(J32/I32*100,0)</f>
        <v>0</v>
      </c>
      <c r="L32" s="1">
        <v>45</v>
      </c>
      <c r="M32" s="1">
        <v>5</v>
      </c>
      <c r="N32" s="1">
        <v>4</v>
      </c>
      <c r="O32" s="2">
        <f>IFERROR(N32/M32*100,0)</f>
        <v>0</v>
      </c>
      <c r="P32" s="1" t="s">
        <v>9</v>
      </c>
    </row>
    <row r="33" spans="1:16">
      <c r="A33" s="1">
        <v>30</v>
      </c>
      <c r="B33" s="1" t="s">
        <v>547</v>
      </c>
      <c r="C33" s="5">
        <v>46228</v>
      </c>
      <c r="D33" s="1" t="s">
        <v>76</v>
      </c>
      <c r="E33" s="6" t="s">
        <v>517</v>
      </c>
      <c r="F33" s="6" t="s">
        <v>49</v>
      </c>
      <c r="G33" s="1" t="s">
        <v>5</v>
      </c>
      <c r="H33" s="1" t="s">
        <v>32</v>
      </c>
      <c r="I33" s="1">
        <v>21</v>
      </c>
      <c r="J33" s="1">
        <v>49</v>
      </c>
      <c r="K33" s="2">
        <f>IFERROR(J33/I33*100,0)</f>
        <v>0</v>
      </c>
      <c r="L33" s="1">
        <v>35</v>
      </c>
      <c r="M33" s="1">
        <v>5</v>
      </c>
      <c r="N33" s="1">
        <v>7</v>
      </c>
      <c r="O33" s="2">
        <f>IFERROR(N33/M33*100,0)</f>
        <v>0</v>
      </c>
      <c r="P33" s="1" t="s">
        <v>9</v>
      </c>
    </row>
    <row r="34" spans="1:16">
      <c r="A34" s="1">
        <v>31</v>
      </c>
      <c r="B34" s="1" t="s">
        <v>548</v>
      </c>
      <c r="C34" s="5">
        <v>46228</v>
      </c>
      <c r="D34" s="1" t="s">
        <v>76</v>
      </c>
      <c r="E34" s="6" t="s">
        <v>521</v>
      </c>
      <c r="F34" s="6" t="s">
        <v>4</v>
      </c>
      <c r="G34" s="1" t="s">
        <v>5</v>
      </c>
      <c r="H34" s="1" t="s">
        <v>93</v>
      </c>
      <c r="I34" s="1">
        <v>12</v>
      </c>
      <c r="J34" s="1">
        <v>58</v>
      </c>
      <c r="K34" s="2">
        <f>IFERROR(J34/I34*100,0)</f>
        <v>0</v>
      </c>
      <c r="L34" s="1">
        <v>39</v>
      </c>
      <c r="M34" s="1">
        <v>5</v>
      </c>
      <c r="N34" s="1">
        <v>0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549</v>
      </c>
      <c r="C35" s="5">
        <v>46244</v>
      </c>
      <c r="D35" s="1" t="s">
        <v>86</v>
      </c>
      <c r="E35" s="6" t="s">
        <v>519</v>
      </c>
      <c r="F35" s="6" t="s">
        <v>91</v>
      </c>
      <c r="G35" s="1" t="s">
        <v>13</v>
      </c>
      <c r="H35" s="1" t="s">
        <v>22</v>
      </c>
      <c r="I35" s="1">
        <v>15</v>
      </c>
      <c r="J35" s="1">
        <v>21</v>
      </c>
      <c r="K35" s="2">
        <f>IFERROR(J35/I35*100,0)</f>
        <v>0</v>
      </c>
      <c r="L35" s="1">
        <v>37</v>
      </c>
      <c r="M35" s="1">
        <v>8</v>
      </c>
      <c r="N35" s="1">
        <v>2</v>
      </c>
      <c r="O35" s="2">
        <f>IFERROR(N35/M35*100,0)</f>
        <v>0</v>
      </c>
      <c r="P35" s="1" t="s">
        <v>9</v>
      </c>
    </row>
    <row r="36" spans="1:16">
      <c r="A36" s="1">
        <v>33</v>
      </c>
      <c r="B36" s="1" t="s">
        <v>550</v>
      </c>
      <c r="C36" s="5">
        <v>46239</v>
      </c>
      <c r="D36" s="1" t="s">
        <v>86</v>
      </c>
      <c r="E36" s="6" t="s">
        <v>519</v>
      </c>
      <c r="F36" s="6" t="s">
        <v>57</v>
      </c>
      <c r="G36" s="1" t="s">
        <v>13</v>
      </c>
      <c r="H36" s="1" t="s">
        <v>28</v>
      </c>
      <c r="I36" s="1">
        <v>35</v>
      </c>
      <c r="J36" s="1">
        <v>53</v>
      </c>
      <c r="K36" s="2">
        <f>IFERROR(J36/I36*100,0)</f>
        <v>0</v>
      </c>
      <c r="L36" s="1">
        <v>70</v>
      </c>
      <c r="M36" s="1">
        <v>7</v>
      </c>
      <c r="N36" s="1">
        <v>7</v>
      </c>
      <c r="O36" s="2">
        <f>IFERROR(N36/M36*100,0)</f>
        <v>0</v>
      </c>
      <c r="P36" s="1" t="s">
        <v>23</v>
      </c>
    </row>
    <row r="37" spans="1:16">
      <c r="A37" s="1">
        <v>34</v>
      </c>
      <c r="B37" s="1" t="s">
        <v>551</v>
      </c>
      <c r="C37" s="5">
        <v>46289</v>
      </c>
      <c r="D37" s="1" t="s">
        <v>102</v>
      </c>
      <c r="E37" s="6" t="s">
        <v>515</v>
      </c>
      <c r="F37" s="6" t="s">
        <v>4</v>
      </c>
      <c r="G37" s="1" t="s">
        <v>65</v>
      </c>
      <c r="H37" s="1" t="s">
        <v>70</v>
      </c>
      <c r="I37" s="1">
        <v>20</v>
      </c>
      <c r="J37" s="1">
        <v>14</v>
      </c>
      <c r="K37" s="2">
        <f>IFERROR(J37/I37*100,0)</f>
        <v>0</v>
      </c>
      <c r="L37" s="1">
        <v>116</v>
      </c>
      <c r="M37" s="1">
        <v>2</v>
      </c>
      <c r="N37" s="1">
        <v>7</v>
      </c>
      <c r="O37" s="2">
        <f>IFERROR(N37/M37*100,0)</f>
        <v>0</v>
      </c>
      <c r="P37" s="1" t="s">
        <v>23</v>
      </c>
    </row>
    <row r="38" spans="1:16">
      <c r="A38" s="1">
        <v>35</v>
      </c>
      <c r="B38" s="1" t="s">
        <v>552</v>
      </c>
      <c r="C38" s="5">
        <v>46268</v>
      </c>
      <c r="D38" s="1" t="s">
        <v>102</v>
      </c>
      <c r="E38" s="6" t="s">
        <v>521</v>
      </c>
      <c r="F38" s="6" t="s">
        <v>26</v>
      </c>
      <c r="G38" s="1" t="s">
        <v>46</v>
      </c>
      <c r="H38" s="1" t="s">
        <v>78</v>
      </c>
      <c r="I38" s="1">
        <v>21</v>
      </c>
      <c r="J38" s="1">
        <v>15</v>
      </c>
      <c r="K38" s="2">
        <f>IFERROR(J38/I38*100,0)</f>
        <v>0</v>
      </c>
      <c r="L38" s="1">
        <v>79</v>
      </c>
      <c r="M38" s="1">
        <v>4</v>
      </c>
      <c r="N38" s="1">
        <v>1</v>
      </c>
      <c r="O38" s="2">
        <f>IFERROR(N38/M38*100,0)</f>
        <v>0</v>
      </c>
      <c r="P38" s="1" t="s">
        <v>23</v>
      </c>
    </row>
    <row r="39" spans="1:16">
      <c r="A39" s="1">
        <v>36</v>
      </c>
      <c r="B39" s="1" t="s">
        <v>553</v>
      </c>
      <c r="C39" s="5">
        <v>46268</v>
      </c>
      <c r="D39" s="1" t="s">
        <v>102</v>
      </c>
      <c r="E39" s="6" t="s">
        <v>519</v>
      </c>
      <c r="F39" s="6" t="s">
        <v>54</v>
      </c>
      <c r="G39" s="1" t="s">
        <v>50</v>
      </c>
      <c r="H39" s="1" t="s">
        <v>104</v>
      </c>
      <c r="I39" s="1">
        <v>24</v>
      </c>
      <c r="J39" s="1">
        <v>10</v>
      </c>
      <c r="K39" s="2">
        <f>IFERROR(J39/I39*100,0)</f>
        <v>0</v>
      </c>
      <c r="L39" s="1">
        <v>117</v>
      </c>
      <c r="M39" s="1">
        <v>8</v>
      </c>
      <c r="N39" s="1">
        <v>6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554</v>
      </c>
      <c r="C40" s="5">
        <v>46283</v>
      </c>
      <c r="D40" s="1" t="s">
        <v>102</v>
      </c>
      <c r="E40" s="6" t="s">
        <v>519</v>
      </c>
      <c r="F40" s="6" t="s">
        <v>45</v>
      </c>
      <c r="G40" s="1" t="s">
        <v>13</v>
      </c>
      <c r="H40" s="1" t="s">
        <v>7</v>
      </c>
      <c r="I40" s="1">
        <v>43</v>
      </c>
      <c r="J40" s="1">
        <v>44</v>
      </c>
      <c r="K40" s="2">
        <f>IFERROR(J40/I40*100,0)</f>
        <v>0</v>
      </c>
      <c r="L40" s="1">
        <v>32</v>
      </c>
      <c r="M40" s="1">
        <v>8</v>
      </c>
      <c r="N40" s="1">
        <v>3</v>
      </c>
      <c r="O40" s="2">
        <f>IFERROR(N40/M40*100,0)</f>
        <v>0</v>
      </c>
      <c r="P40" s="1" t="s">
        <v>9</v>
      </c>
    </row>
    <row r="41" spans="1:16">
      <c r="A41" s="1">
        <v>38</v>
      </c>
      <c r="B41" s="1" t="s">
        <v>555</v>
      </c>
      <c r="C41" s="5">
        <v>46316</v>
      </c>
      <c r="D41" s="1" t="s">
        <v>106</v>
      </c>
      <c r="E41" s="6" t="s">
        <v>519</v>
      </c>
      <c r="F41" s="6" t="s">
        <v>91</v>
      </c>
      <c r="G41" s="1" t="s">
        <v>13</v>
      </c>
      <c r="H41" s="1" t="s">
        <v>93</v>
      </c>
      <c r="I41" s="1">
        <v>23</v>
      </c>
      <c r="J41" s="1">
        <v>26</v>
      </c>
      <c r="K41" s="2">
        <f>IFERROR(J41/I41*100,0)</f>
        <v>0</v>
      </c>
      <c r="L41" s="1">
        <v>101</v>
      </c>
      <c r="M41" s="1">
        <v>2</v>
      </c>
      <c r="N41" s="1">
        <v>3</v>
      </c>
      <c r="O41" s="2">
        <f>IFERROR(N41/M41*100,0)</f>
        <v>0</v>
      </c>
      <c r="P41" s="1" t="s">
        <v>9</v>
      </c>
    </row>
    <row r="42" spans="1:16">
      <c r="A42" s="1">
        <v>39</v>
      </c>
      <c r="B42" s="1" t="s">
        <v>556</v>
      </c>
      <c r="C42" s="5">
        <v>46301</v>
      </c>
      <c r="D42" s="1" t="s">
        <v>106</v>
      </c>
      <c r="E42" s="6" t="s">
        <v>521</v>
      </c>
      <c r="F42" s="6" t="s">
        <v>54</v>
      </c>
      <c r="G42" s="1" t="s">
        <v>50</v>
      </c>
      <c r="H42" s="1" t="s">
        <v>7</v>
      </c>
      <c r="I42" s="1">
        <v>15</v>
      </c>
      <c r="J42" s="1">
        <v>15</v>
      </c>
      <c r="K42" s="2">
        <f>IFERROR(J42/I42*100,0)</f>
        <v>0</v>
      </c>
      <c r="L42" s="1">
        <v>77</v>
      </c>
      <c r="M42" s="1">
        <v>7</v>
      </c>
      <c r="N42" s="1">
        <v>4</v>
      </c>
      <c r="O42" s="2">
        <f>IFERROR(N42/M42*100,0)</f>
        <v>0</v>
      </c>
      <c r="P42" s="1" t="s">
        <v>23</v>
      </c>
    </row>
    <row r="43" spans="1:16">
      <c r="A43" s="1">
        <v>40</v>
      </c>
      <c r="B43" s="1" t="s">
        <v>557</v>
      </c>
      <c r="C43" s="5">
        <v>46304</v>
      </c>
      <c r="D43" s="1" t="s">
        <v>106</v>
      </c>
      <c r="E43" s="6" t="s">
        <v>521</v>
      </c>
      <c r="F43" s="6" t="s">
        <v>38</v>
      </c>
      <c r="G43" s="1" t="s">
        <v>89</v>
      </c>
      <c r="H43" s="1" t="s">
        <v>70</v>
      </c>
      <c r="I43" s="1">
        <v>59</v>
      </c>
      <c r="J43" s="1">
        <v>28</v>
      </c>
      <c r="K43" s="2">
        <f>IFERROR(J43/I43*100,0)</f>
        <v>0</v>
      </c>
      <c r="L43" s="1">
        <v>50</v>
      </c>
      <c r="M43" s="1">
        <v>5</v>
      </c>
      <c r="N43" s="1">
        <v>6</v>
      </c>
      <c r="O43" s="2">
        <f>IFERROR(N43/M43*100,0)</f>
        <v>0</v>
      </c>
      <c r="P43" s="1" t="s">
        <v>23</v>
      </c>
    </row>
    <row r="44" spans="1:16">
      <c r="A44" s="1">
        <v>41</v>
      </c>
      <c r="B44" s="1" t="s">
        <v>558</v>
      </c>
      <c r="C44" s="5">
        <v>46305</v>
      </c>
      <c r="D44" s="1" t="s">
        <v>106</v>
      </c>
      <c r="E44" s="6" t="s">
        <v>517</v>
      </c>
      <c r="F44" s="6" t="s">
        <v>16</v>
      </c>
      <c r="G44" s="1" t="s">
        <v>50</v>
      </c>
      <c r="H44" s="1" t="s">
        <v>41</v>
      </c>
      <c r="I44" s="1">
        <v>27</v>
      </c>
      <c r="J44" s="1">
        <v>18</v>
      </c>
      <c r="K44" s="2">
        <f>IFERROR(J44/I44*100,0)</f>
        <v>0</v>
      </c>
      <c r="L44" s="1">
        <v>68</v>
      </c>
      <c r="M44" s="1">
        <v>8</v>
      </c>
      <c r="N44" s="1">
        <v>1</v>
      </c>
      <c r="O44" s="2">
        <f>IFERROR(N44/M44*100,0)</f>
        <v>0</v>
      </c>
      <c r="P44" s="1" t="s">
        <v>23</v>
      </c>
    </row>
    <row r="45" spans="1:16">
      <c r="A45" s="1">
        <v>42</v>
      </c>
      <c r="B45" s="1" t="s">
        <v>559</v>
      </c>
      <c r="C45" s="5">
        <v>46352</v>
      </c>
      <c r="D45" s="1" t="s">
        <v>111</v>
      </c>
      <c r="E45" s="6" t="s">
        <v>519</v>
      </c>
      <c r="F45" s="6" t="s">
        <v>49</v>
      </c>
      <c r="G45" s="1" t="s">
        <v>50</v>
      </c>
      <c r="H45" s="1" t="s">
        <v>32</v>
      </c>
      <c r="I45" s="1">
        <v>40</v>
      </c>
      <c r="J45" s="1">
        <v>12</v>
      </c>
      <c r="K45" s="2">
        <f>IFERROR(J45/I45*100,0)</f>
        <v>0</v>
      </c>
      <c r="L45" s="1">
        <v>61</v>
      </c>
      <c r="M45" s="1">
        <v>7</v>
      </c>
      <c r="N45" s="1">
        <v>5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560</v>
      </c>
      <c r="C46" s="5">
        <v>46331</v>
      </c>
      <c r="D46" s="1" t="s">
        <v>111</v>
      </c>
      <c r="E46" s="6" t="s">
        <v>521</v>
      </c>
      <c r="F46" s="6" t="s">
        <v>4</v>
      </c>
      <c r="G46" s="1" t="s">
        <v>50</v>
      </c>
      <c r="H46" s="1" t="s">
        <v>32</v>
      </c>
      <c r="I46" s="1">
        <v>60</v>
      </c>
      <c r="J46" s="1">
        <v>56</v>
      </c>
      <c r="K46" s="2">
        <f>IFERROR(J46/I46*100,0)</f>
        <v>0</v>
      </c>
      <c r="L46" s="1">
        <v>66</v>
      </c>
      <c r="M46" s="1">
        <v>8</v>
      </c>
      <c r="N46" s="1">
        <v>7</v>
      </c>
      <c r="O46" s="2">
        <f>IFERROR(N46/M46*100,0)</f>
        <v>0</v>
      </c>
      <c r="P46" s="1" t="s">
        <v>23</v>
      </c>
    </row>
    <row r="47" spans="1:16">
      <c r="A47" s="1">
        <v>44</v>
      </c>
      <c r="B47" s="1" t="s">
        <v>561</v>
      </c>
      <c r="C47" s="5">
        <v>46344</v>
      </c>
      <c r="D47" s="1" t="s">
        <v>111</v>
      </c>
      <c r="E47" s="6" t="s">
        <v>521</v>
      </c>
      <c r="F47" s="6" t="s">
        <v>30</v>
      </c>
      <c r="G47" s="1" t="s">
        <v>50</v>
      </c>
      <c r="H47" s="1" t="s">
        <v>41</v>
      </c>
      <c r="I47" s="1">
        <v>29</v>
      </c>
      <c r="J47" s="1">
        <v>28</v>
      </c>
      <c r="K47" s="2">
        <f>IFERROR(J47/I47*100,0)</f>
        <v>0</v>
      </c>
      <c r="L47" s="1">
        <v>69</v>
      </c>
      <c r="M47" s="1">
        <v>4</v>
      </c>
      <c r="N47" s="1">
        <v>4</v>
      </c>
      <c r="O47" s="2">
        <f>IFERROR(N47/M47*100,0)</f>
        <v>0</v>
      </c>
      <c r="P47" s="1" t="s">
        <v>9</v>
      </c>
    </row>
    <row r="48" spans="1:16">
      <c r="A48" s="1">
        <v>45</v>
      </c>
      <c r="B48" s="1" t="s">
        <v>562</v>
      </c>
      <c r="C48" s="5">
        <v>46350</v>
      </c>
      <c r="D48" s="1" t="s">
        <v>111</v>
      </c>
      <c r="E48" s="6" t="s">
        <v>515</v>
      </c>
      <c r="F48" s="6" t="s">
        <v>30</v>
      </c>
      <c r="G48" s="1" t="s">
        <v>65</v>
      </c>
      <c r="H48" s="1" t="s">
        <v>66</v>
      </c>
      <c r="I48" s="1">
        <v>19</v>
      </c>
      <c r="J48" s="1">
        <v>17</v>
      </c>
      <c r="K48" s="2">
        <f>IFERROR(J48/I48*100,0)</f>
        <v>0</v>
      </c>
      <c r="L48" s="1">
        <v>19</v>
      </c>
      <c r="M48" s="1">
        <v>2</v>
      </c>
      <c r="N48" s="1">
        <v>2</v>
      </c>
      <c r="O48" s="2">
        <f>IFERROR(N48/M48*100,0)</f>
        <v>0</v>
      </c>
      <c r="P48" s="1" t="s">
        <v>23</v>
      </c>
    </row>
    <row r="49" spans="1:16">
      <c r="A49" s="1">
        <v>46</v>
      </c>
      <c r="B49" s="1" t="s">
        <v>563</v>
      </c>
      <c r="C49" s="5">
        <v>46363</v>
      </c>
      <c r="D49" s="1" t="s">
        <v>122</v>
      </c>
      <c r="E49" s="6" t="s">
        <v>517</v>
      </c>
      <c r="F49" s="6" t="s">
        <v>54</v>
      </c>
      <c r="G49" s="1" t="s">
        <v>39</v>
      </c>
      <c r="H49" s="1" t="s">
        <v>78</v>
      </c>
      <c r="I49" s="1">
        <v>33</v>
      </c>
      <c r="J49" s="1">
        <v>50</v>
      </c>
      <c r="K49" s="2">
        <f>IFERROR(J49/I49*100,0)</f>
        <v>0</v>
      </c>
      <c r="L49" s="1">
        <v>46</v>
      </c>
      <c r="M49" s="1">
        <v>6</v>
      </c>
      <c r="N49" s="1">
        <v>4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564</v>
      </c>
      <c r="C50" s="5">
        <v>46366</v>
      </c>
      <c r="D50" s="1" t="s">
        <v>122</v>
      </c>
      <c r="E50" s="6" t="s">
        <v>517</v>
      </c>
      <c r="F50" s="6" t="s">
        <v>54</v>
      </c>
      <c r="G50" s="1" t="s">
        <v>13</v>
      </c>
      <c r="H50" s="1" t="s">
        <v>68</v>
      </c>
      <c r="I50" s="1">
        <v>35</v>
      </c>
      <c r="J50" s="1">
        <v>56</v>
      </c>
      <c r="K50" s="2">
        <f>IFERROR(J50/I50*100,0)</f>
        <v>0</v>
      </c>
      <c r="L50" s="1">
        <v>107</v>
      </c>
      <c r="M50" s="1">
        <v>1</v>
      </c>
      <c r="N50" s="1">
        <v>3</v>
      </c>
      <c r="O50" s="2">
        <f>IFERROR(N50/M50*100,0)</f>
        <v>0</v>
      </c>
      <c r="P50" s="1" t="s">
        <v>23</v>
      </c>
    </row>
    <row r="51" spans="1:16">
      <c r="A51" s="1">
        <v>48</v>
      </c>
      <c r="B51" s="1" t="s">
        <v>565</v>
      </c>
      <c r="C51" s="5">
        <v>46363</v>
      </c>
      <c r="D51" s="1" t="s">
        <v>122</v>
      </c>
      <c r="E51" s="6" t="s">
        <v>519</v>
      </c>
      <c r="F51" s="6" t="s">
        <v>61</v>
      </c>
      <c r="G51" s="1" t="s">
        <v>5</v>
      </c>
      <c r="H51" s="1" t="s">
        <v>66</v>
      </c>
      <c r="I51" s="1">
        <v>37</v>
      </c>
      <c r="J51" s="1">
        <v>29</v>
      </c>
      <c r="K51" s="2">
        <f>IFERROR(J51/I51*100,0)</f>
        <v>0</v>
      </c>
      <c r="L51" s="1">
        <v>19</v>
      </c>
      <c r="M51" s="1">
        <v>8</v>
      </c>
      <c r="N51" s="1">
        <v>8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638</v>
      </c>
      <c r="C3" s="1" t="s">
        <v>639</v>
      </c>
      <c r="D3" s="1" t="s">
        <v>127</v>
      </c>
      <c r="E3" s="1" t="s">
        <v>640</v>
      </c>
      <c r="F3" s="1" t="s">
        <v>641</v>
      </c>
      <c r="G3" s="1" t="s">
        <v>642</v>
      </c>
      <c r="H3" s="1" t="s">
        <v>643</v>
      </c>
      <c r="I3" s="1" t="s">
        <v>644</v>
      </c>
      <c r="J3" s="1" t="s">
        <v>645</v>
      </c>
      <c r="K3" s="1" t="s">
        <v>286</v>
      </c>
      <c r="L3" s="1" t="s">
        <v>646</v>
      </c>
      <c r="M3" s="1" t="s">
        <v>647</v>
      </c>
      <c r="N3" s="2" t="s">
        <v>648</v>
      </c>
    </row>
    <row r="4" spans="1:16">
      <c r="A4" s="1">
        <v>1</v>
      </c>
      <c r="B4" s="1" t="s">
        <v>577</v>
      </c>
      <c r="C4" s="5">
        <v>46044</v>
      </c>
      <c r="D4" s="1" t="s">
        <v>3</v>
      </c>
      <c r="E4" s="6" t="s">
        <v>578</v>
      </c>
      <c r="F4" s="6" t="s">
        <v>61</v>
      </c>
      <c r="G4" s="1" t="s">
        <v>51</v>
      </c>
      <c r="H4" s="1" t="s">
        <v>62</v>
      </c>
      <c r="I4" s="1" t="s">
        <v>579</v>
      </c>
      <c r="J4" s="1" t="s">
        <v>142</v>
      </c>
      <c r="K4" s="1" t="s">
        <v>580</v>
      </c>
      <c r="L4" s="1">
        <v>43</v>
      </c>
      <c r="M4" s="1">
        <v>33</v>
      </c>
      <c r="N4" s="2">
        <f>IFERROR(M4/L4*100,0)</f>
        <v>0</v>
      </c>
    </row>
    <row r="5" spans="1:16">
      <c r="A5" s="1">
        <v>2</v>
      </c>
      <c r="B5" s="1" t="s">
        <v>581</v>
      </c>
      <c r="C5" s="5">
        <v>46045</v>
      </c>
      <c r="D5" s="1" t="s">
        <v>3</v>
      </c>
      <c r="E5" s="6" t="s">
        <v>582</v>
      </c>
      <c r="F5" s="6" t="s">
        <v>45</v>
      </c>
      <c r="G5" s="1" t="s">
        <v>87</v>
      </c>
      <c r="H5" s="1" t="s">
        <v>22</v>
      </c>
      <c r="I5" s="1" t="s">
        <v>583</v>
      </c>
      <c r="J5" s="1" t="s">
        <v>161</v>
      </c>
      <c r="K5" s="1" t="s">
        <v>584</v>
      </c>
      <c r="L5" s="1">
        <v>33</v>
      </c>
      <c r="M5" s="1">
        <v>47</v>
      </c>
      <c r="N5" s="2">
        <f>IFERROR(M5/L5*100,0)</f>
        <v>0</v>
      </c>
    </row>
    <row r="6" spans="1:16">
      <c r="A6" s="1">
        <v>3</v>
      </c>
      <c r="B6" s="1" t="s">
        <v>585</v>
      </c>
      <c r="C6" s="5">
        <v>46036</v>
      </c>
      <c r="D6" s="1" t="s">
        <v>3</v>
      </c>
      <c r="E6" s="6" t="s">
        <v>586</v>
      </c>
      <c r="F6" s="6" t="s">
        <v>4</v>
      </c>
      <c r="G6" s="1" t="s">
        <v>35</v>
      </c>
      <c r="H6" s="1" t="s">
        <v>7</v>
      </c>
      <c r="I6" s="1" t="s">
        <v>583</v>
      </c>
      <c r="J6" s="1" t="s">
        <v>161</v>
      </c>
      <c r="K6" s="1" t="s">
        <v>580</v>
      </c>
      <c r="L6" s="1">
        <v>44</v>
      </c>
      <c r="M6" s="1">
        <v>26</v>
      </c>
      <c r="N6" s="2">
        <f>IFERROR(M6/L6*100,0)</f>
        <v>0</v>
      </c>
    </row>
    <row r="7" spans="1:16">
      <c r="A7" s="1">
        <v>4</v>
      </c>
      <c r="B7" s="1" t="s">
        <v>587</v>
      </c>
      <c r="C7" s="5">
        <v>46029</v>
      </c>
      <c r="D7" s="1" t="s">
        <v>3</v>
      </c>
      <c r="E7" s="6" t="s">
        <v>578</v>
      </c>
      <c r="F7" s="6" t="s">
        <v>64</v>
      </c>
      <c r="G7" s="1" t="s">
        <v>35</v>
      </c>
      <c r="H7" s="1" t="s">
        <v>32</v>
      </c>
      <c r="I7" s="1" t="s">
        <v>588</v>
      </c>
      <c r="J7" s="1" t="s">
        <v>161</v>
      </c>
      <c r="K7" s="1" t="s">
        <v>580</v>
      </c>
      <c r="L7" s="1">
        <v>60</v>
      </c>
      <c r="M7" s="1">
        <v>24</v>
      </c>
      <c r="N7" s="2">
        <f>IFERROR(M7/L7*100,0)</f>
        <v>0</v>
      </c>
    </row>
    <row r="8" spans="1:16">
      <c r="A8" s="1">
        <v>5</v>
      </c>
      <c r="B8" s="1" t="s">
        <v>589</v>
      </c>
      <c r="C8" s="5">
        <v>46047</v>
      </c>
      <c r="D8" s="1" t="s">
        <v>3</v>
      </c>
      <c r="E8" s="6" t="s">
        <v>586</v>
      </c>
      <c r="F8" s="6" t="s">
        <v>12</v>
      </c>
      <c r="G8" s="1" t="s">
        <v>80</v>
      </c>
      <c r="H8" s="1" t="s">
        <v>104</v>
      </c>
      <c r="I8" s="1" t="s">
        <v>583</v>
      </c>
      <c r="J8" s="1" t="s">
        <v>142</v>
      </c>
      <c r="K8" s="1" t="s">
        <v>580</v>
      </c>
      <c r="L8" s="1">
        <v>16</v>
      </c>
      <c r="M8" s="1">
        <v>33</v>
      </c>
      <c r="N8" s="2">
        <f>IFERROR(M8/L8*100,0)</f>
        <v>0</v>
      </c>
    </row>
    <row r="9" spans="1:16">
      <c r="A9" s="1">
        <v>6</v>
      </c>
      <c r="B9" s="1" t="s">
        <v>590</v>
      </c>
      <c r="C9" s="5">
        <v>46025</v>
      </c>
      <c r="D9" s="1" t="s">
        <v>3</v>
      </c>
      <c r="E9" s="6" t="s">
        <v>591</v>
      </c>
      <c r="F9" s="6" t="s">
        <v>4</v>
      </c>
      <c r="G9" s="1" t="s">
        <v>14</v>
      </c>
      <c r="H9" s="1" t="s">
        <v>28</v>
      </c>
      <c r="I9" s="1" t="s">
        <v>592</v>
      </c>
      <c r="J9" s="1" t="s">
        <v>157</v>
      </c>
      <c r="K9" s="1" t="s">
        <v>584</v>
      </c>
      <c r="L9" s="1">
        <v>17</v>
      </c>
      <c r="M9" s="1">
        <v>46</v>
      </c>
      <c r="N9" s="2">
        <f>IFERROR(M9/L9*100,0)</f>
        <v>0</v>
      </c>
    </row>
    <row r="10" spans="1:16">
      <c r="A10" s="1">
        <v>7</v>
      </c>
      <c r="B10" s="1" t="s">
        <v>593</v>
      </c>
      <c r="C10" s="5">
        <v>46058</v>
      </c>
      <c r="D10" s="1" t="s">
        <v>19</v>
      </c>
      <c r="E10" s="6" t="s">
        <v>591</v>
      </c>
      <c r="F10" s="6" t="s">
        <v>64</v>
      </c>
      <c r="G10" s="1" t="s">
        <v>14</v>
      </c>
      <c r="H10" s="1" t="s">
        <v>7</v>
      </c>
      <c r="I10" s="1" t="s">
        <v>583</v>
      </c>
      <c r="J10" s="1" t="s">
        <v>151</v>
      </c>
      <c r="K10" s="1" t="s">
        <v>580</v>
      </c>
      <c r="L10" s="1">
        <v>41</v>
      </c>
      <c r="M10" s="1">
        <v>41</v>
      </c>
      <c r="N10" s="2">
        <f>IFERROR(M10/L10*100,0)</f>
        <v>0</v>
      </c>
    </row>
    <row r="11" spans="1:16">
      <c r="A11" s="1">
        <v>8</v>
      </c>
      <c r="B11" s="1" t="s">
        <v>594</v>
      </c>
      <c r="C11" s="5">
        <v>46058</v>
      </c>
      <c r="D11" s="1" t="s">
        <v>19</v>
      </c>
      <c r="E11" s="6" t="s">
        <v>595</v>
      </c>
      <c r="F11" s="6" t="s">
        <v>49</v>
      </c>
      <c r="G11" s="1" t="s">
        <v>14</v>
      </c>
      <c r="H11" s="1" t="s">
        <v>93</v>
      </c>
      <c r="I11" s="1" t="s">
        <v>583</v>
      </c>
      <c r="J11" s="1" t="s">
        <v>151</v>
      </c>
      <c r="K11" s="1" t="s">
        <v>596</v>
      </c>
      <c r="L11" s="1">
        <v>30</v>
      </c>
      <c r="M11" s="1">
        <v>16</v>
      </c>
      <c r="N11" s="2">
        <f>IFERROR(M11/L11*100,0)</f>
        <v>0</v>
      </c>
    </row>
    <row r="12" spans="1:16">
      <c r="A12" s="1">
        <v>9</v>
      </c>
      <c r="B12" s="1" t="s">
        <v>597</v>
      </c>
      <c r="C12" s="5">
        <v>46074</v>
      </c>
      <c r="D12" s="1" t="s">
        <v>19</v>
      </c>
      <c r="E12" s="6" t="s">
        <v>598</v>
      </c>
      <c r="F12" s="6" t="s">
        <v>49</v>
      </c>
      <c r="G12" s="1" t="s">
        <v>51</v>
      </c>
      <c r="H12" s="1" t="s">
        <v>93</v>
      </c>
      <c r="I12" s="1" t="s">
        <v>583</v>
      </c>
      <c r="J12" s="1" t="s">
        <v>157</v>
      </c>
      <c r="K12" s="1" t="s">
        <v>584</v>
      </c>
      <c r="L12" s="1">
        <v>25</v>
      </c>
      <c r="M12" s="1">
        <v>16</v>
      </c>
      <c r="N12" s="2">
        <f>IFERROR(M12/L12*100,0)</f>
        <v>0</v>
      </c>
    </row>
    <row r="13" spans="1:16">
      <c r="A13" s="1">
        <v>10</v>
      </c>
      <c r="B13" s="1" t="s">
        <v>599</v>
      </c>
      <c r="C13" s="5">
        <v>46060</v>
      </c>
      <c r="D13" s="1" t="s">
        <v>19</v>
      </c>
      <c r="E13" s="6" t="s">
        <v>591</v>
      </c>
      <c r="F13" s="6" t="s">
        <v>26</v>
      </c>
      <c r="G13" s="1" t="s">
        <v>51</v>
      </c>
      <c r="H13" s="1" t="s">
        <v>70</v>
      </c>
      <c r="I13" s="1" t="s">
        <v>592</v>
      </c>
      <c r="J13" s="1" t="s">
        <v>161</v>
      </c>
      <c r="K13" s="1" t="s">
        <v>580</v>
      </c>
      <c r="L13" s="1">
        <v>56</v>
      </c>
      <c r="M13" s="1">
        <v>55</v>
      </c>
      <c r="N13" s="2">
        <f>IFERROR(M13/L13*100,0)</f>
        <v>0</v>
      </c>
    </row>
    <row r="14" spans="1:16">
      <c r="A14" s="1">
        <v>11</v>
      </c>
      <c r="B14" s="1" t="s">
        <v>600</v>
      </c>
      <c r="C14" s="5">
        <v>46080</v>
      </c>
      <c r="D14" s="1" t="s">
        <v>19</v>
      </c>
      <c r="E14" s="6" t="s">
        <v>598</v>
      </c>
      <c r="F14" s="6" t="s">
        <v>54</v>
      </c>
      <c r="G14" s="1" t="s">
        <v>95</v>
      </c>
      <c r="H14" s="1" t="s">
        <v>7</v>
      </c>
      <c r="I14" s="1" t="s">
        <v>583</v>
      </c>
      <c r="J14" s="1" t="s">
        <v>157</v>
      </c>
      <c r="K14" s="1" t="s">
        <v>596</v>
      </c>
      <c r="L14" s="1">
        <v>25</v>
      </c>
      <c r="M14" s="1">
        <v>18</v>
      </c>
      <c r="N14" s="2">
        <f>IFERROR(M14/L14*100,0)</f>
        <v>0</v>
      </c>
    </row>
    <row r="15" spans="1:16">
      <c r="A15" s="1">
        <v>12</v>
      </c>
      <c r="B15" s="1" t="s">
        <v>601</v>
      </c>
      <c r="C15" s="5">
        <v>46096</v>
      </c>
      <c r="D15" s="1" t="s">
        <v>44</v>
      </c>
      <c r="E15" s="6" t="s">
        <v>598</v>
      </c>
      <c r="F15" s="6" t="s">
        <v>49</v>
      </c>
      <c r="G15" s="1" t="s">
        <v>31</v>
      </c>
      <c r="H15" s="1" t="s">
        <v>41</v>
      </c>
      <c r="I15" s="1" t="s">
        <v>588</v>
      </c>
      <c r="J15" s="1" t="s">
        <v>157</v>
      </c>
      <c r="K15" s="1" t="s">
        <v>580</v>
      </c>
      <c r="L15" s="1">
        <v>38</v>
      </c>
      <c r="M15" s="1">
        <v>23</v>
      </c>
      <c r="N15" s="2">
        <f>IFERROR(M15/L15*100,0)</f>
        <v>0</v>
      </c>
    </row>
    <row r="16" spans="1:16">
      <c r="A16" s="1">
        <v>13</v>
      </c>
      <c r="B16" s="1" t="s">
        <v>602</v>
      </c>
      <c r="C16" s="5">
        <v>46092</v>
      </c>
      <c r="D16" s="1" t="s">
        <v>44</v>
      </c>
      <c r="E16" s="6" t="s">
        <v>582</v>
      </c>
      <c r="F16" s="6" t="s">
        <v>64</v>
      </c>
      <c r="G16" s="1" t="s">
        <v>21</v>
      </c>
      <c r="H16" s="1" t="s">
        <v>68</v>
      </c>
      <c r="I16" s="1" t="s">
        <v>592</v>
      </c>
      <c r="J16" s="1" t="s">
        <v>142</v>
      </c>
      <c r="K16" s="1" t="s">
        <v>580</v>
      </c>
      <c r="L16" s="1">
        <v>44</v>
      </c>
      <c r="M16" s="1">
        <v>23</v>
      </c>
      <c r="N16" s="2">
        <f>IFERROR(M16/L16*100,0)</f>
        <v>0</v>
      </c>
    </row>
    <row r="17" spans="1:14">
      <c r="A17" s="1">
        <v>14</v>
      </c>
      <c r="B17" s="1" t="s">
        <v>603</v>
      </c>
      <c r="C17" s="5">
        <v>46099</v>
      </c>
      <c r="D17" s="1" t="s">
        <v>44</v>
      </c>
      <c r="E17" s="6" t="s">
        <v>598</v>
      </c>
      <c r="F17" s="6" t="s">
        <v>64</v>
      </c>
      <c r="G17" s="1" t="s">
        <v>51</v>
      </c>
      <c r="H17" s="1" t="s">
        <v>66</v>
      </c>
      <c r="I17" s="1" t="s">
        <v>588</v>
      </c>
      <c r="J17" s="1" t="s">
        <v>142</v>
      </c>
      <c r="K17" s="1" t="s">
        <v>596</v>
      </c>
      <c r="L17" s="1">
        <v>41</v>
      </c>
      <c r="M17" s="1">
        <v>53</v>
      </c>
      <c r="N17" s="2">
        <f>IFERROR(M17/L17*100,0)</f>
        <v>0</v>
      </c>
    </row>
    <row r="18" spans="1:14">
      <c r="A18" s="1">
        <v>15</v>
      </c>
      <c r="B18" s="1" t="s">
        <v>604</v>
      </c>
      <c r="C18" s="5">
        <v>46103</v>
      </c>
      <c r="D18" s="1" t="s">
        <v>44</v>
      </c>
      <c r="E18" s="6" t="s">
        <v>586</v>
      </c>
      <c r="F18" s="6" t="s">
        <v>38</v>
      </c>
      <c r="G18" s="1" t="s">
        <v>51</v>
      </c>
      <c r="H18" s="1" t="s">
        <v>66</v>
      </c>
      <c r="I18" s="1" t="s">
        <v>579</v>
      </c>
      <c r="J18" s="1" t="s">
        <v>161</v>
      </c>
      <c r="K18" s="1" t="s">
        <v>584</v>
      </c>
      <c r="L18" s="1">
        <v>41</v>
      </c>
      <c r="M18" s="1">
        <v>11</v>
      </c>
      <c r="N18" s="2">
        <f>IFERROR(M18/L18*100,0)</f>
        <v>0</v>
      </c>
    </row>
    <row r="19" spans="1:14">
      <c r="A19" s="1">
        <v>16</v>
      </c>
      <c r="B19" s="1" t="s">
        <v>605</v>
      </c>
      <c r="C19" s="5">
        <v>46140</v>
      </c>
      <c r="D19" s="1" t="s">
        <v>53</v>
      </c>
      <c r="E19" s="6" t="s">
        <v>582</v>
      </c>
      <c r="F19" s="6" t="s">
        <v>16</v>
      </c>
      <c r="G19" s="1" t="s">
        <v>95</v>
      </c>
      <c r="H19" s="1" t="s">
        <v>36</v>
      </c>
      <c r="I19" s="1" t="s">
        <v>583</v>
      </c>
      <c r="J19" s="1" t="s">
        <v>151</v>
      </c>
      <c r="K19" s="1" t="s">
        <v>584</v>
      </c>
      <c r="L19" s="1">
        <v>34</v>
      </c>
      <c r="M19" s="1">
        <v>59</v>
      </c>
      <c r="N19" s="2">
        <f>IFERROR(M19/L19*100,0)</f>
        <v>0</v>
      </c>
    </row>
    <row r="20" spans="1:14">
      <c r="A20" s="1">
        <v>17</v>
      </c>
      <c r="B20" s="1" t="s">
        <v>606</v>
      </c>
      <c r="C20" s="5">
        <v>46127</v>
      </c>
      <c r="D20" s="1" t="s">
        <v>53</v>
      </c>
      <c r="E20" s="6" t="s">
        <v>591</v>
      </c>
      <c r="F20" s="6" t="s">
        <v>26</v>
      </c>
      <c r="G20" s="1" t="s">
        <v>51</v>
      </c>
      <c r="H20" s="1" t="s">
        <v>62</v>
      </c>
      <c r="I20" s="1" t="s">
        <v>592</v>
      </c>
      <c r="J20" s="1" t="s">
        <v>157</v>
      </c>
      <c r="K20" s="1" t="s">
        <v>580</v>
      </c>
      <c r="L20" s="1">
        <v>30</v>
      </c>
      <c r="M20" s="1">
        <v>51</v>
      </c>
      <c r="N20" s="2">
        <f>IFERROR(M20/L20*100,0)</f>
        <v>0</v>
      </c>
    </row>
    <row r="21" spans="1:14">
      <c r="A21" s="1">
        <v>18</v>
      </c>
      <c r="B21" s="1" t="s">
        <v>607</v>
      </c>
      <c r="C21" s="5">
        <v>46120</v>
      </c>
      <c r="D21" s="1" t="s">
        <v>53</v>
      </c>
      <c r="E21" s="6" t="s">
        <v>582</v>
      </c>
      <c r="F21" s="6" t="s">
        <v>45</v>
      </c>
      <c r="G21" s="1" t="s">
        <v>14</v>
      </c>
      <c r="H21" s="1" t="s">
        <v>78</v>
      </c>
      <c r="I21" s="1" t="s">
        <v>579</v>
      </c>
      <c r="J21" s="1" t="s">
        <v>157</v>
      </c>
      <c r="K21" s="1" t="s">
        <v>580</v>
      </c>
      <c r="L21" s="1">
        <v>10</v>
      </c>
      <c r="M21" s="1">
        <v>28</v>
      </c>
      <c r="N21" s="2">
        <f>IFERROR(M21/L21*100,0)</f>
        <v>0</v>
      </c>
    </row>
    <row r="22" spans="1:14">
      <c r="A22" s="1">
        <v>19</v>
      </c>
      <c r="B22" s="1" t="s">
        <v>608</v>
      </c>
      <c r="C22" s="5">
        <v>46160</v>
      </c>
      <c r="D22" s="1" t="s">
        <v>60</v>
      </c>
      <c r="E22" s="6" t="s">
        <v>578</v>
      </c>
      <c r="F22" s="6" t="s">
        <v>16</v>
      </c>
      <c r="G22" s="1" t="s">
        <v>80</v>
      </c>
      <c r="H22" s="1" t="s">
        <v>15</v>
      </c>
      <c r="I22" s="1" t="s">
        <v>592</v>
      </c>
      <c r="J22" s="1" t="s">
        <v>142</v>
      </c>
      <c r="K22" s="1" t="s">
        <v>584</v>
      </c>
      <c r="L22" s="1">
        <v>20</v>
      </c>
      <c r="M22" s="1">
        <v>56</v>
      </c>
      <c r="N22" s="2">
        <f>IFERROR(M22/L22*100,0)</f>
        <v>0</v>
      </c>
    </row>
    <row r="23" spans="1:14">
      <c r="A23" s="1">
        <v>20</v>
      </c>
      <c r="B23" s="1" t="s">
        <v>609</v>
      </c>
      <c r="C23" s="5">
        <v>46163</v>
      </c>
      <c r="D23" s="1" t="s">
        <v>60</v>
      </c>
      <c r="E23" s="6" t="s">
        <v>595</v>
      </c>
      <c r="F23" s="6" t="s">
        <v>38</v>
      </c>
      <c r="G23" s="1" t="s">
        <v>21</v>
      </c>
      <c r="H23" s="1" t="s">
        <v>28</v>
      </c>
      <c r="I23" s="1" t="s">
        <v>588</v>
      </c>
      <c r="J23" s="1" t="s">
        <v>157</v>
      </c>
      <c r="K23" s="1" t="s">
        <v>580</v>
      </c>
      <c r="L23" s="1">
        <v>47</v>
      </c>
      <c r="M23" s="1">
        <v>41</v>
      </c>
      <c r="N23" s="2">
        <f>IFERROR(M23/L23*100,0)</f>
        <v>0</v>
      </c>
    </row>
    <row r="24" spans="1:14">
      <c r="A24" s="1">
        <v>21</v>
      </c>
      <c r="B24" s="1" t="s">
        <v>610</v>
      </c>
      <c r="C24" s="5">
        <v>46145</v>
      </c>
      <c r="D24" s="1" t="s">
        <v>60</v>
      </c>
      <c r="E24" s="6" t="s">
        <v>595</v>
      </c>
      <c r="F24" s="6" t="s">
        <v>64</v>
      </c>
      <c r="G24" s="1" t="s">
        <v>31</v>
      </c>
      <c r="H24" s="1" t="s">
        <v>7</v>
      </c>
      <c r="I24" s="1" t="s">
        <v>579</v>
      </c>
      <c r="J24" s="1" t="s">
        <v>161</v>
      </c>
      <c r="K24" s="1" t="s">
        <v>584</v>
      </c>
      <c r="L24" s="1">
        <v>29</v>
      </c>
      <c r="M24" s="1">
        <v>16</v>
      </c>
      <c r="N24" s="2">
        <f>IFERROR(M24/L24*100,0)</f>
        <v>0</v>
      </c>
    </row>
    <row r="25" spans="1:14">
      <c r="A25" s="1">
        <v>22</v>
      </c>
      <c r="B25" s="1" t="s">
        <v>611</v>
      </c>
      <c r="C25" s="5">
        <v>46194</v>
      </c>
      <c r="D25" s="1" t="s">
        <v>73</v>
      </c>
      <c r="E25" s="6" t="s">
        <v>582</v>
      </c>
      <c r="F25" s="6" t="s">
        <v>91</v>
      </c>
      <c r="G25" s="1" t="s">
        <v>51</v>
      </c>
      <c r="H25" s="1" t="s">
        <v>104</v>
      </c>
      <c r="I25" s="1" t="s">
        <v>583</v>
      </c>
      <c r="J25" s="1" t="s">
        <v>161</v>
      </c>
      <c r="K25" s="1" t="s">
        <v>580</v>
      </c>
      <c r="L25" s="1">
        <v>49</v>
      </c>
      <c r="M25" s="1">
        <v>18</v>
      </c>
      <c r="N25" s="2">
        <f>IFERROR(M25/L25*100,0)</f>
        <v>0</v>
      </c>
    </row>
    <row r="26" spans="1:14">
      <c r="A26" s="1">
        <v>23</v>
      </c>
      <c r="B26" s="1" t="s">
        <v>612</v>
      </c>
      <c r="C26" s="5">
        <v>46180</v>
      </c>
      <c r="D26" s="1" t="s">
        <v>73</v>
      </c>
      <c r="E26" s="6" t="s">
        <v>595</v>
      </c>
      <c r="F26" s="6" t="s">
        <v>91</v>
      </c>
      <c r="G26" s="1" t="s">
        <v>31</v>
      </c>
      <c r="H26" s="1" t="s">
        <v>93</v>
      </c>
      <c r="I26" s="1" t="s">
        <v>579</v>
      </c>
      <c r="J26" s="1" t="s">
        <v>151</v>
      </c>
      <c r="K26" s="1" t="s">
        <v>580</v>
      </c>
      <c r="L26" s="1">
        <v>41</v>
      </c>
      <c r="M26" s="1">
        <v>12</v>
      </c>
      <c r="N26" s="2">
        <f>IFERROR(M26/L26*100,0)</f>
        <v>0</v>
      </c>
    </row>
    <row r="27" spans="1:14">
      <c r="A27" s="1">
        <v>24</v>
      </c>
      <c r="B27" s="1" t="s">
        <v>613</v>
      </c>
      <c r="C27" s="5">
        <v>46189</v>
      </c>
      <c r="D27" s="1" t="s">
        <v>73</v>
      </c>
      <c r="E27" s="6" t="s">
        <v>595</v>
      </c>
      <c r="F27" s="6" t="s">
        <v>57</v>
      </c>
      <c r="G27" s="1" t="s">
        <v>35</v>
      </c>
      <c r="H27" s="1" t="s">
        <v>93</v>
      </c>
      <c r="I27" s="1" t="s">
        <v>592</v>
      </c>
      <c r="J27" s="1" t="s">
        <v>142</v>
      </c>
      <c r="K27" s="1" t="s">
        <v>596</v>
      </c>
      <c r="L27" s="1">
        <v>21</v>
      </c>
      <c r="M27" s="1">
        <v>58</v>
      </c>
      <c r="N27" s="2">
        <f>IFERROR(M27/L27*100,0)</f>
        <v>0</v>
      </c>
    </row>
    <row r="28" spans="1:14">
      <c r="A28" s="1">
        <v>25</v>
      </c>
      <c r="B28" s="1" t="s">
        <v>614</v>
      </c>
      <c r="C28" s="5">
        <v>46177</v>
      </c>
      <c r="D28" s="1" t="s">
        <v>73</v>
      </c>
      <c r="E28" s="6" t="s">
        <v>582</v>
      </c>
      <c r="F28" s="6" t="s">
        <v>12</v>
      </c>
      <c r="G28" s="1" t="s">
        <v>87</v>
      </c>
      <c r="H28" s="1" t="s">
        <v>62</v>
      </c>
      <c r="I28" s="1" t="s">
        <v>588</v>
      </c>
      <c r="J28" s="1" t="s">
        <v>161</v>
      </c>
      <c r="K28" s="1" t="s">
        <v>584</v>
      </c>
      <c r="L28" s="1">
        <v>20</v>
      </c>
      <c r="M28" s="1">
        <v>24</v>
      </c>
      <c r="N28" s="2">
        <f>IFERROR(M28/L28*100,0)</f>
        <v>0</v>
      </c>
    </row>
    <row r="29" spans="1:14">
      <c r="A29" s="1">
        <v>26</v>
      </c>
      <c r="B29" s="1" t="s">
        <v>615</v>
      </c>
      <c r="C29" s="5">
        <v>46198</v>
      </c>
      <c r="D29" s="1" t="s">
        <v>73</v>
      </c>
      <c r="E29" s="6" t="s">
        <v>595</v>
      </c>
      <c r="F29" s="6" t="s">
        <v>20</v>
      </c>
      <c r="G29" s="1" t="s">
        <v>51</v>
      </c>
      <c r="H29" s="1" t="s">
        <v>22</v>
      </c>
      <c r="I29" s="1" t="s">
        <v>588</v>
      </c>
      <c r="J29" s="1" t="s">
        <v>157</v>
      </c>
      <c r="K29" s="1" t="s">
        <v>584</v>
      </c>
      <c r="L29" s="1">
        <v>11</v>
      </c>
      <c r="M29" s="1">
        <v>38</v>
      </c>
      <c r="N29" s="2">
        <f>IFERROR(M29/L29*100,0)</f>
        <v>0</v>
      </c>
    </row>
    <row r="30" spans="1:14">
      <c r="A30" s="1">
        <v>27</v>
      </c>
      <c r="B30" s="1" t="s">
        <v>616</v>
      </c>
      <c r="C30" s="5">
        <v>46189</v>
      </c>
      <c r="D30" s="1" t="s">
        <v>73</v>
      </c>
      <c r="E30" s="6" t="s">
        <v>591</v>
      </c>
      <c r="F30" s="6" t="s">
        <v>16</v>
      </c>
      <c r="G30" s="1" t="s">
        <v>6</v>
      </c>
      <c r="H30" s="1" t="s">
        <v>62</v>
      </c>
      <c r="I30" s="1" t="s">
        <v>588</v>
      </c>
      <c r="J30" s="1" t="s">
        <v>142</v>
      </c>
      <c r="K30" s="1" t="s">
        <v>584</v>
      </c>
      <c r="L30" s="1">
        <v>13</v>
      </c>
      <c r="M30" s="1">
        <v>50</v>
      </c>
      <c r="N30" s="2">
        <f>IFERROR(M30/L30*100,0)</f>
        <v>0</v>
      </c>
    </row>
    <row r="31" spans="1:14">
      <c r="A31" s="1">
        <v>28</v>
      </c>
      <c r="B31" s="1" t="s">
        <v>617</v>
      </c>
      <c r="C31" s="5">
        <v>46205</v>
      </c>
      <c r="D31" s="1" t="s">
        <v>76</v>
      </c>
      <c r="E31" s="6" t="s">
        <v>578</v>
      </c>
      <c r="F31" s="6" t="s">
        <v>4</v>
      </c>
      <c r="G31" s="1" t="s">
        <v>95</v>
      </c>
      <c r="H31" s="1" t="s">
        <v>41</v>
      </c>
      <c r="I31" s="1" t="s">
        <v>583</v>
      </c>
      <c r="J31" s="1" t="s">
        <v>142</v>
      </c>
      <c r="K31" s="1" t="s">
        <v>580</v>
      </c>
      <c r="L31" s="1">
        <v>30</v>
      </c>
      <c r="M31" s="1">
        <v>23</v>
      </c>
      <c r="N31" s="2">
        <f>IFERROR(M31/L31*100,0)</f>
        <v>0</v>
      </c>
    </row>
    <row r="32" spans="1:14">
      <c r="A32" s="1">
        <v>29</v>
      </c>
      <c r="B32" s="1" t="s">
        <v>618</v>
      </c>
      <c r="C32" s="5">
        <v>46217</v>
      </c>
      <c r="D32" s="1" t="s">
        <v>76</v>
      </c>
      <c r="E32" s="6" t="s">
        <v>598</v>
      </c>
      <c r="F32" s="6" t="s">
        <v>26</v>
      </c>
      <c r="G32" s="1" t="s">
        <v>87</v>
      </c>
      <c r="H32" s="1" t="s">
        <v>22</v>
      </c>
      <c r="I32" s="1" t="s">
        <v>583</v>
      </c>
      <c r="J32" s="1" t="s">
        <v>151</v>
      </c>
      <c r="K32" s="1" t="s">
        <v>584</v>
      </c>
      <c r="L32" s="1">
        <v>56</v>
      </c>
      <c r="M32" s="1">
        <v>12</v>
      </c>
      <c r="N32" s="2">
        <f>IFERROR(M32/L32*100,0)</f>
        <v>0</v>
      </c>
    </row>
    <row r="33" spans="1:14">
      <c r="A33" s="1">
        <v>30</v>
      </c>
      <c r="B33" s="1" t="s">
        <v>619</v>
      </c>
      <c r="C33" s="5">
        <v>46207</v>
      </c>
      <c r="D33" s="1" t="s">
        <v>76</v>
      </c>
      <c r="E33" s="6" t="s">
        <v>595</v>
      </c>
      <c r="F33" s="6" t="s">
        <v>16</v>
      </c>
      <c r="G33" s="1" t="s">
        <v>40</v>
      </c>
      <c r="H33" s="1" t="s">
        <v>66</v>
      </c>
      <c r="I33" s="1" t="s">
        <v>583</v>
      </c>
      <c r="J33" s="1" t="s">
        <v>151</v>
      </c>
      <c r="K33" s="1" t="s">
        <v>596</v>
      </c>
      <c r="L33" s="1">
        <v>30</v>
      </c>
      <c r="M33" s="1">
        <v>31</v>
      </c>
      <c r="N33" s="2">
        <f>IFERROR(M33/L33*100,0)</f>
        <v>0</v>
      </c>
    </row>
    <row r="34" spans="1:14">
      <c r="A34" s="1">
        <v>31</v>
      </c>
      <c r="B34" s="1" t="s">
        <v>620</v>
      </c>
      <c r="C34" s="5">
        <v>46219</v>
      </c>
      <c r="D34" s="1" t="s">
        <v>76</v>
      </c>
      <c r="E34" s="6" t="s">
        <v>578</v>
      </c>
      <c r="F34" s="6" t="s">
        <v>91</v>
      </c>
      <c r="G34" s="1" t="s">
        <v>31</v>
      </c>
      <c r="H34" s="1" t="s">
        <v>28</v>
      </c>
      <c r="I34" s="1" t="s">
        <v>592</v>
      </c>
      <c r="J34" s="1" t="s">
        <v>142</v>
      </c>
      <c r="K34" s="1" t="s">
        <v>580</v>
      </c>
      <c r="L34" s="1">
        <v>12</v>
      </c>
      <c r="M34" s="1">
        <v>13</v>
      </c>
      <c r="N34" s="2">
        <f>IFERROR(M34/L34*100,0)</f>
        <v>0</v>
      </c>
    </row>
    <row r="35" spans="1:14">
      <c r="A35" s="1">
        <v>32</v>
      </c>
      <c r="B35" s="1" t="s">
        <v>621</v>
      </c>
      <c r="C35" s="5">
        <v>46242</v>
      </c>
      <c r="D35" s="1" t="s">
        <v>86</v>
      </c>
      <c r="E35" s="6" t="s">
        <v>598</v>
      </c>
      <c r="F35" s="6" t="s">
        <v>49</v>
      </c>
      <c r="G35" s="1" t="s">
        <v>35</v>
      </c>
      <c r="H35" s="1" t="s">
        <v>22</v>
      </c>
      <c r="I35" s="1" t="s">
        <v>592</v>
      </c>
      <c r="J35" s="1" t="s">
        <v>157</v>
      </c>
      <c r="K35" s="1" t="s">
        <v>596</v>
      </c>
      <c r="L35" s="1">
        <v>60</v>
      </c>
      <c r="M35" s="1">
        <v>12</v>
      </c>
      <c r="N35" s="2">
        <f>IFERROR(M35/L35*100,0)</f>
        <v>0</v>
      </c>
    </row>
    <row r="36" spans="1:14">
      <c r="A36" s="1">
        <v>33</v>
      </c>
      <c r="B36" s="1" t="s">
        <v>622</v>
      </c>
      <c r="C36" s="5">
        <v>46262</v>
      </c>
      <c r="D36" s="1" t="s">
        <v>86</v>
      </c>
      <c r="E36" s="6" t="s">
        <v>595</v>
      </c>
      <c r="F36" s="6" t="s">
        <v>64</v>
      </c>
      <c r="G36" s="1" t="s">
        <v>87</v>
      </c>
      <c r="H36" s="1" t="s">
        <v>66</v>
      </c>
      <c r="I36" s="1" t="s">
        <v>588</v>
      </c>
      <c r="J36" s="1" t="s">
        <v>157</v>
      </c>
      <c r="K36" s="1" t="s">
        <v>596</v>
      </c>
      <c r="L36" s="1">
        <v>59</v>
      </c>
      <c r="M36" s="1">
        <v>59</v>
      </c>
      <c r="N36" s="2">
        <f>IFERROR(M36/L36*100,0)</f>
        <v>0</v>
      </c>
    </row>
    <row r="37" spans="1:14">
      <c r="A37" s="1">
        <v>34</v>
      </c>
      <c r="B37" s="1" t="s">
        <v>623</v>
      </c>
      <c r="C37" s="5">
        <v>46249</v>
      </c>
      <c r="D37" s="1" t="s">
        <v>86</v>
      </c>
      <c r="E37" s="6" t="s">
        <v>591</v>
      </c>
      <c r="F37" s="6" t="s">
        <v>64</v>
      </c>
      <c r="G37" s="1" t="s">
        <v>14</v>
      </c>
      <c r="H37" s="1" t="s">
        <v>104</v>
      </c>
      <c r="I37" s="1" t="s">
        <v>583</v>
      </c>
      <c r="J37" s="1" t="s">
        <v>151</v>
      </c>
      <c r="K37" s="1" t="s">
        <v>596</v>
      </c>
      <c r="L37" s="1">
        <v>36</v>
      </c>
      <c r="M37" s="1">
        <v>48</v>
      </c>
      <c r="N37" s="2">
        <f>IFERROR(M37/L37*100,0)</f>
        <v>0</v>
      </c>
    </row>
    <row r="38" spans="1:14">
      <c r="A38" s="1">
        <v>35</v>
      </c>
      <c r="B38" s="1" t="s">
        <v>624</v>
      </c>
      <c r="C38" s="5">
        <v>46250</v>
      </c>
      <c r="D38" s="1" t="s">
        <v>86</v>
      </c>
      <c r="E38" s="6" t="s">
        <v>578</v>
      </c>
      <c r="F38" s="6" t="s">
        <v>54</v>
      </c>
      <c r="G38" s="1" t="s">
        <v>80</v>
      </c>
      <c r="H38" s="1" t="s">
        <v>41</v>
      </c>
      <c r="I38" s="1" t="s">
        <v>592</v>
      </c>
      <c r="J38" s="1" t="s">
        <v>142</v>
      </c>
      <c r="K38" s="1" t="s">
        <v>596</v>
      </c>
      <c r="L38" s="1">
        <v>58</v>
      </c>
      <c r="M38" s="1">
        <v>11</v>
      </c>
      <c r="N38" s="2">
        <f>IFERROR(M38/L38*100,0)</f>
        <v>0</v>
      </c>
    </row>
    <row r="39" spans="1:14">
      <c r="A39" s="1">
        <v>36</v>
      </c>
      <c r="B39" s="1" t="s">
        <v>625</v>
      </c>
      <c r="C39" s="5">
        <v>46284</v>
      </c>
      <c r="D39" s="1" t="s">
        <v>102</v>
      </c>
      <c r="E39" s="6" t="s">
        <v>582</v>
      </c>
      <c r="F39" s="6" t="s">
        <v>61</v>
      </c>
      <c r="G39" s="1" t="s">
        <v>6</v>
      </c>
      <c r="H39" s="1" t="s">
        <v>22</v>
      </c>
      <c r="I39" s="1" t="s">
        <v>592</v>
      </c>
      <c r="J39" s="1" t="s">
        <v>151</v>
      </c>
      <c r="K39" s="1" t="s">
        <v>596</v>
      </c>
      <c r="L39" s="1">
        <v>45</v>
      </c>
      <c r="M39" s="1">
        <v>22</v>
      </c>
      <c r="N39" s="2">
        <f>IFERROR(M39/L39*100,0)</f>
        <v>0</v>
      </c>
    </row>
    <row r="40" spans="1:14">
      <c r="A40" s="1">
        <v>37</v>
      </c>
      <c r="B40" s="1" t="s">
        <v>626</v>
      </c>
      <c r="C40" s="5">
        <v>46280</v>
      </c>
      <c r="D40" s="1" t="s">
        <v>102</v>
      </c>
      <c r="E40" s="6" t="s">
        <v>598</v>
      </c>
      <c r="F40" s="6" t="s">
        <v>38</v>
      </c>
      <c r="G40" s="1" t="s">
        <v>82</v>
      </c>
      <c r="H40" s="1" t="s">
        <v>22</v>
      </c>
      <c r="I40" s="1" t="s">
        <v>588</v>
      </c>
      <c r="J40" s="1" t="s">
        <v>142</v>
      </c>
      <c r="K40" s="1" t="s">
        <v>596</v>
      </c>
      <c r="L40" s="1">
        <v>29</v>
      </c>
      <c r="M40" s="1">
        <v>23</v>
      </c>
      <c r="N40" s="2">
        <f>IFERROR(M40/L40*100,0)</f>
        <v>0</v>
      </c>
    </row>
    <row r="41" spans="1:14">
      <c r="A41" s="1">
        <v>38</v>
      </c>
      <c r="B41" s="1" t="s">
        <v>627</v>
      </c>
      <c r="C41" s="5">
        <v>46288</v>
      </c>
      <c r="D41" s="1" t="s">
        <v>102</v>
      </c>
      <c r="E41" s="6" t="s">
        <v>582</v>
      </c>
      <c r="F41" s="6" t="s">
        <v>20</v>
      </c>
      <c r="G41" s="1" t="s">
        <v>95</v>
      </c>
      <c r="H41" s="1" t="s">
        <v>22</v>
      </c>
      <c r="I41" s="1" t="s">
        <v>588</v>
      </c>
      <c r="J41" s="1" t="s">
        <v>161</v>
      </c>
      <c r="K41" s="1" t="s">
        <v>580</v>
      </c>
      <c r="L41" s="1">
        <v>47</v>
      </c>
      <c r="M41" s="1">
        <v>41</v>
      </c>
      <c r="N41" s="2">
        <f>IFERROR(M41/L41*100,0)</f>
        <v>0</v>
      </c>
    </row>
    <row r="42" spans="1:14">
      <c r="A42" s="1">
        <v>39</v>
      </c>
      <c r="B42" s="1" t="s">
        <v>628</v>
      </c>
      <c r="C42" s="5">
        <v>46353</v>
      </c>
      <c r="D42" s="1" t="s">
        <v>111</v>
      </c>
      <c r="E42" s="6" t="s">
        <v>582</v>
      </c>
      <c r="F42" s="6" t="s">
        <v>12</v>
      </c>
      <c r="G42" s="1" t="s">
        <v>40</v>
      </c>
      <c r="H42" s="1" t="s">
        <v>22</v>
      </c>
      <c r="I42" s="1" t="s">
        <v>588</v>
      </c>
      <c r="J42" s="1" t="s">
        <v>151</v>
      </c>
      <c r="K42" s="1" t="s">
        <v>580</v>
      </c>
      <c r="L42" s="1">
        <v>26</v>
      </c>
      <c r="M42" s="1">
        <v>32</v>
      </c>
      <c r="N42" s="2">
        <f>IFERROR(M42/L42*100,0)</f>
        <v>0</v>
      </c>
    </row>
    <row r="43" spans="1:14">
      <c r="A43" s="1">
        <v>40</v>
      </c>
      <c r="B43" s="1" t="s">
        <v>629</v>
      </c>
      <c r="C43" s="5">
        <v>46330</v>
      </c>
      <c r="D43" s="1" t="s">
        <v>111</v>
      </c>
      <c r="E43" s="6" t="s">
        <v>595</v>
      </c>
      <c r="F43" s="6" t="s">
        <v>30</v>
      </c>
      <c r="G43" s="1" t="s">
        <v>31</v>
      </c>
      <c r="H43" s="1" t="s">
        <v>62</v>
      </c>
      <c r="I43" s="1" t="s">
        <v>588</v>
      </c>
      <c r="J43" s="1" t="s">
        <v>161</v>
      </c>
      <c r="K43" s="1" t="s">
        <v>584</v>
      </c>
      <c r="L43" s="1">
        <v>22</v>
      </c>
      <c r="M43" s="1">
        <v>32</v>
      </c>
      <c r="N43" s="2">
        <f>IFERROR(M43/L43*100,0)</f>
        <v>0</v>
      </c>
    </row>
    <row r="44" spans="1:14">
      <c r="A44" s="1">
        <v>41</v>
      </c>
      <c r="B44" s="1" t="s">
        <v>630</v>
      </c>
      <c r="C44" s="5">
        <v>46354</v>
      </c>
      <c r="D44" s="1" t="s">
        <v>111</v>
      </c>
      <c r="E44" s="6" t="s">
        <v>591</v>
      </c>
      <c r="F44" s="6" t="s">
        <v>91</v>
      </c>
      <c r="G44" s="1" t="s">
        <v>21</v>
      </c>
      <c r="H44" s="1" t="s">
        <v>78</v>
      </c>
      <c r="I44" s="1" t="s">
        <v>579</v>
      </c>
      <c r="J44" s="1" t="s">
        <v>161</v>
      </c>
      <c r="K44" s="1" t="s">
        <v>580</v>
      </c>
      <c r="L44" s="1">
        <v>18</v>
      </c>
      <c r="M44" s="1">
        <v>26</v>
      </c>
      <c r="N44" s="2">
        <f>IFERROR(M44/L44*100,0)</f>
        <v>0</v>
      </c>
    </row>
    <row r="45" spans="1:14">
      <c r="A45" s="1">
        <v>42</v>
      </c>
      <c r="B45" s="1" t="s">
        <v>631</v>
      </c>
      <c r="C45" s="5">
        <v>46331</v>
      </c>
      <c r="D45" s="1" t="s">
        <v>111</v>
      </c>
      <c r="E45" s="6" t="s">
        <v>598</v>
      </c>
      <c r="F45" s="6" t="s">
        <v>45</v>
      </c>
      <c r="G45" s="1" t="s">
        <v>82</v>
      </c>
      <c r="H45" s="1" t="s">
        <v>66</v>
      </c>
      <c r="I45" s="1" t="s">
        <v>588</v>
      </c>
      <c r="J45" s="1" t="s">
        <v>151</v>
      </c>
      <c r="K45" s="1" t="s">
        <v>596</v>
      </c>
      <c r="L45" s="1">
        <v>29</v>
      </c>
      <c r="M45" s="1">
        <v>13</v>
      </c>
      <c r="N45" s="2">
        <f>IFERROR(M45/L45*100,0)</f>
        <v>0</v>
      </c>
    </row>
    <row r="46" spans="1:14">
      <c r="A46" s="1">
        <v>43</v>
      </c>
      <c r="B46" s="1" t="s">
        <v>632</v>
      </c>
      <c r="C46" s="5">
        <v>46341</v>
      </c>
      <c r="D46" s="1" t="s">
        <v>111</v>
      </c>
      <c r="E46" s="6" t="s">
        <v>582</v>
      </c>
      <c r="F46" s="6" t="s">
        <v>57</v>
      </c>
      <c r="G46" s="1" t="s">
        <v>95</v>
      </c>
      <c r="H46" s="1" t="s">
        <v>36</v>
      </c>
      <c r="I46" s="1" t="s">
        <v>579</v>
      </c>
      <c r="J46" s="1" t="s">
        <v>142</v>
      </c>
      <c r="K46" s="1" t="s">
        <v>584</v>
      </c>
      <c r="L46" s="1">
        <v>37</v>
      </c>
      <c r="M46" s="1">
        <v>42</v>
      </c>
      <c r="N46" s="2">
        <f>IFERROR(M46/L46*100,0)</f>
        <v>0</v>
      </c>
    </row>
    <row r="47" spans="1:14">
      <c r="A47" s="1">
        <v>44</v>
      </c>
      <c r="B47" s="1" t="s">
        <v>633</v>
      </c>
      <c r="C47" s="5">
        <v>46342</v>
      </c>
      <c r="D47" s="1" t="s">
        <v>111</v>
      </c>
      <c r="E47" s="6" t="s">
        <v>598</v>
      </c>
      <c r="F47" s="6" t="s">
        <v>12</v>
      </c>
      <c r="G47" s="1" t="s">
        <v>77</v>
      </c>
      <c r="H47" s="1" t="s">
        <v>41</v>
      </c>
      <c r="I47" s="1" t="s">
        <v>579</v>
      </c>
      <c r="J47" s="1" t="s">
        <v>161</v>
      </c>
      <c r="K47" s="1" t="s">
        <v>584</v>
      </c>
      <c r="L47" s="1">
        <v>40</v>
      </c>
      <c r="M47" s="1">
        <v>21</v>
      </c>
      <c r="N47" s="2">
        <f>IFERROR(M47/L47*100,0)</f>
        <v>0</v>
      </c>
    </row>
    <row r="48" spans="1:14">
      <c r="A48" s="1">
        <v>45</v>
      </c>
      <c r="B48" s="1" t="s">
        <v>634</v>
      </c>
      <c r="C48" s="5">
        <v>46341</v>
      </c>
      <c r="D48" s="1" t="s">
        <v>111</v>
      </c>
      <c r="E48" s="6" t="s">
        <v>586</v>
      </c>
      <c r="F48" s="6" t="s">
        <v>16</v>
      </c>
      <c r="G48" s="1" t="s">
        <v>31</v>
      </c>
      <c r="H48" s="1" t="s">
        <v>78</v>
      </c>
      <c r="I48" s="1" t="s">
        <v>588</v>
      </c>
      <c r="J48" s="1" t="s">
        <v>142</v>
      </c>
      <c r="K48" s="1" t="s">
        <v>580</v>
      </c>
      <c r="L48" s="1">
        <v>54</v>
      </c>
      <c r="M48" s="1">
        <v>20</v>
      </c>
      <c r="N48" s="2">
        <f>IFERROR(M48/L48*100,0)</f>
        <v>0</v>
      </c>
    </row>
    <row r="49" spans="1:14">
      <c r="A49" s="1">
        <v>46</v>
      </c>
      <c r="B49" s="1" t="s">
        <v>635</v>
      </c>
      <c r="C49" s="5">
        <v>46369</v>
      </c>
      <c r="D49" s="1" t="s">
        <v>122</v>
      </c>
      <c r="E49" s="6" t="s">
        <v>598</v>
      </c>
      <c r="F49" s="6" t="s">
        <v>54</v>
      </c>
      <c r="G49" s="1" t="s">
        <v>21</v>
      </c>
      <c r="H49" s="1" t="s">
        <v>28</v>
      </c>
      <c r="I49" s="1" t="s">
        <v>579</v>
      </c>
      <c r="J49" s="1" t="s">
        <v>157</v>
      </c>
      <c r="K49" s="1" t="s">
        <v>584</v>
      </c>
      <c r="L49" s="1">
        <v>49</v>
      </c>
      <c r="M49" s="1">
        <v>55</v>
      </c>
      <c r="N49" s="2">
        <f>IFERROR(M49/L49*100,0)</f>
        <v>0</v>
      </c>
    </row>
    <row r="50" spans="1:14">
      <c r="A50" s="1">
        <v>47</v>
      </c>
      <c r="B50" s="1" t="s">
        <v>636</v>
      </c>
      <c r="C50" s="5">
        <v>46371</v>
      </c>
      <c r="D50" s="1" t="s">
        <v>122</v>
      </c>
      <c r="E50" s="6" t="s">
        <v>591</v>
      </c>
      <c r="F50" s="6" t="s">
        <v>38</v>
      </c>
      <c r="G50" s="1" t="s">
        <v>21</v>
      </c>
      <c r="H50" s="1" t="s">
        <v>93</v>
      </c>
      <c r="I50" s="1" t="s">
        <v>579</v>
      </c>
      <c r="J50" s="1" t="s">
        <v>157</v>
      </c>
      <c r="K50" s="1" t="s">
        <v>580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637</v>
      </c>
      <c r="C51" s="5">
        <v>46371</v>
      </c>
      <c r="D51" s="1" t="s">
        <v>122</v>
      </c>
      <c r="E51" s="6" t="s">
        <v>598</v>
      </c>
      <c r="F51" s="6" t="s">
        <v>20</v>
      </c>
      <c r="G51" s="1" t="s">
        <v>82</v>
      </c>
      <c r="H51" s="1" t="s">
        <v>93</v>
      </c>
      <c r="I51" s="1" t="s">
        <v>592</v>
      </c>
      <c r="J51" s="1" t="s">
        <v>142</v>
      </c>
      <c r="K51" s="1" t="s">
        <v>584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649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706</v>
      </c>
      <c r="C3" s="1" t="s">
        <v>126</v>
      </c>
      <c r="D3" s="1" t="s">
        <v>127</v>
      </c>
      <c r="E3" s="1" t="s">
        <v>707</v>
      </c>
      <c r="F3" s="1" t="s">
        <v>130</v>
      </c>
      <c r="G3" s="1" t="s">
        <v>708</v>
      </c>
      <c r="H3" s="1" t="s">
        <v>709</v>
      </c>
      <c r="I3" s="1" t="s">
        <v>710</v>
      </c>
      <c r="J3" s="2" t="s">
        <v>711</v>
      </c>
      <c r="K3" s="1" t="s">
        <v>712</v>
      </c>
      <c r="L3" s="1" t="s">
        <v>713</v>
      </c>
      <c r="M3" s="1" t="s">
        <v>413</v>
      </c>
      <c r="N3" s="1" t="s">
        <v>714</v>
      </c>
      <c r="O3" s="1" t="s">
        <v>286</v>
      </c>
    </row>
    <row r="4" spans="1:17">
      <c r="A4" s="1">
        <v>1</v>
      </c>
      <c r="B4" s="1" t="s">
        <v>650</v>
      </c>
      <c r="C4" s="5">
        <v>46029</v>
      </c>
      <c r="D4" s="1" t="s">
        <v>3</v>
      </c>
      <c r="E4" s="6" t="s">
        <v>651</v>
      </c>
      <c r="F4" s="6" t="s">
        <v>51</v>
      </c>
      <c r="G4" s="1" t="s">
        <v>15</v>
      </c>
      <c r="H4" s="1">
        <v>13</v>
      </c>
      <c r="I4" s="1">
        <v>29</v>
      </c>
      <c r="J4" s="2">
        <f>IFERROR(I4/H4*100,0)</f>
        <v>0</v>
      </c>
      <c r="K4" s="1">
        <v>6</v>
      </c>
      <c r="L4" s="1">
        <v>11</v>
      </c>
      <c r="M4" s="1" t="s">
        <v>17</v>
      </c>
      <c r="N4" s="1" t="s">
        <v>40</v>
      </c>
      <c r="O4" s="1" t="s">
        <v>220</v>
      </c>
    </row>
    <row r="5" spans="1:17">
      <c r="A5" s="1">
        <v>2</v>
      </c>
      <c r="B5" s="1" t="s">
        <v>652</v>
      </c>
      <c r="C5" s="5">
        <v>46050</v>
      </c>
      <c r="D5" s="1" t="s">
        <v>3</v>
      </c>
      <c r="E5" s="6" t="s">
        <v>653</v>
      </c>
      <c r="F5" s="6" t="s">
        <v>35</v>
      </c>
      <c r="G5" s="1" t="s">
        <v>41</v>
      </c>
      <c r="H5" s="1">
        <v>25</v>
      </c>
      <c r="I5" s="1">
        <v>53</v>
      </c>
      <c r="J5" s="2">
        <f>IFERROR(I5/H5*100,0)</f>
        <v>0</v>
      </c>
      <c r="K5" s="1">
        <v>0</v>
      </c>
      <c r="L5" s="1">
        <v>30</v>
      </c>
      <c r="M5" s="1" t="s">
        <v>24</v>
      </c>
      <c r="N5" s="1" t="s">
        <v>95</v>
      </c>
      <c r="O5" s="1" t="s">
        <v>220</v>
      </c>
    </row>
    <row r="6" spans="1:17">
      <c r="A6" s="1">
        <v>3</v>
      </c>
      <c r="B6" s="1" t="s">
        <v>654</v>
      </c>
      <c r="C6" s="5">
        <v>46038</v>
      </c>
      <c r="D6" s="1" t="s">
        <v>3</v>
      </c>
      <c r="E6" s="6" t="s">
        <v>653</v>
      </c>
      <c r="F6" s="6" t="s">
        <v>80</v>
      </c>
      <c r="G6" s="1" t="s">
        <v>66</v>
      </c>
      <c r="H6" s="1">
        <v>12</v>
      </c>
      <c r="I6" s="1">
        <v>35</v>
      </c>
      <c r="J6" s="2">
        <f>IFERROR(I6/H6*100,0)</f>
        <v>0</v>
      </c>
      <c r="K6" s="1">
        <v>3</v>
      </c>
      <c r="L6" s="1">
        <v>14</v>
      </c>
      <c r="M6" s="1" t="s">
        <v>96</v>
      </c>
      <c r="N6" s="1" t="s">
        <v>40</v>
      </c>
      <c r="O6" s="1" t="s">
        <v>220</v>
      </c>
    </row>
    <row r="7" spans="1:17">
      <c r="A7" s="1">
        <v>4</v>
      </c>
      <c r="B7" s="1" t="s">
        <v>655</v>
      </c>
      <c r="C7" s="5">
        <v>46049</v>
      </c>
      <c r="D7" s="1" t="s">
        <v>3</v>
      </c>
      <c r="E7" s="6" t="s">
        <v>656</v>
      </c>
      <c r="F7" s="6" t="s">
        <v>40</v>
      </c>
      <c r="G7" s="1" t="s">
        <v>15</v>
      </c>
      <c r="H7" s="1">
        <v>26</v>
      </c>
      <c r="I7" s="1">
        <v>29</v>
      </c>
      <c r="J7" s="2">
        <f>IFERROR(I7/H7*100,0)</f>
        <v>0</v>
      </c>
      <c r="K7" s="1">
        <v>20</v>
      </c>
      <c r="L7" s="1">
        <v>18</v>
      </c>
      <c r="M7" s="1" t="s">
        <v>17</v>
      </c>
      <c r="N7" s="1" t="s">
        <v>14</v>
      </c>
      <c r="O7" s="1" t="s">
        <v>220</v>
      </c>
    </row>
    <row r="8" spans="1:17">
      <c r="A8" s="1">
        <v>5</v>
      </c>
      <c r="B8" s="1" t="s">
        <v>657</v>
      </c>
      <c r="C8" s="5">
        <v>46065</v>
      </c>
      <c r="D8" s="1" t="s">
        <v>19</v>
      </c>
      <c r="E8" s="6" t="s">
        <v>653</v>
      </c>
      <c r="F8" s="6" t="s">
        <v>31</v>
      </c>
      <c r="G8" s="1" t="s">
        <v>7</v>
      </c>
      <c r="H8" s="1">
        <v>55</v>
      </c>
      <c r="I8" s="1">
        <v>39</v>
      </c>
      <c r="J8" s="2">
        <f>IFERROR(I8/H8*100,0)</f>
        <v>0</v>
      </c>
      <c r="K8" s="1">
        <v>10</v>
      </c>
      <c r="L8" s="1">
        <v>14</v>
      </c>
      <c r="M8" s="1" t="s">
        <v>42</v>
      </c>
      <c r="N8" s="1" t="s">
        <v>77</v>
      </c>
      <c r="O8" s="1" t="s">
        <v>220</v>
      </c>
    </row>
    <row r="9" spans="1:17">
      <c r="A9" s="1">
        <v>6</v>
      </c>
      <c r="B9" s="1" t="s">
        <v>658</v>
      </c>
      <c r="C9" s="5">
        <v>46057</v>
      </c>
      <c r="D9" s="1" t="s">
        <v>19</v>
      </c>
      <c r="E9" s="6" t="s">
        <v>659</v>
      </c>
      <c r="F9" s="6" t="s">
        <v>31</v>
      </c>
      <c r="G9" s="1" t="s">
        <v>32</v>
      </c>
      <c r="H9" s="1">
        <v>38</v>
      </c>
      <c r="I9" s="1">
        <v>25</v>
      </c>
      <c r="J9" s="2">
        <f>IFERROR(I9/H9*100,0)</f>
        <v>0</v>
      </c>
      <c r="K9" s="1">
        <v>26</v>
      </c>
      <c r="L9" s="1">
        <v>12</v>
      </c>
      <c r="M9" s="1" t="s">
        <v>10</v>
      </c>
      <c r="N9" s="1" t="s">
        <v>51</v>
      </c>
      <c r="O9" s="1" t="s">
        <v>660</v>
      </c>
    </row>
    <row r="10" spans="1:17">
      <c r="A10" s="1">
        <v>7</v>
      </c>
      <c r="B10" s="1" t="s">
        <v>661</v>
      </c>
      <c r="C10" s="5">
        <v>46091</v>
      </c>
      <c r="D10" s="1" t="s">
        <v>44</v>
      </c>
      <c r="E10" s="6" t="s">
        <v>662</v>
      </c>
      <c r="F10" s="6" t="s">
        <v>40</v>
      </c>
      <c r="G10" s="1" t="s">
        <v>32</v>
      </c>
      <c r="H10" s="1">
        <v>35</v>
      </c>
      <c r="I10" s="1">
        <v>39</v>
      </c>
      <c r="J10" s="2">
        <f>IFERROR(I10/H10*100,0)</f>
        <v>0</v>
      </c>
      <c r="K10" s="1">
        <v>8</v>
      </c>
      <c r="L10" s="1">
        <v>10</v>
      </c>
      <c r="M10" s="1" t="s">
        <v>42</v>
      </c>
      <c r="N10" s="1" t="s">
        <v>51</v>
      </c>
      <c r="O10" s="1" t="s">
        <v>220</v>
      </c>
    </row>
    <row r="11" spans="1:17">
      <c r="A11" s="1">
        <v>8</v>
      </c>
      <c r="B11" s="1" t="s">
        <v>663</v>
      </c>
      <c r="C11" s="5">
        <v>46097</v>
      </c>
      <c r="D11" s="1" t="s">
        <v>44</v>
      </c>
      <c r="E11" s="6" t="s">
        <v>659</v>
      </c>
      <c r="F11" s="6" t="s">
        <v>87</v>
      </c>
      <c r="G11" s="1" t="s">
        <v>93</v>
      </c>
      <c r="H11" s="1">
        <v>50</v>
      </c>
      <c r="I11" s="1">
        <v>21</v>
      </c>
      <c r="J11" s="2">
        <f>IFERROR(I11/H11*100,0)</f>
        <v>0</v>
      </c>
      <c r="K11" s="1">
        <v>4</v>
      </c>
      <c r="L11" s="1">
        <v>25</v>
      </c>
      <c r="M11" s="1" t="s">
        <v>96</v>
      </c>
      <c r="N11" s="1" t="s">
        <v>35</v>
      </c>
      <c r="O11" s="1" t="s">
        <v>220</v>
      </c>
    </row>
    <row r="12" spans="1:17">
      <c r="A12" s="1">
        <v>9</v>
      </c>
      <c r="B12" s="1" t="s">
        <v>664</v>
      </c>
      <c r="C12" s="5">
        <v>46109</v>
      </c>
      <c r="D12" s="1" t="s">
        <v>44</v>
      </c>
      <c r="E12" s="6" t="s">
        <v>659</v>
      </c>
      <c r="F12" s="6" t="s">
        <v>35</v>
      </c>
      <c r="G12" s="1" t="s">
        <v>93</v>
      </c>
      <c r="H12" s="1">
        <v>26</v>
      </c>
      <c r="I12" s="1">
        <v>36</v>
      </c>
      <c r="J12" s="2">
        <f>IFERROR(I12/H12*100,0)</f>
        <v>0</v>
      </c>
      <c r="K12" s="1">
        <v>10</v>
      </c>
      <c r="L12" s="1">
        <v>24</v>
      </c>
      <c r="M12" s="1" t="s">
        <v>42</v>
      </c>
      <c r="N12" s="1" t="s">
        <v>82</v>
      </c>
      <c r="O12" s="1" t="s">
        <v>220</v>
      </c>
    </row>
    <row r="13" spans="1:17">
      <c r="A13" s="1">
        <v>10</v>
      </c>
      <c r="B13" s="1" t="s">
        <v>665</v>
      </c>
      <c r="C13" s="5">
        <v>46093</v>
      </c>
      <c r="D13" s="1" t="s">
        <v>44</v>
      </c>
      <c r="E13" s="6" t="s">
        <v>653</v>
      </c>
      <c r="F13" s="6" t="s">
        <v>21</v>
      </c>
      <c r="G13" s="1" t="s">
        <v>7</v>
      </c>
      <c r="H13" s="1">
        <v>26</v>
      </c>
      <c r="I13" s="1">
        <v>58</v>
      </c>
      <c r="J13" s="2">
        <f>IFERROR(I13/H13*100,0)</f>
        <v>0</v>
      </c>
      <c r="K13" s="1">
        <v>1</v>
      </c>
      <c r="L13" s="1">
        <v>4</v>
      </c>
      <c r="M13" s="1" t="s">
        <v>96</v>
      </c>
      <c r="N13" s="1" t="s">
        <v>21</v>
      </c>
      <c r="O13" s="1" t="s">
        <v>660</v>
      </c>
    </row>
    <row r="14" spans="1:17">
      <c r="A14" s="1">
        <v>11</v>
      </c>
      <c r="B14" s="1" t="s">
        <v>666</v>
      </c>
      <c r="C14" s="5">
        <v>46098</v>
      </c>
      <c r="D14" s="1" t="s">
        <v>44</v>
      </c>
      <c r="E14" s="6" t="s">
        <v>659</v>
      </c>
      <c r="F14" s="6" t="s">
        <v>40</v>
      </c>
      <c r="G14" s="1" t="s">
        <v>32</v>
      </c>
      <c r="H14" s="1">
        <v>53</v>
      </c>
      <c r="I14" s="1">
        <v>35</v>
      </c>
      <c r="J14" s="2">
        <f>IFERROR(I14/H14*100,0)</f>
        <v>0</v>
      </c>
      <c r="K14" s="1">
        <v>22</v>
      </c>
      <c r="L14" s="1">
        <v>19</v>
      </c>
      <c r="M14" s="1" t="s">
        <v>96</v>
      </c>
      <c r="N14" s="1" t="s">
        <v>31</v>
      </c>
      <c r="O14" s="1" t="s">
        <v>220</v>
      </c>
    </row>
    <row r="15" spans="1:17">
      <c r="A15" s="1">
        <v>12</v>
      </c>
      <c r="B15" s="1" t="s">
        <v>667</v>
      </c>
      <c r="C15" s="5">
        <v>46122</v>
      </c>
      <c r="D15" s="1" t="s">
        <v>53</v>
      </c>
      <c r="E15" s="6" t="s">
        <v>668</v>
      </c>
      <c r="F15" s="6" t="s">
        <v>51</v>
      </c>
      <c r="G15" s="1" t="s">
        <v>78</v>
      </c>
      <c r="H15" s="1">
        <v>58</v>
      </c>
      <c r="I15" s="1">
        <v>53</v>
      </c>
      <c r="J15" s="2">
        <f>IFERROR(I15/H15*100,0)</f>
        <v>0</v>
      </c>
      <c r="K15" s="1">
        <v>4</v>
      </c>
      <c r="L15" s="1">
        <v>23</v>
      </c>
      <c r="M15" s="1" t="s">
        <v>17</v>
      </c>
      <c r="N15" s="1" t="s">
        <v>40</v>
      </c>
      <c r="O15" s="1" t="s">
        <v>220</v>
      </c>
    </row>
    <row r="16" spans="1:17">
      <c r="A16" s="1">
        <v>13</v>
      </c>
      <c r="B16" s="1" t="s">
        <v>669</v>
      </c>
      <c r="C16" s="5">
        <v>46117</v>
      </c>
      <c r="D16" s="1" t="s">
        <v>53</v>
      </c>
      <c r="E16" s="6" t="s">
        <v>651</v>
      </c>
      <c r="F16" s="6" t="s">
        <v>14</v>
      </c>
      <c r="G16" s="1" t="s">
        <v>68</v>
      </c>
      <c r="H16" s="1">
        <v>34</v>
      </c>
      <c r="I16" s="1">
        <v>58</v>
      </c>
      <c r="J16" s="2">
        <f>IFERROR(I16/H16*100,0)</f>
        <v>0</v>
      </c>
      <c r="K16" s="1">
        <v>15</v>
      </c>
      <c r="L16" s="1">
        <v>1</v>
      </c>
      <c r="M16" s="1" t="s">
        <v>96</v>
      </c>
      <c r="N16" s="1" t="s">
        <v>21</v>
      </c>
      <c r="O16" s="1" t="s">
        <v>220</v>
      </c>
    </row>
    <row r="17" spans="1:15">
      <c r="A17" s="1">
        <v>14</v>
      </c>
      <c r="B17" s="1" t="s">
        <v>670</v>
      </c>
      <c r="C17" s="5">
        <v>46136</v>
      </c>
      <c r="D17" s="1" t="s">
        <v>53</v>
      </c>
      <c r="E17" s="6" t="s">
        <v>662</v>
      </c>
      <c r="F17" s="6" t="s">
        <v>14</v>
      </c>
      <c r="G17" s="1" t="s">
        <v>93</v>
      </c>
      <c r="H17" s="1">
        <v>42</v>
      </c>
      <c r="I17" s="1">
        <v>57</v>
      </c>
      <c r="J17" s="2">
        <f>IFERROR(I17/H17*100,0)</f>
        <v>0</v>
      </c>
      <c r="K17" s="1">
        <v>14</v>
      </c>
      <c r="L17" s="1">
        <v>30</v>
      </c>
      <c r="M17" s="1" t="s">
        <v>96</v>
      </c>
      <c r="N17" s="1" t="s">
        <v>51</v>
      </c>
      <c r="O17" s="1" t="s">
        <v>220</v>
      </c>
    </row>
    <row r="18" spans="1:15">
      <c r="A18" s="1">
        <v>15</v>
      </c>
      <c r="B18" s="1" t="s">
        <v>671</v>
      </c>
      <c r="C18" s="5">
        <v>46132</v>
      </c>
      <c r="D18" s="1" t="s">
        <v>53</v>
      </c>
      <c r="E18" s="6" t="s">
        <v>662</v>
      </c>
      <c r="F18" s="6" t="s">
        <v>87</v>
      </c>
      <c r="G18" s="1" t="s">
        <v>78</v>
      </c>
      <c r="H18" s="1">
        <v>11</v>
      </c>
      <c r="I18" s="1">
        <v>44</v>
      </c>
      <c r="J18" s="2">
        <f>IFERROR(I18/H18*100,0)</f>
        <v>0</v>
      </c>
      <c r="K18" s="1">
        <v>29</v>
      </c>
      <c r="L18" s="1">
        <v>0</v>
      </c>
      <c r="M18" s="1" t="s">
        <v>17</v>
      </c>
      <c r="N18" s="1" t="s">
        <v>21</v>
      </c>
      <c r="O18" s="1" t="s">
        <v>220</v>
      </c>
    </row>
    <row r="19" spans="1:15">
      <c r="A19" s="1">
        <v>16</v>
      </c>
      <c r="B19" s="1" t="s">
        <v>672</v>
      </c>
      <c r="C19" s="5">
        <v>46147</v>
      </c>
      <c r="D19" s="1" t="s">
        <v>60</v>
      </c>
      <c r="E19" s="6" t="s">
        <v>653</v>
      </c>
      <c r="F19" s="6" t="s">
        <v>95</v>
      </c>
      <c r="G19" s="1" t="s">
        <v>7</v>
      </c>
      <c r="H19" s="1">
        <v>31</v>
      </c>
      <c r="I19" s="1">
        <v>25</v>
      </c>
      <c r="J19" s="2">
        <f>IFERROR(I19/H19*100,0)</f>
        <v>0</v>
      </c>
      <c r="K19" s="1">
        <v>8</v>
      </c>
      <c r="L19" s="1">
        <v>10</v>
      </c>
      <c r="M19" s="1" t="s">
        <v>17</v>
      </c>
      <c r="N19" s="1" t="s">
        <v>51</v>
      </c>
      <c r="O19" s="1" t="s">
        <v>220</v>
      </c>
    </row>
    <row r="20" spans="1:15">
      <c r="A20" s="1">
        <v>17</v>
      </c>
      <c r="B20" s="1" t="s">
        <v>673</v>
      </c>
      <c r="C20" s="5">
        <v>46168</v>
      </c>
      <c r="D20" s="1" t="s">
        <v>60</v>
      </c>
      <c r="E20" s="6" t="s">
        <v>651</v>
      </c>
      <c r="F20" s="6" t="s">
        <v>6</v>
      </c>
      <c r="G20" s="1" t="s">
        <v>28</v>
      </c>
      <c r="H20" s="1">
        <v>44</v>
      </c>
      <c r="I20" s="1">
        <v>30</v>
      </c>
      <c r="J20" s="2">
        <f>IFERROR(I20/H20*100,0)</f>
        <v>0</v>
      </c>
      <c r="K20" s="1">
        <v>18</v>
      </c>
      <c r="L20" s="1">
        <v>15</v>
      </c>
      <c r="M20" s="1" t="s">
        <v>10</v>
      </c>
      <c r="N20" s="1" t="s">
        <v>95</v>
      </c>
      <c r="O20" s="1" t="s">
        <v>660</v>
      </c>
    </row>
    <row r="21" spans="1:15">
      <c r="A21" s="1">
        <v>18</v>
      </c>
      <c r="B21" s="1" t="s">
        <v>674</v>
      </c>
      <c r="C21" s="5">
        <v>46144</v>
      </c>
      <c r="D21" s="1" t="s">
        <v>60</v>
      </c>
      <c r="E21" s="6" t="s">
        <v>651</v>
      </c>
      <c r="F21" s="6" t="s">
        <v>77</v>
      </c>
      <c r="G21" s="1" t="s">
        <v>78</v>
      </c>
      <c r="H21" s="1">
        <v>27</v>
      </c>
      <c r="I21" s="1">
        <v>45</v>
      </c>
      <c r="J21" s="2">
        <f>IFERROR(I21/H21*100,0)</f>
        <v>0</v>
      </c>
      <c r="K21" s="1">
        <v>28</v>
      </c>
      <c r="L21" s="1">
        <v>14</v>
      </c>
      <c r="M21" s="1" t="s">
        <v>42</v>
      </c>
      <c r="N21" s="1" t="s">
        <v>6</v>
      </c>
      <c r="O21" s="1" t="s">
        <v>660</v>
      </c>
    </row>
    <row r="22" spans="1:15">
      <c r="A22" s="1">
        <v>19</v>
      </c>
      <c r="B22" s="1" t="s">
        <v>675</v>
      </c>
      <c r="C22" s="5">
        <v>46158</v>
      </c>
      <c r="D22" s="1" t="s">
        <v>60</v>
      </c>
      <c r="E22" s="6" t="s">
        <v>659</v>
      </c>
      <c r="F22" s="6" t="s">
        <v>35</v>
      </c>
      <c r="G22" s="1" t="s">
        <v>22</v>
      </c>
      <c r="H22" s="1">
        <v>49</v>
      </c>
      <c r="I22" s="1">
        <v>28</v>
      </c>
      <c r="J22" s="2">
        <f>IFERROR(I22/H22*100,0)</f>
        <v>0</v>
      </c>
      <c r="K22" s="1">
        <v>4</v>
      </c>
      <c r="L22" s="1">
        <v>24</v>
      </c>
      <c r="M22" s="1" t="s">
        <v>17</v>
      </c>
      <c r="N22" s="1" t="s">
        <v>21</v>
      </c>
      <c r="O22" s="1" t="s">
        <v>220</v>
      </c>
    </row>
    <row r="23" spans="1:15">
      <c r="A23" s="1">
        <v>20</v>
      </c>
      <c r="B23" s="1" t="s">
        <v>676</v>
      </c>
      <c r="C23" s="5">
        <v>46179</v>
      </c>
      <c r="D23" s="1" t="s">
        <v>73</v>
      </c>
      <c r="E23" s="6" t="s">
        <v>668</v>
      </c>
      <c r="F23" s="6" t="s">
        <v>87</v>
      </c>
      <c r="G23" s="1" t="s">
        <v>78</v>
      </c>
      <c r="H23" s="1">
        <v>16</v>
      </c>
      <c r="I23" s="1">
        <v>41</v>
      </c>
      <c r="J23" s="2">
        <f>IFERROR(I23/H23*100,0)</f>
        <v>0</v>
      </c>
      <c r="K23" s="1">
        <v>21</v>
      </c>
      <c r="L23" s="1">
        <v>12</v>
      </c>
      <c r="M23" s="1" t="s">
        <v>17</v>
      </c>
      <c r="N23" s="1" t="s">
        <v>35</v>
      </c>
      <c r="O23" s="1" t="s">
        <v>220</v>
      </c>
    </row>
    <row r="24" spans="1:15">
      <c r="A24" s="1">
        <v>21</v>
      </c>
      <c r="B24" s="1" t="s">
        <v>677</v>
      </c>
      <c r="C24" s="5">
        <v>46189</v>
      </c>
      <c r="D24" s="1" t="s">
        <v>73</v>
      </c>
      <c r="E24" s="6" t="s">
        <v>653</v>
      </c>
      <c r="F24" s="6" t="s">
        <v>82</v>
      </c>
      <c r="G24" s="1" t="s">
        <v>32</v>
      </c>
      <c r="H24" s="1">
        <v>56</v>
      </c>
      <c r="I24" s="1">
        <v>16</v>
      </c>
      <c r="J24" s="2">
        <f>IFERROR(I24/H24*100,0)</f>
        <v>0</v>
      </c>
      <c r="K24" s="1">
        <v>3</v>
      </c>
      <c r="L24" s="1">
        <v>25</v>
      </c>
      <c r="M24" s="1" t="s">
        <v>17</v>
      </c>
      <c r="N24" s="1" t="s">
        <v>31</v>
      </c>
      <c r="O24" s="1" t="s">
        <v>220</v>
      </c>
    </row>
    <row r="25" spans="1:15">
      <c r="A25" s="1">
        <v>22</v>
      </c>
      <c r="B25" s="1" t="s">
        <v>678</v>
      </c>
      <c r="C25" s="5">
        <v>46183</v>
      </c>
      <c r="D25" s="1" t="s">
        <v>73</v>
      </c>
      <c r="E25" s="6" t="s">
        <v>651</v>
      </c>
      <c r="F25" s="6" t="s">
        <v>95</v>
      </c>
      <c r="G25" s="1" t="s">
        <v>7</v>
      </c>
      <c r="H25" s="1">
        <v>43</v>
      </c>
      <c r="I25" s="1">
        <v>12</v>
      </c>
      <c r="J25" s="2">
        <f>IFERROR(I25/H25*100,0)</f>
        <v>0</v>
      </c>
      <c r="K25" s="1">
        <v>22</v>
      </c>
      <c r="L25" s="1">
        <v>27</v>
      </c>
      <c r="M25" s="1" t="s">
        <v>24</v>
      </c>
      <c r="N25" s="1" t="s">
        <v>82</v>
      </c>
      <c r="O25" s="1" t="s">
        <v>220</v>
      </c>
    </row>
    <row r="26" spans="1:15">
      <c r="A26" s="1">
        <v>23</v>
      </c>
      <c r="B26" s="1" t="s">
        <v>679</v>
      </c>
      <c r="C26" s="5">
        <v>46196</v>
      </c>
      <c r="D26" s="1" t="s">
        <v>73</v>
      </c>
      <c r="E26" s="6" t="s">
        <v>653</v>
      </c>
      <c r="F26" s="6" t="s">
        <v>21</v>
      </c>
      <c r="G26" s="1" t="s">
        <v>15</v>
      </c>
      <c r="H26" s="1">
        <v>52</v>
      </c>
      <c r="I26" s="1">
        <v>16</v>
      </c>
      <c r="J26" s="2">
        <f>IFERROR(I26/H26*100,0)</f>
        <v>0</v>
      </c>
      <c r="K26" s="1">
        <v>23</v>
      </c>
      <c r="L26" s="1">
        <v>0</v>
      </c>
      <c r="M26" s="1" t="s">
        <v>24</v>
      </c>
      <c r="N26" s="1" t="s">
        <v>14</v>
      </c>
      <c r="O26" s="1" t="s">
        <v>220</v>
      </c>
    </row>
    <row r="27" spans="1:15">
      <c r="A27" s="1">
        <v>24</v>
      </c>
      <c r="B27" s="1" t="s">
        <v>680</v>
      </c>
      <c r="C27" s="5">
        <v>46182</v>
      </c>
      <c r="D27" s="1" t="s">
        <v>73</v>
      </c>
      <c r="E27" s="6" t="s">
        <v>659</v>
      </c>
      <c r="F27" s="6" t="s">
        <v>87</v>
      </c>
      <c r="G27" s="1" t="s">
        <v>104</v>
      </c>
      <c r="H27" s="1">
        <v>22</v>
      </c>
      <c r="I27" s="1">
        <v>11</v>
      </c>
      <c r="J27" s="2">
        <f>IFERROR(I27/H27*100,0)</f>
        <v>0</v>
      </c>
      <c r="K27" s="1">
        <v>23</v>
      </c>
      <c r="L27" s="1">
        <v>24</v>
      </c>
      <c r="M27" s="1" t="s">
        <v>42</v>
      </c>
      <c r="N27" s="1" t="s">
        <v>21</v>
      </c>
      <c r="O27" s="1" t="s">
        <v>660</v>
      </c>
    </row>
    <row r="28" spans="1:15">
      <c r="A28" s="1">
        <v>25</v>
      </c>
      <c r="B28" s="1" t="s">
        <v>681</v>
      </c>
      <c r="C28" s="5">
        <v>46194</v>
      </c>
      <c r="D28" s="1" t="s">
        <v>73</v>
      </c>
      <c r="E28" s="6" t="s">
        <v>653</v>
      </c>
      <c r="F28" s="6" t="s">
        <v>14</v>
      </c>
      <c r="G28" s="1" t="s">
        <v>70</v>
      </c>
      <c r="H28" s="1">
        <v>30</v>
      </c>
      <c r="I28" s="1">
        <v>45</v>
      </c>
      <c r="J28" s="2">
        <f>IFERROR(I28/H28*100,0)</f>
        <v>0</v>
      </c>
      <c r="K28" s="1">
        <v>19</v>
      </c>
      <c r="L28" s="1">
        <v>24</v>
      </c>
      <c r="M28" s="1" t="s">
        <v>42</v>
      </c>
      <c r="N28" s="1" t="s">
        <v>51</v>
      </c>
      <c r="O28" s="1" t="s">
        <v>660</v>
      </c>
    </row>
    <row r="29" spans="1:15">
      <c r="A29" s="1">
        <v>26</v>
      </c>
      <c r="B29" s="1" t="s">
        <v>682</v>
      </c>
      <c r="C29" s="5">
        <v>46226</v>
      </c>
      <c r="D29" s="1" t="s">
        <v>76</v>
      </c>
      <c r="E29" s="6" t="s">
        <v>659</v>
      </c>
      <c r="F29" s="6" t="s">
        <v>14</v>
      </c>
      <c r="G29" s="1" t="s">
        <v>22</v>
      </c>
      <c r="H29" s="1">
        <v>58</v>
      </c>
      <c r="I29" s="1">
        <v>48</v>
      </c>
      <c r="J29" s="2">
        <f>IFERROR(I29/H29*100,0)</f>
        <v>0</v>
      </c>
      <c r="K29" s="1">
        <v>21</v>
      </c>
      <c r="L29" s="1">
        <v>30</v>
      </c>
      <c r="M29" s="1" t="s">
        <v>96</v>
      </c>
      <c r="N29" s="1" t="s">
        <v>95</v>
      </c>
      <c r="O29" s="1" t="s">
        <v>220</v>
      </c>
    </row>
    <row r="30" spans="1:15">
      <c r="A30" s="1">
        <v>27</v>
      </c>
      <c r="B30" s="1" t="s">
        <v>683</v>
      </c>
      <c r="C30" s="5">
        <v>46210</v>
      </c>
      <c r="D30" s="1" t="s">
        <v>76</v>
      </c>
      <c r="E30" s="6" t="s">
        <v>653</v>
      </c>
      <c r="F30" s="6" t="s">
        <v>51</v>
      </c>
      <c r="G30" s="1" t="s">
        <v>104</v>
      </c>
      <c r="H30" s="1">
        <v>38</v>
      </c>
      <c r="I30" s="1">
        <v>55</v>
      </c>
      <c r="J30" s="2">
        <f>IFERROR(I30/H30*100,0)</f>
        <v>0</v>
      </c>
      <c r="K30" s="1">
        <v>30</v>
      </c>
      <c r="L30" s="1">
        <v>16</v>
      </c>
      <c r="M30" s="1" t="s">
        <v>17</v>
      </c>
      <c r="N30" s="1" t="s">
        <v>82</v>
      </c>
      <c r="O30" s="1" t="s">
        <v>220</v>
      </c>
    </row>
    <row r="31" spans="1:15">
      <c r="A31" s="1">
        <v>28</v>
      </c>
      <c r="B31" s="1" t="s">
        <v>684</v>
      </c>
      <c r="C31" s="5">
        <v>46218</v>
      </c>
      <c r="D31" s="1" t="s">
        <v>76</v>
      </c>
      <c r="E31" s="6" t="s">
        <v>659</v>
      </c>
      <c r="F31" s="6" t="s">
        <v>35</v>
      </c>
      <c r="G31" s="1" t="s">
        <v>68</v>
      </c>
      <c r="H31" s="1">
        <v>18</v>
      </c>
      <c r="I31" s="1">
        <v>27</v>
      </c>
      <c r="J31" s="2">
        <f>IFERROR(I31/H31*100,0)</f>
        <v>0</v>
      </c>
      <c r="K31" s="1">
        <v>22</v>
      </c>
      <c r="L31" s="1">
        <v>15</v>
      </c>
      <c r="M31" s="1" t="s">
        <v>17</v>
      </c>
      <c r="N31" s="1" t="s">
        <v>87</v>
      </c>
      <c r="O31" s="1" t="s">
        <v>220</v>
      </c>
    </row>
    <row r="32" spans="1:15">
      <c r="A32" s="1">
        <v>29</v>
      </c>
      <c r="B32" s="1" t="s">
        <v>685</v>
      </c>
      <c r="C32" s="5">
        <v>46226</v>
      </c>
      <c r="D32" s="1" t="s">
        <v>76</v>
      </c>
      <c r="E32" s="6" t="s">
        <v>656</v>
      </c>
      <c r="F32" s="6" t="s">
        <v>51</v>
      </c>
      <c r="G32" s="1" t="s">
        <v>15</v>
      </c>
      <c r="H32" s="1">
        <v>56</v>
      </c>
      <c r="I32" s="1">
        <v>15</v>
      </c>
      <c r="J32" s="2">
        <f>IFERROR(I32/H32*100,0)</f>
        <v>0</v>
      </c>
      <c r="K32" s="1">
        <v>10</v>
      </c>
      <c r="L32" s="1">
        <v>6</v>
      </c>
      <c r="M32" s="1" t="s">
        <v>42</v>
      </c>
      <c r="N32" s="1" t="s">
        <v>82</v>
      </c>
      <c r="O32" s="1" t="s">
        <v>220</v>
      </c>
    </row>
    <row r="33" spans="1:15">
      <c r="A33" s="1">
        <v>30</v>
      </c>
      <c r="B33" s="1" t="s">
        <v>686</v>
      </c>
      <c r="C33" s="5">
        <v>46254</v>
      </c>
      <c r="D33" s="1" t="s">
        <v>86</v>
      </c>
      <c r="E33" s="6" t="s">
        <v>659</v>
      </c>
      <c r="F33" s="6" t="s">
        <v>95</v>
      </c>
      <c r="G33" s="1" t="s">
        <v>93</v>
      </c>
      <c r="H33" s="1">
        <v>10</v>
      </c>
      <c r="I33" s="1">
        <v>40</v>
      </c>
      <c r="J33" s="2">
        <f>IFERROR(I33/H33*100,0)</f>
        <v>0</v>
      </c>
      <c r="K33" s="1">
        <v>14</v>
      </c>
      <c r="L33" s="1">
        <v>15</v>
      </c>
      <c r="M33" s="1" t="s">
        <v>96</v>
      </c>
      <c r="N33" s="1" t="s">
        <v>95</v>
      </c>
      <c r="O33" s="1" t="s">
        <v>220</v>
      </c>
    </row>
    <row r="34" spans="1:15">
      <c r="A34" s="1">
        <v>31</v>
      </c>
      <c r="B34" s="1" t="s">
        <v>687</v>
      </c>
      <c r="C34" s="5">
        <v>46238</v>
      </c>
      <c r="D34" s="1" t="s">
        <v>86</v>
      </c>
      <c r="E34" s="6" t="s">
        <v>653</v>
      </c>
      <c r="F34" s="6" t="s">
        <v>40</v>
      </c>
      <c r="G34" s="1" t="s">
        <v>36</v>
      </c>
      <c r="H34" s="1">
        <v>50</v>
      </c>
      <c r="I34" s="1">
        <v>26</v>
      </c>
      <c r="J34" s="2">
        <f>IFERROR(I34/H34*100,0)</f>
        <v>0</v>
      </c>
      <c r="K34" s="1">
        <v>14</v>
      </c>
      <c r="L34" s="1">
        <v>5</v>
      </c>
      <c r="M34" s="1" t="s">
        <v>96</v>
      </c>
      <c r="N34" s="1" t="s">
        <v>40</v>
      </c>
      <c r="O34" s="1" t="s">
        <v>220</v>
      </c>
    </row>
    <row r="35" spans="1:15">
      <c r="A35" s="1">
        <v>32</v>
      </c>
      <c r="B35" s="1" t="s">
        <v>688</v>
      </c>
      <c r="C35" s="5">
        <v>46247</v>
      </c>
      <c r="D35" s="1" t="s">
        <v>86</v>
      </c>
      <c r="E35" s="6" t="s">
        <v>656</v>
      </c>
      <c r="F35" s="6" t="s">
        <v>14</v>
      </c>
      <c r="G35" s="1" t="s">
        <v>104</v>
      </c>
      <c r="H35" s="1">
        <v>60</v>
      </c>
      <c r="I35" s="1">
        <v>53</v>
      </c>
      <c r="J35" s="2">
        <f>IFERROR(I35/H35*100,0)</f>
        <v>0</v>
      </c>
      <c r="K35" s="1">
        <v>29</v>
      </c>
      <c r="L35" s="1">
        <v>10</v>
      </c>
      <c r="M35" s="1" t="s">
        <v>10</v>
      </c>
      <c r="N35" s="1" t="s">
        <v>35</v>
      </c>
      <c r="O35" s="1" t="s">
        <v>220</v>
      </c>
    </row>
    <row r="36" spans="1:15">
      <c r="A36" s="1">
        <v>33</v>
      </c>
      <c r="B36" s="1" t="s">
        <v>689</v>
      </c>
      <c r="C36" s="5">
        <v>46255</v>
      </c>
      <c r="D36" s="1" t="s">
        <v>86</v>
      </c>
      <c r="E36" s="6" t="s">
        <v>653</v>
      </c>
      <c r="F36" s="6" t="s">
        <v>14</v>
      </c>
      <c r="G36" s="1" t="s">
        <v>32</v>
      </c>
      <c r="H36" s="1">
        <v>17</v>
      </c>
      <c r="I36" s="1">
        <v>17</v>
      </c>
      <c r="J36" s="2">
        <f>IFERROR(I36/H36*100,0)</f>
        <v>0</v>
      </c>
      <c r="K36" s="1">
        <v>4</v>
      </c>
      <c r="L36" s="1">
        <v>6</v>
      </c>
      <c r="M36" s="1" t="s">
        <v>17</v>
      </c>
      <c r="N36" s="1" t="s">
        <v>95</v>
      </c>
      <c r="O36" s="1" t="s">
        <v>220</v>
      </c>
    </row>
    <row r="37" spans="1:15">
      <c r="A37" s="1">
        <v>34</v>
      </c>
      <c r="B37" s="1" t="s">
        <v>690</v>
      </c>
      <c r="C37" s="5">
        <v>46253</v>
      </c>
      <c r="D37" s="1" t="s">
        <v>86</v>
      </c>
      <c r="E37" s="6" t="s">
        <v>653</v>
      </c>
      <c r="F37" s="6" t="s">
        <v>80</v>
      </c>
      <c r="G37" s="1" t="s">
        <v>36</v>
      </c>
      <c r="H37" s="1">
        <v>30</v>
      </c>
      <c r="I37" s="1">
        <v>41</v>
      </c>
      <c r="J37" s="2">
        <f>IFERROR(I37/H37*100,0)</f>
        <v>0</v>
      </c>
      <c r="K37" s="1">
        <v>16</v>
      </c>
      <c r="L37" s="1">
        <v>28</v>
      </c>
      <c r="M37" s="1" t="s">
        <v>96</v>
      </c>
      <c r="N37" s="1" t="s">
        <v>35</v>
      </c>
      <c r="O37" s="1" t="s">
        <v>220</v>
      </c>
    </row>
    <row r="38" spans="1:15">
      <c r="A38" s="1">
        <v>35</v>
      </c>
      <c r="B38" s="1" t="s">
        <v>691</v>
      </c>
      <c r="C38" s="5">
        <v>46279</v>
      </c>
      <c r="D38" s="1" t="s">
        <v>102</v>
      </c>
      <c r="E38" s="6" t="s">
        <v>659</v>
      </c>
      <c r="F38" s="6" t="s">
        <v>6</v>
      </c>
      <c r="G38" s="1" t="s">
        <v>66</v>
      </c>
      <c r="H38" s="1">
        <v>12</v>
      </c>
      <c r="I38" s="1">
        <v>29</v>
      </c>
      <c r="J38" s="2">
        <f>IFERROR(I38/H38*100,0)</f>
        <v>0</v>
      </c>
      <c r="K38" s="1">
        <v>15</v>
      </c>
      <c r="L38" s="1">
        <v>5</v>
      </c>
      <c r="M38" s="1" t="s">
        <v>24</v>
      </c>
      <c r="N38" s="1" t="s">
        <v>77</v>
      </c>
      <c r="O38" s="1" t="s">
        <v>220</v>
      </c>
    </row>
    <row r="39" spans="1:15">
      <c r="A39" s="1">
        <v>36</v>
      </c>
      <c r="B39" s="1" t="s">
        <v>692</v>
      </c>
      <c r="C39" s="5">
        <v>46290</v>
      </c>
      <c r="D39" s="1" t="s">
        <v>102</v>
      </c>
      <c r="E39" s="6" t="s">
        <v>651</v>
      </c>
      <c r="F39" s="6" t="s">
        <v>6</v>
      </c>
      <c r="G39" s="1" t="s">
        <v>7</v>
      </c>
      <c r="H39" s="1">
        <v>14</v>
      </c>
      <c r="I39" s="1">
        <v>50</v>
      </c>
      <c r="J39" s="2">
        <f>IFERROR(I39/H39*100,0)</f>
        <v>0</v>
      </c>
      <c r="K39" s="1">
        <v>26</v>
      </c>
      <c r="L39" s="1">
        <v>2</v>
      </c>
      <c r="M39" s="1" t="s">
        <v>42</v>
      </c>
      <c r="N39" s="1" t="s">
        <v>31</v>
      </c>
      <c r="O39" s="1" t="s">
        <v>693</v>
      </c>
    </row>
    <row r="40" spans="1:15">
      <c r="A40" s="1">
        <v>37</v>
      </c>
      <c r="B40" s="1" t="s">
        <v>694</v>
      </c>
      <c r="C40" s="5">
        <v>46282</v>
      </c>
      <c r="D40" s="1" t="s">
        <v>102</v>
      </c>
      <c r="E40" s="6" t="s">
        <v>656</v>
      </c>
      <c r="F40" s="6" t="s">
        <v>95</v>
      </c>
      <c r="G40" s="1" t="s">
        <v>70</v>
      </c>
      <c r="H40" s="1">
        <v>16</v>
      </c>
      <c r="I40" s="1">
        <v>33</v>
      </c>
      <c r="J40" s="2">
        <f>IFERROR(I40/H40*100,0)</f>
        <v>0</v>
      </c>
      <c r="K40" s="1">
        <v>4</v>
      </c>
      <c r="L40" s="1">
        <v>30</v>
      </c>
      <c r="M40" s="1" t="s">
        <v>96</v>
      </c>
      <c r="N40" s="1" t="s">
        <v>82</v>
      </c>
      <c r="O40" s="1" t="s">
        <v>660</v>
      </c>
    </row>
    <row r="41" spans="1:15">
      <c r="A41" s="1">
        <v>38</v>
      </c>
      <c r="B41" s="1" t="s">
        <v>695</v>
      </c>
      <c r="C41" s="5">
        <v>46287</v>
      </c>
      <c r="D41" s="1" t="s">
        <v>102</v>
      </c>
      <c r="E41" s="6" t="s">
        <v>653</v>
      </c>
      <c r="F41" s="6" t="s">
        <v>77</v>
      </c>
      <c r="G41" s="1" t="s">
        <v>7</v>
      </c>
      <c r="H41" s="1">
        <v>21</v>
      </c>
      <c r="I41" s="1">
        <v>25</v>
      </c>
      <c r="J41" s="2">
        <f>IFERROR(I41/H41*100,0)</f>
        <v>0</v>
      </c>
      <c r="K41" s="1">
        <v>23</v>
      </c>
      <c r="L41" s="1">
        <v>19</v>
      </c>
      <c r="M41" s="1" t="s">
        <v>42</v>
      </c>
      <c r="N41" s="1" t="s">
        <v>95</v>
      </c>
      <c r="O41" s="1" t="s">
        <v>220</v>
      </c>
    </row>
    <row r="42" spans="1:15">
      <c r="A42" s="1">
        <v>39</v>
      </c>
      <c r="B42" s="1" t="s">
        <v>696</v>
      </c>
      <c r="C42" s="5">
        <v>46281</v>
      </c>
      <c r="D42" s="1" t="s">
        <v>102</v>
      </c>
      <c r="E42" s="6" t="s">
        <v>651</v>
      </c>
      <c r="F42" s="6" t="s">
        <v>77</v>
      </c>
      <c r="G42" s="1" t="s">
        <v>41</v>
      </c>
      <c r="H42" s="1">
        <v>43</v>
      </c>
      <c r="I42" s="1">
        <v>33</v>
      </c>
      <c r="J42" s="2">
        <f>IFERROR(I42/H42*100,0)</f>
        <v>0</v>
      </c>
      <c r="K42" s="1">
        <v>22</v>
      </c>
      <c r="L42" s="1">
        <v>13</v>
      </c>
      <c r="M42" s="1" t="s">
        <v>10</v>
      </c>
      <c r="N42" s="1" t="s">
        <v>31</v>
      </c>
      <c r="O42" s="1" t="s">
        <v>220</v>
      </c>
    </row>
    <row r="43" spans="1:15">
      <c r="A43" s="1">
        <v>40</v>
      </c>
      <c r="B43" s="1" t="s">
        <v>697</v>
      </c>
      <c r="C43" s="5">
        <v>46267</v>
      </c>
      <c r="D43" s="1" t="s">
        <v>102</v>
      </c>
      <c r="E43" s="6" t="s">
        <v>651</v>
      </c>
      <c r="F43" s="6" t="s">
        <v>95</v>
      </c>
      <c r="G43" s="1" t="s">
        <v>7</v>
      </c>
      <c r="H43" s="1">
        <v>45</v>
      </c>
      <c r="I43" s="1">
        <v>60</v>
      </c>
      <c r="J43" s="2">
        <f>IFERROR(I43/H43*100,0)</f>
        <v>0</v>
      </c>
      <c r="K43" s="1">
        <v>24</v>
      </c>
      <c r="L43" s="1">
        <v>7</v>
      </c>
      <c r="M43" s="1" t="s">
        <v>10</v>
      </c>
      <c r="N43" s="1" t="s">
        <v>77</v>
      </c>
      <c r="O43" s="1" t="s">
        <v>220</v>
      </c>
    </row>
    <row r="44" spans="1:15">
      <c r="A44" s="1">
        <v>41</v>
      </c>
      <c r="B44" s="1" t="s">
        <v>698</v>
      </c>
      <c r="C44" s="5">
        <v>46317</v>
      </c>
      <c r="D44" s="1" t="s">
        <v>106</v>
      </c>
      <c r="E44" s="6" t="s">
        <v>651</v>
      </c>
      <c r="F44" s="6" t="s">
        <v>87</v>
      </c>
      <c r="G44" s="1" t="s">
        <v>15</v>
      </c>
      <c r="H44" s="1">
        <v>49</v>
      </c>
      <c r="I44" s="1">
        <v>28</v>
      </c>
      <c r="J44" s="2">
        <f>IFERROR(I44/H44*100,0)</f>
        <v>0</v>
      </c>
      <c r="K44" s="1">
        <v>29</v>
      </c>
      <c r="L44" s="1">
        <v>27</v>
      </c>
      <c r="M44" s="1" t="s">
        <v>24</v>
      </c>
      <c r="N44" s="1" t="s">
        <v>95</v>
      </c>
      <c r="O44" s="1" t="s">
        <v>660</v>
      </c>
    </row>
    <row r="45" spans="1:15">
      <c r="A45" s="1">
        <v>42</v>
      </c>
      <c r="B45" s="1" t="s">
        <v>699</v>
      </c>
      <c r="C45" s="5">
        <v>46296</v>
      </c>
      <c r="D45" s="1" t="s">
        <v>106</v>
      </c>
      <c r="E45" s="6" t="s">
        <v>656</v>
      </c>
      <c r="F45" s="6" t="s">
        <v>14</v>
      </c>
      <c r="G45" s="1" t="s">
        <v>66</v>
      </c>
      <c r="H45" s="1">
        <v>30</v>
      </c>
      <c r="I45" s="1">
        <v>37</v>
      </c>
      <c r="J45" s="2">
        <f>IFERROR(I45/H45*100,0)</f>
        <v>0</v>
      </c>
      <c r="K45" s="1">
        <v>10</v>
      </c>
      <c r="L45" s="1">
        <v>14</v>
      </c>
      <c r="M45" s="1" t="s">
        <v>10</v>
      </c>
      <c r="N45" s="1" t="s">
        <v>6</v>
      </c>
      <c r="O45" s="1" t="s">
        <v>220</v>
      </c>
    </row>
    <row r="46" spans="1:15">
      <c r="A46" s="1">
        <v>43</v>
      </c>
      <c r="B46" s="1" t="s">
        <v>700</v>
      </c>
      <c r="C46" s="5">
        <v>46306</v>
      </c>
      <c r="D46" s="1" t="s">
        <v>106</v>
      </c>
      <c r="E46" s="6" t="s">
        <v>662</v>
      </c>
      <c r="F46" s="6" t="s">
        <v>77</v>
      </c>
      <c r="G46" s="1" t="s">
        <v>32</v>
      </c>
      <c r="H46" s="1">
        <v>55</v>
      </c>
      <c r="I46" s="1">
        <v>31</v>
      </c>
      <c r="J46" s="2">
        <f>IFERROR(I46/H46*100,0)</f>
        <v>0</v>
      </c>
      <c r="K46" s="1">
        <v>6</v>
      </c>
      <c r="L46" s="1">
        <v>29</v>
      </c>
      <c r="M46" s="1" t="s">
        <v>96</v>
      </c>
      <c r="N46" s="1" t="s">
        <v>80</v>
      </c>
      <c r="O46" s="1" t="s">
        <v>220</v>
      </c>
    </row>
    <row r="47" spans="1:15">
      <c r="A47" s="1">
        <v>44</v>
      </c>
      <c r="B47" s="1" t="s">
        <v>701</v>
      </c>
      <c r="C47" s="5">
        <v>46304</v>
      </c>
      <c r="D47" s="1" t="s">
        <v>106</v>
      </c>
      <c r="E47" s="6" t="s">
        <v>659</v>
      </c>
      <c r="F47" s="6" t="s">
        <v>14</v>
      </c>
      <c r="G47" s="1" t="s">
        <v>32</v>
      </c>
      <c r="H47" s="1">
        <v>39</v>
      </c>
      <c r="I47" s="1">
        <v>20</v>
      </c>
      <c r="J47" s="2">
        <f>IFERROR(I47/H47*100,0)</f>
        <v>0</v>
      </c>
      <c r="K47" s="1">
        <v>3</v>
      </c>
      <c r="L47" s="1">
        <v>16</v>
      </c>
      <c r="M47" s="1" t="s">
        <v>17</v>
      </c>
      <c r="N47" s="1" t="s">
        <v>82</v>
      </c>
      <c r="O47" s="1" t="s">
        <v>693</v>
      </c>
    </row>
    <row r="48" spans="1:15">
      <c r="A48" s="1">
        <v>45</v>
      </c>
      <c r="B48" s="1" t="s">
        <v>702</v>
      </c>
      <c r="C48" s="5">
        <v>46345</v>
      </c>
      <c r="D48" s="1" t="s">
        <v>111</v>
      </c>
      <c r="E48" s="6" t="s">
        <v>659</v>
      </c>
      <c r="F48" s="6" t="s">
        <v>31</v>
      </c>
      <c r="G48" s="1" t="s">
        <v>32</v>
      </c>
      <c r="H48" s="1">
        <v>58</v>
      </c>
      <c r="I48" s="1">
        <v>43</v>
      </c>
      <c r="J48" s="2">
        <f>IFERROR(I48/H48*100,0)</f>
        <v>0</v>
      </c>
      <c r="K48" s="1">
        <v>4</v>
      </c>
      <c r="L48" s="1">
        <v>15</v>
      </c>
      <c r="M48" s="1" t="s">
        <v>17</v>
      </c>
      <c r="N48" s="1" t="s">
        <v>6</v>
      </c>
      <c r="O48" s="1" t="s">
        <v>220</v>
      </c>
    </row>
    <row r="49" spans="1:15">
      <c r="A49" s="1">
        <v>46</v>
      </c>
      <c r="B49" s="1" t="s">
        <v>703</v>
      </c>
      <c r="C49" s="5">
        <v>46350</v>
      </c>
      <c r="D49" s="1" t="s">
        <v>111</v>
      </c>
      <c r="E49" s="6" t="s">
        <v>656</v>
      </c>
      <c r="F49" s="6" t="s">
        <v>14</v>
      </c>
      <c r="G49" s="1" t="s">
        <v>41</v>
      </c>
      <c r="H49" s="1">
        <v>29</v>
      </c>
      <c r="I49" s="1">
        <v>58</v>
      </c>
      <c r="J49" s="2">
        <f>IFERROR(I49/H49*100,0)</f>
        <v>0</v>
      </c>
      <c r="K49" s="1">
        <v>3</v>
      </c>
      <c r="L49" s="1">
        <v>9</v>
      </c>
      <c r="M49" s="1" t="s">
        <v>24</v>
      </c>
      <c r="N49" s="1" t="s">
        <v>31</v>
      </c>
      <c r="O49" s="1" t="s">
        <v>220</v>
      </c>
    </row>
    <row r="50" spans="1:15">
      <c r="A50" s="1">
        <v>47</v>
      </c>
      <c r="B50" s="1" t="s">
        <v>704</v>
      </c>
      <c r="C50" s="5">
        <v>46328</v>
      </c>
      <c r="D50" s="1" t="s">
        <v>111</v>
      </c>
      <c r="E50" s="6" t="s">
        <v>662</v>
      </c>
      <c r="F50" s="6" t="s">
        <v>95</v>
      </c>
      <c r="G50" s="1" t="s">
        <v>104</v>
      </c>
      <c r="H50" s="1">
        <v>53</v>
      </c>
      <c r="I50" s="1">
        <v>54</v>
      </c>
      <c r="J50" s="2">
        <f>IFERROR(I50/H50*100,0)</f>
        <v>0</v>
      </c>
      <c r="K50" s="1">
        <v>20</v>
      </c>
      <c r="L50" s="1">
        <v>13</v>
      </c>
      <c r="M50" s="1" t="s">
        <v>10</v>
      </c>
      <c r="N50" s="1" t="s">
        <v>21</v>
      </c>
      <c r="O50" s="1" t="s">
        <v>693</v>
      </c>
    </row>
    <row r="51" spans="1:15">
      <c r="A51" s="1">
        <v>48</v>
      </c>
      <c r="B51" s="1" t="s">
        <v>705</v>
      </c>
      <c r="C51" s="5">
        <v>46367</v>
      </c>
      <c r="D51" s="1" t="s">
        <v>122</v>
      </c>
      <c r="E51" s="6" t="s">
        <v>662</v>
      </c>
      <c r="F51" s="6" t="s">
        <v>82</v>
      </c>
      <c r="G51" s="1" t="s">
        <v>70</v>
      </c>
      <c r="H51" s="1">
        <v>59</v>
      </c>
      <c r="I51" s="1">
        <v>45</v>
      </c>
      <c r="J51" s="2">
        <f>IFERROR(I51/H51*100,0)</f>
        <v>0</v>
      </c>
      <c r="K51" s="1">
        <v>1</v>
      </c>
      <c r="L51" s="1">
        <v>12</v>
      </c>
      <c r="M51" s="1" t="s">
        <v>24</v>
      </c>
      <c r="N51" s="1" t="s">
        <v>6</v>
      </c>
      <c r="O51" s="1" t="s">
        <v>220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770</v>
      </c>
      <c r="C3" s="1" t="s">
        <v>126</v>
      </c>
      <c r="D3" s="1" t="s">
        <v>127</v>
      </c>
      <c r="E3" s="1" t="s">
        <v>771</v>
      </c>
      <c r="F3" s="1" t="s">
        <v>772</v>
      </c>
      <c r="G3" s="1" t="s">
        <v>129</v>
      </c>
      <c r="H3" s="1" t="s">
        <v>130</v>
      </c>
      <c r="I3" s="1" t="s">
        <v>773</v>
      </c>
      <c r="J3" s="1" t="s">
        <v>209</v>
      </c>
      <c r="K3" s="1" t="s">
        <v>774</v>
      </c>
      <c r="L3" s="1" t="s">
        <v>775</v>
      </c>
      <c r="M3" s="1" t="s">
        <v>776</v>
      </c>
      <c r="N3" s="1" t="s">
        <v>777</v>
      </c>
      <c r="O3" s="1" t="s">
        <v>778</v>
      </c>
      <c r="P3" s="1" t="s">
        <v>286</v>
      </c>
    </row>
    <row r="4" spans="1:18">
      <c r="A4" s="1">
        <v>1</v>
      </c>
      <c r="B4" s="1" t="s">
        <v>716</v>
      </c>
      <c r="C4" s="5">
        <v>46031</v>
      </c>
      <c r="D4" s="1" t="s">
        <v>3</v>
      </c>
      <c r="E4" s="6" t="s">
        <v>45</v>
      </c>
      <c r="F4" s="6" t="s">
        <v>717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230</v>
      </c>
    </row>
    <row r="5" spans="1:18">
      <c r="A5" s="1">
        <v>2</v>
      </c>
      <c r="B5" s="1" t="s">
        <v>718</v>
      </c>
      <c r="C5" s="5">
        <v>46042</v>
      </c>
      <c r="D5" s="1" t="s">
        <v>3</v>
      </c>
      <c r="E5" s="6" t="s">
        <v>4</v>
      </c>
      <c r="F5" s="6" t="s">
        <v>719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220</v>
      </c>
    </row>
    <row r="6" spans="1:18">
      <c r="A6" s="1">
        <v>3</v>
      </c>
      <c r="B6" s="1" t="s">
        <v>720</v>
      </c>
      <c r="C6" s="5">
        <v>46026</v>
      </c>
      <c r="D6" s="1" t="s">
        <v>3</v>
      </c>
      <c r="E6" s="6" t="s">
        <v>26</v>
      </c>
      <c r="F6" s="6" t="s">
        <v>721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220</v>
      </c>
    </row>
    <row r="7" spans="1:18">
      <c r="A7" s="1">
        <v>4</v>
      </c>
      <c r="B7" s="1" t="s">
        <v>722</v>
      </c>
      <c r="C7" s="5">
        <v>46037</v>
      </c>
      <c r="D7" s="1" t="s">
        <v>3</v>
      </c>
      <c r="E7" s="6" t="s">
        <v>57</v>
      </c>
      <c r="F7" s="6" t="s">
        <v>723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220</v>
      </c>
    </row>
    <row r="8" spans="1:18">
      <c r="A8" s="1">
        <v>5</v>
      </c>
      <c r="B8" s="1" t="s">
        <v>724</v>
      </c>
      <c r="C8" s="5">
        <v>46047</v>
      </c>
      <c r="D8" s="1" t="s">
        <v>3</v>
      </c>
      <c r="E8" s="6" t="s">
        <v>30</v>
      </c>
      <c r="F8" s="6" t="s">
        <v>723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220</v>
      </c>
    </row>
    <row r="9" spans="1:18">
      <c r="A9" s="1">
        <v>6</v>
      </c>
      <c r="B9" s="1" t="s">
        <v>725</v>
      </c>
      <c r="C9" s="5">
        <v>46072</v>
      </c>
      <c r="D9" s="1" t="s">
        <v>19</v>
      </c>
      <c r="E9" s="6" t="s">
        <v>64</v>
      </c>
      <c r="F9" s="6" t="s">
        <v>719</v>
      </c>
      <c r="G9" s="1" t="s">
        <v>46</v>
      </c>
      <c r="H9" s="1" t="s">
        <v>35</v>
      </c>
      <c r="I9" s="1" t="s">
        <v>36</v>
      </c>
      <c r="J9" s="1" t="s">
        <v>93</v>
      </c>
      <c r="K9" s="1" t="s">
        <v>38</v>
      </c>
      <c r="L9" s="1">
        <v>6</v>
      </c>
      <c r="M9" s="1">
        <v>3</v>
      </c>
      <c r="N9" s="1">
        <v>5</v>
      </c>
      <c r="O9" s="1">
        <v>5</v>
      </c>
      <c r="P9" s="1" t="s">
        <v>220</v>
      </c>
    </row>
    <row r="10" spans="1:18">
      <c r="A10" s="1">
        <v>7</v>
      </c>
      <c r="B10" s="1" t="s">
        <v>726</v>
      </c>
      <c r="C10" s="5">
        <v>46067</v>
      </c>
      <c r="D10" s="1" t="s">
        <v>19</v>
      </c>
      <c r="E10" s="6" t="s">
        <v>61</v>
      </c>
      <c r="F10" s="6" t="s">
        <v>717</v>
      </c>
      <c r="G10" s="1" t="s">
        <v>5</v>
      </c>
      <c r="H10" s="1" t="s">
        <v>82</v>
      </c>
      <c r="I10" s="1" t="s">
        <v>41</v>
      </c>
      <c r="J10" s="1" t="s">
        <v>36</v>
      </c>
      <c r="K10" s="1" t="s">
        <v>91</v>
      </c>
      <c r="L10" s="1">
        <v>5</v>
      </c>
      <c r="M10" s="1">
        <v>0</v>
      </c>
      <c r="N10" s="1">
        <v>2</v>
      </c>
      <c r="O10" s="1">
        <v>5</v>
      </c>
      <c r="P10" s="1" t="s">
        <v>224</v>
      </c>
    </row>
    <row r="11" spans="1:18">
      <c r="A11" s="1">
        <v>8</v>
      </c>
      <c r="B11" s="1" t="s">
        <v>727</v>
      </c>
      <c r="C11" s="5">
        <v>46075</v>
      </c>
      <c r="D11" s="1" t="s">
        <v>19</v>
      </c>
      <c r="E11" s="6" t="s">
        <v>91</v>
      </c>
      <c r="F11" s="6" t="s">
        <v>717</v>
      </c>
      <c r="G11" s="1" t="s">
        <v>89</v>
      </c>
      <c r="H11" s="1" t="s">
        <v>40</v>
      </c>
      <c r="I11" s="1" t="s">
        <v>104</v>
      </c>
      <c r="J11" s="1" t="s">
        <v>78</v>
      </c>
      <c r="K11" s="1" t="s">
        <v>49</v>
      </c>
      <c r="L11" s="1">
        <v>7</v>
      </c>
      <c r="M11" s="1">
        <v>7</v>
      </c>
      <c r="N11" s="1">
        <v>0</v>
      </c>
      <c r="O11" s="1">
        <v>0</v>
      </c>
      <c r="P11" s="1" t="s">
        <v>224</v>
      </c>
    </row>
    <row r="12" spans="1:18">
      <c r="A12" s="1">
        <v>9</v>
      </c>
      <c r="B12" s="1" t="s">
        <v>728</v>
      </c>
      <c r="C12" s="5">
        <v>46068</v>
      </c>
      <c r="D12" s="1" t="s">
        <v>19</v>
      </c>
      <c r="E12" s="6" t="s">
        <v>61</v>
      </c>
      <c r="F12" s="6" t="s">
        <v>729</v>
      </c>
      <c r="G12" s="1" t="s">
        <v>39</v>
      </c>
      <c r="H12" s="1" t="s">
        <v>77</v>
      </c>
      <c r="I12" s="1" t="s">
        <v>28</v>
      </c>
      <c r="J12" s="1" t="s">
        <v>62</v>
      </c>
      <c r="K12" s="1" t="s">
        <v>45</v>
      </c>
      <c r="L12" s="1">
        <v>7</v>
      </c>
      <c r="M12" s="1">
        <v>5</v>
      </c>
      <c r="N12" s="1">
        <v>5</v>
      </c>
      <c r="O12" s="1">
        <v>8</v>
      </c>
      <c r="P12" s="1" t="s">
        <v>230</v>
      </c>
    </row>
    <row r="13" spans="1:18">
      <c r="A13" s="1">
        <v>10</v>
      </c>
      <c r="B13" s="1" t="s">
        <v>730</v>
      </c>
      <c r="C13" s="5">
        <v>46080</v>
      </c>
      <c r="D13" s="1" t="s">
        <v>19</v>
      </c>
      <c r="E13" s="6" t="s">
        <v>26</v>
      </c>
      <c r="F13" s="6" t="s">
        <v>723</v>
      </c>
      <c r="G13" s="1" t="s">
        <v>27</v>
      </c>
      <c r="H13" s="1" t="s">
        <v>14</v>
      </c>
      <c r="I13" s="1" t="s">
        <v>28</v>
      </c>
      <c r="J13" s="1" t="s">
        <v>93</v>
      </c>
      <c r="K13" s="1" t="s">
        <v>20</v>
      </c>
      <c r="L13" s="1">
        <v>0</v>
      </c>
      <c r="M13" s="1">
        <v>4</v>
      </c>
      <c r="N13" s="1">
        <v>3</v>
      </c>
      <c r="O13" s="1">
        <v>3</v>
      </c>
      <c r="P13" s="1" t="s">
        <v>224</v>
      </c>
    </row>
    <row r="14" spans="1:18">
      <c r="A14" s="1">
        <v>11</v>
      </c>
      <c r="B14" s="1" t="s">
        <v>731</v>
      </c>
      <c r="C14" s="5">
        <v>46104</v>
      </c>
      <c r="D14" s="1" t="s">
        <v>44</v>
      </c>
      <c r="E14" s="6" t="s">
        <v>49</v>
      </c>
      <c r="F14" s="6" t="s">
        <v>723</v>
      </c>
      <c r="G14" s="1" t="s">
        <v>5</v>
      </c>
      <c r="H14" s="1" t="s">
        <v>31</v>
      </c>
      <c r="I14" s="1" t="s">
        <v>28</v>
      </c>
      <c r="J14" s="1" t="s">
        <v>104</v>
      </c>
      <c r="K14" s="1" t="s">
        <v>49</v>
      </c>
      <c r="L14" s="1">
        <v>1</v>
      </c>
      <c r="M14" s="1">
        <v>4</v>
      </c>
      <c r="N14" s="1">
        <v>7</v>
      </c>
      <c r="O14" s="1">
        <v>5</v>
      </c>
      <c r="P14" s="1" t="s">
        <v>224</v>
      </c>
    </row>
    <row r="15" spans="1:18">
      <c r="A15" s="1">
        <v>12</v>
      </c>
      <c r="B15" s="1" t="s">
        <v>732</v>
      </c>
      <c r="C15" s="5">
        <v>46092</v>
      </c>
      <c r="D15" s="1" t="s">
        <v>44</v>
      </c>
      <c r="E15" s="6" t="s">
        <v>26</v>
      </c>
      <c r="F15" s="6" t="s">
        <v>719</v>
      </c>
      <c r="G15" s="1" t="s">
        <v>50</v>
      </c>
      <c r="H15" s="1" t="s">
        <v>31</v>
      </c>
      <c r="I15" s="1" t="s">
        <v>36</v>
      </c>
      <c r="J15" s="1" t="s">
        <v>7</v>
      </c>
      <c r="K15" s="1" t="s">
        <v>64</v>
      </c>
      <c r="L15" s="1">
        <v>5</v>
      </c>
      <c r="M15" s="1">
        <v>5</v>
      </c>
      <c r="N15" s="1">
        <v>4</v>
      </c>
      <c r="O15" s="1">
        <v>7</v>
      </c>
      <c r="P15" s="1" t="s">
        <v>224</v>
      </c>
    </row>
    <row r="16" spans="1:18">
      <c r="A16" s="1">
        <v>13</v>
      </c>
      <c r="B16" s="1" t="s">
        <v>733</v>
      </c>
      <c r="C16" s="5">
        <v>46087</v>
      </c>
      <c r="D16" s="1" t="s">
        <v>44</v>
      </c>
      <c r="E16" s="6" t="s">
        <v>91</v>
      </c>
      <c r="F16" s="6" t="s">
        <v>723</v>
      </c>
      <c r="G16" s="1" t="s">
        <v>92</v>
      </c>
      <c r="H16" s="1" t="s">
        <v>21</v>
      </c>
      <c r="I16" s="1" t="s">
        <v>15</v>
      </c>
      <c r="J16" s="1" t="s">
        <v>15</v>
      </c>
      <c r="K16" s="1" t="s">
        <v>61</v>
      </c>
      <c r="L16" s="1">
        <v>7</v>
      </c>
      <c r="M16" s="1">
        <v>8</v>
      </c>
      <c r="N16" s="1">
        <v>0</v>
      </c>
      <c r="O16" s="1">
        <v>5</v>
      </c>
      <c r="P16" s="1" t="s">
        <v>220</v>
      </c>
    </row>
    <row r="17" spans="1:16">
      <c r="A17" s="1">
        <v>14</v>
      </c>
      <c r="B17" s="1" t="s">
        <v>734</v>
      </c>
      <c r="C17" s="5">
        <v>46086</v>
      </c>
      <c r="D17" s="1" t="s">
        <v>44</v>
      </c>
      <c r="E17" s="6" t="s">
        <v>49</v>
      </c>
      <c r="F17" s="6" t="s">
        <v>719</v>
      </c>
      <c r="G17" s="1" t="s">
        <v>5</v>
      </c>
      <c r="H17" s="1" t="s">
        <v>21</v>
      </c>
      <c r="I17" s="1" t="s">
        <v>78</v>
      </c>
      <c r="J17" s="1" t="s">
        <v>22</v>
      </c>
      <c r="K17" s="1" t="s">
        <v>12</v>
      </c>
      <c r="L17" s="1">
        <v>3</v>
      </c>
      <c r="M17" s="1">
        <v>6</v>
      </c>
      <c r="N17" s="1">
        <v>5</v>
      </c>
      <c r="O17" s="1">
        <v>4</v>
      </c>
      <c r="P17" s="1" t="s">
        <v>220</v>
      </c>
    </row>
    <row r="18" spans="1:16">
      <c r="A18" s="1">
        <v>15</v>
      </c>
      <c r="B18" s="1" t="s">
        <v>735</v>
      </c>
      <c r="C18" s="5">
        <v>46087</v>
      </c>
      <c r="D18" s="1" t="s">
        <v>44</v>
      </c>
      <c r="E18" s="6" t="s">
        <v>4</v>
      </c>
      <c r="F18" s="6" t="s">
        <v>729</v>
      </c>
      <c r="G18" s="1" t="s">
        <v>92</v>
      </c>
      <c r="H18" s="1" t="s">
        <v>51</v>
      </c>
      <c r="I18" s="1" t="s">
        <v>32</v>
      </c>
      <c r="J18" s="1" t="s">
        <v>78</v>
      </c>
      <c r="K18" s="1" t="s">
        <v>12</v>
      </c>
      <c r="L18" s="1">
        <v>1</v>
      </c>
      <c r="M18" s="1">
        <v>1</v>
      </c>
      <c r="N18" s="1">
        <v>8</v>
      </c>
      <c r="O18" s="1">
        <v>5</v>
      </c>
      <c r="P18" s="1" t="s">
        <v>230</v>
      </c>
    </row>
    <row r="19" spans="1:16">
      <c r="A19" s="1">
        <v>16</v>
      </c>
      <c r="B19" s="1" t="s">
        <v>736</v>
      </c>
      <c r="C19" s="5">
        <v>46133</v>
      </c>
      <c r="D19" s="1" t="s">
        <v>53</v>
      </c>
      <c r="E19" s="6" t="s">
        <v>16</v>
      </c>
      <c r="F19" s="6" t="s">
        <v>721</v>
      </c>
      <c r="G19" s="1" t="s">
        <v>92</v>
      </c>
      <c r="H19" s="1" t="s">
        <v>31</v>
      </c>
      <c r="I19" s="1" t="s">
        <v>93</v>
      </c>
      <c r="J19" s="1" t="s">
        <v>78</v>
      </c>
      <c r="K19" s="1" t="s">
        <v>64</v>
      </c>
      <c r="L19" s="1">
        <v>8</v>
      </c>
      <c r="M19" s="1">
        <v>1</v>
      </c>
      <c r="N19" s="1">
        <v>3</v>
      </c>
      <c r="O19" s="1">
        <v>8</v>
      </c>
      <c r="P19" s="1" t="s">
        <v>220</v>
      </c>
    </row>
    <row r="20" spans="1:16">
      <c r="A20" s="1">
        <v>17</v>
      </c>
      <c r="B20" s="1" t="s">
        <v>737</v>
      </c>
      <c r="C20" s="5">
        <v>46120</v>
      </c>
      <c r="D20" s="1" t="s">
        <v>53</v>
      </c>
      <c r="E20" s="6" t="s">
        <v>12</v>
      </c>
      <c r="F20" s="6" t="s">
        <v>717</v>
      </c>
      <c r="G20" s="1" t="s">
        <v>5</v>
      </c>
      <c r="H20" s="1" t="s">
        <v>6</v>
      </c>
      <c r="I20" s="1" t="s">
        <v>68</v>
      </c>
      <c r="J20" s="1" t="s">
        <v>32</v>
      </c>
      <c r="K20" s="1" t="s">
        <v>38</v>
      </c>
      <c r="L20" s="1">
        <v>3</v>
      </c>
      <c r="M20" s="1">
        <v>5</v>
      </c>
      <c r="N20" s="1">
        <v>1</v>
      </c>
      <c r="O20" s="1">
        <v>0</v>
      </c>
      <c r="P20" s="1" t="s">
        <v>220</v>
      </c>
    </row>
    <row r="21" spans="1:16">
      <c r="A21" s="1">
        <v>18</v>
      </c>
      <c r="B21" s="1" t="s">
        <v>738</v>
      </c>
      <c r="C21" s="5">
        <v>46137</v>
      </c>
      <c r="D21" s="1" t="s">
        <v>53</v>
      </c>
      <c r="E21" s="6" t="s">
        <v>57</v>
      </c>
      <c r="F21" s="6" t="s">
        <v>723</v>
      </c>
      <c r="G21" s="1" t="s">
        <v>58</v>
      </c>
      <c r="H21" s="1" t="s">
        <v>95</v>
      </c>
      <c r="I21" s="1" t="s">
        <v>15</v>
      </c>
      <c r="J21" s="1" t="s">
        <v>104</v>
      </c>
      <c r="K21" s="1" t="s">
        <v>54</v>
      </c>
      <c r="L21" s="1">
        <v>5</v>
      </c>
      <c r="M21" s="1">
        <v>4</v>
      </c>
      <c r="N21" s="1">
        <v>0</v>
      </c>
      <c r="O21" s="1">
        <v>6</v>
      </c>
      <c r="P21" s="1" t="s">
        <v>230</v>
      </c>
    </row>
    <row r="22" spans="1:16">
      <c r="A22" s="1">
        <v>19</v>
      </c>
      <c r="B22" s="1" t="s">
        <v>739</v>
      </c>
      <c r="C22" s="5">
        <v>46122</v>
      </c>
      <c r="D22" s="1" t="s">
        <v>53</v>
      </c>
      <c r="E22" s="6" t="s">
        <v>30</v>
      </c>
      <c r="F22" s="6" t="s">
        <v>723</v>
      </c>
      <c r="G22" s="1" t="s">
        <v>39</v>
      </c>
      <c r="H22" s="1" t="s">
        <v>95</v>
      </c>
      <c r="I22" s="1" t="s">
        <v>78</v>
      </c>
      <c r="J22" s="1" t="s">
        <v>93</v>
      </c>
      <c r="K22" s="1" t="s">
        <v>26</v>
      </c>
      <c r="L22" s="1">
        <v>3</v>
      </c>
      <c r="M22" s="1">
        <v>0</v>
      </c>
      <c r="N22" s="1">
        <v>1</v>
      </c>
      <c r="O22" s="1">
        <v>0</v>
      </c>
      <c r="P22" s="1" t="s">
        <v>220</v>
      </c>
    </row>
    <row r="23" spans="1:16">
      <c r="A23" s="1">
        <v>20</v>
      </c>
      <c r="B23" s="1" t="s">
        <v>740</v>
      </c>
      <c r="C23" s="5">
        <v>46163</v>
      </c>
      <c r="D23" s="1" t="s">
        <v>60</v>
      </c>
      <c r="E23" s="6" t="s">
        <v>20</v>
      </c>
      <c r="F23" s="6" t="s">
        <v>721</v>
      </c>
      <c r="G23" s="1" t="s">
        <v>65</v>
      </c>
      <c r="H23" s="1" t="s">
        <v>95</v>
      </c>
      <c r="I23" s="1" t="s">
        <v>7</v>
      </c>
      <c r="J23" s="1" t="s">
        <v>32</v>
      </c>
      <c r="K23" s="1" t="s">
        <v>91</v>
      </c>
      <c r="L23" s="1">
        <v>8</v>
      </c>
      <c r="M23" s="1">
        <v>6</v>
      </c>
      <c r="N23" s="1">
        <v>2</v>
      </c>
      <c r="O23" s="1">
        <v>0</v>
      </c>
      <c r="P23" s="1" t="s">
        <v>220</v>
      </c>
    </row>
    <row r="24" spans="1:16">
      <c r="A24" s="1">
        <v>21</v>
      </c>
      <c r="B24" s="1" t="s">
        <v>741</v>
      </c>
      <c r="C24" s="5">
        <v>46183</v>
      </c>
      <c r="D24" s="1" t="s">
        <v>73</v>
      </c>
      <c r="E24" s="6" t="s">
        <v>30</v>
      </c>
      <c r="F24" s="6" t="s">
        <v>729</v>
      </c>
      <c r="G24" s="1" t="s">
        <v>27</v>
      </c>
      <c r="H24" s="1" t="s">
        <v>21</v>
      </c>
      <c r="I24" s="1" t="s">
        <v>32</v>
      </c>
      <c r="J24" s="1" t="s">
        <v>93</v>
      </c>
      <c r="K24" s="1" t="s">
        <v>49</v>
      </c>
      <c r="L24" s="1">
        <v>1</v>
      </c>
      <c r="M24" s="1">
        <v>1</v>
      </c>
      <c r="N24" s="1">
        <v>2</v>
      </c>
      <c r="O24" s="1">
        <v>5</v>
      </c>
      <c r="P24" s="1" t="s">
        <v>224</v>
      </c>
    </row>
    <row r="25" spans="1:16">
      <c r="A25" s="1">
        <v>22</v>
      </c>
      <c r="B25" s="1" t="s">
        <v>742</v>
      </c>
      <c r="C25" s="5">
        <v>46176</v>
      </c>
      <c r="D25" s="1" t="s">
        <v>73</v>
      </c>
      <c r="E25" s="6" t="s">
        <v>20</v>
      </c>
      <c r="F25" s="6" t="s">
        <v>723</v>
      </c>
      <c r="G25" s="1" t="s">
        <v>27</v>
      </c>
      <c r="H25" s="1" t="s">
        <v>40</v>
      </c>
      <c r="I25" s="1" t="s">
        <v>66</v>
      </c>
      <c r="J25" s="1" t="s">
        <v>93</v>
      </c>
      <c r="K25" s="1" t="s">
        <v>61</v>
      </c>
      <c r="L25" s="1">
        <v>5</v>
      </c>
      <c r="M25" s="1">
        <v>7</v>
      </c>
      <c r="N25" s="1">
        <v>0</v>
      </c>
      <c r="O25" s="1">
        <v>2</v>
      </c>
      <c r="P25" s="1" t="s">
        <v>230</v>
      </c>
    </row>
    <row r="26" spans="1:16">
      <c r="A26" s="1">
        <v>23</v>
      </c>
      <c r="B26" s="1" t="s">
        <v>743</v>
      </c>
      <c r="C26" s="5">
        <v>46191</v>
      </c>
      <c r="D26" s="1" t="s">
        <v>73</v>
      </c>
      <c r="E26" s="6" t="s">
        <v>30</v>
      </c>
      <c r="F26" s="6" t="s">
        <v>729</v>
      </c>
      <c r="G26" s="1" t="s">
        <v>65</v>
      </c>
      <c r="H26" s="1" t="s">
        <v>80</v>
      </c>
      <c r="I26" s="1" t="s">
        <v>15</v>
      </c>
      <c r="J26" s="1" t="s">
        <v>7</v>
      </c>
      <c r="K26" s="1" t="s">
        <v>49</v>
      </c>
      <c r="L26" s="1">
        <v>5</v>
      </c>
      <c r="M26" s="1">
        <v>5</v>
      </c>
      <c r="N26" s="1">
        <v>4</v>
      </c>
      <c r="O26" s="1">
        <v>8</v>
      </c>
      <c r="P26" s="1" t="s">
        <v>220</v>
      </c>
    </row>
    <row r="27" spans="1:16">
      <c r="A27" s="1">
        <v>24</v>
      </c>
      <c r="B27" s="1" t="s">
        <v>744</v>
      </c>
      <c r="C27" s="5">
        <v>46181</v>
      </c>
      <c r="D27" s="1" t="s">
        <v>73</v>
      </c>
      <c r="E27" s="6" t="s">
        <v>4</v>
      </c>
      <c r="F27" s="6" t="s">
        <v>721</v>
      </c>
      <c r="G27" s="1" t="s">
        <v>92</v>
      </c>
      <c r="H27" s="1" t="s">
        <v>6</v>
      </c>
      <c r="I27" s="1" t="s">
        <v>93</v>
      </c>
      <c r="J27" s="1" t="s">
        <v>68</v>
      </c>
      <c r="K27" s="1" t="s">
        <v>38</v>
      </c>
      <c r="L27" s="1">
        <v>8</v>
      </c>
      <c r="M27" s="1">
        <v>6</v>
      </c>
      <c r="N27" s="1">
        <v>1</v>
      </c>
      <c r="O27" s="1">
        <v>2</v>
      </c>
      <c r="P27" s="1" t="s">
        <v>220</v>
      </c>
    </row>
    <row r="28" spans="1:16">
      <c r="A28" s="1">
        <v>25</v>
      </c>
      <c r="B28" s="1" t="s">
        <v>745</v>
      </c>
      <c r="C28" s="5">
        <v>46184</v>
      </c>
      <c r="D28" s="1" t="s">
        <v>73</v>
      </c>
      <c r="E28" s="6" t="s">
        <v>57</v>
      </c>
      <c r="F28" s="6" t="s">
        <v>746</v>
      </c>
      <c r="G28" s="1" t="s">
        <v>46</v>
      </c>
      <c r="H28" s="1" t="s">
        <v>35</v>
      </c>
      <c r="I28" s="1" t="s">
        <v>104</v>
      </c>
      <c r="J28" s="1" t="s">
        <v>32</v>
      </c>
      <c r="K28" s="1" t="s">
        <v>4</v>
      </c>
      <c r="L28" s="1">
        <v>2</v>
      </c>
      <c r="M28" s="1">
        <v>5</v>
      </c>
      <c r="N28" s="1">
        <v>6</v>
      </c>
      <c r="O28" s="1">
        <v>7</v>
      </c>
      <c r="P28" s="1" t="s">
        <v>220</v>
      </c>
    </row>
    <row r="29" spans="1:16">
      <c r="A29" s="1">
        <v>26</v>
      </c>
      <c r="B29" s="1" t="s">
        <v>747</v>
      </c>
      <c r="C29" s="5">
        <v>46185</v>
      </c>
      <c r="D29" s="1" t="s">
        <v>73</v>
      </c>
      <c r="E29" s="6" t="s">
        <v>61</v>
      </c>
      <c r="F29" s="6" t="s">
        <v>723</v>
      </c>
      <c r="G29" s="1" t="s">
        <v>50</v>
      </c>
      <c r="H29" s="1" t="s">
        <v>82</v>
      </c>
      <c r="I29" s="1" t="s">
        <v>78</v>
      </c>
      <c r="J29" s="1" t="s">
        <v>41</v>
      </c>
      <c r="K29" s="1" t="s">
        <v>20</v>
      </c>
      <c r="L29" s="1">
        <v>1</v>
      </c>
      <c r="M29" s="1">
        <v>4</v>
      </c>
      <c r="N29" s="1">
        <v>3</v>
      </c>
      <c r="O29" s="1">
        <v>4</v>
      </c>
      <c r="P29" s="1" t="s">
        <v>220</v>
      </c>
    </row>
    <row r="30" spans="1:16">
      <c r="A30" s="1">
        <v>27</v>
      </c>
      <c r="B30" s="1" t="s">
        <v>748</v>
      </c>
      <c r="C30" s="5">
        <v>46188</v>
      </c>
      <c r="D30" s="1" t="s">
        <v>73</v>
      </c>
      <c r="E30" s="6" t="s">
        <v>61</v>
      </c>
      <c r="F30" s="6" t="s">
        <v>717</v>
      </c>
      <c r="G30" s="1" t="s">
        <v>5</v>
      </c>
      <c r="H30" s="1" t="s">
        <v>21</v>
      </c>
      <c r="I30" s="1" t="s">
        <v>15</v>
      </c>
      <c r="J30" s="1" t="s">
        <v>15</v>
      </c>
      <c r="K30" s="1" t="s">
        <v>38</v>
      </c>
      <c r="L30" s="1">
        <v>8</v>
      </c>
      <c r="M30" s="1">
        <v>5</v>
      </c>
      <c r="N30" s="1">
        <v>2</v>
      </c>
      <c r="O30" s="1">
        <v>8</v>
      </c>
      <c r="P30" s="1" t="s">
        <v>230</v>
      </c>
    </row>
    <row r="31" spans="1:16">
      <c r="A31" s="1">
        <v>28</v>
      </c>
      <c r="B31" s="1" t="s">
        <v>749</v>
      </c>
      <c r="C31" s="5">
        <v>46178</v>
      </c>
      <c r="D31" s="1" t="s">
        <v>73</v>
      </c>
      <c r="E31" s="6" t="s">
        <v>49</v>
      </c>
      <c r="F31" s="6" t="s">
        <v>729</v>
      </c>
      <c r="G31" s="1" t="s">
        <v>92</v>
      </c>
      <c r="H31" s="1" t="s">
        <v>31</v>
      </c>
      <c r="I31" s="1" t="s">
        <v>7</v>
      </c>
      <c r="J31" s="1" t="s">
        <v>22</v>
      </c>
      <c r="K31" s="1" t="s">
        <v>38</v>
      </c>
      <c r="L31" s="1">
        <v>0</v>
      </c>
      <c r="M31" s="1">
        <v>6</v>
      </c>
      <c r="N31" s="1">
        <v>2</v>
      </c>
      <c r="O31" s="1">
        <v>8</v>
      </c>
      <c r="P31" s="1" t="s">
        <v>224</v>
      </c>
    </row>
    <row r="32" spans="1:16">
      <c r="A32" s="1">
        <v>29</v>
      </c>
      <c r="B32" s="1" t="s">
        <v>750</v>
      </c>
      <c r="C32" s="5">
        <v>46215</v>
      </c>
      <c r="D32" s="1" t="s">
        <v>76</v>
      </c>
      <c r="E32" s="6" t="s">
        <v>91</v>
      </c>
      <c r="F32" s="6" t="s">
        <v>721</v>
      </c>
      <c r="G32" s="1" t="s">
        <v>46</v>
      </c>
      <c r="H32" s="1" t="s">
        <v>82</v>
      </c>
      <c r="I32" s="1" t="s">
        <v>68</v>
      </c>
      <c r="J32" s="1" t="s">
        <v>36</v>
      </c>
      <c r="K32" s="1" t="s">
        <v>38</v>
      </c>
      <c r="L32" s="1">
        <v>7</v>
      </c>
      <c r="M32" s="1">
        <v>1</v>
      </c>
      <c r="N32" s="1">
        <v>0</v>
      </c>
      <c r="O32" s="1">
        <v>7</v>
      </c>
      <c r="P32" s="1" t="s">
        <v>220</v>
      </c>
    </row>
    <row r="33" spans="1:16">
      <c r="A33" s="1">
        <v>30</v>
      </c>
      <c r="B33" s="1" t="s">
        <v>751</v>
      </c>
      <c r="C33" s="5">
        <v>46237</v>
      </c>
      <c r="D33" s="1" t="s">
        <v>86</v>
      </c>
      <c r="E33" s="6" t="s">
        <v>16</v>
      </c>
      <c r="F33" s="6" t="s">
        <v>719</v>
      </c>
      <c r="G33" s="1" t="s">
        <v>13</v>
      </c>
      <c r="H33" s="1" t="s">
        <v>77</v>
      </c>
      <c r="I33" s="1" t="s">
        <v>68</v>
      </c>
      <c r="J33" s="1" t="s">
        <v>22</v>
      </c>
      <c r="K33" s="1" t="s">
        <v>38</v>
      </c>
      <c r="L33" s="1">
        <v>7</v>
      </c>
      <c r="M33" s="1">
        <v>0</v>
      </c>
      <c r="N33" s="1">
        <v>0</v>
      </c>
      <c r="O33" s="1">
        <v>4</v>
      </c>
      <c r="P33" s="1" t="s">
        <v>224</v>
      </c>
    </row>
    <row r="34" spans="1:16">
      <c r="A34" s="1">
        <v>31</v>
      </c>
      <c r="B34" s="1" t="s">
        <v>752</v>
      </c>
      <c r="C34" s="5">
        <v>46244</v>
      </c>
      <c r="D34" s="1" t="s">
        <v>86</v>
      </c>
      <c r="E34" s="6" t="s">
        <v>61</v>
      </c>
      <c r="F34" s="6" t="s">
        <v>723</v>
      </c>
      <c r="G34" s="1" t="s">
        <v>5</v>
      </c>
      <c r="H34" s="1" t="s">
        <v>87</v>
      </c>
      <c r="I34" s="1" t="s">
        <v>78</v>
      </c>
      <c r="J34" s="1" t="s">
        <v>70</v>
      </c>
      <c r="K34" s="1" t="s">
        <v>91</v>
      </c>
      <c r="L34" s="1">
        <v>8</v>
      </c>
      <c r="M34" s="1">
        <v>1</v>
      </c>
      <c r="N34" s="1">
        <v>8</v>
      </c>
      <c r="O34" s="1">
        <v>1</v>
      </c>
      <c r="P34" s="1" t="s">
        <v>220</v>
      </c>
    </row>
    <row r="35" spans="1:16">
      <c r="A35" s="1">
        <v>32</v>
      </c>
      <c r="B35" s="1" t="s">
        <v>753</v>
      </c>
      <c r="C35" s="5">
        <v>46239</v>
      </c>
      <c r="D35" s="1" t="s">
        <v>86</v>
      </c>
      <c r="E35" s="6" t="s">
        <v>49</v>
      </c>
      <c r="F35" s="6" t="s">
        <v>729</v>
      </c>
      <c r="G35" s="1" t="s">
        <v>39</v>
      </c>
      <c r="H35" s="1" t="s">
        <v>31</v>
      </c>
      <c r="I35" s="1" t="s">
        <v>36</v>
      </c>
      <c r="J35" s="1" t="s">
        <v>104</v>
      </c>
      <c r="K35" s="1" t="s">
        <v>64</v>
      </c>
      <c r="L35" s="1">
        <v>4</v>
      </c>
      <c r="M35" s="1">
        <v>1</v>
      </c>
      <c r="N35" s="1">
        <v>3</v>
      </c>
      <c r="O35" s="1">
        <v>3</v>
      </c>
      <c r="P35" s="1" t="s">
        <v>230</v>
      </c>
    </row>
    <row r="36" spans="1:16">
      <c r="A36" s="1">
        <v>33</v>
      </c>
      <c r="B36" s="1" t="s">
        <v>754</v>
      </c>
      <c r="C36" s="5">
        <v>46237</v>
      </c>
      <c r="D36" s="1" t="s">
        <v>86</v>
      </c>
      <c r="E36" s="6" t="s">
        <v>61</v>
      </c>
      <c r="F36" s="6" t="s">
        <v>719</v>
      </c>
      <c r="G36" s="1" t="s">
        <v>27</v>
      </c>
      <c r="H36" s="1" t="s">
        <v>31</v>
      </c>
      <c r="I36" s="1" t="s">
        <v>32</v>
      </c>
      <c r="J36" s="1" t="s">
        <v>66</v>
      </c>
      <c r="K36" s="1" t="s">
        <v>61</v>
      </c>
      <c r="L36" s="1">
        <v>5</v>
      </c>
      <c r="M36" s="1">
        <v>1</v>
      </c>
      <c r="N36" s="1">
        <v>4</v>
      </c>
      <c r="O36" s="1">
        <v>2</v>
      </c>
      <c r="P36" s="1" t="s">
        <v>224</v>
      </c>
    </row>
    <row r="37" spans="1:16">
      <c r="A37" s="1">
        <v>34</v>
      </c>
      <c r="B37" s="1" t="s">
        <v>755</v>
      </c>
      <c r="C37" s="5">
        <v>46243</v>
      </c>
      <c r="D37" s="1" t="s">
        <v>86</v>
      </c>
      <c r="E37" s="6" t="s">
        <v>49</v>
      </c>
      <c r="F37" s="6" t="s">
        <v>717</v>
      </c>
      <c r="G37" s="1" t="s">
        <v>89</v>
      </c>
      <c r="H37" s="1" t="s">
        <v>6</v>
      </c>
      <c r="I37" s="1" t="s">
        <v>68</v>
      </c>
      <c r="J37" s="1" t="s">
        <v>62</v>
      </c>
      <c r="K37" s="1" t="s">
        <v>4</v>
      </c>
      <c r="L37" s="1">
        <v>4</v>
      </c>
      <c r="M37" s="1">
        <v>7</v>
      </c>
      <c r="N37" s="1">
        <v>2</v>
      </c>
      <c r="O37" s="1">
        <v>2</v>
      </c>
      <c r="P37" s="1" t="s">
        <v>230</v>
      </c>
    </row>
    <row r="38" spans="1:16">
      <c r="A38" s="1">
        <v>35</v>
      </c>
      <c r="B38" s="1" t="s">
        <v>756</v>
      </c>
      <c r="C38" s="5">
        <v>46260</v>
      </c>
      <c r="D38" s="1" t="s">
        <v>86</v>
      </c>
      <c r="E38" s="6" t="s">
        <v>61</v>
      </c>
      <c r="F38" s="6" t="s">
        <v>721</v>
      </c>
      <c r="G38" s="1" t="s">
        <v>92</v>
      </c>
      <c r="H38" s="1" t="s">
        <v>87</v>
      </c>
      <c r="I38" s="1" t="s">
        <v>68</v>
      </c>
      <c r="J38" s="1" t="s">
        <v>70</v>
      </c>
      <c r="K38" s="1" t="s">
        <v>16</v>
      </c>
      <c r="L38" s="1">
        <v>7</v>
      </c>
      <c r="M38" s="1">
        <v>2</v>
      </c>
      <c r="N38" s="1">
        <v>1</v>
      </c>
      <c r="O38" s="1">
        <v>8</v>
      </c>
      <c r="P38" s="1" t="s">
        <v>224</v>
      </c>
    </row>
    <row r="39" spans="1:16">
      <c r="A39" s="1">
        <v>36</v>
      </c>
      <c r="B39" s="1" t="s">
        <v>757</v>
      </c>
      <c r="C39" s="5">
        <v>46237</v>
      </c>
      <c r="D39" s="1" t="s">
        <v>86</v>
      </c>
      <c r="E39" s="6" t="s">
        <v>54</v>
      </c>
      <c r="F39" s="6" t="s">
        <v>746</v>
      </c>
      <c r="G39" s="1" t="s">
        <v>46</v>
      </c>
      <c r="H39" s="1" t="s">
        <v>77</v>
      </c>
      <c r="I39" s="1" t="s">
        <v>70</v>
      </c>
      <c r="J39" s="1" t="s">
        <v>7</v>
      </c>
      <c r="K39" s="1" t="s">
        <v>12</v>
      </c>
      <c r="L39" s="1">
        <v>3</v>
      </c>
      <c r="M39" s="1">
        <v>0</v>
      </c>
      <c r="N39" s="1">
        <v>3</v>
      </c>
      <c r="O39" s="1">
        <v>0</v>
      </c>
      <c r="P39" s="1" t="s">
        <v>220</v>
      </c>
    </row>
    <row r="40" spans="1:16">
      <c r="A40" s="1">
        <v>37</v>
      </c>
      <c r="B40" s="1" t="s">
        <v>758</v>
      </c>
      <c r="C40" s="5">
        <v>46279</v>
      </c>
      <c r="D40" s="1" t="s">
        <v>102</v>
      </c>
      <c r="E40" s="6" t="s">
        <v>12</v>
      </c>
      <c r="F40" s="6" t="s">
        <v>721</v>
      </c>
      <c r="G40" s="1" t="s">
        <v>92</v>
      </c>
      <c r="H40" s="1" t="s">
        <v>6</v>
      </c>
      <c r="I40" s="1" t="s">
        <v>78</v>
      </c>
      <c r="J40" s="1" t="s">
        <v>70</v>
      </c>
      <c r="K40" s="1" t="s">
        <v>54</v>
      </c>
      <c r="L40" s="1">
        <v>2</v>
      </c>
      <c r="M40" s="1">
        <v>1</v>
      </c>
      <c r="N40" s="1">
        <v>4</v>
      </c>
      <c r="O40" s="1">
        <v>6</v>
      </c>
      <c r="P40" s="1" t="s">
        <v>230</v>
      </c>
    </row>
    <row r="41" spans="1:16">
      <c r="A41" s="1">
        <v>38</v>
      </c>
      <c r="B41" s="1" t="s">
        <v>759</v>
      </c>
      <c r="C41" s="5">
        <v>46274</v>
      </c>
      <c r="D41" s="1" t="s">
        <v>102</v>
      </c>
      <c r="E41" s="6" t="s">
        <v>54</v>
      </c>
      <c r="F41" s="6" t="s">
        <v>721</v>
      </c>
      <c r="G41" s="1" t="s">
        <v>13</v>
      </c>
      <c r="H41" s="1" t="s">
        <v>35</v>
      </c>
      <c r="I41" s="1" t="s">
        <v>22</v>
      </c>
      <c r="J41" s="1" t="s">
        <v>15</v>
      </c>
      <c r="K41" s="1" t="s">
        <v>57</v>
      </c>
      <c r="L41" s="1">
        <v>5</v>
      </c>
      <c r="M41" s="1">
        <v>7</v>
      </c>
      <c r="N41" s="1">
        <v>7</v>
      </c>
      <c r="O41" s="1">
        <v>6</v>
      </c>
      <c r="P41" s="1" t="s">
        <v>230</v>
      </c>
    </row>
    <row r="42" spans="1:16">
      <c r="A42" s="1">
        <v>39</v>
      </c>
      <c r="B42" s="1" t="s">
        <v>760</v>
      </c>
      <c r="C42" s="5">
        <v>46278</v>
      </c>
      <c r="D42" s="1" t="s">
        <v>102</v>
      </c>
      <c r="E42" s="6" t="s">
        <v>12</v>
      </c>
      <c r="F42" s="6" t="s">
        <v>746</v>
      </c>
      <c r="G42" s="1" t="s">
        <v>27</v>
      </c>
      <c r="H42" s="1" t="s">
        <v>6</v>
      </c>
      <c r="I42" s="1" t="s">
        <v>7</v>
      </c>
      <c r="J42" s="1" t="s">
        <v>7</v>
      </c>
      <c r="K42" s="1" t="s">
        <v>49</v>
      </c>
      <c r="L42" s="1">
        <v>4</v>
      </c>
      <c r="M42" s="1">
        <v>3</v>
      </c>
      <c r="N42" s="1">
        <v>7</v>
      </c>
      <c r="O42" s="1">
        <v>1</v>
      </c>
      <c r="P42" s="1" t="s">
        <v>230</v>
      </c>
    </row>
    <row r="43" spans="1:16">
      <c r="A43" s="1">
        <v>40</v>
      </c>
      <c r="B43" s="1" t="s">
        <v>761</v>
      </c>
      <c r="C43" s="5">
        <v>46278</v>
      </c>
      <c r="D43" s="1" t="s">
        <v>102</v>
      </c>
      <c r="E43" s="6" t="s">
        <v>45</v>
      </c>
      <c r="F43" s="6" t="s">
        <v>729</v>
      </c>
      <c r="G43" s="1" t="s">
        <v>50</v>
      </c>
      <c r="H43" s="1" t="s">
        <v>6</v>
      </c>
      <c r="I43" s="1" t="s">
        <v>22</v>
      </c>
      <c r="J43" s="1" t="s">
        <v>28</v>
      </c>
      <c r="K43" s="1" t="s">
        <v>16</v>
      </c>
      <c r="L43" s="1">
        <v>7</v>
      </c>
      <c r="M43" s="1">
        <v>5</v>
      </c>
      <c r="N43" s="1">
        <v>0</v>
      </c>
      <c r="O43" s="1">
        <v>4</v>
      </c>
      <c r="P43" s="1" t="s">
        <v>220</v>
      </c>
    </row>
    <row r="44" spans="1:16">
      <c r="A44" s="1">
        <v>41</v>
      </c>
      <c r="B44" s="1" t="s">
        <v>762</v>
      </c>
      <c r="C44" s="5">
        <v>46302</v>
      </c>
      <c r="D44" s="1" t="s">
        <v>106</v>
      </c>
      <c r="E44" s="6" t="s">
        <v>20</v>
      </c>
      <c r="F44" s="6" t="s">
        <v>717</v>
      </c>
      <c r="G44" s="1" t="s">
        <v>65</v>
      </c>
      <c r="H44" s="1" t="s">
        <v>21</v>
      </c>
      <c r="I44" s="1" t="s">
        <v>93</v>
      </c>
      <c r="J44" s="1" t="s">
        <v>68</v>
      </c>
      <c r="K44" s="1" t="s">
        <v>49</v>
      </c>
      <c r="L44" s="1">
        <v>7</v>
      </c>
      <c r="M44" s="1">
        <v>8</v>
      </c>
      <c r="N44" s="1">
        <v>5</v>
      </c>
      <c r="O44" s="1">
        <v>1</v>
      </c>
      <c r="P44" s="1" t="s">
        <v>220</v>
      </c>
    </row>
    <row r="45" spans="1:16">
      <c r="A45" s="1">
        <v>42</v>
      </c>
      <c r="B45" s="1" t="s">
        <v>763</v>
      </c>
      <c r="C45" s="5">
        <v>46334</v>
      </c>
      <c r="D45" s="1" t="s">
        <v>111</v>
      </c>
      <c r="E45" s="6" t="s">
        <v>61</v>
      </c>
      <c r="F45" s="6" t="s">
        <v>721</v>
      </c>
      <c r="G45" s="1" t="s">
        <v>13</v>
      </c>
      <c r="H45" s="1" t="s">
        <v>35</v>
      </c>
      <c r="I45" s="1" t="s">
        <v>7</v>
      </c>
      <c r="J45" s="1" t="s">
        <v>70</v>
      </c>
      <c r="K45" s="1" t="s">
        <v>49</v>
      </c>
      <c r="L45" s="1">
        <v>5</v>
      </c>
      <c r="M45" s="1">
        <v>8</v>
      </c>
      <c r="N45" s="1">
        <v>3</v>
      </c>
      <c r="O45" s="1">
        <v>4</v>
      </c>
      <c r="P45" s="1" t="s">
        <v>224</v>
      </c>
    </row>
    <row r="46" spans="1:16">
      <c r="A46" s="1">
        <v>43</v>
      </c>
      <c r="B46" s="1" t="s">
        <v>764</v>
      </c>
      <c r="C46" s="5">
        <v>46335</v>
      </c>
      <c r="D46" s="1" t="s">
        <v>111</v>
      </c>
      <c r="E46" s="6" t="s">
        <v>4</v>
      </c>
      <c r="F46" s="6" t="s">
        <v>723</v>
      </c>
      <c r="G46" s="1" t="s">
        <v>92</v>
      </c>
      <c r="H46" s="1" t="s">
        <v>87</v>
      </c>
      <c r="I46" s="1" t="s">
        <v>68</v>
      </c>
      <c r="J46" s="1" t="s">
        <v>70</v>
      </c>
      <c r="K46" s="1" t="s">
        <v>16</v>
      </c>
      <c r="L46" s="1">
        <v>4</v>
      </c>
      <c r="M46" s="1">
        <v>0</v>
      </c>
      <c r="N46" s="1">
        <v>5</v>
      </c>
      <c r="O46" s="1">
        <v>0</v>
      </c>
      <c r="P46" s="1" t="s">
        <v>220</v>
      </c>
    </row>
    <row r="47" spans="1:16">
      <c r="A47" s="1">
        <v>44</v>
      </c>
      <c r="B47" s="1" t="s">
        <v>765</v>
      </c>
      <c r="C47" s="5">
        <v>46336</v>
      </c>
      <c r="D47" s="1" t="s">
        <v>111</v>
      </c>
      <c r="E47" s="6" t="s">
        <v>64</v>
      </c>
      <c r="F47" s="6" t="s">
        <v>746</v>
      </c>
      <c r="G47" s="1" t="s">
        <v>92</v>
      </c>
      <c r="H47" s="1" t="s">
        <v>80</v>
      </c>
      <c r="I47" s="1" t="s">
        <v>32</v>
      </c>
      <c r="J47" s="1" t="s">
        <v>41</v>
      </c>
      <c r="K47" s="1" t="s">
        <v>57</v>
      </c>
      <c r="L47" s="1">
        <v>0</v>
      </c>
      <c r="M47" s="1">
        <v>7</v>
      </c>
      <c r="N47" s="1">
        <v>4</v>
      </c>
      <c r="O47" s="1">
        <v>3</v>
      </c>
      <c r="P47" s="1" t="s">
        <v>230</v>
      </c>
    </row>
    <row r="48" spans="1:16">
      <c r="A48" s="1">
        <v>45</v>
      </c>
      <c r="B48" s="1" t="s">
        <v>766</v>
      </c>
      <c r="C48" s="5">
        <v>46333</v>
      </c>
      <c r="D48" s="1" t="s">
        <v>111</v>
      </c>
      <c r="E48" s="6" t="s">
        <v>49</v>
      </c>
      <c r="F48" s="6" t="s">
        <v>729</v>
      </c>
      <c r="G48" s="1" t="s">
        <v>50</v>
      </c>
      <c r="H48" s="1" t="s">
        <v>80</v>
      </c>
      <c r="I48" s="1" t="s">
        <v>15</v>
      </c>
      <c r="J48" s="1" t="s">
        <v>68</v>
      </c>
      <c r="K48" s="1" t="s">
        <v>64</v>
      </c>
      <c r="L48" s="1">
        <v>0</v>
      </c>
      <c r="M48" s="1">
        <v>7</v>
      </c>
      <c r="N48" s="1">
        <v>3</v>
      </c>
      <c r="O48" s="1">
        <v>8</v>
      </c>
      <c r="P48" s="1" t="s">
        <v>224</v>
      </c>
    </row>
    <row r="49" spans="1:16">
      <c r="A49" s="1">
        <v>46</v>
      </c>
      <c r="B49" s="1" t="s">
        <v>767</v>
      </c>
      <c r="C49" s="5">
        <v>46350</v>
      </c>
      <c r="D49" s="1" t="s">
        <v>111</v>
      </c>
      <c r="E49" s="6" t="s">
        <v>4</v>
      </c>
      <c r="F49" s="6" t="s">
        <v>723</v>
      </c>
      <c r="G49" s="1" t="s">
        <v>50</v>
      </c>
      <c r="H49" s="1" t="s">
        <v>35</v>
      </c>
      <c r="I49" s="1" t="s">
        <v>78</v>
      </c>
      <c r="J49" s="1" t="s">
        <v>66</v>
      </c>
      <c r="K49" s="1" t="s">
        <v>57</v>
      </c>
      <c r="L49" s="1">
        <v>0</v>
      </c>
      <c r="M49" s="1">
        <v>1</v>
      </c>
      <c r="N49" s="1">
        <v>8</v>
      </c>
      <c r="O49" s="1">
        <v>8</v>
      </c>
      <c r="P49" s="1" t="s">
        <v>230</v>
      </c>
    </row>
    <row r="50" spans="1:16">
      <c r="A50" s="1">
        <v>47</v>
      </c>
      <c r="B50" s="1" t="s">
        <v>768</v>
      </c>
      <c r="C50" s="5">
        <v>46334</v>
      </c>
      <c r="D50" s="1" t="s">
        <v>111</v>
      </c>
      <c r="E50" s="6" t="s">
        <v>57</v>
      </c>
      <c r="F50" s="6" t="s">
        <v>721</v>
      </c>
      <c r="G50" s="1" t="s">
        <v>27</v>
      </c>
      <c r="H50" s="1" t="s">
        <v>51</v>
      </c>
      <c r="I50" s="1" t="s">
        <v>15</v>
      </c>
      <c r="J50" s="1" t="s">
        <v>104</v>
      </c>
      <c r="K50" s="1" t="s">
        <v>4</v>
      </c>
      <c r="L50" s="1">
        <v>6</v>
      </c>
      <c r="M50" s="1">
        <v>0</v>
      </c>
      <c r="N50" s="1">
        <v>1</v>
      </c>
      <c r="O50" s="1">
        <v>3</v>
      </c>
      <c r="P50" s="1" t="s">
        <v>224</v>
      </c>
    </row>
    <row r="51" spans="1:16">
      <c r="A51" s="1">
        <v>48</v>
      </c>
      <c r="B51" s="1" t="s">
        <v>769</v>
      </c>
      <c r="C51" s="5">
        <v>46361</v>
      </c>
      <c r="D51" s="1" t="s">
        <v>122</v>
      </c>
      <c r="E51" s="6" t="s">
        <v>30</v>
      </c>
      <c r="F51" s="6" t="s">
        <v>746</v>
      </c>
      <c r="G51" s="1" t="s">
        <v>5</v>
      </c>
      <c r="H51" s="1" t="s">
        <v>35</v>
      </c>
      <c r="I51" s="1" t="s">
        <v>15</v>
      </c>
      <c r="J51" s="1" t="s">
        <v>93</v>
      </c>
      <c r="K51" s="1" t="s">
        <v>12</v>
      </c>
      <c r="L51" s="1">
        <v>7</v>
      </c>
      <c r="M51" s="1">
        <v>7</v>
      </c>
      <c r="N51" s="1">
        <v>3</v>
      </c>
      <c r="O51" s="1">
        <v>3</v>
      </c>
      <c r="P51" s="1" t="s">
        <v>224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779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770</v>
      </c>
      <c r="C3" s="1" t="s">
        <v>126</v>
      </c>
      <c r="D3" s="1" t="s">
        <v>127</v>
      </c>
      <c r="E3" s="1" t="s">
        <v>771</v>
      </c>
      <c r="F3" s="1" t="s">
        <v>772</v>
      </c>
      <c r="G3" s="1" t="s">
        <v>129</v>
      </c>
      <c r="H3" s="1" t="s">
        <v>130</v>
      </c>
      <c r="I3" s="1" t="s">
        <v>773</v>
      </c>
      <c r="J3" s="1" t="s">
        <v>209</v>
      </c>
      <c r="K3" s="1" t="s">
        <v>774</v>
      </c>
      <c r="L3" s="1" t="s">
        <v>775</v>
      </c>
      <c r="M3" s="1" t="s">
        <v>776</v>
      </c>
      <c r="N3" s="1" t="s">
        <v>777</v>
      </c>
      <c r="O3" s="1" t="s">
        <v>778</v>
      </c>
      <c r="P3" s="1" t="s">
        <v>286</v>
      </c>
    </row>
    <row r="4" spans="1:18">
      <c r="A4" s="1">
        <v>1</v>
      </c>
      <c r="B4" s="1" t="s">
        <v>780</v>
      </c>
      <c r="C4" s="5">
        <v>46037</v>
      </c>
      <c r="D4" s="1" t="s">
        <v>3</v>
      </c>
      <c r="E4" s="6" t="s">
        <v>54</v>
      </c>
      <c r="F4" s="6" t="s">
        <v>723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220</v>
      </c>
    </row>
    <row r="5" spans="1:18">
      <c r="A5" s="1">
        <v>2</v>
      </c>
      <c r="B5" s="1" t="s">
        <v>781</v>
      </c>
      <c r="C5" s="5">
        <v>46050</v>
      </c>
      <c r="D5" s="1" t="s">
        <v>3</v>
      </c>
      <c r="E5" s="6" t="s">
        <v>45</v>
      </c>
      <c r="F5" s="6" t="s">
        <v>746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224</v>
      </c>
    </row>
    <row r="6" spans="1:18">
      <c r="A6" s="1">
        <v>3</v>
      </c>
      <c r="B6" s="1" t="s">
        <v>782</v>
      </c>
      <c r="C6" s="5">
        <v>46039</v>
      </c>
      <c r="D6" s="1" t="s">
        <v>3</v>
      </c>
      <c r="E6" s="6" t="s">
        <v>64</v>
      </c>
      <c r="F6" s="6" t="s">
        <v>723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220</v>
      </c>
    </row>
    <row r="7" spans="1:18">
      <c r="A7" s="1">
        <v>4</v>
      </c>
      <c r="B7" s="1" t="s">
        <v>783</v>
      </c>
      <c r="C7" s="5">
        <v>46044</v>
      </c>
      <c r="D7" s="1" t="s">
        <v>3</v>
      </c>
      <c r="E7" s="6" t="s">
        <v>16</v>
      </c>
      <c r="F7" s="6" t="s">
        <v>746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224</v>
      </c>
    </row>
    <row r="8" spans="1:18">
      <c r="A8" s="1">
        <v>5</v>
      </c>
      <c r="B8" s="1" t="s">
        <v>784</v>
      </c>
      <c r="C8" s="5">
        <v>46078</v>
      </c>
      <c r="D8" s="1" t="s">
        <v>19</v>
      </c>
      <c r="E8" s="6" t="s">
        <v>16</v>
      </c>
      <c r="F8" s="6" t="s">
        <v>729</v>
      </c>
      <c r="G8" s="1" t="s">
        <v>5</v>
      </c>
      <c r="H8" s="1" t="s">
        <v>95</v>
      </c>
      <c r="I8" s="1" t="s">
        <v>36</v>
      </c>
      <c r="J8" s="1" t="s">
        <v>15</v>
      </c>
      <c r="K8" s="1" t="s">
        <v>20</v>
      </c>
      <c r="L8" s="1">
        <v>6</v>
      </c>
      <c r="M8" s="1">
        <v>3</v>
      </c>
      <c r="N8" s="1">
        <v>3</v>
      </c>
      <c r="O8" s="1">
        <v>0</v>
      </c>
      <c r="P8" s="1" t="s">
        <v>220</v>
      </c>
    </row>
    <row r="9" spans="1:18">
      <c r="A9" s="1">
        <v>6</v>
      </c>
      <c r="B9" s="1" t="s">
        <v>785</v>
      </c>
      <c r="C9" s="5">
        <v>46060</v>
      </c>
      <c r="D9" s="1" t="s">
        <v>19</v>
      </c>
      <c r="E9" s="6" t="s">
        <v>30</v>
      </c>
      <c r="F9" s="6" t="s">
        <v>746</v>
      </c>
      <c r="G9" s="1" t="s">
        <v>5</v>
      </c>
      <c r="H9" s="1" t="s">
        <v>6</v>
      </c>
      <c r="I9" s="1" t="s">
        <v>62</v>
      </c>
      <c r="J9" s="1" t="s">
        <v>66</v>
      </c>
      <c r="K9" s="1" t="s">
        <v>16</v>
      </c>
      <c r="L9" s="1">
        <v>1</v>
      </c>
      <c r="M9" s="1">
        <v>8</v>
      </c>
      <c r="N9" s="1">
        <v>0</v>
      </c>
      <c r="O9" s="1">
        <v>6</v>
      </c>
      <c r="P9" s="1" t="s">
        <v>220</v>
      </c>
    </row>
    <row r="10" spans="1:18">
      <c r="A10" s="1">
        <v>7</v>
      </c>
      <c r="B10" s="1" t="s">
        <v>786</v>
      </c>
      <c r="C10" s="5">
        <v>46069</v>
      </c>
      <c r="D10" s="1" t="s">
        <v>19</v>
      </c>
      <c r="E10" s="6" t="s">
        <v>38</v>
      </c>
      <c r="F10" s="6" t="s">
        <v>723</v>
      </c>
      <c r="G10" s="1" t="s">
        <v>50</v>
      </c>
      <c r="H10" s="1" t="s">
        <v>51</v>
      </c>
      <c r="I10" s="1" t="s">
        <v>66</v>
      </c>
      <c r="J10" s="1" t="s">
        <v>22</v>
      </c>
      <c r="K10" s="1" t="s">
        <v>64</v>
      </c>
      <c r="L10" s="1">
        <v>3</v>
      </c>
      <c r="M10" s="1">
        <v>1</v>
      </c>
      <c r="N10" s="1">
        <v>5</v>
      </c>
      <c r="O10" s="1">
        <v>7</v>
      </c>
      <c r="P10" s="1" t="s">
        <v>220</v>
      </c>
    </row>
    <row r="11" spans="1:18">
      <c r="A11" s="1">
        <v>8</v>
      </c>
      <c r="B11" s="1" t="s">
        <v>787</v>
      </c>
      <c r="C11" s="5">
        <v>46100</v>
      </c>
      <c r="D11" s="1" t="s">
        <v>44</v>
      </c>
      <c r="E11" s="6" t="s">
        <v>30</v>
      </c>
      <c r="F11" s="6" t="s">
        <v>717</v>
      </c>
      <c r="G11" s="1" t="s">
        <v>50</v>
      </c>
      <c r="H11" s="1" t="s">
        <v>40</v>
      </c>
      <c r="I11" s="1" t="s">
        <v>78</v>
      </c>
      <c r="J11" s="1" t="s">
        <v>78</v>
      </c>
      <c r="K11" s="1" t="s">
        <v>4</v>
      </c>
      <c r="L11" s="1">
        <v>6</v>
      </c>
      <c r="M11" s="1">
        <v>4</v>
      </c>
      <c r="N11" s="1">
        <v>6</v>
      </c>
      <c r="O11" s="1">
        <v>0</v>
      </c>
      <c r="P11" s="1" t="s">
        <v>220</v>
      </c>
    </row>
    <row r="12" spans="1:18">
      <c r="A12" s="1">
        <v>9</v>
      </c>
      <c r="B12" s="1" t="s">
        <v>788</v>
      </c>
      <c r="C12" s="5">
        <v>46082</v>
      </c>
      <c r="D12" s="1" t="s">
        <v>44</v>
      </c>
      <c r="E12" s="6" t="s">
        <v>30</v>
      </c>
      <c r="F12" s="6" t="s">
        <v>719</v>
      </c>
      <c r="G12" s="1" t="s">
        <v>65</v>
      </c>
      <c r="H12" s="1" t="s">
        <v>31</v>
      </c>
      <c r="I12" s="1" t="s">
        <v>104</v>
      </c>
      <c r="J12" s="1" t="s">
        <v>32</v>
      </c>
      <c r="K12" s="1" t="s">
        <v>16</v>
      </c>
      <c r="L12" s="1">
        <v>2</v>
      </c>
      <c r="M12" s="1">
        <v>0</v>
      </c>
      <c r="N12" s="1">
        <v>8</v>
      </c>
      <c r="O12" s="1">
        <v>3</v>
      </c>
      <c r="P12" s="1" t="s">
        <v>220</v>
      </c>
    </row>
    <row r="13" spans="1:18">
      <c r="A13" s="1">
        <v>10</v>
      </c>
      <c r="B13" s="1" t="s">
        <v>789</v>
      </c>
      <c r="C13" s="5">
        <v>46089</v>
      </c>
      <c r="D13" s="1" t="s">
        <v>44</v>
      </c>
      <c r="E13" s="6" t="s">
        <v>45</v>
      </c>
      <c r="F13" s="6" t="s">
        <v>717</v>
      </c>
      <c r="G13" s="1" t="s">
        <v>92</v>
      </c>
      <c r="H13" s="1" t="s">
        <v>21</v>
      </c>
      <c r="I13" s="1" t="s">
        <v>28</v>
      </c>
      <c r="J13" s="1" t="s">
        <v>22</v>
      </c>
      <c r="K13" s="1" t="s">
        <v>38</v>
      </c>
      <c r="L13" s="1">
        <v>4</v>
      </c>
      <c r="M13" s="1">
        <v>2</v>
      </c>
      <c r="N13" s="1">
        <v>4</v>
      </c>
      <c r="O13" s="1">
        <v>2</v>
      </c>
      <c r="P13" s="1" t="s">
        <v>220</v>
      </c>
    </row>
    <row r="14" spans="1:18">
      <c r="A14" s="1">
        <v>11</v>
      </c>
      <c r="B14" s="1" t="s">
        <v>790</v>
      </c>
      <c r="C14" s="5">
        <v>46136</v>
      </c>
      <c r="D14" s="1" t="s">
        <v>53</v>
      </c>
      <c r="E14" s="6" t="s">
        <v>4</v>
      </c>
      <c r="F14" s="6" t="s">
        <v>746</v>
      </c>
      <c r="G14" s="1" t="s">
        <v>58</v>
      </c>
      <c r="H14" s="1" t="s">
        <v>95</v>
      </c>
      <c r="I14" s="1" t="s">
        <v>66</v>
      </c>
      <c r="J14" s="1" t="s">
        <v>22</v>
      </c>
      <c r="K14" s="1" t="s">
        <v>12</v>
      </c>
      <c r="L14" s="1">
        <v>0</v>
      </c>
      <c r="M14" s="1">
        <v>3</v>
      </c>
      <c r="N14" s="1">
        <v>2</v>
      </c>
      <c r="O14" s="1">
        <v>7</v>
      </c>
      <c r="P14" s="1" t="s">
        <v>220</v>
      </c>
    </row>
    <row r="15" spans="1:18">
      <c r="A15" s="1">
        <v>12</v>
      </c>
      <c r="B15" s="1" t="s">
        <v>791</v>
      </c>
      <c r="C15" s="5">
        <v>46131</v>
      </c>
      <c r="D15" s="1" t="s">
        <v>53</v>
      </c>
      <c r="E15" s="6" t="s">
        <v>64</v>
      </c>
      <c r="F15" s="6" t="s">
        <v>721</v>
      </c>
      <c r="G15" s="1" t="s">
        <v>92</v>
      </c>
      <c r="H15" s="1" t="s">
        <v>87</v>
      </c>
      <c r="I15" s="1" t="s">
        <v>36</v>
      </c>
      <c r="J15" s="1" t="s">
        <v>41</v>
      </c>
      <c r="K15" s="1" t="s">
        <v>54</v>
      </c>
      <c r="L15" s="1">
        <v>5</v>
      </c>
      <c r="M15" s="1">
        <v>5</v>
      </c>
      <c r="N15" s="1">
        <v>6</v>
      </c>
      <c r="O15" s="1">
        <v>0</v>
      </c>
      <c r="P15" s="1" t="s">
        <v>220</v>
      </c>
    </row>
    <row r="16" spans="1:18">
      <c r="A16" s="1">
        <v>13</v>
      </c>
      <c r="B16" s="1" t="s">
        <v>792</v>
      </c>
      <c r="C16" s="5">
        <v>46137</v>
      </c>
      <c r="D16" s="1" t="s">
        <v>53</v>
      </c>
      <c r="E16" s="6" t="s">
        <v>12</v>
      </c>
      <c r="F16" s="6" t="s">
        <v>723</v>
      </c>
      <c r="G16" s="1" t="s">
        <v>92</v>
      </c>
      <c r="H16" s="1" t="s">
        <v>40</v>
      </c>
      <c r="I16" s="1" t="s">
        <v>66</v>
      </c>
      <c r="J16" s="1" t="s">
        <v>32</v>
      </c>
      <c r="K16" s="1" t="s">
        <v>4</v>
      </c>
      <c r="L16" s="1">
        <v>7</v>
      </c>
      <c r="M16" s="1">
        <v>4</v>
      </c>
      <c r="N16" s="1">
        <v>6</v>
      </c>
      <c r="O16" s="1">
        <v>7</v>
      </c>
      <c r="P16" s="1" t="s">
        <v>220</v>
      </c>
    </row>
    <row r="17" spans="1:16">
      <c r="A17" s="1">
        <v>14</v>
      </c>
      <c r="B17" s="1" t="s">
        <v>793</v>
      </c>
      <c r="C17" s="5">
        <v>46139</v>
      </c>
      <c r="D17" s="1" t="s">
        <v>53</v>
      </c>
      <c r="E17" s="6" t="s">
        <v>20</v>
      </c>
      <c r="F17" s="6" t="s">
        <v>729</v>
      </c>
      <c r="G17" s="1" t="s">
        <v>89</v>
      </c>
      <c r="H17" s="1" t="s">
        <v>80</v>
      </c>
      <c r="I17" s="1" t="s">
        <v>22</v>
      </c>
      <c r="J17" s="1" t="s">
        <v>93</v>
      </c>
      <c r="K17" s="1" t="s">
        <v>91</v>
      </c>
      <c r="L17" s="1">
        <v>0</v>
      </c>
      <c r="M17" s="1">
        <v>6</v>
      </c>
      <c r="N17" s="1">
        <v>3</v>
      </c>
      <c r="O17" s="1">
        <v>1</v>
      </c>
      <c r="P17" s="1" t="s">
        <v>220</v>
      </c>
    </row>
    <row r="18" spans="1:16">
      <c r="A18" s="1">
        <v>15</v>
      </c>
      <c r="B18" s="1" t="s">
        <v>794</v>
      </c>
      <c r="C18" s="5">
        <v>46170</v>
      </c>
      <c r="D18" s="1" t="s">
        <v>60</v>
      </c>
      <c r="E18" s="6" t="s">
        <v>57</v>
      </c>
      <c r="F18" s="6" t="s">
        <v>729</v>
      </c>
      <c r="G18" s="1" t="s">
        <v>27</v>
      </c>
      <c r="H18" s="1" t="s">
        <v>82</v>
      </c>
      <c r="I18" s="1" t="s">
        <v>32</v>
      </c>
      <c r="J18" s="1" t="s">
        <v>15</v>
      </c>
      <c r="K18" s="1" t="s">
        <v>30</v>
      </c>
      <c r="L18" s="1">
        <v>5</v>
      </c>
      <c r="M18" s="1">
        <v>3</v>
      </c>
      <c r="N18" s="1">
        <v>6</v>
      </c>
      <c r="O18" s="1">
        <v>0</v>
      </c>
      <c r="P18" s="1" t="s">
        <v>220</v>
      </c>
    </row>
    <row r="19" spans="1:16">
      <c r="A19" s="1">
        <v>16</v>
      </c>
      <c r="B19" s="1" t="s">
        <v>795</v>
      </c>
      <c r="C19" s="5">
        <v>46146</v>
      </c>
      <c r="D19" s="1" t="s">
        <v>60</v>
      </c>
      <c r="E19" s="6" t="s">
        <v>16</v>
      </c>
      <c r="F19" s="6" t="s">
        <v>746</v>
      </c>
      <c r="G19" s="1" t="s">
        <v>50</v>
      </c>
      <c r="H19" s="1" t="s">
        <v>35</v>
      </c>
      <c r="I19" s="1" t="s">
        <v>62</v>
      </c>
      <c r="J19" s="1" t="s">
        <v>15</v>
      </c>
      <c r="K19" s="1" t="s">
        <v>91</v>
      </c>
      <c r="L19" s="1">
        <v>1</v>
      </c>
      <c r="M19" s="1">
        <v>2</v>
      </c>
      <c r="N19" s="1">
        <v>5</v>
      </c>
      <c r="O19" s="1">
        <v>1</v>
      </c>
      <c r="P19" s="1" t="s">
        <v>220</v>
      </c>
    </row>
    <row r="20" spans="1:16">
      <c r="A20" s="1">
        <v>17</v>
      </c>
      <c r="B20" s="1" t="s">
        <v>796</v>
      </c>
      <c r="C20" s="5">
        <v>46160</v>
      </c>
      <c r="D20" s="1" t="s">
        <v>60</v>
      </c>
      <c r="E20" s="6" t="s">
        <v>57</v>
      </c>
      <c r="F20" s="6" t="s">
        <v>721</v>
      </c>
      <c r="G20" s="1" t="s">
        <v>46</v>
      </c>
      <c r="H20" s="1" t="s">
        <v>6</v>
      </c>
      <c r="I20" s="1" t="s">
        <v>104</v>
      </c>
      <c r="J20" s="1" t="s">
        <v>41</v>
      </c>
      <c r="K20" s="1" t="s">
        <v>91</v>
      </c>
      <c r="L20" s="1">
        <v>8</v>
      </c>
      <c r="M20" s="1">
        <v>1</v>
      </c>
      <c r="N20" s="1">
        <v>7</v>
      </c>
      <c r="O20" s="1">
        <v>0</v>
      </c>
      <c r="P20" s="1" t="s">
        <v>230</v>
      </c>
    </row>
    <row r="21" spans="1:16">
      <c r="A21" s="1">
        <v>18</v>
      </c>
      <c r="B21" s="1" t="s">
        <v>797</v>
      </c>
      <c r="C21" s="5">
        <v>46170</v>
      </c>
      <c r="D21" s="1" t="s">
        <v>60</v>
      </c>
      <c r="E21" s="6" t="s">
        <v>49</v>
      </c>
      <c r="F21" s="6" t="s">
        <v>729</v>
      </c>
      <c r="G21" s="1" t="s">
        <v>92</v>
      </c>
      <c r="H21" s="1" t="s">
        <v>51</v>
      </c>
      <c r="I21" s="1" t="s">
        <v>104</v>
      </c>
      <c r="J21" s="1" t="s">
        <v>7</v>
      </c>
      <c r="K21" s="1" t="s">
        <v>54</v>
      </c>
      <c r="L21" s="1">
        <v>3</v>
      </c>
      <c r="M21" s="1">
        <v>5</v>
      </c>
      <c r="N21" s="1">
        <v>7</v>
      </c>
      <c r="O21" s="1">
        <v>7</v>
      </c>
      <c r="P21" s="1" t="s">
        <v>230</v>
      </c>
    </row>
    <row r="22" spans="1:16">
      <c r="A22" s="1">
        <v>19</v>
      </c>
      <c r="B22" s="1" t="s">
        <v>798</v>
      </c>
      <c r="C22" s="5">
        <v>46145</v>
      </c>
      <c r="D22" s="1" t="s">
        <v>60</v>
      </c>
      <c r="E22" s="6" t="s">
        <v>20</v>
      </c>
      <c r="F22" s="6" t="s">
        <v>719</v>
      </c>
      <c r="G22" s="1" t="s">
        <v>92</v>
      </c>
      <c r="H22" s="1" t="s">
        <v>77</v>
      </c>
      <c r="I22" s="1" t="s">
        <v>32</v>
      </c>
      <c r="J22" s="1" t="s">
        <v>70</v>
      </c>
      <c r="K22" s="1" t="s">
        <v>4</v>
      </c>
      <c r="L22" s="1">
        <v>2</v>
      </c>
      <c r="M22" s="1">
        <v>7</v>
      </c>
      <c r="N22" s="1">
        <v>2</v>
      </c>
      <c r="O22" s="1">
        <v>8</v>
      </c>
      <c r="P22" s="1" t="s">
        <v>230</v>
      </c>
    </row>
    <row r="23" spans="1:16">
      <c r="A23" s="1">
        <v>20</v>
      </c>
      <c r="B23" s="1" t="s">
        <v>799</v>
      </c>
      <c r="C23" s="5">
        <v>46162</v>
      </c>
      <c r="D23" s="1" t="s">
        <v>60</v>
      </c>
      <c r="E23" s="6" t="s">
        <v>4</v>
      </c>
      <c r="F23" s="6" t="s">
        <v>717</v>
      </c>
      <c r="G23" s="1" t="s">
        <v>58</v>
      </c>
      <c r="H23" s="1" t="s">
        <v>35</v>
      </c>
      <c r="I23" s="1" t="s">
        <v>70</v>
      </c>
      <c r="J23" s="1" t="s">
        <v>28</v>
      </c>
      <c r="K23" s="1" t="s">
        <v>26</v>
      </c>
      <c r="L23" s="1">
        <v>1</v>
      </c>
      <c r="M23" s="1">
        <v>1</v>
      </c>
      <c r="N23" s="1">
        <v>8</v>
      </c>
      <c r="O23" s="1">
        <v>7</v>
      </c>
      <c r="P23" s="1" t="s">
        <v>220</v>
      </c>
    </row>
    <row r="24" spans="1:16">
      <c r="A24" s="1">
        <v>21</v>
      </c>
      <c r="B24" s="1" t="s">
        <v>800</v>
      </c>
      <c r="C24" s="5">
        <v>46183</v>
      </c>
      <c r="D24" s="1" t="s">
        <v>73</v>
      </c>
      <c r="E24" s="6" t="s">
        <v>54</v>
      </c>
      <c r="F24" s="6" t="s">
        <v>723</v>
      </c>
      <c r="G24" s="1" t="s">
        <v>89</v>
      </c>
      <c r="H24" s="1" t="s">
        <v>77</v>
      </c>
      <c r="I24" s="1" t="s">
        <v>22</v>
      </c>
      <c r="J24" s="1" t="s">
        <v>22</v>
      </c>
      <c r="K24" s="1" t="s">
        <v>57</v>
      </c>
      <c r="L24" s="1">
        <v>5</v>
      </c>
      <c r="M24" s="1">
        <v>8</v>
      </c>
      <c r="N24" s="1">
        <v>2</v>
      </c>
      <c r="O24" s="1">
        <v>1</v>
      </c>
      <c r="P24" s="1" t="s">
        <v>220</v>
      </c>
    </row>
    <row r="25" spans="1:16">
      <c r="A25" s="1">
        <v>22</v>
      </c>
      <c r="B25" s="1" t="s">
        <v>801</v>
      </c>
      <c r="C25" s="5">
        <v>46182</v>
      </c>
      <c r="D25" s="1" t="s">
        <v>73</v>
      </c>
      <c r="E25" s="6" t="s">
        <v>20</v>
      </c>
      <c r="F25" s="6" t="s">
        <v>746</v>
      </c>
      <c r="G25" s="1" t="s">
        <v>92</v>
      </c>
      <c r="H25" s="1" t="s">
        <v>87</v>
      </c>
      <c r="I25" s="1" t="s">
        <v>70</v>
      </c>
      <c r="J25" s="1" t="s">
        <v>66</v>
      </c>
      <c r="K25" s="1" t="s">
        <v>54</v>
      </c>
      <c r="L25" s="1">
        <v>4</v>
      </c>
      <c r="M25" s="1">
        <v>3</v>
      </c>
      <c r="N25" s="1">
        <v>5</v>
      </c>
      <c r="O25" s="1">
        <v>4</v>
      </c>
      <c r="P25" s="1" t="s">
        <v>230</v>
      </c>
    </row>
    <row r="26" spans="1:16">
      <c r="A26" s="1">
        <v>23</v>
      </c>
      <c r="B26" s="1" t="s">
        <v>802</v>
      </c>
      <c r="C26" s="5">
        <v>46176</v>
      </c>
      <c r="D26" s="1" t="s">
        <v>73</v>
      </c>
      <c r="E26" s="6" t="s">
        <v>57</v>
      </c>
      <c r="F26" s="6" t="s">
        <v>746</v>
      </c>
      <c r="G26" s="1" t="s">
        <v>58</v>
      </c>
      <c r="H26" s="1" t="s">
        <v>21</v>
      </c>
      <c r="I26" s="1" t="s">
        <v>68</v>
      </c>
      <c r="J26" s="1" t="s">
        <v>104</v>
      </c>
      <c r="K26" s="1" t="s">
        <v>54</v>
      </c>
      <c r="L26" s="1">
        <v>3</v>
      </c>
      <c r="M26" s="1">
        <v>0</v>
      </c>
      <c r="N26" s="1">
        <v>5</v>
      </c>
      <c r="O26" s="1">
        <v>8</v>
      </c>
      <c r="P26" s="1" t="s">
        <v>224</v>
      </c>
    </row>
    <row r="27" spans="1:16">
      <c r="A27" s="1">
        <v>24</v>
      </c>
      <c r="B27" s="1" t="s">
        <v>803</v>
      </c>
      <c r="C27" s="5">
        <v>46178</v>
      </c>
      <c r="D27" s="1" t="s">
        <v>73</v>
      </c>
      <c r="E27" s="6" t="s">
        <v>20</v>
      </c>
      <c r="F27" s="6" t="s">
        <v>723</v>
      </c>
      <c r="G27" s="1" t="s">
        <v>5</v>
      </c>
      <c r="H27" s="1" t="s">
        <v>14</v>
      </c>
      <c r="I27" s="1" t="s">
        <v>41</v>
      </c>
      <c r="J27" s="1" t="s">
        <v>36</v>
      </c>
      <c r="K27" s="1" t="s">
        <v>49</v>
      </c>
      <c r="L27" s="1">
        <v>3</v>
      </c>
      <c r="M27" s="1">
        <v>1</v>
      </c>
      <c r="N27" s="1">
        <v>5</v>
      </c>
      <c r="O27" s="1">
        <v>2</v>
      </c>
      <c r="P27" s="1" t="s">
        <v>220</v>
      </c>
    </row>
    <row r="28" spans="1:16">
      <c r="A28" s="1">
        <v>25</v>
      </c>
      <c r="B28" s="1" t="s">
        <v>804</v>
      </c>
      <c r="C28" s="5">
        <v>46178</v>
      </c>
      <c r="D28" s="1" t="s">
        <v>73</v>
      </c>
      <c r="E28" s="6" t="s">
        <v>45</v>
      </c>
      <c r="F28" s="6" t="s">
        <v>719</v>
      </c>
      <c r="G28" s="1" t="s">
        <v>65</v>
      </c>
      <c r="H28" s="1" t="s">
        <v>6</v>
      </c>
      <c r="I28" s="1" t="s">
        <v>93</v>
      </c>
      <c r="J28" s="1" t="s">
        <v>41</v>
      </c>
      <c r="K28" s="1" t="s">
        <v>61</v>
      </c>
      <c r="L28" s="1">
        <v>5</v>
      </c>
      <c r="M28" s="1">
        <v>5</v>
      </c>
      <c r="N28" s="1">
        <v>8</v>
      </c>
      <c r="O28" s="1">
        <v>7</v>
      </c>
      <c r="P28" s="1" t="s">
        <v>220</v>
      </c>
    </row>
    <row r="29" spans="1:16">
      <c r="A29" s="1">
        <v>26</v>
      </c>
      <c r="B29" s="1" t="s">
        <v>805</v>
      </c>
      <c r="C29" s="5">
        <v>46174</v>
      </c>
      <c r="D29" s="1" t="s">
        <v>73</v>
      </c>
      <c r="E29" s="6" t="s">
        <v>12</v>
      </c>
      <c r="F29" s="6" t="s">
        <v>719</v>
      </c>
      <c r="G29" s="1" t="s">
        <v>89</v>
      </c>
      <c r="H29" s="1" t="s">
        <v>77</v>
      </c>
      <c r="I29" s="1" t="s">
        <v>68</v>
      </c>
      <c r="J29" s="1" t="s">
        <v>7</v>
      </c>
      <c r="K29" s="1" t="s">
        <v>64</v>
      </c>
      <c r="L29" s="1">
        <v>8</v>
      </c>
      <c r="M29" s="1">
        <v>6</v>
      </c>
      <c r="N29" s="1">
        <v>4</v>
      </c>
      <c r="O29" s="1">
        <v>5</v>
      </c>
      <c r="P29" s="1" t="s">
        <v>230</v>
      </c>
    </row>
    <row r="30" spans="1:16">
      <c r="A30" s="1">
        <v>27</v>
      </c>
      <c r="B30" s="1" t="s">
        <v>806</v>
      </c>
      <c r="C30" s="5">
        <v>46177</v>
      </c>
      <c r="D30" s="1" t="s">
        <v>73</v>
      </c>
      <c r="E30" s="6" t="s">
        <v>30</v>
      </c>
      <c r="F30" s="6" t="s">
        <v>729</v>
      </c>
      <c r="G30" s="1" t="s">
        <v>27</v>
      </c>
      <c r="H30" s="1" t="s">
        <v>80</v>
      </c>
      <c r="I30" s="1" t="s">
        <v>68</v>
      </c>
      <c r="J30" s="1" t="s">
        <v>28</v>
      </c>
      <c r="K30" s="1" t="s">
        <v>16</v>
      </c>
      <c r="L30" s="1">
        <v>2</v>
      </c>
      <c r="M30" s="1">
        <v>7</v>
      </c>
      <c r="N30" s="1">
        <v>0</v>
      </c>
      <c r="O30" s="1">
        <v>5</v>
      </c>
      <c r="P30" s="1" t="s">
        <v>220</v>
      </c>
    </row>
    <row r="31" spans="1:16">
      <c r="A31" s="1">
        <v>28</v>
      </c>
      <c r="B31" s="1" t="s">
        <v>807</v>
      </c>
      <c r="C31" s="5">
        <v>46185</v>
      </c>
      <c r="D31" s="1" t="s">
        <v>73</v>
      </c>
      <c r="E31" s="6" t="s">
        <v>54</v>
      </c>
      <c r="F31" s="6" t="s">
        <v>729</v>
      </c>
      <c r="G31" s="1" t="s">
        <v>89</v>
      </c>
      <c r="H31" s="1" t="s">
        <v>51</v>
      </c>
      <c r="I31" s="1" t="s">
        <v>15</v>
      </c>
      <c r="J31" s="1" t="s">
        <v>36</v>
      </c>
      <c r="K31" s="1" t="s">
        <v>91</v>
      </c>
      <c r="L31" s="1">
        <v>7</v>
      </c>
      <c r="M31" s="1">
        <v>8</v>
      </c>
      <c r="N31" s="1">
        <v>2</v>
      </c>
      <c r="O31" s="1">
        <v>2</v>
      </c>
      <c r="P31" s="1" t="s">
        <v>230</v>
      </c>
    </row>
    <row r="32" spans="1:16">
      <c r="A32" s="1">
        <v>29</v>
      </c>
      <c r="B32" s="1" t="s">
        <v>808</v>
      </c>
      <c r="C32" s="5">
        <v>46209</v>
      </c>
      <c r="D32" s="1" t="s">
        <v>76</v>
      </c>
      <c r="E32" s="6" t="s">
        <v>49</v>
      </c>
      <c r="F32" s="6" t="s">
        <v>721</v>
      </c>
      <c r="G32" s="1" t="s">
        <v>5</v>
      </c>
      <c r="H32" s="1" t="s">
        <v>21</v>
      </c>
      <c r="I32" s="1" t="s">
        <v>15</v>
      </c>
      <c r="J32" s="1" t="s">
        <v>7</v>
      </c>
      <c r="K32" s="1" t="s">
        <v>38</v>
      </c>
      <c r="L32" s="1">
        <v>3</v>
      </c>
      <c r="M32" s="1">
        <v>7</v>
      </c>
      <c r="N32" s="1">
        <v>0</v>
      </c>
      <c r="O32" s="1">
        <v>1</v>
      </c>
      <c r="P32" s="1" t="s">
        <v>220</v>
      </c>
    </row>
    <row r="33" spans="1:16">
      <c r="A33" s="1">
        <v>30</v>
      </c>
      <c r="B33" s="1" t="s">
        <v>809</v>
      </c>
      <c r="C33" s="5">
        <v>46215</v>
      </c>
      <c r="D33" s="1" t="s">
        <v>76</v>
      </c>
      <c r="E33" s="6" t="s">
        <v>26</v>
      </c>
      <c r="F33" s="6" t="s">
        <v>717</v>
      </c>
      <c r="G33" s="1" t="s">
        <v>58</v>
      </c>
      <c r="H33" s="1" t="s">
        <v>51</v>
      </c>
      <c r="I33" s="1" t="s">
        <v>36</v>
      </c>
      <c r="J33" s="1" t="s">
        <v>7</v>
      </c>
      <c r="K33" s="1" t="s">
        <v>54</v>
      </c>
      <c r="L33" s="1">
        <v>6</v>
      </c>
      <c r="M33" s="1">
        <v>0</v>
      </c>
      <c r="N33" s="1">
        <v>4</v>
      </c>
      <c r="O33" s="1">
        <v>0</v>
      </c>
      <c r="P33" s="1" t="s">
        <v>230</v>
      </c>
    </row>
    <row r="34" spans="1:16">
      <c r="A34" s="1">
        <v>31</v>
      </c>
      <c r="B34" s="1" t="s">
        <v>810</v>
      </c>
      <c r="C34" s="5">
        <v>46208</v>
      </c>
      <c r="D34" s="1" t="s">
        <v>76</v>
      </c>
      <c r="E34" s="6" t="s">
        <v>38</v>
      </c>
      <c r="F34" s="6" t="s">
        <v>719</v>
      </c>
      <c r="G34" s="1" t="s">
        <v>46</v>
      </c>
      <c r="H34" s="1" t="s">
        <v>95</v>
      </c>
      <c r="I34" s="1" t="s">
        <v>68</v>
      </c>
      <c r="J34" s="1" t="s">
        <v>28</v>
      </c>
      <c r="K34" s="1" t="s">
        <v>26</v>
      </c>
      <c r="L34" s="1">
        <v>4</v>
      </c>
      <c r="M34" s="1">
        <v>5</v>
      </c>
      <c r="N34" s="1">
        <v>0</v>
      </c>
      <c r="O34" s="1">
        <v>4</v>
      </c>
      <c r="P34" s="1" t="s">
        <v>230</v>
      </c>
    </row>
    <row r="35" spans="1:16">
      <c r="A35" s="1">
        <v>32</v>
      </c>
      <c r="B35" s="1" t="s">
        <v>811</v>
      </c>
      <c r="C35" s="5">
        <v>46241</v>
      </c>
      <c r="D35" s="1" t="s">
        <v>86</v>
      </c>
      <c r="E35" s="6" t="s">
        <v>45</v>
      </c>
      <c r="F35" s="6" t="s">
        <v>746</v>
      </c>
      <c r="G35" s="1" t="s">
        <v>50</v>
      </c>
      <c r="H35" s="1" t="s">
        <v>31</v>
      </c>
      <c r="I35" s="1" t="s">
        <v>93</v>
      </c>
      <c r="J35" s="1" t="s">
        <v>32</v>
      </c>
      <c r="K35" s="1" t="s">
        <v>49</v>
      </c>
      <c r="L35" s="1">
        <v>8</v>
      </c>
      <c r="M35" s="1">
        <v>1</v>
      </c>
      <c r="N35" s="1">
        <v>7</v>
      </c>
      <c r="O35" s="1">
        <v>3</v>
      </c>
      <c r="P35" s="1" t="s">
        <v>220</v>
      </c>
    </row>
    <row r="36" spans="1:16">
      <c r="A36" s="1">
        <v>33</v>
      </c>
      <c r="B36" s="1" t="s">
        <v>812</v>
      </c>
      <c r="C36" s="5">
        <v>46243</v>
      </c>
      <c r="D36" s="1" t="s">
        <v>86</v>
      </c>
      <c r="E36" s="6" t="s">
        <v>49</v>
      </c>
      <c r="F36" s="6" t="s">
        <v>721</v>
      </c>
      <c r="G36" s="1" t="s">
        <v>27</v>
      </c>
      <c r="H36" s="1" t="s">
        <v>6</v>
      </c>
      <c r="I36" s="1" t="s">
        <v>36</v>
      </c>
      <c r="J36" s="1" t="s">
        <v>104</v>
      </c>
      <c r="K36" s="1" t="s">
        <v>20</v>
      </c>
      <c r="L36" s="1">
        <v>5</v>
      </c>
      <c r="M36" s="1">
        <v>2</v>
      </c>
      <c r="N36" s="1">
        <v>2</v>
      </c>
      <c r="O36" s="1">
        <v>5</v>
      </c>
      <c r="P36" s="1" t="s">
        <v>230</v>
      </c>
    </row>
    <row r="37" spans="1:16">
      <c r="A37" s="1">
        <v>34</v>
      </c>
      <c r="B37" s="1" t="s">
        <v>813</v>
      </c>
      <c r="C37" s="5">
        <v>46281</v>
      </c>
      <c r="D37" s="1" t="s">
        <v>102</v>
      </c>
      <c r="E37" s="6" t="s">
        <v>4</v>
      </c>
      <c r="F37" s="6" t="s">
        <v>746</v>
      </c>
      <c r="G37" s="1" t="s">
        <v>58</v>
      </c>
      <c r="H37" s="1" t="s">
        <v>40</v>
      </c>
      <c r="I37" s="1" t="s">
        <v>22</v>
      </c>
      <c r="J37" s="1" t="s">
        <v>28</v>
      </c>
      <c r="K37" s="1" t="s">
        <v>4</v>
      </c>
      <c r="L37" s="1">
        <v>1</v>
      </c>
      <c r="M37" s="1">
        <v>0</v>
      </c>
      <c r="N37" s="1">
        <v>6</v>
      </c>
      <c r="O37" s="1">
        <v>4</v>
      </c>
      <c r="P37" s="1" t="s">
        <v>230</v>
      </c>
    </row>
    <row r="38" spans="1:16">
      <c r="A38" s="1">
        <v>35</v>
      </c>
      <c r="B38" s="1" t="s">
        <v>814</v>
      </c>
      <c r="C38" s="5">
        <v>46272</v>
      </c>
      <c r="D38" s="1" t="s">
        <v>102</v>
      </c>
      <c r="E38" s="6" t="s">
        <v>26</v>
      </c>
      <c r="F38" s="6" t="s">
        <v>721</v>
      </c>
      <c r="G38" s="1" t="s">
        <v>39</v>
      </c>
      <c r="H38" s="1" t="s">
        <v>31</v>
      </c>
      <c r="I38" s="1" t="s">
        <v>32</v>
      </c>
      <c r="J38" s="1" t="s">
        <v>70</v>
      </c>
      <c r="K38" s="1" t="s">
        <v>61</v>
      </c>
      <c r="L38" s="1">
        <v>7</v>
      </c>
      <c r="M38" s="1">
        <v>5</v>
      </c>
      <c r="N38" s="1">
        <v>5</v>
      </c>
      <c r="O38" s="1">
        <v>2</v>
      </c>
      <c r="P38" s="1" t="s">
        <v>224</v>
      </c>
    </row>
    <row r="39" spans="1:16">
      <c r="A39" s="1">
        <v>36</v>
      </c>
      <c r="B39" s="1" t="s">
        <v>815</v>
      </c>
      <c r="C39" s="5">
        <v>46309</v>
      </c>
      <c r="D39" s="1" t="s">
        <v>106</v>
      </c>
      <c r="E39" s="6" t="s">
        <v>49</v>
      </c>
      <c r="F39" s="6" t="s">
        <v>717</v>
      </c>
      <c r="G39" s="1" t="s">
        <v>58</v>
      </c>
      <c r="H39" s="1" t="s">
        <v>40</v>
      </c>
      <c r="I39" s="1" t="s">
        <v>68</v>
      </c>
      <c r="J39" s="1" t="s">
        <v>15</v>
      </c>
      <c r="K39" s="1" t="s">
        <v>4</v>
      </c>
      <c r="L39" s="1">
        <v>5</v>
      </c>
      <c r="M39" s="1">
        <v>1</v>
      </c>
      <c r="N39" s="1">
        <v>8</v>
      </c>
      <c r="O39" s="1">
        <v>6</v>
      </c>
      <c r="P39" s="1" t="s">
        <v>220</v>
      </c>
    </row>
    <row r="40" spans="1:16">
      <c r="A40" s="1">
        <v>37</v>
      </c>
      <c r="B40" s="1" t="s">
        <v>816</v>
      </c>
      <c r="C40" s="5">
        <v>46297</v>
      </c>
      <c r="D40" s="1" t="s">
        <v>106</v>
      </c>
      <c r="E40" s="6" t="s">
        <v>38</v>
      </c>
      <c r="F40" s="6" t="s">
        <v>721</v>
      </c>
      <c r="G40" s="1" t="s">
        <v>89</v>
      </c>
      <c r="H40" s="1" t="s">
        <v>87</v>
      </c>
      <c r="I40" s="1" t="s">
        <v>62</v>
      </c>
      <c r="J40" s="1" t="s">
        <v>104</v>
      </c>
      <c r="K40" s="1" t="s">
        <v>49</v>
      </c>
      <c r="L40" s="1">
        <v>4</v>
      </c>
      <c r="M40" s="1">
        <v>5</v>
      </c>
      <c r="N40" s="1">
        <v>7</v>
      </c>
      <c r="O40" s="1">
        <v>5</v>
      </c>
      <c r="P40" s="1" t="s">
        <v>220</v>
      </c>
    </row>
    <row r="41" spans="1:16">
      <c r="A41" s="1">
        <v>38</v>
      </c>
      <c r="B41" s="1" t="s">
        <v>817</v>
      </c>
      <c r="C41" s="5">
        <v>46302</v>
      </c>
      <c r="D41" s="1" t="s">
        <v>106</v>
      </c>
      <c r="E41" s="6" t="s">
        <v>49</v>
      </c>
      <c r="F41" s="6" t="s">
        <v>729</v>
      </c>
      <c r="G41" s="1" t="s">
        <v>13</v>
      </c>
      <c r="H41" s="1" t="s">
        <v>77</v>
      </c>
      <c r="I41" s="1" t="s">
        <v>7</v>
      </c>
      <c r="J41" s="1" t="s">
        <v>104</v>
      </c>
      <c r="K41" s="1" t="s">
        <v>57</v>
      </c>
      <c r="L41" s="1">
        <v>7</v>
      </c>
      <c r="M41" s="1">
        <v>1</v>
      </c>
      <c r="N41" s="1">
        <v>2</v>
      </c>
      <c r="O41" s="1">
        <v>2</v>
      </c>
      <c r="P41" s="1" t="s">
        <v>224</v>
      </c>
    </row>
    <row r="42" spans="1:16">
      <c r="A42" s="1">
        <v>39</v>
      </c>
      <c r="B42" s="1" t="s">
        <v>818</v>
      </c>
      <c r="C42" s="5">
        <v>46297</v>
      </c>
      <c r="D42" s="1" t="s">
        <v>106</v>
      </c>
      <c r="E42" s="6" t="s">
        <v>30</v>
      </c>
      <c r="F42" s="6" t="s">
        <v>717</v>
      </c>
      <c r="G42" s="1" t="s">
        <v>50</v>
      </c>
      <c r="H42" s="1" t="s">
        <v>77</v>
      </c>
      <c r="I42" s="1" t="s">
        <v>22</v>
      </c>
      <c r="J42" s="1" t="s">
        <v>28</v>
      </c>
      <c r="K42" s="1" t="s">
        <v>61</v>
      </c>
      <c r="L42" s="1">
        <v>5</v>
      </c>
      <c r="M42" s="1">
        <v>5</v>
      </c>
      <c r="N42" s="1">
        <v>3</v>
      </c>
      <c r="O42" s="1">
        <v>2</v>
      </c>
      <c r="P42" s="1" t="s">
        <v>220</v>
      </c>
    </row>
    <row r="43" spans="1:16">
      <c r="A43" s="1">
        <v>40</v>
      </c>
      <c r="B43" s="1" t="s">
        <v>819</v>
      </c>
      <c r="C43" s="5">
        <v>46304</v>
      </c>
      <c r="D43" s="1" t="s">
        <v>106</v>
      </c>
      <c r="E43" s="6" t="s">
        <v>54</v>
      </c>
      <c r="F43" s="6" t="s">
        <v>723</v>
      </c>
      <c r="G43" s="1" t="s">
        <v>92</v>
      </c>
      <c r="H43" s="1" t="s">
        <v>40</v>
      </c>
      <c r="I43" s="1" t="s">
        <v>66</v>
      </c>
      <c r="J43" s="1" t="s">
        <v>15</v>
      </c>
      <c r="K43" s="1" t="s">
        <v>12</v>
      </c>
      <c r="L43" s="1">
        <v>0</v>
      </c>
      <c r="M43" s="1">
        <v>6</v>
      </c>
      <c r="N43" s="1">
        <v>5</v>
      </c>
      <c r="O43" s="1">
        <v>1</v>
      </c>
      <c r="P43" s="1" t="s">
        <v>224</v>
      </c>
    </row>
    <row r="44" spans="1:16">
      <c r="A44" s="1">
        <v>41</v>
      </c>
      <c r="B44" s="1" t="s">
        <v>820</v>
      </c>
      <c r="C44" s="5">
        <v>46332</v>
      </c>
      <c r="D44" s="1" t="s">
        <v>111</v>
      </c>
      <c r="E44" s="6" t="s">
        <v>12</v>
      </c>
      <c r="F44" s="6" t="s">
        <v>721</v>
      </c>
      <c r="G44" s="1" t="s">
        <v>89</v>
      </c>
      <c r="H44" s="1" t="s">
        <v>40</v>
      </c>
      <c r="I44" s="1" t="s">
        <v>28</v>
      </c>
      <c r="J44" s="1" t="s">
        <v>28</v>
      </c>
      <c r="K44" s="1" t="s">
        <v>26</v>
      </c>
      <c r="L44" s="1">
        <v>6</v>
      </c>
      <c r="M44" s="1">
        <v>3</v>
      </c>
      <c r="N44" s="1">
        <v>3</v>
      </c>
      <c r="O44" s="1">
        <v>6</v>
      </c>
      <c r="P44" s="1" t="s">
        <v>220</v>
      </c>
    </row>
    <row r="45" spans="1:16">
      <c r="A45" s="1">
        <v>42</v>
      </c>
      <c r="B45" s="1" t="s">
        <v>821</v>
      </c>
      <c r="C45" s="5">
        <v>46353</v>
      </c>
      <c r="D45" s="1" t="s">
        <v>111</v>
      </c>
      <c r="E45" s="6" t="s">
        <v>12</v>
      </c>
      <c r="F45" s="6" t="s">
        <v>723</v>
      </c>
      <c r="G45" s="1" t="s">
        <v>13</v>
      </c>
      <c r="H45" s="1" t="s">
        <v>31</v>
      </c>
      <c r="I45" s="1" t="s">
        <v>7</v>
      </c>
      <c r="J45" s="1" t="s">
        <v>93</v>
      </c>
      <c r="K45" s="1" t="s">
        <v>16</v>
      </c>
      <c r="L45" s="1">
        <v>4</v>
      </c>
      <c r="M45" s="1">
        <v>5</v>
      </c>
      <c r="N45" s="1">
        <v>0</v>
      </c>
      <c r="O45" s="1">
        <v>3</v>
      </c>
      <c r="P45" s="1" t="s">
        <v>230</v>
      </c>
    </row>
    <row r="46" spans="1:16">
      <c r="A46" s="1">
        <v>43</v>
      </c>
      <c r="B46" s="1" t="s">
        <v>822</v>
      </c>
      <c r="C46" s="5">
        <v>46338</v>
      </c>
      <c r="D46" s="1" t="s">
        <v>111</v>
      </c>
      <c r="E46" s="6" t="s">
        <v>20</v>
      </c>
      <c r="F46" s="6" t="s">
        <v>719</v>
      </c>
      <c r="G46" s="1" t="s">
        <v>5</v>
      </c>
      <c r="H46" s="1" t="s">
        <v>40</v>
      </c>
      <c r="I46" s="1" t="s">
        <v>36</v>
      </c>
      <c r="J46" s="1" t="s">
        <v>78</v>
      </c>
      <c r="K46" s="1" t="s">
        <v>91</v>
      </c>
      <c r="L46" s="1">
        <v>5</v>
      </c>
      <c r="M46" s="1">
        <v>3</v>
      </c>
      <c r="N46" s="1">
        <v>3</v>
      </c>
      <c r="O46" s="1">
        <v>1</v>
      </c>
      <c r="P46" s="1" t="s">
        <v>230</v>
      </c>
    </row>
    <row r="47" spans="1:16">
      <c r="A47" s="1">
        <v>44</v>
      </c>
      <c r="B47" s="1" t="s">
        <v>823</v>
      </c>
      <c r="C47" s="5">
        <v>46335</v>
      </c>
      <c r="D47" s="1" t="s">
        <v>111</v>
      </c>
      <c r="E47" s="6" t="s">
        <v>49</v>
      </c>
      <c r="F47" s="6" t="s">
        <v>729</v>
      </c>
      <c r="G47" s="1" t="s">
        <v>13</v>
      </c>
      <c r="H47" s="1" t="s">
        <v>6</v>
      </c>
      <c r="I47" s="1" t="s">
        <v>78</v>
      </c>
      <c r="J47" s="1" t="s">
        <v>78</v>
      </c>
      <c r="K47" s="1" t="s">
        <v>4</v>
      </c>
      <c r="L47" s="1">
        <v>8</v>
      </c>
      <c r="M47" s="1">
        <v>5</v>
      </c>
      <c r="N47" s="1">
        <v>1</v>
      </c>
      <c r="O47" s="1">
        <v>3</v>
      </c>
      <c r="P47" s="1" t="s">
        <v>230</v>
      </c>
    </row>
    <row r="48" spans="1:16">
      <c r="A48" s="1">
        <v>45</v>
      </c>
      <c r="B48" s="1" t="s">
        <v>824</v>
      </c>
      <c r="C48" s="5">
        <v>46370</v>
      </c>
      <c r="D48" s="1" t="s">
        <v>122</v>
      </c>
      <c r="E48" s="6" t="s">
        <v>4</v>
      </c>
      <c r="F48" s="6" t="s">
        <v>721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220</v>
      </c>
    </row>
    <row r="49" spans="1:16">
      <c r="A49" s="1">
        <v>46</v>
      </c>
      <c r="B49" s="1" t="s">
        <v>825</v>
      </c>
      <c r="C49" s="5">
        <v>46372</v>
      </c>
      <c r="D49" s="1" t="s">
        <v>122</v>
      </c>
      <c r="E49" s="6" t="s">
        <v>12</v>
      </c>
      <c r="F49" s="6" t="s">
        <v>729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220</v>
      </c>
    </row>
    <row r="50" spans="1:16">
      <c r="A50" s="1">
        <v>47</v>
      </c>
      <c r="B50" s="1" t="s">
        <v>826</v>
      </c>
      <c r="C50" s="5">
        <v>46374</v>
      </c>
      <c r="D50" s="1" t="s">
        <v>122</v>
      </c>
      <c r="E50" s="6" t="s">
        <v>4</v>
      </c>
      <c r="F50" s="6" t="s">
        <v>719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224</v>
      </c>
    </row>
    <row r="51" spans="1:16">
      <c r="A51" s="1">
        <v>48</v>
      </c>
      <c r="B51" s="1" t="s">
        <v>827</v>
      </c>
      <c r="C51" s="5">
        <v>46378</v>
      </c>
      <c r="D51" s="1" t="s">
        <v>122</v>
      </c>
      <c r="E51" s="6" t="s">
        <v>64</v>
      </c>
      <c r="F51" s="6" t="s">
        <v>729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220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828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881</v>
      </c>
      <c r="C3" s="1" t="s">
        <v>126</v>
      </c>
      <c r="D3" s="1" t="s">
        <v>127</v>
      </c>
      <c r="E3" s="1" t="s">
        <v>882</v>
      </c>
      <c r="F3" s="1" t="s">
        <v>129</v>
      </c>
      <c r="G3" s="1" t="s">
        <v>130</v>
      </c>
      <c r="H3" s="1" t="s">
        <v>883</v>
      </c>
      <c r="I3" s="1" t="s">
        <v>135</v>
      </c>
      <c r="J3" s="1" t="s">
        <v>884</v>
      </c>
      <c r="K3" s="1" t="s">
        <v>885</v>
      </c>
      <c r="L3" s="1" t="s">
        <v>573</v>
      </c>
      <c r="M3" s="2" t="s">
        <v>574</v>
      </c>
      <c r="N3" s="1" t="s">
        <v>286</v>
      </c>
    </row>
    <row r="4" spans="1:16">
      <c r="A4" s="1">
        <v>1</v>
      </c>
      <c r="B4" s="1" t="s">
        <v>829</v>
      </c>
      <c r="C4" s="5">
        <v>46027</v>
      </c>
      <c r="D4" s="1" t="s">
        <v>3</v>
      </c>
      <c r="E4" s="6" t="s">
        <v>830</v>
      </c>
      <c r="F4" s="6" t="s">
        <v>13</v>
      </c>
      <c r="G4" s="1" t="s">
        <v>40</v>
      </c>
      <c r="H4" s="1" t="s">
        <v>70</v>
      </c>
      <c r="I4" s="1">
        <v>74</v>
      </c>
      <c r="J4" s="1">
        <v>3</v>
      </c>
      <c r="K4" s="1">
        <v>2</v>
      </c>
      <c r="L4" s="1">
        <v>2</v>
      </c>
      <c r="M4" s="2">
        <f>IFERROR(L4/K4*100,0)</f>
        <v>0</v>
      </c>
      <c r="N4" s="1" t="s">
        <v>220</v>
      </c>
    </row>
    <row r="5" spans="1:16">
      <c r="A5" s="1">
        <v>2</v>
      </c>
      <c r="B5" s="1" t="s">
        <v>831</v>
      </c>
      <c r="C5" s="5">
        <v>46046</v>
      </c>
      <c r="D5" s="1" t="s">
        <v>3</v>
      </c>
      <c r="E5" s="6" t="s">
        <v>832</v>
      </c>
      <c r="F5" s="6" t="s">
        <v>65</v>
      </c>
      <c r="G5" s="1" t="s">
        <v>82</v>
      </c>
      <c r="H5" s="1" t="s">
        <v>104</v>
      </c>
      <c r="I5" s="1">
        <v>73</v>
      </c>
      <c r="J5" s="1">
        <v>0</v>
      </c>
      <c r="K5" s="1">
        <v>6</v>
      </c>
      <c r="L5" s="1">
        <v>6</v>
      </c>
      <c r="M5" s="2">
        <f>IFERROR(L5/K5*100,0)</f>
        <v>0</v>
      </c>
      <c r="N5" s="1" t="s">
        <v>220</v>
      </c>
    </row>
    <row r="6" spans="1:16">
      <c r="A6" s="1">
        <v>3</v>
      </c>
      <c r="B6" s="1" t="s">
        <v>833</v>
      </c>
      <c r="C6" s="5">
        <v>46032</v>
      </c>
      <c r="D6" s="1" t="s">
        <v>3</v>
      </c>
      <c r="E6" s="6" t="s">
        <v>834</v>
      </c>
      <c r="F6" s="6" t="s">
        <v>27</v>
      </c>
      <c r="G6" s="1" t="s">
        <v>40</v>
      </c>
      <c r="H6" s="1" t="s">
        <v>93</v>
      </c>
      <c r="I6" s="1">
        <v>69</v>
      </c>
      <c r="J6" s="1">
        <v>7</v>
      </c>
      <c r="K6" s="1">
        <v>8</v>
      </c>
      <c r="L6" s="1">
        <v>4</v>
      </c>
      <c r="M6" s="2">
        <f>IFERROR(L6/K6*100,0)</f>
        <v>0</v>
      </c>
      <c r="N6" s="1" t="s">
        <v>660</v>
      </c>
    </row>
    <row r="7" spans="1:16">
      <c r="A7" s="1">
        <v>4</v>
      </c>
      <c r="B7" s="1" t="s">
        <v>835</v>
      </c>
      <c r="C7" s="5">
        <v>46046</v>
      </c>
      <c r="D7" s="1" t="s">
        <v>3</v>
      </c>
      <c r="E7" s="6" t="s">
        <v>834</v>
      </c>
      <c r="F7" s="6" t="s">
        <v>65</v>
      </c>
      <c r="G7" s="1" t="s">
        <v>82</v>
      </c>
      <c r="H7" s="1" t="s">
        <v>68</v>
      </c>
      <c r="I7" s="1">
        <v>24</v>
      </c>
      <c r="J7" s="1">
        <v>2</v>
      </c>
      <c r="K7" s="1">
        <v>5</v>
      </c>
      <c r="L7" s="1">
        <v>7</v>
      </c>
      <c r="M7" s="2">
        <f>IFERROR(L7/K7*100,0)</f>
        <v>0</v>
      </c>
      <c r="N7" s="1" t="s">
        <v>220</v>
      </c>
    </row>
    <row r="8" spans="1:16">
      <c r="A8" s="1">
        <v>5</v>
      </c>
      <c r="B8" s="1" t="s">
        <v>836</v>
      </c>
      <c r="C8" s="5">
        <v>46023</v>
      </c>
      <c r="D8" s="1" t="s">
        <v>3</v>
      </c>
      <c r="E8" s="6" t="s">
        <v>830</v>
      </c>
      <c r="F8" s="6" t="s">
        <v>5</v>
      </c>
      <c r="G8" s="1" t="s">
        <v>6</v>
      </c>
      <c r="H8" s="1" t="s">
        <v>66</v>
      </c>
      <c r="I8" s="1">
        <v>19</v>
      </c>
      <c r="J8" s="1">
        <v>5</v>
      </c>
      <c r="K8" s="1">
        <v>5</v>
      </c>
      <c r="L8" s="1">
        <v>1</v>
      </c>
      <c r="M8" s="2">
        <f>IFERROR(L8/K8*100,0)</f>
        <v>0</v>
      </c>
      <c r="N8" s="1" t="s">
        <v>220</v>
      </c>
    </row>
    <row r="9" spans="1:16">
      <c r="A9" s="1">
        <v>6</v>
      </c>
      <c r="B9" s="1" t="s">
        <v>837</v>
      </c>
      <c r="C9" s="5">
        <v>46054</v>
      </c>
      <c r="D9" s="1" t="s">
        <v>19</v>
      </c>
      <c r="E9" s="6" t="s">
        <v>834</v>
      </c>
      <c r="F9" s="6" t="s">
        <v>65</v>
      </c>
      <c r="G9" s="1" t="s">
        <v>77</v>
      </c>
      <c r="H9" s="1" t="s">
        <v>36</v>
      </c>
      <c r="I9" s="1">
        <v>99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220</v>
      </c>
    </row>
    <row r="10" spans="1:16">
      <c r="A10" s="1">
        <v>7</v>
      </c>
      <c r="B10" s="1" t="s">
        <v>838</v>
      </c>
      <c r="C10" s="5">
        <v>46060</v>
      </c>
      <c r="D10" s="1" t="s">
        <v>19</v>
      </c>
      <c r="E10" s="6" t="s">
        <v>834</v>
      </c>
      <c r="F10" s="6" t="s">
        <v>50</v>
      </c>
      <c r="G10" s="1" t="s">
        <v>35</v>
      </c>
      <c r="H10" s="1" t="s">
        <v>15</v>
      </c>
      <c r="I10" s="1">
        <v>114</v>
      </c>
      <c r="J10" s="1">
        <v>0</v>
      </c>
      <c r="K10" s="1">
        <v>2</v>
      </c>
      <c r="L10" s="1">
        <v>6</v>
      </c>
      <c r="M10" s="2">
        <f>IFERROR(L10/K10*100,0)</f>
        <v>0</v>
      </c>
      <c r="N10" s="1" t="s">
        <v>660</v>
      </c>
    </row>
    <row r="11" spans="1:16">
      <c r="A11" s="1">
        <v>8</v>
      </c>
      <c r="B11" s="1" t="s">
        <v>839</v>
      </c>
      <c r="C11" s="5">
        <v>46081</v>
      </c>
      <c r="D11" s="1" t="s">
        <v>19</v>
      </c>
      <c r="E11" s="6" t="s">
        <v>832</v>
      </c>
      <c r="F11" s="6" t="s">
        <v>92</v>
      </c>
      <c r="G11" s="1" t="s">
        <v>82</v>
      </c>
      <c r="H11" s="1" t="s">
        <v>41</v>
      </c>
      <c r="I11" s="1">
        <v>66</v>
      </c>
      <c r="J11" s="1">
        <v>4</v>
      </c>
      <c r="K11" s="1">
        <v>3</v>
      </c>
      <c r="L11" s="1">
        <v>2</v>
      </c>
      <c r="M11" s="2">
        <f>IFERROR(L11/K11*100,0)</f>
        <v>0</v>
      </c>
      <c r="N11" s="1" t="s">
        <v>660</v>
      </c>
    </row>
    <row r="12" spans="1:16">
      <c r="A12" s="1">
        <v>9</v>
      </c>
      <c r="B12" s="1" t="s">
        <v>840</v>
      </c>
      <c r="C12" s="5">
        <v>46072</v>
      </c>
      <c r="D12" s="1" t="s">
        <v>19</v>
      </c>
      <c r="E12" s="6" t="s">
        <v>832</v>
      </c>
      <c r="F12" s="6" t="s">
        <v>58</v>
      </c>
      <c r="G12" s="1" t="s">
        <v>14</v>
      </c>
      <c r="H12" s="1" t="s">
        <v>7</v>
      </c>
      <c r="I12" s="1">
        <v>68</v>
      </c>
      <c r="J12" s="1">
        <v>0</v>
      </c>
      <c r="K12" s="1">
        <v>7</v>
      </c>
      <c r="L12" s="1">
        <v>1</v>
      </c>
      <c r="M12" s="2">
        <f>IFERROR(L12/K12*100,0)</f>
        <v>0</v>
      </c>
      <c r="N12" s="1" t="s">
        <v>220</v>
      </c>
    </row>
    <row r="13" spans="1:16">
      <c r="A13" s="1">
        <v>10</v>
      </c>
      <c r="B13" s="1" t="s">
        <v>841</v>
      </c>
      <c r="C13" s="5">
        <v>46062</v>
      </c>
      <c r="D13" s="1" t="s">
        <v>19</v>
      </c>
      <c r="E13" s="6" t="s">
        <v>834</v>
      </c>
      <c r="F13" s="6" t="s">
        <v>92</v>
      </c>
      <c r="G13" s="1" t="s">
        <v>6</v>
      </c>
      <c r="H13" s="1" t="s">
        <v>70</v>
      </c>
      <c r="I13" s="1">
        <v>28</v>
      </c>
      <c r="J13" s="1">
        <v>4</v>
      </c>
      <c r="K13" s="1">
        <v>6</v>
      </c>
      <c r="L13" s="1">
        <v>2</v>
      </c>
      <c r="M13" s="2">
        <f>IFERROR(L13/K13*100,0)</f>
        <v>0</v>
      </c>
      <c r="N13" s="1" t="s">
        <v>220</v>
      </c>
    </row>
    <row r="14" spans="1:16">
      <c r="A14" s="1">
        <v>11</v>
      </c>
      <c r="B14" s="1" t="s">
        <v>842</v>
      </c>
      <c r="C14" s="5">
        <v>46058</v>
      </c>
      <c r="D14" s="1" t="s">
        <v>19</v>
      </c>
      <c r="E14" s="6" t="s">
        <v>834</v>
      </c>
      <c r="F14" s="6" t="s">
        <v>58</v>
      </c>
      <c r="G14" s="1" t="s">
        <v>35</v>
      </c>
      <c r="H14" s="1" t="s">
        <v>62</v>
      </c>
      <c r="I14" s="1">
        <v>57</v>
      </c>
      <c r="J14" s="1">
        <v>0</v>
      </c>
      <c r="K14" s="1">
        <v>3</v>
      </c>
      <c r="L14" s="1">
        <v>4</v>
      </c>
      <c r="M14" s="2">
        <f>IFERROR(L14/K14*100,0)</f>
        <v>0</v>
      </c>
      <c r="N14" s="1" t="s">
        <v>220</v>
      </c>
    </row>
    <row r="15" spans="1:16">
      <c r="A15" s="1">
        <v>12</v>
      </c>
      <c r="B15" s="1" t="s">
        <v>843</v>
      </c>
      <c r="C15" s="5">
        <v>46061</v>
      </c>
      <c r="D15" s="1" t="s">
        <v>19</v>
      </c>
      <c r="E15" s="6" t="s">
        <v>844</v>
      </c>
      <c r="F15" s="6" t="s">
        <v>65</v>
      </c>
      <c r="G15" s="1" t="s">
        <v>40</v>
      </c>
      <c r="H15" s="1" t="s">
        <v>104</v>
      </c>
      <c r="I15" s="1">
        <v>102</v>
      </c>
      <c r="J15" s="1">
        <v>6</v>
      </c>
      <c r="K15" s="1">
        <v>6</v>
      </c>
      <c r="L15" s="1">
        <v>8</v>
      </c>
      <c r="M15" s="2">
        <f>IFERROR(L15/K15*100,0)</f>
        <v>0</v>
      </c>
      <c r="N15" s="1" t="s">
        <v>220</v>
      </c>
    </row>
    <row r="16" spans="1:16">
      <c r="A16" s="1">
        <v>13</v>
      </c>
      <c r="B16" s="1" t="s">
        <v>845</v>
      </c>
      <c r="C16" s="5">
        <v>46084</v>
      </c>
      <c r="D16" s="1" t="s">
        <v>44</v>
      </c>
      <c r="E16" s="6" t="s">
        <v>832</v>
      </c>
      <c r="F16" s="6" t="s">
        <v>89</v>
      </c>
      <c r="G16" s="1" t="s">
        <v>82</v>
      </c>
      <c r="H16" s="1" t="s">
        <v>22</v>
      </c>
      <c r="I16" s="1">
        <v>93</v>
      </c>
      <c r="J16" s="1">
        <v>2</v>
      </c>
      <c r="K16" s="1">
        <v>2</v>
      </c>
      <c r="L16" s="1">
        <v>2</v>
      </c>
      <c r="M16" s="2">
        <f>IFERROR(L16/K16*100,0)</f>
        <v>0</v>
      </c>
      <c r="N16" s="1" t="s">
        <v>660</v>
      </c>
    </row>
    <row r="17" spans="1:14">
      <c r="A17" s="1">
        <v>14</v>
      </c>
      <c r="B17" s="1" t="s">
        <v>846</v>
      </c>
      <c r="C17" s="5">
        <v>46106</v>
      </c>
      <c r="D17" s="1" t="s">
        <v>44</v>
      </c>
      <c r="E17" s="6" t="s">
        <v>834</v>
      </c>
      <c r="F17" s="6" t="s">
        <v>27</v>
      </c>
      <c r="G17" s="1" t="s">
        <v>40</v>
      </c>
      <c r="H17" s="1" t="s">
        <v>66</v>
      </c>
      <c r="I17" s="1">
        <v>73</v>
      </c>
      <c r="J17" s="1">
        <v>1</v>
      </c>
      <c r="K17" s="1">
        <v>2</v>
      </c>
      <c r="L17" s="1">
        <v>4</v>
      </c>
      <c r="M17" s="2">
        <f>IFERROR(L17/K17*100,0)</f>
        <v>0</v>
      </c>
      <c r="N17" s="1" t="s">
        <v>220</v>
      </c>
    </row>
    <row r="18" spans="1:14">
      <c r="A18" s="1">
        <v>15</v>
      </c>
      <c r="B18" s="1" t="s">
        <v>847</v>
      </c>
      <c r="C18" s="5">
        <v>46096</v>
      </c>
      <c r="D18" s="1" t="s">
        <v>44</v>
      </c>
      <c r="E18" s="6" t="s">
        <v>832</v>
      </c>
      <c r="F18" s="6" t="s">
        <v>58</v>
      </c>
      <c r="G18" s="1" t="s">
        <v>40</v>
      </c>
      <c r="H18" s="1" t="s">
        <v>70</v>
      </c>
      <c r="I18" s="1">
        <v>96</v>
      </c>
      <c r="J18" s="1">
        <v>7</v>
      </c>
      <c r="K18" s="1">
        <v>6</v>
      </c>
      <c r="L18" s="1">
        <v>1</v>
      </c>
      <c r="M18" s="2">
        <f>IFERROR(L18/K18*100,0)</f>
        <v>0</v>
      </c>
      <c r="N18" s="1" t="s">
        <v>660</v>
      </c>
    </row>
    <row r="19" spans="1:14">
      <c r="A19" s="1">
        <v>16</v>
      </c>
      <c r="B19" s="1" t="s">
        <v>848</v>
      </c>
      <c r="C19" s="5">
        <v>46082</v>
      </c>
      <c r="D19" s="1" t="s">
        <v>44</v>
      </c>
      <c r="E19" s="6" t="s">
        <v>830</v>
      </c>
      <c r="F19" s="6" t="s">
        <v>89</v>
      </c>
      <c r="G19" s="1" t="s">
        <v>14</v>
      </c>
      <c r="H19" s="1" t="s">
        <v>36</v>
      </c>
      <c r="I19" s="1">
        <v>96</v>
      </c>
      <c r="J19" s="1">
        <v>4</v>
      </c>
      <c r="K19" s="1">
        <v>6</v>
      </c>
      <c r="L19" s="1">
        <v>4</v>
      </c>
      <c r="M19" s="2">
        <f>IFERROR(L19/K19*100,0)</f>
        <v>0</v>
      </c>
      <c r="N19" s="1" t="s">
        <v>220</v>
      </c>
    </row>
    <row r="20" spans="1:14">
      <c r="A20" s="1">
        <v>17</v>
      </c>
      <c r="B20" s="1" t="s">
        <v>849</v>
      </c>
      <c r="C20" s="5">
        <v>46103</v>
      </c>
      <c r="D20" s="1" t="s">
        <v>44</v>
      </c>
      <c r="E20" s="6" t="s">
        <v>830</v>
      </c>
      <c r="F20" s="6" t="s">
        <v>5</v>
      </c>
      <c r="G20" s="1" t="s">
        <v>40</v>
      </c>
      <c r="H20" s="1" t="s">
        <v>15</v>
      </c>
      <c r="I20" s="1">
        <v>44</v>
      </c>
      <c r="J20" s="1">
        <v>7</v>
      </c>
      <c r="K20" s="1">
        <v>3</v>
      </c>
      <c r="L20" s="1">
        <v>2</v>
      </c>
      <c r="M20" s="2">
        <f>IFERROR(L20/K20*100,0)</f>
        <v>0</v>
      </c>
      <c r="N20" s="1" t="s">
        <v>660</v>
      </c>
    </row>
    <row r="21" spans="1:14">
      <c r="A21" s="1">
        <v>18</v>
      </c>
      <c r="B21" s="1" t="s">
        <v>850</v>
      </c>
      <c r="C21" s="5">
        <v>46101</v>
      </c>
      <c r="D21" s="1" t="s">
        <v>44</v>
      </c>
      <c r="E21" s="6" t="s">
        <v>834</v>
      </c>
      <c r="F21" s="6" t="s">
        <v>50</v>
      </c>
      <c r="G21" s="1" t="s">
        <v>82</v>
      </c>
      <c r="H21" s="1" t="s">
        <v>104</v>
      </c>
      <c r="I21" s="1">
        <v>89</v>
      </c>
      <c r="J21" s="1">
        <v>8</v>
      </c>
      <c r="K21" s="1">
        <v>4</v>
      </c>
      <c r="L21" s="1">
        <v>5</v>
      </c>
      <c r="M21" s="2">
        <f>IFERROR(L21/K21*100,0)</f>
        <v>0</v>
      </c>
      <c r="N21" s="1" t="s">
        <v>220</v>
      </c>
    </row>
    <row r="22" spans="1:14">
      <c r="A22" s="1">
        <v>19</v>
      </c>
      <c r="B22" s="1" t="s">
        <v>851</v>
      </c>
      <c r="C22" s="5">
        <v>46082</v>
      </c>
      <c r="D22" s="1" t="s">
        <v>44</v>
      </c>
      <c r="E22" s="6" t="s">
        <v>832</v>
      </c>
      <c r="F22" s="6" t="s">
        <v>89</v>
      </c>
      <c r="G22" s="1" t="s">
        <v>95</v>
      </c>
      <c r="H22" s="1" t="s">
        <v>15</v>
      </c>
      <c r="I22" s="1">
        <v>85</v>
      </c>
      <c r="J22" s="1">
        <v>8</v>
      </c>
      <c r="K22" s="1">
        <v>6</v>
      </c>
      <c r="L22" s="1">
        <v>8</v>
      </c>
      <c r="M22" s="2">
        <f>IFERROR(L22/K22*100,0)</f>
        <v>0</v>
      </c>
      <c r="N22" s="1" t="s">
        <v>220</v>
      </c>
    </row>
    <row r="23" spans="1:14">
      <c r="A23" s="1">
        <v>20</v>
      </c>
      <c r="B23" s="1" t="s">
        <v>852</v>
      </c>
      <c r="C23" s="5">
        <v>46137</v>
      </c>
      <c r="D23" s="1" t="s">
        <v>53</v>
      </c>
      <c r="E23" s="6" t="s">
        <v>834</v>
      </c>
      <c r="F23" s="6" t="s">
        <v>58</v>
      </c>
      <c r="G23" s="1" t="s">
        <v>95</v>
      </c>
      <c r="H23" s="1" t="s">
        <v>22</v>
      </c>
      <c r="I23" s="1">
        <v>114</v>
      </c>
      <c r="J23" s="1">
        <v>1</v>
      </c>
      <c r="K23" s="1">
        <v>2</v>
      </c>
      <c r="L23" s="1">
        <v>7</v>
      </c>
      <c r="M23" s="2">
        <f>IFERROR(L23/K23*100,0)</f>
        <v>0</v>
      </c>
      <c r="N23" s="1" t="s">
        <v>220</v>
      </c>
    </row>
    <row r="24" spans="1:14">
      <c r="A24" s="1">
        <v>21</v>
      </c>
      <c r="B24" s="1" t="s">
        <v>853</v>
      </c>
      <c r="C24" s="5">
        <v>46124</v>
      </c>
      <c r="D24" s="1" t="s">
        <v>53</v>
      </c>
      <c r="E24" s="6" t="s">
        <v>844</v>
      </c>
      <c r="F24" s="6" t="s">
        <v>65</v>
      </c>
      <c r="G24" s="1" t="s">
        <v>6</v>
      </c>
      <c r="H24" s="1" t="s">
        <v>62</v>
      </c>
      <c r="I24" s="1">
        <v>22</v>
      </c>
      <c r="J24" s="1">
        <v>3</v>
      </c>
      <c r="K24" s="1">
        <v>4</v>
      </c>
      <c r="L24" s="1">
        <v>3</v>
      </c>
      <c r="M24" s="2">
        <f>IFERROR(L24/K24*100,0)</f>
        <v>0</v>
      </c>
      <c r="N24" s="1" t="s">
        <v>660</v>
      </c>
    </row>
    <row r="25" spans="1:14">
      <c r="A25" s="1">
        <v>22</v>
      </c>
      <c r="B25" s="1" t="s">
        <v>854</v>
      </c>
      <c r="C25" s="5">
        <v>46118</v>
      </c>
      <c r="D25" s="1" t="s">
        <v>53</v>
      </c>
      <c r="E25" s="6" t="s">
        <v>844</v>
      </c>
      <c r="F25" s="6" t="s">
        <v>65</v>
      </c>
      <c r="G25" s="1" t="s">
        <v>95</v>
      </c>
      <c r="H25" s="1" t="s">
        <v>66</v>
      </c>
      <c r="I25" s="1">
        <v>59</v>
      </c>
      <c r="J25" s="1">
        <v>2</v>
      </c>
      <c r="K25" s="1">
        <v>5</v>
      </c>
      <c r="L25" s="1">
        <v>6</v>
      </c>
      <c r="M25" s="2">
        <f>IFERROR(L25/K25*100,0)</f>
        <v>0</v>
      </c>
      <c r="N25" s="1" t="s">
        <v>220</v>
      </c>
    </row>
    <row r="26" spans="1:14">
      <c r="A26" s="1">
        <v>23</v>
      </c>
      <c r="B26" s="1" t="s">
        <v>855</v>
      </c>
      <c r="C26" s="5">
        <v>46123</v>
      </c>
      <c r="D26" s="1" t="s">
        <v>53</v>
      </c>
      <c r="E26" s="6" t="s">
        <v>844</v>
      </c>
      <c r="F26" s="6" t="s">
        <v>65</v>
      </c>
      <c r="G26" s="1" t="s">
        <v>77</v>
      </c>
      <c r="H26" s="1" t="s">
        <v>70</v>
      </c>
      <c r="I26" s="1">
        <v>119</v>
      </c>
      <c r="J26" s="1">
        <v>4</v>
      </c>
      <c r="K26" s="1">
        <v>7</v>
      </c>
      <c r="L26" s="1">
        <v>1</v>
      </c>
      <c r="M26" s="2">
        <f>IFERROR(L26/K26*100,0)</f>
        <v>0</v>
      </c>
      <c r="N26" s="1" t="s">
        <v>220</v>
      </c>
    </row>
    <row r="27" spans="1:14">
      <c r="A27" s="1">
        <v>24</v>
      </c>
      <c r="B27" s="1" t="s">
        <v>856</v>
      </c>
      <c r="C27" s="5">
        <v>46114</v>
      </c>
      <c r="D27" s="1" t="s">
        <v>53</v>
      </c>
      <c r="E27" s="6" t="s">
        <v>834</v>
      </c>
      <c r="F27" s="6" t="s">
        <v>50</v>
      </c>
      <c r="G27" s="1" t="s">
        <v>31</v>
      </c>
      <c r="H27" s="1" t="s">
        <v>28</v>
      </c>
      <c r="I27" s="1">
        <v>106</v>
      </c>
      <c r="J27" s="1">
        <v>1</v>
      </c>
      <c r="K27" s="1">
        <v>1</v>
      </c>
      <c r="L27" s="1">
        <v>1</v>
      </c>
      <c r="M27" s="2">
        <f>IFERROR(L27/K27*100,0)</f>
        <v>0</v>
      </c>
      <c r="N27" s="1" t="s">
        <v>220</v>
      </c>
    </row>
    <row r="28" spans="1:14">
      <c r="A28" s="1">
        <v>25</v>
      </c>
      <c r="B28" s="1" t="s">
        <v>857</v>
      </c>
      <c r="C28" s="5">
        <v>46113</v>
      </c>
      <c r="D28" s="1" t="s">
        <v>53</v>
      </c>
      <c r="E28" s="6" t="s">
        <v>834</v>
      </c>
      <c r="F28" s="6" t="s">
        <v>13</v>
      </c>
      <c r="G28" s="1" t="s">
        <v>82</v>
      </c>
      <c r="H28" s="1" t="s">
        <v>93</v>
      </c>
      <c r="I28" s="1">
        <v>56</v>
      </c>
      <c r="J28" s="1">
        <v>7</v>
      </c>
      <c r="K28" s="1">
        <v>2</v>
      </c>
      <c r="L28" s="1">
        <v>8</v>
      </c>
      <c r="M28" s="2">
        <f>IFERROR(L28/K28*100,0)</f>
        <v>0</v>
      </c>
      <c r="N28" s="1" t="s">
        <v>220</v>
      </c>
    </row>
    <row r="29" spans="1:14">
      <c r="A29" s="1">
        <v>26</v>
      </c>
      <c r="B29" s="1" t="s">
        <v>858</v>
      </c>
      <c r="C29" s="5">
        <v>46149</v>
      </c>
      <c r="D29" s="1" t="s">
        <v>60</v>
      </c>
      <c r="E29" s="6" t="s">
        <v>832</v>
      </c>
      <c r="F29" s="6" t="s">
        <v>13</v>
      </c>
      <c r="G29" s="1" t="s">
        <v>82</v>
      </c>
      <c r="H29" s="1" t="s">
        <v>70</v>
      </c>
      <c r="I29" s="1">
        <v>60</v>
      </c>
      <c r="J29" s="1">
        <v>1</v>
      </c>
      <c r="K29" s="1">
        <v>7</v>
      </c>
      <c r="L29" s="1">
        <v>2</v>
      </c>
      <c r="M29" s="2">
        <f>IFERROR(L29/K29*100,0)</f>
        <v>0</v>
      </c>
      <c r="N29" s="1" t="s">
        <v>660</v>
      </c>
    </row>
    <row r="30" spans="1:14">
      <c r="A30" s="1">
        <v>27</v>
      </c>
      <c r="B30" s="1" t="s">
        <v>859</v>
      </c>
      <c r="C30" s="5">
        <v>46162</v>
      </c>
      <c r="D30" s="1" t="s">
        <v>60</v>
      </c>
      <c r="E30" s="6" t="s">
        <v>834</v>
      </c>
      <c r="F30" s="6" t="s">
        <v>92</v>
      </c>
      <c r="G30" s="1" t="s">
        <v>95</v>
      </c>
      <c r="H30" s="1" t="s">
        <v>7</v>
      </c>
      <c r="I30" s="1">
        <v>58</v>
      </c>
      <c r="J30" s="1">
        <v>4</v>
      </c>
      <c r="K30" s="1">
        <v>6</v>
      </c>
      <c r="L30" s="1">
        <v>7</v>
      </c>
      <c r="M30" s="2">
        <f>IFERROR(L30/K30*100,0)</f>
        <v>0</v>
      </c>
      <c r="N30" s="1" t="s">
        <v>220</v>
      </c>
    </row>
    <row r="31" spans="1:14">
      <c r="A31" s="1">
        <v>28</v>
      </c>
      <c r="B31" s="1" t="s">
        <v>860</v>
      </c>
      <c r="C31" s="5">
        <v>46168</v>
      </c>
      <c r="D31" s="1" t="s">
        <v>60</v>
      </c>
      <c r="E31" s="6" t="s">
        <v>844</v>
      </c>
      <c r="F31" s="6" t="s">
        <v>46</v>
      </c>
      <c r="G31" s="1" t="s">
        <v>35</v>
      </c>
      <c r="H31" s="1" t="s">
        <v>104</v>
      </c>
      <c r="I31" s="1">
        <v>117</v>
      </c>
      <c r="J31" s="1">
        <v>6</v>
      </c>
      <c r="K31" s="1">
        <v>7</v>
      </c>
      <c r="L31" s="1">
        <v>5</v>
      </c>
      <c r="M31" s="2">
        <f>IFERROR(L31/K31*100,0)</f>
        <v>0</v>
      </c>
      <c r="N31" s="1" t="s">
        <v>660</v>
      </c>
    </row>
    <row r="32" spans="1:14">
      <c r="A32" s="1">
        <v>29</v>
      </c>
      <c r="B32" s="1" t="s">
        <v>861</v>
      </c>
      <c r="C32" s="5">
        <v>46191</v>
      </c>
      <c r="D32" s="1" t="s">
        <v>73</v>
      </c>
      <c r="E32" s="6" t="s">
        <v>834</v>
      </c>
      <c r="F32" s="6" t="s">
        <v>58</v>
      </c>
      <c r="G32" s="1" t="s">
        <v>31</v>
      </c>
      <c r="H32" s="1" t="s">
        <v>32</v>
      </c>
      <c r="I32" s="1">
        <v>82</v>
      </c>
      <c r="J32" s="1">
        <v>8</v>
      </c>
      <c r="K32" s="1">
        <v>4</v>
      </c>
      <c r="L32" s="1">
        <v>5</v>
      </c>
      <c r="M32" s="2">
        <f>IFERROR(L32/K32*100,0)</f>
        <v>0</v>
      </c>
      <c r="N32" s="1" t="s">
        <v>660</v>
      </c>
    </row>
    <row r="33" spans="1:14">
      <c r="A33" s="1">
        <v>30</v>
      </c>
      <c r="B33" s="1" t="s">
        <v>862</v>
      </c>
      <c r="C33" s="5">
        <v>46189</v>
      </c>
      <c r="D33" s="1" t="s">
        <v>73</v>
      </c>
      <c r="E33" s="6" t="s">
        <v>844</v>
      </c>
      <c r="F33" s="6" t="s">
        <v>39</v>
      </c>
      <c r="G33" s="1" t="s">
        <v>35</v>
      </c>
      <c r="H33" s="1" t="s">
        <v>104</v>
      </c>
      <c r="I33" s="1">
        <v>112</v>
      </c>
      <c r="J33" s="1">
        <v>5</v>
      </c>
      <c r="K33" s="1">
        <v>7</v>
      </c>
      <c r="L33" s="1">
        <v>3</v>
      </c>
      <c r="M33" s="2">
        <f>IFERROR(L33/K33*100,0)</f>
        <v>0</v>
      </c>
      <c r="N33" s="1" t="s">
        <v>220</v>
      </c>
    </row>
    <row r="34" spans="1:14">
      <c r="A34" s="1">
        <v>31</v>
      </c>
      <c r="B34" s="1" t="s">
        <v>863</v>
      </c>
      <c r="C34" s="5">
        <v>46180</v>
      </c>
      <c r="D34" s="1" t="s">
        <v>73</v>
      </c>
      <c r="E34" s="6" t="s">
        <v>844</v>
      </c>
      <c r="F34" s="6" t="s">
        <v>50</v>
      </c>
      <c r="G34" s="1" t="s">
        <v>77</v>
      </c>
      <c r="H34" s="1" t="s">
        <v>68</v>
      </c>
      <c r="I34" s="1">
        <v>74</v>
      </c>
      <c r="J34" s="1">
        <v>3</v>
      </c>
      <c r="K34" s="1">
        <v>6</v>
      </c>
      <c r="L34" s="1">
        <v>5</v>
      </c>
      <c r="M34" s="2">
        <f>IFERROR(L34/K34*100,0)</f>
        <v>0</v>
      </c>
      <c r="N34" s="1" t="s">
        <v>660</v>
      </c>
    </row>
    <row r="35" spans="1:14">
      <c r="A35" s="1">
        <v>32</v>
      </c>
      <c r="B35" s="1" t="s">
        <v>864</v>
      </c>
      <c r="C35" s="5">
        <v>46189</v>
      </c>
      <c r="D35" s="1" t="s">
        <v>73</v>
      </c>
      <c r="E35" s="6" t="s">
        <v>844</v>
      </c>
      <c r="F35" s="6" t="s">
        <v>13</v>
      </c>
      <c r="G35" s="1" t="s">
        <v>95</v>
      </c>
      <c r="H35" s="1" t="s">
        <v>28</v>
      </c>
      <c r="I35" s="1">
        <v>43</v>
      </c>
      <c r="J35" s="1">
        <v>2</v>
      </c>
      <c r="K35" s="1">
        <v>1</v>
      </c>
      <c r="L35" s="1">
        <v>4</v>
      </c>
      <c r="M35" s="2">
        <f>IFERROR(L35/K35*100,0)</f>
        <v>0</v>
      </c>
      <c r="N35" s="1" t="s">
        <v>660</v>
      </c>
    </row>
    <row r="36" spans="1:14">
      <c r="A36" s="1">
        <v>33</v>
      </c>
      <c r="B36" s="1" t="s">
        <v>865</v>
      </c>
      <c r="C36" s="5">
        <v>46177</v>
      </c>
      <c r="D36" s="1" t="s">
        <v>73</v>
      </c>
      <c r="E36" s="6" t="s">
        <v>830</v>
      </c>
      <c r="F36" s="6" t="s">
        <v>65</v>
      </c>
      <c r="G36" s="1" t="s">
        <v>82</v>
      </c>
      <c r="H36" s="1" t="s">
        <v>15</v>
      </c>
      <c r="I36" s="1">
        <v>89</v>
      </c>
      <c r="J36" s="1">
        <v>6</v>
      </c>
      <c r="K36" s="1">
        <v>1</v>
      </c>
      <c r="L36" s="1">
        <v>2</v>
      </c>
      <c r="M36" s="2">
        <f>IFERROR(L36/K36*100,0)</f>
        <v>0</v>
      </c>
      <c r="N36" s="1" t="s">
        <v>220</v>
      </c>
    </row>
    <row r="37" spans="1:14">
      <c r="A37" s="1">
        <v>34</v>
      </c>
      <c r="B37" s="1" t="s">
        <v>866</v>
      </c>
      <c r="C37" s="5">
        <v>46221</v>
      </c>
      <c r="D37" s="1" t="s">
        <v>76</v>
      </c>
      <c r="E37" s="6" t="s">
        <v>830</v>
      </c>
      <c r="F37" s="6" t="s">
        <v>5</v>
      </c>
      <c r="G37" s="1" t="s">
        <v>82</v>
      </c>
      <c r="H37" s="1" t="s">
        <v>62</v>
      </c>
      <c r="I37" s="1">
        <v>83</v>
      </c>
      <c r="J37" s="1">
        <v>0</v>
      </c>
      <c r="K37" s="1">
        <v>5</v>
      </c>
      <c r="L37" s="1">
        <v>4</v>
      </c>
      <c r="M37" s="2">
        <f>IFERROR(L37/K37*100,0)</f>
        <v>0</v>
      </c>
      <c r="N37" s="1" t="s">
        <v>220</v>
      </c>
    </row>
    <row r="38" spans="1:14">
      <c r="A38" s="1">
        <v>35</v>
      </c>
      <c r="B38" s="1" t="s">
        <v>867</v>
      </c>
      <c r="C38" s="5">
        <v>46210</v>
      </c>
      <c r="D38" s="1" t="s">
        <v>76</v>
      </c>
      <c r="E38" s="6" t="s">
        <v>844</v>
      </c>
      <c r="F38" s="6" t="s">
        <v>13</v>
      </c>
      <c r="G38" s="1" t="s">
        <v>21</v>
      </c>
      <c r="H38" s="1" t="s">
        <v>62</v>
      </c>
      <c r="I38" s="1">
        <v>51</v>
      </c>
      <c r="J38" s="1">
        <v>8</v>
      </c>
      <c r="K38" s="1">
        <v>2</v>
      </c>
      <c r="L38" s="1">
        <v>1</v>
      </c>
      <c r="M38" s="2">
        <f>IFERROR(L38/K38*100,0)</f>
        <v>0</v>
      </c>
      <c r="N38" s="1" t="s">
        <v>220</v>
      </c>
    </row>
    <row r="39" spans="1:14">
      <c r="A39" s="1">
        <v>36</v>
      </c>
      <c r="B39" s="1" t="s">
        <v>868</v>
      </c>
      <c r="C39" s="5">
        <v>46220</v>
      </c>
      <c r="D39" s="1" t="s">
        <v>76</v>
      </c>
      <c r="E39" s="6" t="s">
        <v>830</v>
      </c>
      <c r="F39" s="6" t="s">
        <v>89</v>
      </c>
      <c r="G39" s="1" t="s">
        <v>95</v>
      </c>
      <c r="H39" s="1" t="s">
        <v>22</v>
      </c>
      <c r="I39" s="1">
        <v>76</v>
      </c>
      <c r="J39" s="1">
        <v>2</v>
      </c>
      <c r="K39" s="1">
        <v>8</v>
      </c>
      <c r="L39" s="1">
        <v>8</v>
      </c>
      <c r="M39" s="2">
        <f>IFERROR(L39/K39*100,0)</f>
        <v>0</v>
      </c>
      <c r="N39" s="1" t="s">
        <v>220</v>
      </c>
    </row>
    <row r="40" spans="1:14">
      <c r="A40" s="1">
        <v>37</v>
      </c>
      <c r="B40" s="1" t="s">
        <v>869</v>
      </c>
      <c r="C40" s="5">
        <v>46204</v>
      </c>
      <c r="D40" s="1" t="s">
        <v>76</v>
      </c>
      <c r="E40" s="6" t="s">
        <v>830</v>
      </c>
      <c r="F40" s="6" t="s">
        <v>50</v>
      </c>
      <c r="G40" s="1" t="s">
        <v>31</v>
      </c>
      <c r="H40" s="1" t="s">
        <v>70</v>
      </c>
      <c r="I40" s="1">
        <v>27</v>
      </c>
      <c r="J40" s="1">
        <v>3</v>
      </c>
      <c r="K40" s="1">
        <v>2</v>
      </c>
      <c r="L40" s="1">
        <v>4</v>
      </c>
      <c r="M40" s="2">
        <f>IFERROR(L40/K40*100,0)</f>
        <v>0</v>
      </c>
      <c r="N40" s="1" t="s">
        <v>220</v>
      </c>
    </row>
    <row r="41" spans="1:14">
      <c r="A41" s="1">
        <v>38</v>
      </c>
      <c r="B41" s="1" t="s">
        <v>870</v>
      </c>
      <c r="C41" s="5">
        <v>46260</v>
      </c>
      <c r="D41" s="1" t="s">
        <v>86</v>
      </c>
      <c r="E41" s="6" t="s">
        <v>844</v>
      </c>
      <c r="F41" s="6" t="s">
        <v>39</v>
      </c>
      <c r="G41" s="1" t="s">
        <v>14</v>
      </c>
      <c r="H41" s="1" t="s">
        <v>68</v>
      </c>
      <c r="I41" s="1">
        <v>93</v>
      </c>
      <c r="J41" s="1">
        <v>5</v>
      </c>
      <c r="K41" s="1">
        <v>5</v>
      </c>
      <c r="L41" s="1">
        <v>0</v>
      </c>
      <c r="M41" s="2">
        <f>IFERROR(L41/K41*100,0)</f>
        <v>0</v>
      </c>
      <c r="N41" s="1" t="s">
        <v>220</v>
      </c>
    </row>
    <row r="42" spans="1:14">
      <c r="A42" s="1">
        <v>39</v>
      </c>
      <c r="B42" s="1" t="s">
        <v>871</v>
      </c>
      <c r="C42" s="5">
        <v>46244</v>
      </c>
      <c r="D42" s="1" t="s">
        <v>86</v>
      </c>
      <c r="E42" s="6" t="s">
        <v>834</v>
      </c>
      <c r="F42" s="6" t="s">
        <v>58</v>
      </c>
      <c r="G42" s="1" t="s">
        <v>77</v>
      </c>
      <c r="H42" s="1" t="s">
        <v>15</v>
      </c>
      <c r="I42" s="1">
        <v>25</v>
      </c>
      <c r="J42" s="1">
        <v>8</v>
      </c>
      <c r="K42" s="1">
        <v>7</v>
      </c>
      <c r="L42" s="1">
        <v>6</v>
      </c>
      <c r="M42" s="2">
        <f>IFERROR(L42/K42*100,0)</f>
        <v>0</v>
      </c>
      <c r="N42" s="1" t="s">
        <v>220</v>
      </c>
    </row>
    <row r="43" spans="1:14">
      <c r="A43" s="1">
        <v>40</v>
      </c>
      <c r="B43" s="1" t="s">
        <v>872</v>
      </c>
      <c r="C43" s="5">
        <v>46250</v>
      </c>
      <c r="D43" s="1" t="s">
        <v>86</v>
      </c>
      <c r="E43" s="6" t="s">
        <v>832</v>
      </c>
      <c r="F43" s="6" t="s">
        <v>50</v>
      </c>
      <c r="G43" s="1" t="s">
        <v>21</v>
      </c>
      <c r="H43" s="1" t="s">
        <v>68</v>
      </c>
      <c r="I43" s="1">
        <v>101</v>
      </c>
      <c r="J43" s="1">
        <v>1</v>
      </c>
      <c r="K43" s="1">
        <v>2</v>
      </c>
      <c r="L43" s="1">
        <v>1</v>
      </c>
      <c r="M43" s="2">
        <f>IFERROR(L43/K43*100,0)</f>
        <v>0</v>
      </c>
      <c r="N43" s="1" t="s">
        <v>220</v>
      </c>
    </row>
    <row r="44" spans="1:14">
      <c r="A44" s="1">
        <v>41</v>
      </c>
      <c r="B44" s="1" t="s">
        <v>873</v>
      </c>
      <c r="C44" s="5">
        <v>46249</v>
      </c>
      <c r="D44" s="1" t="s">
        <v>86</v>
      </c>
      <c r="E44" s="6" t="s">
        <v>832</v>
      </c>
      <c r="F44" s="6" t="s">
        <v>92</v>
      </c>
      <c r="G44" s="1" t="s">
        <v>77</v>
      </c>
      <c r="H44" s="1" t="s">
        <v>36</v>
      </c>
      <c r="I44" s="1">
        <v>76</v>
      </c>
      <c r="J44" s="1">
        <v>2</v>
      </c>
      <c r="K44" s="1">
        <v>3</v>
      </c>
      <c r="L44" s="1">
        <v>0</v>
      </c>
      <c r="M44" s="2">
        <f>IFERROR(L44/K44*100,0)</f>
        <v>0</v>
      </c>
      <c r="N44" s="1" t="s">
        <v>220</v>
      </c>
    </row>
    <row r="45" spans="1:14">
      <c r="A45" s="1">
        <v>42</v>
      </c>
      <c r="B45" s="1" t="s">
        <v>874</v>
      </c>
      <c r="C45" s="5">
        <v>46254</v>
      </c>
      <c r="D45" s="1" t="s">
        <v>86</v>
      </c>
      <c r="E45" s="6" t="s">
        <v>830</v>
      </c>
      <c r="F45" s="6" t="s">
        <v>50</v>
      </c>
      <c r="G45" s="1" t="s">
        <v>87</v>
      </c>
      <c r="H45" s="1" t="s">
        <v>68</v>
      </c>
      <c r="I45" s="1">
        <v>28</v>
      </c>
      <c r="J45" s="1">
        <v>6</v>
      </c>
      <c r="K45" s="1">
        <v>6</v>
      </c>
      <c r="L45" s="1">
        <v>0</v>
      </c>
      <c r="M45" s="2">
        <f>IFERROR(L45/K45*100,0)</f>
        <v>0</v>
      </c>
      <c r="N45" s="1" t="s">
        <v>220</v>
      </c>
    </row>
    <row r="46" spans="1:14">
      <c r="A46" s="1">
        <v>43</v>
      </c>
      <c r="B46" s="1" t="s">
        <v>875</v>
      </c>
      <c r="C46" s="5">
        <v>46280</v>
      </c>
      <c r="D46" s="1" t="s">
        <v>102</v>
      </c>
      <c r="E46" s="6" t="s">
        <v>844</v>
      </c>
      <c r="F46" s="6" t="s">
        <v>58</v>
      </c>
      <c r="G46" s="1" t="s">
        <v>95</v>
      </c>
      <c r="H46" s="1" t="s">
        <v>66</v>
      </c>
      <c r="I46" s="1">
        <v>58</v>
      </c>
      <c r="J46" s="1">
        <v>1</v>
      </c>
      <c r="K46" s="1">
        <v>3</v>
      </c>
      <c r="L46" s="1">
        <v>3</v>
      </c>
      <c r="M46" s="2">
        <f>IFERROR(L46/K46*100,0)</f>
        <v>0</v>
      </c>
      <c r="N46" s="1" t="s">
        <v>220</v>
      </c>
    </row>
    <row r="47" spans="1:14">
      <c r="A47" s="1">
        <v>44</v>
      </c>
      <c r="B47" s="1" t="s">
        <v>876</v>
      </c>
      <c r="C47" s="5">
        <v>46285</v>
      </c>
      <c r="D47" s="1" t="s">
        <v>102</v>
      </c>
      <c r="E47" s="6" t="s">
        <v>830</v>
      </c>
      <c r="F47" s="6" t="s">
        <v>65</v>
      </c>
      <c r="G47" s="1" t="s">
        <v>77</v>
      </c>
      <c r="H47" s="1" t="s">
        <v>62</v>
      </c>
      <c r="I47" s="1">
        <v>113</v>
      </c>
      <c r="J47" s="1">
        <v>4</v>
      </c>
      <c r="K47" s="1">
        <v>0</v>
      </c>
      <c r="L47" s="1">
        <v>7</v>
      </c>
      <c r="M47" s="2">
        <f>IFERROR(L47/K47*100,0)</f>
        <v>0</v>
      </c>
      <c r="N47" s="1" t="s">
        <v>220</v>
      </c>
    </row>
    <row r="48" spans="1:14">
      <c r="A48" s="1">
        <v>45</v>
      </c>
      <c r="B48" s="1" t="s">
        <v>877</v>
      </c>
      <c r="C48" s="5">
        <v>46267</v>
      </c>
      <c r="D48" s="1" t="s">
        <v>102</v>
      </c>
      <c r="E48" s="6" t="s">
        <v>830</v>
      </c>
      <c r="F48" s="6" t="s">
        <v>50</v>
      </c>
      <c r="G48" s="1" t="s">
        <v>82</v>
      </c>
      <c r="H48" s="1" t="s">
        <v>93</v>
      </c>
      <c r="I48" s="1">
        <v>84</v>
      </c>
      <c r="J48" s="1">
        <v>2</v>
      </c>
      <c r="K48" s="1">
        <v>6</v>
      </c>
      <c r="L48" s="1">
        <v>5</v>
      </c>
      <c r="M48" s="2">
        <f>IFERROR(L48/K48*100,0)</f>
        <v>0</v>
      </c>
      <c r="N48" s="1" t="s">
        <v>220</v>
      </c>
    </row>
    <row r="49" spans="1:14">
      <c r="A49" s="1">
        <v>46</v>
      </c>
      <c r="B49" s="1" t="s">
        <v>878</v>
      </c>
      <c r="C49" s="5">
        <v>46315</v>
      </c>
      <c r="D49" s="1" t="s">
        <v>106</v>
      </c>
      <c r="E49" s="6" t="s">
        <v>834</v>
      </c>
      <c r="F49" s="6" t="s">
        <v>92</v>
      </c>
      <c r="G49" s="1" t="s">
        <v>77</v>
      </c>
      <c r="H49" s="1" t="s">
        <v>7</v>
      </c>
      <c r="I49" s="1">
        <v>89</v>
      </c>
      <c r="J49" s="1">
        <v>8</v>
      </c>
      <c r="K49" s="1">
        <v>6</v>
      </c>
      <c r="L49" s="1">
        <v>4</v>
      </c>
      <c r="M49" s="2">
        <f>IFERROR(L49/K49*100,0)</f>
        <v>0</v>
      </c>
      <c r="N49" s="1" t="s">
        <v>660</v>
      </c>
    </row>
    <row r="50" spans="1:14">
      <c r="A50" s="1">
        <v>47</v>
      </c>
      <c r="B50" s="1" t="s">
        <v>879</v>
      </c>
      <c r="C50" s="5">
        <v>46318</v>
      </c>
      <c r="D50" s="1" t="s">
        <v>106</v>
      </c>
      <c r="E50" s="6" t="s">
        <v>830</v>
      </c>
      <c r="F50" s="6" t="s">
        <v>50</v>
      </c>
      <c r="G50" s="1" t="s">
        <v>31</v>
      </c>
      <c r="H50" s="1" t="s">
        <v>32</v>
      </c>
      <c r="I50" s="1">
        <v>59</v>
      </c>
      <c r="J50" s="1">
        <v>1</v>
      </c>
      <c r="K50" s="1">
        <v>2</v>
      </c>
      <c r="L50" s="1">
        <v>1</v>
      </c>
      <c r="M50" s="2">
        <f>IFERROR(L50/K50*100,0)</f>
        <v>0</v>
      </c>
      <c r="N50" s="1" t="s">
        <v>660</v>
      </c>
    </row>
    <row r="51" spans="1:14">
      <c r="A51" s="1">
        <v>48</v>
      </c>
      <c r="B51" s="1" t="s">
        <v>880</v>
      </c>
      <c r="C51" s="5">
        <v>46384</v>
      </c>
      <c r="D51" s="1" t="s">
        <v>122</v>
      </c>
      <c r="E51" s="6" t="s">
        <v>844</v>
      </c>
      <c r="F51" s="6" t="s">
        <v>27</v>
      </c>
      <c r="G51" s="1" t="s">
        <v>95</v>
      </c>
      <c r="H51" s="1" t="s">
        <v>68</v>
      </c>
      <c r="I51" s="1">
        <v>85</v>
      </c>
      <c r="J51" s="1">
        <v>1</v>
      </c>
      <c r="K51" s="1">
        <v>1</v>
      </c>
      <c r="L51" s="1">
        <v>8</v>
      </c>
      <c r="M51" s="2">
        <f>IFERROR(L51/K51*100,0)</f>
        <v>0</v>
      </c>
      <c r="N51" s="1" t="s">
        <v>220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935</v>
      </c>
      <c r="C3" s="1" t="s">
        <v>126</v>
      </c>
      <c r="D3" s="1" t="s">
        <v>127</v>
      </c>
      <c r="E3" s="1" t="s">
        <v>936</v>
      </c>
      <c r="F3" s="1" t="s">
        <v>569</v>
      </c>
      <c r="G3" s="1" t="s">
        <v>937</v>
      </c>
      <c r="H3" s="1" t="s">
        <v>938</v>
      </c>
      <c r="I3" s="2" t="s">
        <v>134</v>
      </c>
      <c r="J3" s="1" t="s">
        <v>135</v>
      </c>
      <c r="K3" s="1" t="s">
        <v>939</v>
      </c>
      <c r="L3" s="1" t="s">
        <v>940</v>
      </c>
      <c r="M3" s="1" t="s">
        <v>574</v>
      </c>
      <c r="N3" s="1" t="s">
        <v>941</v>
      </c>
      <c r="O3" s="1" t="s">
        <v>286</v>
      </c>
    </row>
    <row r="4" spans="1:17">
      <c r="A4" s="1">
        <v>1</v>
      </c>
      <c r="B4" s="1" t="s">
        <v>887</v>
      </c>
      <c r="C4" s="5">
        <v>46033</v>
      </c>
      <c r="D4" s="1" t="s">
        <v>3</v>
      </c>
      <c r="E4" s="6" t="s">
        <v>91</v>
      </c>
      <c r="F4" s="6" t="s">
        <v>62</v>
      </c>
      <c r="G4" s="1">
        <v>39</v>
      </c>
      <c r="H4" s="1">
        <v>56</v>
      </c>
      <c r="I4" s="2">
        <f>IFERROR(H4/G4*100,0)</f>
        <v>0</v>
      </c>
      <c r="J4" s="1">
        <v>32</v>
      </c>
      <c r="K4" s="1">
        <v>6</v>
      </c>
      <c r="L4" s="1" t="s">
        <v>22</v>
      </c>
      <c r="M4" s="1"/>
      <c r="N4" s="1" t="s">
        <v>23</v>
      </c>
      <c r="O4" s="1" t="s">
        <v>224</v>
      </c>
    </row>
    <row r="5" spans="1:17">
      <c r="A5" s="1">
        <v>2</v>
      </c>
      <c r="B5" s="1" t="s">
        <v>888</v>
      </c>
      <c r="C5" s="5">
        <v>46028</v>
      </c>
      <c r="D5" s="1" t="s">
        <v>3</v>
      </c>
      <c r="E5" s="6" t="s">
        <v>64</v>
      </c>
      <c r="F5" s="6" t="s">
        <v>70</v>
      </c>
      <c r="G5" s="1">
        <v>45</v>
      </c>
      <c r="H5" s="1">
        <v>39</v>
      </c>
      <c r="I5" s="2">
        <f>IFERROR(H5/G5*100,0)</f>
        <v>0</v>
      </c>
      <c r="J5" s="1">
        <v>35</v>
      </c>
      <c r="K5" s="1">
        <v>1</v>
      </c>
      <c r="L5" s="1" t="s">
        <v>32</v>
      </c>
      <c r="M5" s="1"/>
      <c r="N5" s="1" t="s">
        <v>23</v>
      </c>
      <c r="O5" s="1" t="s">
        <v>224</v>
      </c>
    </row>
    <row r="6" spans="1:17">
      <c r="A6" s="1">
        <v>3</v>
      </c>
      <c r="B6" s="1" t="s">
        <v>889</v>
      </c>
      <c r="C6" s="5">
        <v>46028</v>
      </c>
      <c r="D6" s="1" t="s">
        <v>3</v>
      </c>
      <c r="E6" s="6" t="s">
        <v>12</v>
      </c>
      <c r="F6" s="6" t="s">
        <v>66</v>
      </c>
      <c r="G6" s="1">
        <v>58</v>
      </c>
      <c r="H6" s="1">
        <v>53</v>
      </c>
      <c r="I6" s="2">
        <f>IFERROR(H6/G6*100,0)</f>
        <v>0</v>
      </c>
      <c r="J6" s="1">
        <v>87</v>
      </c>
      <c r="K6" s="1">
        <v>2</v>
      </c>
      <c r="L6" s="1" t="s">
        <v>32</v>
      </c>
      <c r="M6" s="1"/>
      <c r="N6" s="1" t="s">
        <v>9</v>
      </c>
      <c r="O6" s="1" t="s">
        <v>220</v>
      </c>
    </row>
    <row r="7" spans="1:17">
      <c r="A7" s="1">
        <v>4</v>
      </c>
      <c r="B7" s="1" t="s">
        <v>890</v>
      </c>
      <c r="C7" s="5">
        <v>46081</v>
      </c>
      <c r="D7" s="1" t="s">
        <v>19</v>
      </c>
      <c r="E7" s="6" t="s">
        <v>91</v>
      </c>
      <c r="F7" s="6" t="s">
        <v>7</v>
      </c>
      <c r="G7" s="1">
        <v>41</v>
      </c>
      <c r="H7" s="1">
        <v>16</v>
      </c>
      <c r="I7" s="2">
        <f>IFERROR(H7/G7*100,0)</f>
        <v>0</v>
      </c>
      <c r="J7" s="1">
        <v>24</v>
      </c>
      <c r="K7" s="1">
        <v>5</v>
      </c>
      <c r="L7" s="1" t="s">
        <v>66</v>
      </c>
      <c r="M7" s="1"/>
      <c r="N7" s="1" t="s">
        <v>23</v>
      </c>
      <c r="O7" s="1" t="s">
        <v>220</v>
      </c>
    </row>
    <row r="8" spans="1:17">
      <c r="A8" s="1">
        <v>5</v>
      </c>
      <c r="B8" s="1" t="s">
        <v>891</v>
      </c>
      <c r="C8" s="5">
        <v>46070</v>
      </c>
      <c r="D8" s="1" t="s">
        <v>19</v>
      </c>
      <c r="E8" s="6" t="s">
        <v>61</v>
      </c>
      <c r="F8" s="6" t="s">
        <v>7</v>
      </c>
      <c r="G8" s="1">
        <v>20</v>
      </c>
      <c r="H8" s="1">
        <v>27</v>
      </c>
      <c r="I8" s="2">
        <f>IFERROR(H8/G8*100,0)</f>
        <v>0</v>
      </c>
      <c r="J8" s="1">
        <v>76</v>
      </c>
      <c r="K8" s="1">
        <v>2</v>
      </c>
      <c r="L8" s="1" t="s">
        <v>32</v>
      </c>
      <c r="M8" s="1"/>
      <c r="N8" s="1" t="s">
        <v>9</v>
      </c>
      <c r="O8" s="1" t="s">
        <v>230</v>
      </c>
    </row>
    <row r="9" spans="1:17">
      <c r="A9" s="1">
        <v>6</v>
      </c>
      <c r="B9" s="1" t="s">
        <v>892</v>
      </c>
      <c r="C9" s="5">
        <v>46069</v>
      </c>
      <c r="D9" s="1" t="s">
        <v>19</v>
      </c>
      <c r="E9" s="6" t="s">
        <v>49</v>
      </c>
      <c r="F9" s="6" t="s">
        <v>15</v>
      </c>
      <c r="G9" s="1">
        <v>57</v>
      </c>
      <c r="H9" s="1">
        <v>10</v>
      </c>
      <c r="I9" s="2">
        <f>IFERROR(H9/G9*100,0)</f>
        <v>0</v>
      </c>
      <c r="J9" s="1">
        <v>48</v>
      </c>
      <c r="K9" s="1">
        <v>6</v>
      </c>
      <c r="L9" s="1" t="s">
        <v>104</v>
      </c>
      <c r="M9" s="1"/>
      <c r="N9" s="1" t="s">
        <v>9</v>
      </c>
      <c r="O9" s="1" t="s">
        <v>220</v>
      </c>
    </row>
    <row r="10" spans="1:17">
      <c r="A10" s="1">
        <v>7</v>
      </c>
      <c r="B10" s="1" t="s">
        <v>893</v>
      </c>
      <c r="C10" s="5">
        <v>46103</v>
      </c>
      <c r="D10" s="1" t="s">
        <v>44</v>
      </c>
      <c r="E10" s="6" t="s">
        <v>57</v>
      </c>
      <c r="F10" s="6" t="s">
        <v>66</v>
      </c>
      <c r="G10" s="1">
        <v>15</v>
      </c>
      <c r="H10" s="1">
        <v>14</v>
      </c>
      <c r="I10" s="2">
        <f>IFERROR(H10/G10*100,0)</f>
        <v>0</v>
      </c>
      <c r="J10" s="1">
        <v>83</v>
      </c>
      <c r="K10" s="1">
        <v>4</v>
      </c>
      <c r="L10" s="1" t="s">
        <v>22</v>
      </c>
      <c r="M10" s="1"/>
      <c r="N10" s="1" t="s">
        <v>23</v>
      </c>
      <c r="O10" s="1" t="s">
        <v>224</v>
      </c>
    </row>
    <row r="11" spans="1:17">
      <c r="A11" s="1">
        <v>8</v>
      </c>
      <c r="B11" s="1" t="s">
        <v>894</v>
      </c>
      <c r="C11" s="5">
        <v>46091</v>
      </c>
      <c r="D11" s="1" t="s">
        <v>44</v>
      </c>
      <c r="E11" s="6" t="s">
        <v>12</v>
      </c>
      <c r="F11" s="6" t="s">
        <v>68</v>
      </c>
      <c r="G11" s="1">
        <v>20</v>
      </c>
      <c r="H11" s="1">
        <v>48</v>
      </c>
      <c r="I11" s="2">
        <f>IFERROR(H11/G11*100,0)</f>
        <v>0</v>
      </c>
      <c r="J11" s="1">
        <v>72</v>
      </c>
      <c r="K11" s="1">
        <v>5</v>
      </c>
      <c r="L11" s="1" t="s">
        <v>15</v>
      </c>
      <c r="M11" s="1"/>
      <c r="N11" s="1" t="s">
        <v>23</v>
      </c>
      <c r="O11" s="1" t="s">
        <v>220</v>
      </c>
    </row>
    <row r="12" spans="1:17">
      <c r="A12" s="1">
        <v>9</v>
      </c>
      <c r="B12" s="1" t="s">
        <v>895</v>
      </c>
      <c r="C12" s="5">
        <v>46094</v>
      </c>
      <c r="D12" s="1" t="s">
        <v>44</v>
      </c>
      <c r="E12" s="6" t="s">
        <v>54</v>
      </c>
      <c r="F12" s="6" t="s">
        <v>22</v>
      </c>
      <c r="G12" s="1">
        <v>42</v>
      </c>
      <c r="H12" s="1">
        <v>53</v>
      </c>
      <c r="I12" s="2">
        <f>IFERROR(H12/G12*100,0)</f>
        <v>0</v>
      </c>
      <c r="J12" s="1">
        <v>47</v>
      </c>
      <c r="K12" s="1">
        <v>4</v>
      </c>
      <c r="L12" s="1" t="s">
        <v>62</v>
      </c>
      <c r="M12" s="1"/>
      <c r="N12" s="1" t="s">
        <v>23</v>
      </c>
      <c r="O12" s="1" t="s">
        <v>220</v>
      </c>
    </row>
    <row r="13" spans="1:17">
      <c r="A13" s="1">
        <v>10</v>
      </c>
      <c r="B13" s="1" t="s">
        <v>896</v>
      </c>
      <c r="C13" s="5">
        <v>46101</v>
      </c>
      <c r="D13" s="1" t="s">
        <v>44</v>
      </c>
      <c r="E13" s="6" t="s">
        <v>38</v>
      </c>
      <c r="F13" s="6" t="s">
        <v>15</v>
      </c>
      <c r="G13" s="1">
        <v>40</v>
      </c>
      <c r="H13" s="1">
        <v>20</v>
      </c>
      <c r="I13" s="2">
        <f>IFERROR(H13/G13*100,0)</f>
        <v>0</v>
      </c>
      <c r="J13" s="1">
        <v>56</v>
      </c>
      <c r="K13" s="1">
        <v>7</v>
      </c>
      <c r="L13" s="1" t="s">
        <v>28</v>
      </c>
      <c r="M13" s="1"/>
      <c r="N13" s="1" t="s">
        <v>23</v>
      </c>
      <c r="O13" s="1" t="s">
        <v>220</v>
      </c>
    </row>
    <row r="14" spans="1:17">
      <c r="A14" s="1">
        <v>11</v>
      </c>
      <c r="B14" s="1" t="s">
        <v>897</v>
      </c>
      <c r="C14" s="5">
        <v>46086</v>
      </c>
      <c r="D14" s="1" t="s">
        <v>44</v>
      </c>
      <c r="E14" s="6" t="s">
        <v>57</v>
      </c>
      <c r="F14" s="6" t="s">
        <v>70</v>
      </c>
      <c r="G14" s="1">
        <v>39</v>
      </c>
      <c r="H14" s="1">
        <v>56</v>
      </c>
      <c r="I14" s="2">
        <f>IFERROR(H14/G14*100,0)</f>
        <v>0</v>
      </c>
      <c r="J14" s="1">
        <v>42</v>
      </c>
      <c r="K14" s="1">
        <v>0</v>
      </c>
      <c r="L14" s="1" t="s">
        <v>70</v>
      </c>
      <c r="M14" s="1"/>
      <c r="N14" s="1" t="s">
        <v>23</v>
      </c>
      <c r="O14" s="1" t="s">
        <v>220</v>
      </c>
    </row>
    <row r="15" spans="1:17">
      <c r="A15" s="1">
        <v>12</v>
      </c>
      <c r="B15" s="1" t="s">
        <v>898</v>
      </c>
      <c r="C15" s="5">
        <v>46138</v>
      </c>
      <c r="D15" s="1" t="s">
        <v>53</v>
      </c>
      <c r="E15" s="6" t="s">
        <v>45</v>
      </c>
      <c r="F15" s="6" t="s">
        <v>78</v>
      </c>
      <c r="G15" s="1">
        <v>23</v>
      </c>
      <c r="H15" s="1">
        <v>33</v>
      </c>
      <c r="I15" s="2">
        <f>IFERROR(H15/G15*100,0)</f>
        <v>0</v>
      </c>
      <c r="J15" s="1">
        <v>47</v>
      </c>
      <c r="K15" s="1">
        <v>4</v>
      </c>
      <c r="L15" s="1" t="s">
        <v>104</v>
      </c>
      <c r="M15" s="1"/>
      <c r="N15" s="1" t="s">
        <v>9</v>
      </c>
      <c r="O15" s="1" t="s">
        <v>230</v>
      </c>
    </row>
    <row r="16" spans="1:17">
      <c r="A16" s="1">
        <v>13</v>
      </c>
      <c r="B16" s="1" t="s">
        <v>899</v>
      </c>
      <c r="C16" s="5">
        <v>46137</v>
      </c>
      <c r="D16" s="1" t="s">
        <v>53</v>
      </c>
      <c r="E16" s="6" t="s">
        <v>38</v>
      </c>
      <c r="F16" s="6" t="s">
        <v>22</v>
      </c>
      <c r="G16" s="1">
        <v>47</v>
      </c>
      <c r="H16" s="1">
        <v>28</v>
      </c>
      <c r="I16" s="2">
        <f>IFERROR(H16/G16*100,0)</f>
        <v>0</v>
      </c>
      <c r="J16" s="1">
        <v>69</v>
      </c>
      <c r="K16" s="1">
        <v>8</v>
      </c>
      <c r="L16" s="1" t="s">
        <v>41</v>
      </c>
      <c r="M16" s="1"/>
      <c r="N16" s="1" t="s">
        <v>9</v>
      </c>
      <c r="O16" s="1" t="s">
        <v>220</v>
      </c>
    </row>
    <row r="17" spans="1:15">
      <c r="A17" s="1">
        <v>14</v>
      </c>
      <c r="B17" s="1" t="s">
        <v>900</v>
      </c>
      <c r="C17" s="5">
        <v>46140</v>
      </c>
      <c r="D17" s="1" t="s">
        <v>53</v>
      </c>
      <c r="E17" s="6" t="s">
        <v>54</v>
      </c>
      <c r="F17" s="6" t="s">
        <v>66</v>
      </c>
      <c r="G17" s="1">
        <v>46</v>
      </c>
      <c r="H17" s="1">
        <v>13</v>
      </c>
      <c r="I17" s="2">
        <f>IFERROR(H17/G17*100,0)</f>
        <v>0</v>
      </c>
      <c r="J17" s="1">
        <v>109</v>
      </c>
      <c r="K17" s="1">
        <v>4</v>
      </c>
      <c r="L17" s="1" t="s">
        <v>104</v>
      </c>
      <c r="M17" s="1"/>
      <c r="N17" s="1" t="s">
        <v>9</v>
      </c>
      <c r="O17" s="1" t="s">
        <v>220</v>
      </c>
    </row>
    <row r="18" spans="1:15">
      <c r="A18" s="1">
        <v>15</v>
      </c>
      <c r="B18" s="1" t="s">
        <v>901</v>
      </c>
      <c r="C18" s="5">
        <v>46145</v>
      </c>
      <c r="D18" s="1" t="s">
        <v>60</v>
      </c>
      <c r="E18" s="6" t="s">
        <v>57</v>
      </c>
      <c r="F18" s="6" t="s">
        <v>32</v>
      </c>
      <c r="G18" s="1">
        <v>56</v>
      </c>
      <c r="H18" s="1">
        <v>47</v>
      </c>
      <c r="I18" s="2">
        <f>IFERROR(H18/G18*100,0)</f>
        <v>0</v>
      </c>
      <c r="J18" s="1">
        <v>73</v>
      </c>
      <c r="K18" s="1">
        <v>3</v>
      </c>
      <c r="L18" s="1" t="s">
        <v>78</v>
      </c>
      <c r="M18" s="1"/>
      <c r="N18" s="1" t="s">
        <v>23</v>
      </c>
      <c r="O18" s="1" t="s">
        <v>220</v>
      </c>
    </row>
    <row r="19" spans="1:15">
      <c r="A19" s="1">
        <v>16</v>
      </c>
      <c r="B19" s="1" t="s">
        <v>902</v>
      </c>
      <c r="C19" s="5">
        <v>46183</v>
      </c>
      <c r="D19" s="1" t="s">
        <v>73</v>
      </c>
      <c r="E19" s="6" t="s">
        <v>26</v>
      </c>
      <c r="F19" s="6" t="s">
        <v>93</v>
      </c>
      <c r="G19" s="1">
        <v>32</v>
      </c>
      <c r="H19" s="1">
        <v>24</v>
      </c>
      <c r="I19" s="2">
        <f>IFERROR(H19/G19*100,0)</f>
        <v>0</v>
      </c>
      <c r="J19" s="1">
        <v>64</v>
      </c>
      <c r="K19" s="1">
        <v>3</v>
      </c>
      <c r="L19" s="1" t="s">
        <v>36</v>
      </c>
      <c r="M19" s="1"/>
      <c r="N19" s="1" t="s">
        <v>23</v>
      </c>
      <c r="O19" s="1" t="s">
        <v>220</v>
      </c>
    </row>
    <row r="20" spans="1:15">
      <c r="A20" s="1">
        <v>17</v>
      </c>
      <c r="B20" s="1" t="s">
        <v>903</v>
      </c>
      <c r="C20" s="5">
        <v>46186</v>
      </c>
      <c r="D20" s="1" t="s">
        <v>73</v>
      </c>
      <c r="E20" s="6" t="s">
        <v>26</v>
      </c>
      <c r="F20" s="6" t="s">
        <v>7</v>
      </c>
      <c r="G20" s="1">
        <v>57</v>
      </c>
      <c r="H20" s="1">
        <v>54</v>
      </c>
      <c r="I20" s="2">
        <f>IFERROR(H20/G20*100,0)</f>
        <v>0</v>
      </c>
      <c r="J20" s="1">
        <v>77</v>
      </c>
      <c r="K20" s="1">
        <v>4</v>
      </c>
      <c r="L20" s="1" t="s">
        <v>41</v>
      </c>
      <c r="M20" s="1"/>
      <c r="N20" s="1" t="s">
        <v>9</v>
      </c>
      <c r="O20" s="1" t="s">
        <v>220</v>
      </c>
    </row>
    <row r="21" spans="1:15">
      <c r="A21" s="1">
        <v>18</v>
      </c>
      <c r="B21" s="1" t="s">
        <v>904</v>
      </c>
      <c r="C21" s="5">
        <v>46193</v>
      </c>
      <c r="D21" s="1" t="s">
        <v>73</v>
      </c>
      <c r="E21" s="6" t="s">
        <v>12</v>
      </c>
      <c r="F21" s="6" t="s">
        <v>22</v>
      </c>
      <c r="G21" s="1">
        <v>57</v>
      </c>
      <c r="H21" s="1">
        <v>48</v>
      </c>
      <c r="I21" s="2">
        <f>IFERROR(H21/G21*100,0)</f>
        <v>0</v>
      </c>
      <c r="J21" s="1">
        <v>97</v>
      </c>
      <c r="K21" s="1">
        <v>0</v>
      </c>
      <c r="L21" s="1" t="s">
        <v>70</v>
      </c>
      <c r="M21" s="1"/>
      <c r="N21" s="1" t="s">
        <v>23</v>
      </c>
      <c r="O21" s="1" t="s">
        <v>220</v>
      </c>
    </row>
    <row r="22" spans="1:15">
      <c r="A22" s="1">
        <v>19</v>
      </c>
      <c r="B22" s="1" t="s">
        <v>905</v>
      </c>
      <c r="C22" s="5">
        <v>46186</v>
      </c>
      <c r="D22" s="1" t="s">
        <v>73</v>
      </c>
      <c r="E22" s="6" t="s">
        <v>30</v>
      </c>
      <c r="F22" s="6" t="s">
        <v>36</v>
      </c>
      <c r="G22" s="1">
        <v>18</v>
      </c>
      <c r="H22" s="1">
        <v>19</v>
      </c>
      <c r="I22" s="2">
        <f>IFERROR(H22/G22*100,0)</f>
        <v>0</v>
      </c>
      <c r="J22" s="1">
        <v>59</v>
      </c>
      <c r="K22" s="1">
        <v>6</v>
      </c>
      <c r="L22" s="1" t="s">
        <v>62</v>
      </c>
      <c r="M22" s="1"/>
      <c r="N22" s="1" t="s">
        <v>9</v>
      </c>
      <c r="O22" s="1" t="s">
        <v>220</v>
      </c>
    </row>
    <row r="23" spans="1:15">
      <c r="A23" s="1">
        <v>20</v>
      </c>
      <c r="B23" s="1" t="s">
        <v>906</v>
      </c>
      <c r="C23" s="5">
        <v>46177</v>
      </c>
      <c r="D23" s="1" t="s">
        <v>73</v>
      </c>
      <c r="E23" s="6" t="s">
        <v>4</v>
      </c>
      <c r="F23" s="6" t="s">
        <v>78</v>
      </c>
      <c r="G23" s="1">
        <v>37</v>
      </c>
      <c r="H23" s="1">
        <v>36</v>
      </c>
      <c r="I23" s="2">
        <f>IFERROR(H23/G23*100,0)</f>
        <v>0</v>
      </c>
      <c r="J23" s="1">
        <v>84</v>
      </c>
      <c r="K23" s="1">
        <v>3</v>
      </c>
      <c r="L23" s="1" t="s">
        <v>104</v>
      </c>
      <c r="M23" s="1"/>
      <c r="N23" s="1" t="s">
        <v>23</v>
      </c>
      <c r="O23" s="1" t="s">
        <v>220</v>
      </c>
    </row>
    <row r="24" spans="1:15">
      <c r="A24" s="1">
        <v>21</v>
      </c>
      <c r="B24" s="1" t="s">
        <v>907</v>
      </c>
      <c r="C24" s="5">
        <v>46213</v>
      </c>
      <c r="D24" s="1" t="s">
        <v>76</v>
      </c>
      <c r="E24" s="6" t="s">
        <v>38</v>
      </c>
      <c r="F24" s="6" t="s">
        <v>70</v>
      </c>
      <c r="G24" s="1">
        <v>59</v>
      </c>
      <c r="H24" s="1">
        <v>38</v>
      </c>
      <c r="I24" s="2">
        <f>IFERROR(H24/G24*100,0)</f>
        <v>0</v>
      </c>
      <c r="J24" s="1">
        <v>18</v>
      </c>
      <c r="K24" s="1">
        <v>2</v>
      </c>
      <c r="L24" s="1" t="s">
        <v>62</v>
      </c>
      <c r="M24" s="1"/>
      <c r="N24" s="1" t="s">
        <v>23</v>
      </c>
      <c r="O24" s="1" t="s">
        <v>220</v>
      </c>
    </row>
    <row r="25" spans="1:15">
      <c r="A25" s="1">
        <v>22</v>
      </c>
      <c r="B25" s="1" t="s">
        <v>908</v>
      </c>
      <c r="C25" s="5">
        <v>46220</v>
      </c>
      <c r="D25" s="1" t="s">
        <v>76</v>
      </c>
      <c r="E25" s="6" t="s">
        <v>26</v>
      </c>
      <c r="F25" s="6" t="s">
        <v>32</v>
      </c>
      <c r="G25" s="1">
        <v>54</v>
      </c>
      <c r="H25" s="1">
        <v>29</v>
      </c>
      <c r="I25" s="2">
        <f>IFERROR(H25/G25*100,0)</f>
        <v>0</v>
      </c>
      <c r="J25" s="1">
        <v>36</v>
      </c>
      <c r="K25" s="1">
        <v>5</v>
      </c>
      <c r="L25" s="1" t="s">
        <v>66</v>
      </c>
      <c r="M25" s="1"/>
      <c r="N25" s="1" t="s">
        <v>9</v>
      </c>
      <c r="O25" s="1" t="s">
        <v>220</v>
      </c>
    </row>
    <row r="26" spans="1:15">
      <c r="A26" s="1">
        <v>23</v>
      </c>
      <c r="B26" s="1" t="s">
        <v>909</v>
      </c>
      <c r="C26" s="5">
        <v>46216</v>
      </c>
      <c r="D26" s="1" t="s">
        <v>76</v>
      </c>
      <c r="E26" s="6" t="s">
        <v>57</v>
      </c>
      <c r="F26" s="6" t="s">
        <v>62</v>
      </c>
      <c r="G26" s="1">
        <v>51</v>
      </c>
      <c r="H26" s="1">
        <v>51</v>
      </c>
      <c r="I26" s="2">
        <f>IFERROR(H26/G26*100,0)</f>
        <v>0</v>
      </c>
      <c r="J26" s="1">
        <v>109</v>
      </c>
      <c r="K26" s="1">
        <v>3</v>
      </c>
      <c r="L26" s="1" t="s">
        <v>32</v>
      </c>
      <c r="M26" s="1"/>
      <c r="N26" s="1" t="s">
        <v>9</v>
      </c>
      <c r="O26" s="1" t="s">
        <v>230</v>
      </c>
    </row>
    <row r="27" spans="1:15">
      <c r="A27" s="1">
        <v>24</v>
      </c>
      <c r="B27" s="1" t="s">
        <v>910</v>
      </c>
      <c r="C27" s="5">
        <v>46206</v>
      </c>
      <c r="D27" s="1" t="s">
        <v>76</v>
      </c>
      <c r="E27" s="6" t="s">
        <v>20</v>
      </c>
      <c r="F27" s="6" t="s">
        <v>62</v>
      </c>
      <c r="G27" s="1">
        <v>55</v>
      </c>
      <c r="H27" s="1">
        <v>28</v>
      </c>
      <c r="I27" s="2">
        <f>IFERROR(H27/G27*100,0)</f>
        <v>0</v>
      </c>
      <c r="J27" s="1">
        <v>111</v>
      </c>
      <c r="K27" s="1">
        <v>0</v>
      </c>
      <c r="L27" s="1" t="s">
        <v>41</v>
      </c>
      <c r="M27" s="1"/>
      <c r="N27" s="1" t="s">
        <v>23</v>
      </c>
      <c r="O27" s="1" t="s">
        <v>230</v>
      </c>
    </row>
    <row r="28" spans="1:15">
      <c r="A28" s="1">
        <v>25</v>
      </c>
      <c r="B28" s="1" t="s">
        <v>911</v>
      </c>
      <c r="C28" s="5">
        <v>46248</v>
      </c>
      <c r="D28" s="1" t="s">
        <v>86</v>
      </c>
      <c r="E28" s="6" t="s">
        <v>61</v>
      </c>
      <c r="F28" s="6" t="s">
        <v>68</v>
      </c>
      <c r="G28" s="1">
        <v>40</v>
      </c>
      <c r="H28" s="1">
        <v>50</v>
      </c>
      <c r="I28" s="2">
        <f>IFERROR(H28/G28*100,0)</f>
        <v>0</v>
      </c>
      <c r="J28" s="1">
        <v>78</v>
      </c>
      <c r="K28" s="1">
        <v>8</v>
      </c>
      <c r="L28" s="1" t="s">
        <v>70</v>
      </c>
      <c r="M28" s="1"/>
      <c r="N28" s="1" t="s">
        <v>23</v>
      </c>
      <c r="O28" s="1" t="s">
        <v>220</v>
      </c>
    </row>
    <row r="29" spans="1:15">
      <c r="A29" s="1">
        <v>26</v>
      </c>
      <c r="B29" s="1" t="s">
        <v>912</v>
      </c>
      <c r="C29" s="5">
        <v>46240</v>
      </c>
      <c r="D29" s="1" t="s">
        <v>86</v>
      </c>
      <c r="E29" s="6" t="s">
        <v>49</v>
      </c>
      <c r="F29" s="6" t="s">
        <v>104</v>
      </c>
      <c r="G29" s="1">
        <v>44</v>
      </c>
      <c r="H29" s="1">
        <v>18</v>
      </c>
      <c r="I29" s="2">
        <f>IFERROR(H29/G29*100,0)</f>
        <v>0</v>
      </c>
      <c r="J29" s="1">
        <v>15</v>
      </c>
      <c r="K29" s="1">
        <v>7</v>
      </c>
      <c r="L29" s="1" t="s">
        <v>70</v>
      </c>
      <c r="M29" s="1"/>
      <c r="N29" s="1" t="s">
        <v>23</v>
      </c>
      <c r="O29" s="1" t="s">
        <v>224</v>
      </c>
    </row>
    <row r="30" spans="1:15">
      <c r="A30" s="1">
        <v>27</v>
      </c>
      <c r="B30" s="1" t="s">
        <v>913</v>
      </c>
      <c r="C30" s="5">
        <v>46240</v>
      </c>
      <c r="D30" s="1" t="s">
        <v>86</v>
      </c>
      <c r="E30" s="6" t="s">
        <v>20</v>
      </c>
      <c r="F30" s="6" t="s">
        <v>36</v>
      </c>
      <c r="G30" s="1">
        <v>49</v>
      </c>
      <c r="H30" s="1">
        <v>30</v>
      </c>
      <c r="I30" s="2">
        <f>IFERROR(H30/G30*100,0)</f>
        <v>0</v>
      </c>
      <c r="J30" s="1">
        <v>24</v>
      </c>
      <c r="K30" s="1">
        <v>5</v>
      </c>
      <c r="L30" s="1" t="s">
        <v>41</v>
      </c>
      <c r="M30" s="1"/>
      <c r="N30" s="1" t="s">
        <v>9</v>
      </c>
      <c r="O30" s="1" t="s">
        <v>220</v>
      </c>
    </row>
    <row r="31" spans="1:15">
      <c r="A31" s="1">
        <v>28</v>
      </c>
      <c r="B31" s="1" t="s">
        <v>914</v>
      </c>
      <c r="C31" s="5">
        <v>46252</v>
      </c>
      <c r="D31" s="1" t="s">
        <v>86</v>
      </c>
      <c r="E31" s="6" t="s">
        <v>4</v>
      </c>
      <c r="F31" s="6" t="s">
        <v>93</v>
      </c>
      <c r="G31" s="1">
        <v>10</v>
      </c>
      <c r="H31" s="1">
        <v>60</v>
      </c>
      <c r="I31" s="2">
        <f>IFERROR(H31/G31*100,0)</f>
        <v>0</v>
      </c>
      <c r="J31" s="1">
        <v>59</v>
      </c>
      <c r="K31" s="1">
        <v>7</v>
      </c>
      <c r="L31" s="1" t="s">
        <v>32</v>
      </c>
      <c r="M31" s="1"/>
      <c r="N31" s="1" t="s">
        <v>23</v>
      </c>
      <c r="O31" s="1" t="s">
        <v>220</v>
      </c>
    </row>
    <row r="32" spans="1:15">
      <c r="A32" s="1">
        <v>29</v>
      </c>
      <c r="B32" s="1" t="s">
        <v>915</v>
      </c>
      <c r="C32" s="5">
        <v>46277</v>
      </c>
      <c r="D32" s="1" t="s">
        <v>102</v>
      </c>
      <c r="E32" s="6" t="s">
        <v>38</v>
      </c>
      <c r="F32" s="6" t="s">
        <v>66</v>
      </c>
      <c r="G32" s="1">
        <v>27</v>
      </c>
      <c r="H32" s="1">
        <v>48</v>
      </c>
      <c r="I32" s="2">
        <f>IFERROR(H32/G32*100,0)</f>
        <v>0</v>
      </c>
      <c r="J32" s="1">
        <v>47</v>
      </c>
      <c r="K32" s="1">
        <v>3</v>
      </c>
      <c r="L32" s="1" t="s">
        <v>7</v>
      </c>
      <c r="M32" s="1"/>
      <c r="N32" s="1" t="s">
        <v>9</v>
      </c>
      <c r="O32" s="1" t="s">
        <v>220</v>
      </c>
    </row>
    <row r="33" spans="1:15">
      <c r="A33" s="1">
        <v>30</v>
      </c>
      <c r="B33" s="1" t="s">
        <v>916</v>
      </c>
      <c r="C33" s="5">
        <v>46287</v>
      </c>
      <c r="D33" s="1" t="s">
        <v>102</v>
      </c>
      <c r="E33" s="6" t="s">
        <v>26</v>
      </c>
      <c r="F33" s="6" t="s">
        <v>22</v>
      </c>
      <c r="G33" s="1">
        <v>21</v>
      </c>
      <c r="H33" s="1">
        <v>36</v>
      </c>
      <c r="I33" s="2">
        <f>IFERROR(H33/G33*100,0)</f>
        <v>0</v>
      </c>
      <c r="J33" s="1">
        <v>55</v>
      </c>
      <c r="K33" s="1">
        <v>5</v>
      </c>
      <c r="L33" s="1" t="s">
        <v>66</v>
      </c>
      <c r="M33" s="1"/>
      <c r="N33" s="1" t="s">
        <v>23</v>
      </c>
      <c r="O33" s="1" t="s">
        <v>220</v>
      </c>
    </row>
    <row r="34" spans="1:15">
      <c r="A34" s="1">
        <v>31</v>
      </c>
      <c r="B34" s="1" t="s">
        <v>917</v>
      </c>
      <c r="C34" s="5">
        <v>46284</v>
      </c>
      <c r="D34" s="1" t="s">
        <v>102</v>
      </c>
      <c r="E34" s="6" t="s">
        <v>4</v>
      </c>
      <c r="F34" s="6" t="s">
        <v>93</v>
      </c>
      <c r="G34" s="1">
        <v>51</v>
      </c>
      <c r="H34" s="1">
        <v>21</v>
      </c>
      <c r="I34" s="2">
        <f>IFERROR(H34/G34*100,0)</f>
        <v>0</v>
      </c>
      <c r="J34" s="1">
        <v>116</v>
      </c>
      <c r="K34" s="1">
        <v>5</v>
      </c>
      <c r="L34" s="1" t="s">
        <v>66</v>
      </c>
      <c r="M34" s="1"/>
      <c r="N34" s="1" t="s">
        <v>23</v>
      </c>
      <c r="O34" s="1" t="s">
        <v>220</v>
      </c>
    </row>
    <row r="35" spans="1:15">
      <c r="A35" s="1">
        <v>32</v>
      </c>
      <c r="B35" s="1" t="s">
        <v>918</v>
      </c>
      <c r="C35" s="5">
        <v>46274</v>
      </c>
      <c r="D35" s="1" t="s">
        <v>102</v>
      </c>
      <c r="E35" s="6" t="s">
        <v>12</v>
      </c>
      <c r="F35" s="6" t="s">
        <v>32</v>
      </c>
      <c r="G35" s="1">
        <v>12</v>
      </c>
      <c r="H35" s="1">
        <v>25</v>
      </c>
      <c r="I35" s="2">
        <f>IFERROR(H35/G35*100,0)</f>
        <v>0</v>
      </c>
      <c r="J35" s="1">
        <v>84</v>
      </c>
      <c r="K35" s="1">
        <v>2</v>
      </c>
      <c r="L35" s="1" t="s">
        <v>36</v>
      </c>
      <c r="M35" s="1"/>
      <c r="N35" s="1" t="s">
        <v>23</v>
      </c>
      <c r="O35" s="1" t="s">
        <v>224</v>
      </c>
    </row>
    <row r="36" spans="1:15">
      <c r="A36" s="1">
        <v>33</v>
      </c>
      <c r="B36" s="1" t="s">
        <v>919</v>
      </c>
      <c r="C36" s="5">
        <v>46298</v>
      </c>
      <c r="D36" s="1" t="s">
        <v>106</v>
      </c>
      <c r="E36" s="6" t="s">
        <v>91</v>
      </c>
      <c r="F36" s="6" t="s">
        <v>78</v>
      </c>
      <c r="G36" s="1">
        <v>17</v>
      </c>
      <c r="H36" s="1">
        <v>35</v>
      </c>
      <c r="I36" s="2">
        <f>IFERROR(H36/G36*100,0)</f>
        <v>0</v>
      </c>
      <c r="J36" s="1">
        <v>107</v>
      </c>
      <c r="K36" s="1">
        <v>2</v>
      </c>
      <c r="L36" s="1" t="s">
        <v>78</v>
      </c>
      <c r="M36" s="1"/>
      <c r="N36" s="1" t="s">
        <v>9</v>
      </c>
      <c r="O36" s="1" t="s">
        <v>224</v>
      </c>
    </row>
    <row r="37" spans="1:15">
      <c r="A37" s="1">
        <v>34</v>
      </c>
      <c r="B37" s="1" t="s">
        <v>920</v>
      </c>
      <c r="C37" s="5">
        <v>46320</v>
      </c>
      <c r="D37" s="1" t="s">
        <v>106</v>
      </c>
      <c r="E37" s="6" t="s">
        <v>49</v>
      </c>
      <c r="F37" s="6" t="s">
        <v>32</v>
      </c>
      <c r="G37" s="1">
        <v>55</v>
      </c>
      <c r="H37" s="1">
        <v>15</v>
      </c>
      <c r="I37" s="2">
        <f>IFERROR(H37/G37*100,0)</f>
        <v>0</v>
      </c>
      <c r="J37" s="1">
        <v>68</v>
      </c>
      <c r="K37" s="1">
        <v>8</v>
      </c>
      <c r="L37" s="1" t="s">
        <v>78</v>
      </c>
      <c r="M37" s="1"/>
      <c r="N37" s="1" t="s">
        <v>9</v>
      </c>
      <c r="O37" s="1" t="s">
        <v>230</v>
      </c>
    </row>
    <row r="38" spans="1:15">
      <c r="A38" s="1">
        <v>35</v>
      </c>
      <c r="B38" s="1" t="s">
        <v>921</v>
      </c>
      <c r="C38" s="5">
        <v>46297</v>
      </c>
      <c r="D38" s="1" t="s">
        <v>106</v>
      </c>
      <c r="E38" s="6" t="s">
        <v>49</v>
      </c>
      <c r="F38" s="6" t="s">
        <v>32</v>
      </c>
      <c r="G38" s="1">
        <v>57</v>
      </c>
      <c r="H38" s="1">
        <v>48</v>
      </c>
      <c r="I38" s="2">
        <f>IFERROR(H38/G38*100,0)</f>
        <v>0</v>
      </c>
      <c r="J38" s="1">
        <v>113</v>
      </c>
      <c r="K38" s="1">
        <v>0</v>
      </c>
      <c r="L38" s="1" t="s">
        <v>15</v>
      </c>
      <c r="M38" s="1"/>
      <c r="N38" s="1" t="s">
        <v>9</v>
      </c>
      <c r="O38" s="1" t="s">
        <v>220</v>
      </c>
    </row>
    <row r="39" spans="1:15">
      <c r="A39" s="1">
        <v>36</v>
      </c>
      <c r="B39" s="1" t="s">
        <v>922</v>
      </c>
      <c r="C39" s="5">
        <v>46318</v>
      </c>
      <c r="D39" s="1" t="s">
        <v>106</v>
      </c>
      <c r="E39" s="6" t="s">
        <v>64</v>
      </c>
      <c r="F39" s="6" t="s">
        <v>93</v>
      </c>
      <c r="G39" s="1">
        <v>31</v>
      </c>
      <c r="H39" s="1">
        <v>22</v>
      </c>
      <c r="I39" s="2">
        <f>IFERROR(H39/G39*100,0)</f>
        <v>0</v>
      </c>
      <c r="J39" s="1">
        <v>66</v>
      </c>
      <c r="K39" s="1">
        <v>5</v>
      </c>
      <c r="L39" s="1" t="s">
        <v>68</v>
      </c>
      <c r="M39" s="1"/>
      <c r="N39" s="1" t="s">
        <v>23</v>
      </c>
      <c r="O39" s="1" t="s">
        <v>220</v>
      </c>
    </row>
    <row r="40" spans="1:15">
      <c r="A40" s="1">
        <v>37</v>
      </c>
      <c r="B40" s="1" t="s">
        <v>923</v>
      </c>
      <c r="C40" s="5">
        <v>46300</v>
      </c>
      <c r="D40" s="1" t="s">
        <v>106</v>
      </c>
      <c r="E40" s="6" t="s">
        <v>30</v>
      </c>
      <c r="F40" s="6" t="s">
        <v>70</v>
      </c>
      <c r="G40" s="1">
        <v>37</v>
      </c>
      <c r="H40" s="1">
        <v>46</v>
      </c>
      <c r="I40" s="2">
        <f>IFERROR(H40/G40*100,0)</f>
        <v>0</v>
      </c>
      <c r="J40" s="1">
        <v>56</v>
      </c>
      <c r="K40" s="1">
        <v>2</v>
      </c>
      <c r="L40" s="1" t="s">
        <v>36</v>
      </c>
      <c r="M40" s="1"/>
      <c r="N40" s="1" t="s">
        <v>23</v>
      </c>
      <c r="O40" s="1" t="s">
        <v>220</v>
      </c>
    </row>
    <row r="41" spans="1:15">
      <c r="A41" s="1">
        <v>38</v>
      </c>
      <c r="B41" s="1" t="s">
        <v>924</v>
      </c>
      <c r="C41" s="5">
        <v>46316</v>
      </c>
      <c r="D41" s="1" t="s">
        <v>106</v>
      </c>
      <c r="E41" s="6" t="s">
        <v>57</v>
      </c>
      <c r="F41" s="6" t="s">
        <v>41</v>
      </c>
      <c r="G41" s="1">
        <v>50</v>
      </c>
      <c r="H41" s="1">
        <v>54</v>
      </c>
      <c r="I41" s="2">
        <f>IFERROR(H41/G41*100,0)</f>
        <v>0</v>
      </c>
      <c r="J41" s="1">
        <v>74</v>
      </c>
      <c r="K41" s="1">
        <v>7</v>
      </c>
      <c r="L41" s="1" t="s">
        <v>32</v>
      </c>
      <c r="M41" s="1"/>
      <c r="N41" s="1" t="s">
        <v>9</v>
      </c>
      <c r="O41" s="1" t="s">
        <v>224</v>
      </c>
    </row>
    <row r="42" spans="1:15">
      <c r="A42" s="1">
        <v>39</v>
      </c>
      <c r="B42" s="1" t="s">
        <v>925</v>
      </c>
      <c r="C42" s="5">
        <v>46305</v>
      </c>
      <c r="D42" s="1" t="s">
        <v>106</v>
      </c>
      <c r="E42" s="6" t="s">
        <v>20</v>
      </c>
      <c r="F42" s="6" t="s">
        <v>36</v>
      </c>
      <c r="G42" s="1">
        <v>10</v>
      </c>
      <c r="H42" s="1">
        <v>21</v>
      </c>
      <c r="I42" s="2">
        <f>IFERROR(H42/G42*100,0)</f>
        <v>0</v>
      </c>
      <c r="J42" s="1">
        <v>52</v>
      </c>
      <c r="K42" s="1">
        <v>0</v>
      </c>
      <c r="L42" s="1" t="s">
        <v>104</v>
      </c>
      <c r="M42" s="1"/>
      <c r="N42" s="1" t="s">
        <v>9</v>
      </c>
      <c r="O42" s="1" t="s">
        <v>220</v>
      </c>
    </row>
    <row r="43" spans="1:15">
      <c r="A43" s="1">
        <v>40</v>
      </c>
      <c r="B43" s="1" t="s">
        <v>926</v>
      </c>
      <c r="C43" s="5">
        <v>46320</v>
      </c>
      <c r="D43" s="1" t="s">
        <v>106</v>
      </c>
      <c r="E43" s="6" t="s">
        <v>38</v>
      </c>
      <c r="F43" s="6" t="s">
        <v>22</v>
      </c>
      <c r="G43" s="1">
        <v>34</v>
      </c>
      <c r="H43" s="1">
        <v>28</v>
      </c>
      <c r="I43" s="2">
        <f>IFERROR(H43/G43*100,0)</f>
        <v>0</v>
      </c>
      <c r="J43" s="1">
        <v>119</v>
      </c>
      <c r="K43" s="1">
        <v>7</v>
      </c>
      <c r="L43" s="1" t="s">
        <v>93</v>
      </c>
      <c r="M43" s="1"/>
      <c r="N43" s="1" t="s">
        <v>9</v>
      </c>
      <c r="O43" s="1" t="s">
        <v>220</v>
      </c>
    </row>
    <row r="44" spans="1:15">
      <c r="A44" s="1">
        <v>41</v>
      </c>
      <c r="B44" s="1" t="s">
        <v>927</v>
      </c>
      <c r="C44" s="5">
        <v>46303</v>
      </c>
      <c r="D44" s="1" t="s">
        <v>106</v>
      </c>
      <c r="E44" s="6" t="s">
        <v>61</v>
      </c>
      <c r="F44" s="6" t="s">
        <v>41</v>
      </c>
      <c r="G44" s="1">
        <v>36</v>
      </c>
      <c r="H44" s="1">
        <v>46</v>
      </c>
      <c r="I44" s="2">
        <f>IFERROR(H44/G44*100,0)</f>
        <v>0</v>
      </c>
      <c r="J44" s="1">
        <v>79</v>
      </c>
      <c r="K44" s="1">
        <v>7</v>
      </c>
      <c r="L44" s="1" t="s">
        <v>70</v>
      </c>
      <c r="M44" s="1"/>
      <c r="N44" s="1" t="s">
        <v>9</v>
      </c>
      <c r="O44" s="1" t="s">
        <v>220</v>
      </c>
    </row>
    <row r="45" spans="1:15">
      <c r="A45" s="1">
        <v>42</v>
      </c>
      <c r="B45" s="1" t="s">
        <v>928</v>
      </c>
      <c r="C45" s="5">
        <v>46311</v>
      </c>
      <c r="D45" s="1" t="s">
        <v>106</v>
      </c>
      <c r="E45" s="6" t="s">
        <v>30</v>
      </c>
      <c r="F45" s="6" t="s">
        <v>66</v>
      </c>
      <c r="G45" s="1">
        <v>54</v>
      </c>
      <c r="H45" s="1">
        <v>37</v>
      </c>
      <c r="I45" s="2">
        <f>IFERROR(H45/G45*100,0)</f>
        <v>0</v>
      </c>
      <c r="J45" s="1">
        <v>102</v>
      </c>
      <c r="K45" s="1">
        <v>8</v>
      </c>
      <c r="L45" s="1" t="s">
        <v>78</v>
      </c>
      <c r="M45" s="1"/>
      <c r="N45" s="1" t="s">
        <v>9</v>
      </c>
      <c r="O45" s="1" t="s">
        <v>220</v>
      </c>
    </row>
    <row r="46" spans="1:15">
      <c r="A46" s="1">
        <v>43</v>
      </c>
      <c r="B46" s="1" t="s">
        <v>929</v>
      </c>
      <c r="C46" s="5">
        <v>46316</v>
      </c>
      <c r="D46" s="1" t="s">
        <v>106</v>
      </c>
      <c r="E46" s="6" t="s">
        <v>49</v>
      </c>
      <c r="F46" s="6" t="s">
        <v>22</v>
      </c>
      <c r="G46" s="1">
        <v>51</v>
      </c>
      <c r="H46" s="1">
        <v>38</v>
      </c>
      <c r="I46" s="2">
        <f>IFERROR(H46/G46*100,0)</f>
        <v>0</v>
      </c>
      <c r="J46" s="1">
        <v>88</v>
      </c>
      <c r="K46" s="1">
        <v>8</v>
      </c>
      <c r="L46" s="1" t="s">
        <v>7</v>
      </c>
      <c r="M46" s="1"/>
      <c r="N46" s="1" t="s">
        <v>9</v>
      </c>
      <c r="O46" s="1" t="s">
        <v>220</v>
      </c>
    </row>
    <row r="47" spans="1:15">
      <c r="A47" s="1">
        <v>44</v>
      </c>
      <c r="B47" s="1" t="s">
        <v>930</v>
      </c>
      <c r="C47" s="5">
        <v>46297</v>
      </c>
      <c r="D47" s="1" t="s">
        <v>106</v>
      </c>
      <c r="E47" s="6" t="s">
        <v>45</v>
      </c>
      <c r="F47" s="6" t="s">
        <v>36</v>
      </c>
      <c r="G47" s="1">
        <v>10</v>
      </c>
      <c r="H47" s="1">
        <v>31</v>
      </c>
      <c r="I47" s="2">
        <f>IFERROR(H47/G47*100,0)</f>
        <v>0</v>
      </c>
      <c r="J47" s="1">
        <v>28</v>
      </c>
      <c r="K47" s="1">
        <v>4</v>
      </c>
      <c r="L47" s="1" t="s">
        <v>36</v>
      </c>
      <c r="M47" s="1"/>
      <c r="N47" s="1" t="s">
        <v>23</v>
      </c>
      <c r="O47" s="1" t="s">
        <v>224</v>
      </c>
    </row>
    <row r="48" spans="1:15">
      <c r="A48" s="1">
        <v>45</v>
      </c>
      <c r="B48" s="1" t="s">
        <v>931</v>
      </c>
      <c r="C48" s="5">
        <v>46346</v>
      </c>
      <c r="D48" s="1" t="s">
        <v>111</v>
      </c>
      <c r="E48" s="6" t="s">
        <v>16</v>
      </c>
      <c r="F48" s="6" t="s">
        <v>70</v>
      </c>
      <c r="G48" s="1">
        <v>60</v>
      </c>
      <c r="H48" s="1">
        <v>13</v>
      </c>
      <c r="I48" s="2">
        <f>IFERROR(H48/G48*100,0)</f>
        <v>0</v>
      </c>
      <c r="J48" s="1">
        <v>55</v>
      </c>
      <c r="K48" s="1">
        <v>4</v>
      </c>
      <c r="L48" s="1" t="s">
        <v>78</v>
      </c>
      <c r="M48" s="1"/>
      <c r="N48" s="1" t="s">
        <v>23</v>
      </c>
      <c r="O48" s="1" t="s">
        <v>230</v>
      </c>
    </row>
    <row r="49" spans="1:15">
      <c r="A49" s="1">
        <v>46</v>
      </c>
      <c r="B49" s="1" t="s">
        <v>932</v>
      </c>
      <c r="C49" s="5">
        <v>46349</v>
      </c>
      <c r="D49" s="1" t="s">
        <v>111</v>
      </c>
      <c r="E49" s="6" t="s">
        <v>64</v>
      </c>
      <c r="F49" s="6" t="s">
        <v>7</v>
      </c>
      <c r="G49" s="1">
        <v>55</v>
      </c>
      <c r="H49" s="1">
        <v>35</v>
      </c>
      <c r="I49" s="2">
        <f>IFERROR(H49/G49*100,0)</f>
        <v>0</v>
      </c>
      <c r="J49" s="1">
        <v>48</v>
      </c>
      <c r="K49" s="1">
        <v>2</v>
      </c>
      <c r="L49" s="1" t="s">
        <v>32</v>
      </c>
      <c r="M49" s="1"/>
      <c r="N49" s="1" t="s">
        <v>9</v>
      </c>
      <c r="O49" s="1" t="s">
        <v>220</v>
      </c>
    </row>
    <row r="50" spans="1:15">
      <c r="A50" s="1">
        <v>47</v>
      </c>
      <c r="B50" s="1" t="s">
        <v>933</v>
      </c>
      <c r="C50" s="5">
        <v>46331</v>
      </c>
      <c r="D50" s="1" t="s">
        <v>111</v>
      </c>
      <c r="E50" s="6" t="s">
        <v>16</v>
      </c>
      <c r="F50" s="6" t="s">
        <v>70</v>
      </c>
      <c r="G50" s="1">
        <v>20</v>
      </c>
      <c r="H50" s="1">
        <v>45</v>
      </c>
      <c r="I50" s="2">
        <f>IFERROR(H50/G50*100,0)</f>
        <v>0</v>
      </c>
      <c r="J50" s="1">
        <v>94</v>
      </c>
      <c r="K50" s="1">
        <v>6</v>
      </c>
      <c r="L50" s="1" t="s">
        <v>93</v>
      </c>
      <c r="M50" s="1"/>
      <c r="N50" s="1" t="s">
        <v>23</v>
      </c>
      <c r="O50" s="1" t="s">
        <v>220</v>
      </c>
    </row>
    <row r="51" spans="1:15">
      <c r="A51" s="1">
        <v>48</v>
      </c>
      <c r="B51" s="1" t="s">
        <v>934</v>
      </c>
      <c r="C51" s="5">
        <v>46337</v>
      </c>
      <c r="D51" s="1" t="s">
        <v>111</v>
      </c>
      <c r="E51" s="6" t="s">
        <v>12</v>
      </c>
      <c r="F51" s="6" t="s">
        <v>41</v>
      </c>
      <c r="G51" s="1">
        <v>32</v>
      </c>
      <c r="H51" s="1">
        <v>12</v>
      </c>
      <c r="I51" s="2">
        <f>IFERROR(H51/G51*100,0)</f>
        <v>0</v>
      </c>
      <c r="J51" s="1">
        <v>20</v>
      </c>
      <c r="K51" s="1">
        <v>2</v>
      </c>
      <c r="L51" s="1" t="s">
        <v>15</v>
      </c>
      <c r="M51" s="1"/>
      <c r="N51" s="1" t="s">
        <v>23</v>
      </c>
      <c r="O51" s="1" t="s">
        <v>230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942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1004</v>
      </c>
      <c r="C3" s="1" t="s">
        <v>126</v>
      </c>
      <c r="D3" s="1" t="s">
        <v>127</v>
      </c>
      <c r="E3" s="1" t="s">
        <v>1005</v>
      </c>
      <c r="F3" s="1" t="s">
        <v>129</v>
      </c>
      <c r="G3" s="1" t="s">
        <v>1006</v>
      </c>
      <c r="H3" s="1" t="s">
        <v>357</v>
      </c>
      <c r="I3" s="1" t="s">
        <v>1007</v>
      </c>
      <c r="J3" s="1" t="s">
        <v>209</v>
      </c>
      <c r="K3" s="1" t="s">
        <v>286</v>
      </c>
    </row>
    <row r="4" spans="1:13">
      <c r="A4" s="1">
        <v>1</v>
      </c>
      <c r="B4" s="1" t="s">
        <v>943</v>
      </c>
      <c r="C4" s="5">
        <v>46027</v>
      </c>
      <c r="D4" s="1" t="s">
        <v>3</v>
      </c>
      <c r="E4" s="6" t="s">
        <v>944</v>
      </c>
      <c r="F4" s="6" t="s">
        <v>89</v>
      </c>
      <c r="G4" s="1" t="s">
        <v>70</v>
      </c>
      <c r="H4" s="1" t="s">
        <v>293</v>
      </c>
      <c r="I4" s="1" t="s">
        <v>945</v>
      </c>
      <c r="J4" s="1" t="s">
        <v>15</v>
      </c>
      <c r="K4" s="1" t="s">
        <v>220</v>
      </c>
    </row>
    <row r="5" spans="1:13">
      <c r="A5" s="1">
        <v>2</v>
      </c>
      <c r="B5" s="1" t="s">
        <v>946</v>
      </c>
      <c r="C5" s="5">
        <v>46035</v>
      </c>
      <c r="D5" s="1" t="s">
        <v>3</v>
      </c>
      <c r="E5" s="6" t="s">
        <v>947</v>
      </c>
      <c r="F5" s="6" t="s">
        <v>50</v>
      </c>
      <c r="G5" s="1" t="s">
        <v>28</v>
      </c>
      <c r="H5" s="1" t="s">
        <v>310</v>
      </c>
      <c r="I5" s="1" t="s">
        <v>948</v>
      </c>
      <c r="J5" s="1" t="s">
        <v>104</v>
      </c>
      <c r="K5" s="1" t="s">
        <v>220</v>
      </c>
    </row>
    <row r="6" spans="1:13">
      <c r="A6" s="1">
        <v>3</v>
      </c>
      <c r="B6" s="1" t="s">
        <v>949</v>
      </c>
      <c r="C6" s="5">
        <v>46049</v>
      </c>
      <c r="D6" s="1" t="s">
        <v>3</v>
      </c>
      <c r="E6" s="6" t="s">
        <v>950</v>
      </c>
      <c r="F6" s="6" t="s">
        <v>46</v>
      </c>
      <c r="G6" s="1" t="s">
        <v>66</v>
      </c>
      <c r="H6" s="1" t="s">
        <v>310</v>
      </c>
      <c r="I6" s="1" t="s">
        <v>948</v>
      </c>
      <c r="J6" s="1" t="s">
        <v>70</v>
      </c>
      <c r="K6" s="1" t="s">
        <v>220</v>
      </c>
    </row>
    <row r="7" spans="1:13">
      <c r="A7" s="1">
        <v>4</v>
      </c>
      <c r="B7" s="1" t="s">
        <v>951</v>
      </c>
      <c r="C7" s="5">
        <v>46050</v>
      </c>
      <c r="D7" s="1" t="s">
        <v>3</v>
      </c>
      <c r="E7" s="6" t="s">
        <v>944</v>
      </c>
      <c r="F7" s="6" t="s">
        <v>65</v>
      </c>
      <c r="G7" s="1" t="s">
        <v>62</v>
      </c>
      <c r="H7" s="1" t="s">
        <v>952</v>
      </c>
      <c r="I7" s="1" t="s">
        <v>945</v>
      </c>
      <c r="J7" s="1" t="s">
        <v>36</v>
      </c>
      <c r="K7" s="1" t="s">
        <v>953</v>
      </c>
    </row>
    <row r="8" spans="1:13">
      <c r="A8" s="1">
        <v>5</v>
      </c>
      <c r="B8" s="1" t="s">
        <v>954</v>
      </c>
      <c r="C8" s="5">
        <v>46041</v>
      </c>
      <c r="D8" s="1" t="s">
        <v>3</v>
      </c>
      <c r="E8" s="6" t="s">
        <v>944</v>
      </c>
      <c r="F8" s="6" t="s">
        <v>50</v>
      </c>
      <c r="G8" s="1" t="s">
        <v>28</v>
      </c>
      <c r="H8" s="1" t="s">
        <v>303</v>
      </c>
      <c r="I8" s="1" t="s">
        <v>955</v>
      </c>
      <c r="J8" s="1" t="s">
        <v>32</v>
      </c>
      <c r="K8" s="1" t="s">
        <v>956</v>
      </c>
    </row>
    <row r="9" spans="1:13">
      <c r="A9" s="1">
        <v>6</v>
      </c>
      <c r="B9" s="1" t="s">
        <v>957</v>
      </c>
      <c r="C9" s="5">
        <v>46034</v>
      </c>
      <c r="D9" s="1" t="s">
        <v>3</v>
      </c>
      <c r="E9" s="6" t="s">
        <v>958</v>
      </c>
      <c r="F9" s="6" t="s">
        <v>65</v>
      </c>
      <c r="G9" s="1" t="s">
        <v>32</v>
      </c>
      <c r="H9" s="1" t="s">
        <v>293</v>
      </c>
      <c r="I9" s="1" t="s">
        <v>945</v>
      </c>
      <c r="J9" s="1" t="s">
        <v>70</v>
      </c>
      <c r="K9" s="1" t="s">
        <v>220</v>
      </c>
    </row>
    <row r="10" spans="1:13">
      <c r="A10" s="1">
        <v>7</v>
      </c>
      <c r="B10" s="1" t="s">
        <v>959</v>
      </c>
      <c r="C10" s="5">
        <v>46027</v>
      </c>
      <c r="D10" s="1" t="s">
        <v>3</v>
      </c>
      <c r="E10" s="6" t="s">
        <v>950</v>
      </c>
      <c r="F10" s="6" t="s">
        <v>27</v>
      </c>
      <c r="G10" s="1" t="s">
        <v>93</v>
      </c>
      <c r="H10" s="1" t="s">
        <v>293</v>
      </c>
      <c r="I10" s="1" t="s">
        <v>948</v>
      </c>
      <c r="J10" s="1" t="s">
        <v>7</v>
      </c>
      <c r="K10" s="1" t="s">
        <v>220</v>
      </c>
    </row>
    <row r="11" spans="1:13">
      <c r="A11" s="1">
        <v>8</v>
      </c>
      <c r="B11" s="1" t="s">
        <v>960</v>
      </c>
      <c r="C11" s="5">
        <v>46044</v>
      </c>
      <c r="D11" s="1" t="s">
        <v>3</v>
      </c>
      <c r="E11" s="6" t="s">
        <v>958</v>
      </c>
      <c r="F11" s="6" t="s">
        <v>89</v>
      </c>
      <c r="G11" s="1" t="s">
        <v>62</v>
      </c>
      <c r="H11" s="1" t="s">
        <v>310</v>
      </c>
      <c r="I11" s="1" t="s">
        <v>955</v>
      </c>
      <c r="J11" s="1" t="s">
        <v>36</v>
      </c>
      <c r="K11" s="1" t="s">
        <v>220</v>
      </c>
    </row>
    <row r="12" spans="1:13">
      <c r="A12" s="1">
        <v>9</v>
      </c>
      <c r="B12" s="1" t="s">
        <v>961</v>
      </c>
      <c r="C12" s="5">
        <v>46047</v>
      </c>
      <c r="D12" s="1" t="s">
        <v>3</v>
      </c>
      <c r="E12" s="6" t="s">
        <v>958</v>
      </c>
      <c r="F12" s="6" t="s">
        <v>92</v>
      </c>
      <c r="G12" s="1" t="s">
        <v>104</v>
      </c>
      <c r="H12" s="1" t="s">
        <v>293</v>
      </c>
      <c r="I12" s="1" t="s">
        <v>962</v>
      </c>
      <c r="J12" s="1" t="s">
        <v>41</v>
      </c>
      <c r="K12" s="1" t="s">
        <v>953</v>
      </c>
    </row>
    <row r="13" spans="1:13">
      <c r="A13" s="1">
        <v>10</v>
      </c>
      <c r="B13" s="1" t="s">
        <v>963</v>
      </c>
      <c r="C13" s="5">
        <v>46075</v>
      </c>
      <c r="D13" s="1" t="s">
        <v>19</v>
      </c>
      <c r="E13" s="6" t="s">
        <v>947</v>
      </c>
      <c r="F13" s="6" t="s">
        <v>39</v>
      </c>
      <c r="G13" s="1" t="s">
        <v>28</v>
      </c>
      <c r="H13" s="1" t="s">
        <v>952</v>
      </c>
      <c r="I13" s="1" t="s">
        <v>948</v>
      </c>
      <c r="J13" s="1" t="s">
        <v>66</v>
      </c>
      <c r="K13" s="1" t="s">
        <v>220</v>
      </c>
    </row>
    <row r="14" spans="1:13">
      <c r="A14" s="1">
        <v>11</v>
      </c>
      <c r="B14" s="1" t="s">
        <v>964</v>
      </c>
      <c r="C14" s="5">
        <v>46074</v>
      </c>
      <c r="D14" s="1" t="s">
        <v>19</v>
      </c>
      <c r="E14" s="6" t="s">
        <v>965</v>
      </c>
      <c r="F14" s="6" t="s">
        <v>89</v>
      </c>
      <c r="G14" s="1" t="s">
        <v>36</v>
      </c>
      <c r="H14" s="1" t="s">
        <v>310</v>
      </c>
      <c r="I14" s="1" t="s">
        <v>945</v>
      </c>
      <c r="J14" s="1" t="s">
        <v>93</v>
      </c>
      <c r="K14" s="1" t="s">
        <v>220</v>
      </c>
    </row>
    <row r="15" spans="1:13">
      <c r="A15" s="1">
        <v>12</v>
      </c>
      <c r="B15" s="1" t="s">
        <v>966</v>
      </c>
      <c r="C15" s="5">
        <v>46066</v>
      </c>
      <c r="D15" s="1" t="s">
        <v>19</v>
      </c>
      <c r="E15" s="6" t="s">
        <v>947</v>
      </c>
      <c r="F15" s="6" t="s">
        <v>58</v>
      </c>
      <c r="G15" s="1" t="s">
        <v>93</v>
      </c>
      <c r="H15" s="1" t="s">
        <v>303</v>
      </c>
      <c r="I15" s="1" t="s">
        <v>948</v>
      </c>
      <c r="J15" s="1" t="s">
        <v>28</v>
      </c>
      <c r="K15" s="1" t="s">
        <v>953</v>
      </c>
    </row>
    <row r="16" spans="1:13">
      <c r="A16" s="1">
        <v>13</v>
      </c>
      <c r="B16" s="1" t="s">
        <v>967</v>
      </c>
      <c r="C16" s="5">
        <v>46097</v>
      </c>
      <c r="D16" s="1" t="s">
        <v>44</v>
      </c>
      <c r="E16" s="6" t="s">
        <v>947</v>
      </c>
      <c r="F16" s="6" t="s">
        <v>65</v>
      </c>
      <c r="G16" s="1" t="s">
        <v>68</v>
      </c>
      <c r="H16" s="1" t="s">
        <v>310</v>
      </c>
      <c r="I16" s="1" t="s">
        <v>955</v>
      </c>
      <c r="J16" s="1" t="s">
        <v>62</v>
      </c>
      <c r="K16" s="1" t="s">
        <v>220</v>
      </c>
    </row>
    <row r="17" spans="1:11">
      <c r="A17" s="1">
        <v>14</v>
      </c>
      <c r="B17" s="1" t="s">
        <v>968</v>
      </c>
      <c r="C17" s="5">
        <v>46102</v>
      </c>
      <c r="D17" s="1" t="s">
        <v>44</v>
      </c>
      <c r="E17" s="6" t="s">
        <v>947</v>
      </c>
      <c r="F17" s="6" t="s">
        <v>39</v>
      </c>
      <c r="G17" s="1" t="s">
        <v>70</v>
      </c>
      <c r="H17" s="1" t="s">
        <v>293</v>
      </c>
      <c r="I17" s="1" t="s">
        <v>945</v>
      </c>
      <c r="J17" s="1" t="s">
        <v>62</v>
      </c>
      <c r="K17" s="1" t="s">
        <v>953</v>
      </c>
    </row>
    <row r="18" spans="1:11">
      <c r="A18" s="1">
        <v>15</v>
      </c>
      <c r="B18" s="1" t="s">
        <v>969</v>
      </c>
      <c r="C18" s="5">
        <v>46102</v>
      </c>
      <c r="D18" s="1" t="s">
        <v>44</v>
      </c>
      <c r="E18" s="6" t="s">
        <v>944</v>
      </c>
      <c r="F18" s="6" t="s">
        <v>46</v>
      </c>
      <c r="G18" s="1" t="s">
        <v>62</v>
      </c>
      <c r="H18" s="1" t="s">
        <v>303</v>
      </c>
      <c r="I18" s="1" t="s">
        <v>945</v>
      </c>
      <c r="J18" s="1" t="s">
        <v>68</v>
      </c>
      <c r="K18" s="1" t="s">
        <v>956</v>
      </c>
    </row>
    <row r="19" spans="1:11">
      <c r="A19" s="1">
        <v>16</v>
      </c>
      <c r="B19" s="1" t="s">
        <v>970</v>
      </c>
      <c r="C19" s="5">
        <v>46102</v>
      </c>
      <c r="D19" s="1" t="s">
        <v>44</v>
      </c>
      <c r="E19" s="6" t="s">
        <v>971</v>
      </c>
      <c r="F19" s="6" t="s">
        <v>39</v>
      </c>
      <c r="G19" s="1" t="s">
        <v>15</v>
      </c>
      <c r="H19" s="1" t="s">
        <v>310</v>
      </c>
      <c r="I19" s="1" t="s">
        <v>945</v>
      </c>
      <c r="J19" s="1" t="s">
        <v>62</v>
      </c>
      <c r="K19" s="1" t="s">
        <v>220</v>
      </c>
    </row>
    <row r="20" spans="1:11">
      <c r="A20" s="1">
        <v>17</v>
      </c>
      <c r="B20" s="1" t="s">
        <v>972</v>
      </c>
      <c r="C20" s="5">
        <v>46100</v>
      </c>
      <c r="D20" s="1" t="s">
        <v>44</v>
      </c>
      <c r="E20" s="6" t="s">
        <v>950</v>
      </c>
      <c r="F20" s="6" t="s">
        <v>5</v>
      </c>
      <c r="G20" s="1" t="s">
        <v>32</v>
      </c>
      <c r="H20" s="1" t="s">
        <v>303</v>
      </c>
      <c r="I20" s="1" t="s">
        <v>945</v>
      </c>
      <c r="J20" s="1" t="s">
        <v>28</v>
      </c>
      <c r="K20" s="1" t="s">
        <v>953</v>
      </c>
    </row>
    <row r="21" spans="1:11">
      <c r="A21" s="1">
        <v>18</v>
      </c>
      <c r="B21" s="1" t="s">
        <v>973</v>
      </c>
      <c r="C21" s="5">
        <v>46093</v>
      </c>
      <c r="D21" s="1" t="s">
        <v>44</v>
      </c>
      <c r="E21" s="6" t="s">
        <v>971</v>
      </c>
      <c r="F21" s="6" t="s">
        <v>58</v>
      </c>
      <c r="G21" s="1" t="s">
        <v>68</v>
      </c>
      <c r="H21" s="1" t="s">
        <v>310</v>
      </c>
      <c r="I21" s="1" t="s">
        <v>945</v>
      </c>
      <c r="J21" s="1" t="s">
        <v>62</v>
      </c>
      <c r="K21" s="1" t="s">
        <v>953</v>
      </c>
    </row>
    <row r="22" spans="1:11">
      <c r="A22" s="1">
        <v>19</v>
      </c>
      <c r="B22" s="1" t="s">
        <v>974</v>
      </c>
      <c r="C22" s="5">
        <v>46113</v>
      </c>
      <c r="D22" s="1" t="s">
        <v>53</v>
      </c>
      <c r="E22" s="6" t="s">
        <v>947</v>
      </c>
      <c r="F22" s="6" t="s">
        <v>50</v>
      </c>
      <c r="G22" s="1" t="s">
        <v>66</v>
      </c>
      <c r="H22" s="1" t="s">
        <v>303</v>
      </c>
      <c r="I22" s="1" t="s">
        <v>962</v>
      </c>
      <c r="J22" s="1" t="s">
        <v>41</v>
      </c>
      <c r="K22" s="1" t="s">
        <v>220</v>
      </c>
    </row>
    <row r="23" spans="1:11">
      <c r="A23" s="1">
        <v>20</v>
      </c>
      <c r="B23" s="1" t="s">
        <v>975</v>
      </c>
      <c r="C23" s="5">
        <v>46140</v>
      </c>
      <c r="D23" s="1" t="s">
        <v>53</v>
      </c>
      <c r="E23" s="6" t="s">
        <v>958</v>
      </c>
      <c r="F23" s="6" t="s">
        <v>92</v>
      </c>
      <c r="G23" s="1" t="s">
        <v>22</v>
      </c>
      <c r="H23" s="1" t="s">
        <v>310</v>
      </c>
      <c r="I23" s="1" t="s">
        <v>948</v>
      </c>
      <c r="J23" s="1" t="s">
        <v>68</v>
      </c>
      <c r="K23" s="1" t="s">
        <v>220</v>
      </c>
    </row>
    <row r="24" spans="1:11">
      <c r="A24" s="1">
        <v>21</v>
      </c>
      <c r="B24" s="1" t="s">
        <v>976</v>
      </c>
      <c r="C24" s="5">
        <v>46124</v>
      </c>
      <c r="D24" s="1" t="s">
        <v>53</v>
      </c>
      <c r="E24" s="6" t="s">
        <v>944</v>
      </c>
      <c r="F24" s="6" t="s">
        <v>58</v>
      </c>
      <c r="G24" s="1" t="s">
        <v>70</v>
      </c>
      <c r="H24" s="1" t="s">
        <v>298</v>
      </c>
      <c r="I24" s="1" t="s">
        <v>945</v>
      </c>
      <c r="J24" s="1" t="s">
        <v>66</v>
      </c>
      <c r="K24" s="1" t="s">
        <v>953</v>
      </c>
    </row>
    <row r="25" spans="1:11">
      <c r="A25" s="1">
        <v>22</v>
      </c>
      <c r="B25" s="1" t="s">
        <v>977</v>
      </c>
      <c r="C25" s="5">
        <v>46154</v>
      </c>
      <c r="D25" s="1" t="s">
        <v>60</v>
      </c>
      <c r="E25" s="6" t="s">
        <v>971</v>
      </c>
      <c r="F25" s="6" t="s">
        <v>50</v>
      </c>
      <c r="G25" s="1" t="s">
        <v>22</v>
      </c>
      <c r="H25" s="1" t="s">
        <v>303</v>
      </c>
      <c r="I25" s="1" t="s">
        <v>948</v>
      </c>
      <c r="J25" s="1" t="s">
        <v>7</v>
      </c>
      <c r="K25" s="1" t="s">
        <v>220</v>
      </c>
    </row>
    <row r="26" spans="1:11">
      <c r="A26" s="1">
        <v>23</v>
      </c>
      <c r="B26" s="1" t="s">
        <v>978</v>
      </c>
      <c r="C26" s="5">
        <v>46165</v>
      </c>
      <c r="D26" s="1" t="s">
        <v>60</v>
      </c>
      <c r="E26" s="6" t="s">
        <v>950</v>
      </c>
      <c r="F26" s="6" t="s">
        <v>46</v>
      </c>
      <c r="G26" s="1" t="s">
        <v>104</v>
      </c>
      <c r="H26" s="1" t="s">
        <v>293</v>
      </c>
      <c r="I26" s="1" t="s">
        <v>948</v>
      </c>
      <c r="J26" s="1" t="s">
        <v>32</v>
      </c>
      <c r="K26" s="1" t="s">
        <v>220</v>
      </c>
    </row>
    <row r="27" spans="1:11">
      <c r="A27" s="1">
        <v>24</v>
      </c>
      <c r="B27" s="1" t="s">
        <v>979</v>
      </c>
      <c r="C27" s="5">
        <v>46196</v>
      </c>
      <c r="D27" s="1" t="s">
        <v>73</v>
      </c>
      <c r="E27" s="6" t="s">
        <v>971</v>
      </c>
      <c r="F27" s="6" t="s">
        <v>5</v>
      </c>
      <c r="G27" s="1" t="s">
        <v>66</v>
      </c>
      <c r="H27" s="1" t="s">
        <v>293</v>
      </c>
      <c r="I27" s="1" t="s">
        <v>948</v>
      </c>
      <c r="J27" s="1" t="s">
        <v>78</v>
      </c>
      <c r="K27" s="1" t="s">
        <v>956</v>
      </c>
    </row>
    <row r="28" spans="1:11">
      <c r="A28" s="1">
        <v>25</v>
      </c>
      <c r="B28" s="1" t="s">
        <v>980</v>
      </c>
      <c r="C28" s="5">
        <v>46189</v>
      </c>
      <c r="D28" s="1" t="s">
        <v>73</v>
      </c>
      <c r="E28" s="6" t="s">
        <v>971</v>
      </c>
      <c r="F28" s="6" t="s">
        <v>50</v>
      </c>
      <c r="G28" s="1" t="s">
        <v>93</v>
      </c>
      <c r="H28" s="1" t="s">
        <v>298</v>
      </c>
      <c r="I28" s="1" t="s">
        <v>955</v>
      </c>
      <c r="J28" s="1" t="s">
        <v>15</v>
      </c>
      <c r="K28" s="1" t="s">
        <v>953</v>
      </c>
    </row>
    <row r="29" spans="1:11">
      <c r="A29" s="1">
        <v>26</v>
      </c>
      <c r="B29" s="1" t="s">
        <v>981</v>
      </c>
      <c r="C29" s="5">
        <v>46192</v>
      </c>
      <c r="D29" s="1" t="s">
        <v>73</v>
      </c>
      <c r="E29" s="6" t="s">
        <v>944</v>
      </c>
      <c r="F29" s="6" t="s">
        <v>39</v>
      </c>
      <c r="G29" s="1" t="s">
        <v>22</v>
      </c>
      <c r="H29" s="1" t="s">
        <v>303</v>
      </c>
      <c r="I29" s="1" t="s">
        <v>948</v>
      </c>
      <c r="J29" s="1" t="s">
        <v>7</v>
      </c>
      <c r="K29" s="1" t="s">
        <v>953</v>
      </c>
    </row>
    <row r="30" spans="1:11">
      <c r="A30" s="1">
        <v>27</v>
      </c>
      <c r="B30" s="1" t="s">
        <v>982</v>
      </c>
      <c r="C30" s="5">
        <v>46212</v>
      </c>
      <c r="D30" s="1" t="s">
        <v>76</v>
      </c>
      <c r="E30" s="6" t="s">
        <v>947</v>
      </c>
      <c r="F30" s="6" t="s">
        <v>92</v>
      </c>
      <c r="G30" s="1" t="s">
        <v>15</v>
      </c>
      <c r="H30" s="1" t="s">
        <v>293</v>
      </c>
      <c r="I30" s="1" t="s">
        <v>948</v>
      </c>
      <c r="J30" s="1" t="s">
        <v>36</v>
      </c>
      <c r="K30" s="1" t="s">
        <v>953</v>
      </c>
    </row>
    <row r="31" spans="1:11">
      <c r="A31" s="1">
        <v>28</v>
      </c>
      <c r="B31" s="1" t="s">
        <v>983</v>
      </c>
      <c r="C31" s="5">
        <v>46212</v>
      </c>
      <c r="D31" s="1" t="s">
        <v>76</v>
      </c>
      <c r="E31" s="6" t="s">
        <v>971</v>
      </c>
      <c r="F31" s="6" t="s">
        <v>46</v>
      </c>
      <c r="G31" s="1" t="s">
        <v>15</v>
      </c>
      <c r="H31" s="1" t="s">
        <v>293</v>
      </c>
      <c r="I31" s="1" t="s">
        <v>945</v>
      </c>
      <c r="J31" s="1" t="s">
        <v>70</v>
      </c>
      <c r="K31" s="1" t="s">
        <v>220</v>
      </c>
    </row>
    <row r="32" spans="1:11">
      <c r="A32" s="1">
        <v>29</v>
      </c>
      <c r="B32" s="1" t="s">
        <v>984</v>
      </c>
      <c r="C32" s="5">
        <v>46231</v>
      </c>
      <c r="D32" s="1" t="s">
        <v>76</v>
      </c>
      <c r="E32" s="6" t="s">
        <v>958</v>
      </c>
      <c r="F32" s="6" t="s">
        <v>50</v>
      </c>
      <c r="G32" s="1" t="s">
        <v>32</v>
      </c>
      <c r="H32" s="1" t="s">
        <v>310</v>
      </c>
      <c r="I32" s="1" t="s">
        <v>962</v>
      </c>
      <c r="J32" s="1" t="s">
        <v>36</v>
      </c>
      <c r="K32" s="1" t="s">
        <v>220</v>
      </c>
    </row>
    <row r="33" spans="1:11">
      <c r="A33" s="1">
        <v>30</v>
      </c>
      <c r="B33" s="1" t="s">
        <v>985</v>
      </c>
      <c r="C33" s="5">
        <v>46220</v>
      </c>
      <c r="D33" s="1" t="s">
        <v>76</v>
      </c>
      <c r="E33" s="6" t="s">
        <v>958</v>
      </c>
      <c r="F33" s="6" t="s">
        <v>13</v>
      </c>
      <c r="G33" s="1" t="s">
        <v>70</v>
      </c>
      <c r="H33" s="1" t="s">
        <v>293</v>
      </c>
      <c r="I33" s="1" t="s">
        <v>962</v>
      </c>
      <c r="J33" s="1" t="s">
        <v>22</v>
      </c>
      <c r="K33" s="1" t="s">
        <v>220</v>
      </c>
    </row>
    <row r="34" spans="1:11">
      <c r="A34" s="1">
        <v>31</v>
      </c>
      <c r="B34" s="1" t="s">
        <v>986</v>
      </c>
      <c r="C34" s="5">
        <v>46220</v>
      </c>
      <c r="D34" s="1" t="s">
        <v>76</v>
      </c>
      <c r="E34" s="6" t="s">
        <v>958</v>
      </c>
      <c r="F34" s="6" t="s">
        <v>13</v>
      </c>
      <c r="G34" s="1" t="s">
        <v>66</v>
      </c>
      <c r="H34" s="1" t="s">
        <v>293</v>
      </c>
      <c r="I34" s="1" t="s">
        <v>945</v>
      </c>
      <c r="J34" s="1" t="s">
        <v>32</v>
      </c>
      <c r="K34" s="1" t="s">
        <v>220</v>
      </c>
    </row>
    <row r="35" spans="1:11">
      <c r="A35" s="1">
        <v>32</v>
      </c>
      <c r="B35" s="1" t="s">
        <v>987</v>
      </c>
      <c r="C35" s="5">
        <v>46229</v>
      </c>
      <c r="D35" s="1" t="s">
        <v>76</v>
      </c>
      <c r="E35" s="6" t="s">
        <v>947</v>
      </c>
      <c r="F35" s="6" t="s">
        <v>39</v>
      </c>
      <c r="G35" s="1" t="s">
        <v>68</v>
      </c>
      <c r="H35" s="1" t="s">
        <v>310</v>
      </c>
      <c r="I35" s="1" t="s">
        <v>948</v>
      </c>
      <c r="J35" s="1" t="s">
        <v>78</v>
      </c>
      <c r="K35" s="1" t="s">
        <v>953</v>
      </c>
    </row>
    <row r="36" spans="1:11">
      <c r="A36" s="1">
        <v>33</v>
      </c>
      <c r="B36" s="1" t="s">
        <v>988</v>
      </c>
      <c r="C36" s="5">
        <v>46260</v>
      </c>
      <c r="D36" s="1" t="s">
        <v>86</v>
      </c>
      <c r="E36" s="6" t="s">
        <v>950</v>
      </c>
      <c r="F36" s="6" t="s">
        <v>5</v>
      </c>
      <c r="G36" s="1" t="s">
        <v>22</v>
      </c>
      <c r="H36" s="1" t="s">
        <v>293</v>
      </c>
      <c r="I36" s="1" t="s">
        <v>945</v>
      </c>
      <c r="J36" s="1" t="s">
        <v>62</v>
      </c>
      <c r="K36" s="1" t="s">
        <v>220</v>
      </c>
    </row>
    <row r="37" spans="1:11">
      <c r="A37" s="1">
        <v>34</v>
      </c>
      <c r="B37" s="1" t="s">
        <v>989</v>
      </c>
      <c r="C37" s="5">
        <v>46261</v>
      </c>
      <c r="D37" s="1" t="s">
        <v>86</v>
      </c>
      <c r="E37" s="6" t="s">
        <v>950</v>
      </c>
      <c r="F37" s="6" t="s">
        <v>13</v>
      </c>
      <c r="G37" s="1" t="s">
        <v>15</v>
      </c>
      <c r="H37" s="1" t="s">
        <v>303</v>
      </c>
      <c r="I37" s="1" t="s">
        <v>945</v>
      </c>
      <c r="J37" s="1" t="s">
        <v>41</v>
      </c>
      <c r="K37" s="1" t="s">
        <v>956</v>
      </c>
    </row>
    <row r="38" spans="1:11">
      <c r="A38" s="1">
        <v>35</v>
      </c>
      <c r="B38" s="1" t="s">
        <v>990</v>
      </c>
      <c r="C38" s="5">
        <v>46245</v>
      </c>
      <c r="D38" s="1" t="s">
        <v>86</v>
      </c>
      <c r="E38" s="6" t="s">
        <v>950</v>
      </c>
      <c r="F38" s="6" t="s">
        <v>89</v>
      </c>
      <c r="G38" s="1" t="s">
        <v>70</v>
      </c>
      <c r="H38" s="1" t="s">
        <v>310</v>
      </c>
      <c r="I38" s="1" t="s">
        <v>962</v>
      </c>
      <c r="J38" s="1" t="s">
        <v>15</v>
      </c>
      <c r="K38" s="1" t="s">
        <v>220</v>
      </c>
    </row>
    <row r="39" spans="1:11">
      <c r="A39" s="1">
        <v>36</v>
      </c>
      <c r="B39" s="1" t="s">
        <v>991</v>
      </c>
      <c r="C39" s="5">
        <v>46290</v>
      </c>
      <c r="D39" s="1" t="s">
        <v>102</v>
      </c>
      <c r="E39" s="6" t="s">
        <v>971</v>
      </c>
      <c r="F39" s="6" t="s">
        <v>65</v>
      </c>
      <c r="G39" s="1" t="s">
        <v>68</v>
      </c>
      <c r="H39" s="1" t="s">
        <v>303</v>
      </c>
      <c r="I39" s="1" t="s">
        <v>962</v>
      </c>
      <c r="J39" s="1" t="s">
        <v>15</v>
      </c>
      <c r="K39" s="1" t="s">
        <v>220</v>
      </c>
    </row>
    <row r="40" spans="1:11">
      <c r="A40" s="1">
        <v>37</v>
      </c>
      <c r="B40" s="1" t="s">
        <v>992</v>
      </c>
      <c r="C40" s="5">
        <v>46277</v>
      </c>
      <c r="D40" s="1" t="s">
        <v>102</v>
      </c>
      <c r="E40" s="6" t="s">
        <v>965</v>
      </c>
      <c r="F40" s="6" t="s">
        <v>65</v>
      </c>
      <c r="G40" s="1" t="s">
        <v>62</v>
      </c>
      <c r="H40" s="1" t="s">
        <v>293</v>
      </c>
      <c r="I40" s="1" t="s">
        <v>962</v>
      </c>
      <c r="J40" s="1" t="s">
        <v>78</v>
      </c>
      <c r="K40" s="1" t="s">
        <v>220</v>
      </c>
    </row>
    <row r="41" spans="1:11">
      <c r="A41" s="1">
        <v>38</v>
      </c>
      <c r="B41" s="1" t="s">
        <v>993</v>
      </c>
      <c r="C41" s="5">
        <v>46279</v>
      </c>
      <c r="D41" s="1" t="s">
        <v>102</v>
      </c>
      <c r="E41" s="6" t="s">
        <v>971</v>
      </c>
      <c r="F41" s="6" t="s">
        <v>58</v>
      </c>
      <c r="G41" s="1" t="s">
        <v>62</v>
      </c>
      <c r="H41" s="1" t="s">
        <v>293</v>
      </c>
      <c r="I41" s="1" t="s">
        <v>962</v>
      </c>
      <c r="J41" s="1" t="s">
        <v>22</v>
      </c>
      <c r="K41" s="1" t="s">
        <v>220</v>
      </c>
    </row>
    <row r="42" spans="1:11">
      <c r="A42" s="1">
        <v>39</v>
      </c>
      <c r="B42" s="1" t="s">
        <v>994</v>
      </c>
      <c r="C42" s="5">
        <v>46267</v>
      </c>
      <c r="D42" s="1" t="s">
        <v>102</v>
      </c>
      <c r="E42" s="6" t="s">
        <v>944</v>
      </c>
      <c r="F42" s="6" t="s">
        <v>92</v>
      </c>
      <c r="G42" s="1" t="s">
        <v>62</v>
      </c>
      <c r="H42" s="1" t="s">
        <v>310</v>
      </c>
      <c r="I42" s="1" t="s">
        <v>945</v>
      </c>
      <c r="J42" s="1" t="s">
        <v>22</v>
      </c>
      <c r="K42" s="1" t="s">
        <v>956</v>
      </c>
    </row>
    <row r="43" spans="1:11">
      <c r="A43" s="1">
        <v>40</v>
      </c>
      <c r="B43" s="1" t="s">
        <v>995</v>
      </c>
      <c r="C43" s="5">
        <v>46288</v>
      </c>
      <c r="D43" s="1" t="s">
        <v>102</v>
      </c>
      <c r="E43" s="6" t="s">
        <v>965</v>
      </c>
      <c r="F43" s="6" t="s">
        <v>92</v>
      </c>
      <c r="G43" s="1" t="s">
        <v>7</v>
      </c>
      <c r="H43" s="1" t="s">
        <v>303</v>
      </c>
      <c r="I43" s="1" t="s">
        <v>955</v>
      </c>
      <c r="J43" s="1" t="s">
        <v>78</v>
      </c>
      <c r="K43" s="1" t="s">
        <v>220</v>
      </c>
    </row>
    <row r="44" spans="1:11">
      <c r="A44" s="1">
        <v>41</v>
      </c>
      <c r="B44" s="1" t="s">
        <v>996</v>
      </c>
      <c r="C44" s="5">
        <v>46298</v>
      </c>
      <c r="D44" s="1" t="s">
        <v>106</v>
      </c>
      <c r="E44" s="6" t="s">
        <v>971</v>
      </c>
      <c r="F44" s="6" t="s">
        <v>92</v>
      </c>
      <c r="G44" s="1" t="s">
        <v>15</v>
      </c>
      <c r="H44" s="1" t="s">
        <v>303</v>
      </c>
      <c r="I44" s="1" t="s">
        <v>945</v>
      </c>
      <c r="J44" s="1" t="s">
        <v>93</v>
      </c>
      <c r="K44" s="1" t="s">
        <v>956</v>
      </c>
    </row>
    <row r="45" spans="1:11">
      <c r="A45" s="1">
        <v>42</v>
      </c>
      <c r="B45" s="1" t="s">
        <v>997</v>
      </c>
      <c r="C45" s="5">
        <v>46305</v>
      </c>
      <c r="D45" s="1" t="s">
        <v>106</v>
      </c>
      <c r="E45" s="6" t="s">
        <v>944</v>
      </c>
      <c r="F45" s="6" t="s">
        <v>13</v>
      </c>
      <c r="G45" s="1" t="s">
        <v>78</v>
      </c>
      <c r="H45" s="1" t="s">
        <v>293</v>
      </c>
      <c r="I45" s="1" t="s">
        <v>962</v>
      </c>
      <c r="J45" s="1" t="s">
        <v>93</v>
      </c>
      <c r="K45" s="1" t="s">
        <v>220</v>
      </c>
    </row>
    <row r="46" spans="1:11">
      <c r="A46" s="1">
        <v>43</v>
      </c>
      <c r="B46" s="1" t="s">
        <v>998</v>
      </c>
      <c r="C46" s="5">
        <v>46317</v>
      </c>
      <c r="D46" s="1" t="s">
        <v>106</v>
      </c>
      <c r="E46" s="6" t="s">
        <v>971</v>
      </c>
      <c r="F46" s="6" t="s">
        <v>89</v>
      </c>
      <c r="G46" s="1" t="s">
        <v>28</v>
      </c>
      <c r="H46" s="1" t="s">
        <v>310</v>
      </c>
      <c r="I46" s="1" t="s">
        <v>962</v>
      </c>
      <c r="J46" s="1" t="s">
        <v>15</v>
      </c>
      <c r="K46" s="1" t="s">
        <v>220</v>
      </c>
    </row>
    <row r="47" spans="1:11">
      <c r="A47" s="1">
        <v>44</v>
      </c>
      <c r="B47" s="1" t="s">
        <v>999</v>
      </c>
      <c r="C47" s="5">
        <v>46353</v>
      </c>
      <c r="D47" s="1" t="s">
        <v>111</v>
      </c>
      <c r="E47" s="6" t="s">
        <v>947</v>
      </c>
      <c r="F47" s="6" t="s">
        <v>46</v>
      </c>
      <c r="G47" s="1" t="s">
        <v>66</v>
      </c>
      <c r="H47" s="1" t="s">
        <v>310</v>
      </c>
      <c r="I47" s="1" t="s">
        <v>945</v>
      </c>
      <c r="J47" s="1" t="s">
        <v>32</v>
      </c>
      <c r="K47" s="1" t="s">
        <v>953</v>
      </c>
    </row>
    <row r="48" spans="1:11">
      <c r="A48" s="1">
        <v>45</v>
      </c>
      <c r="B48" s="1" t="s">
        <v>1000</v>
      </c>
      <c r="C48" s="5">
        <v>46343</v>
      </c>
      <c r="D48" s="1" t="s">
        <v>111</v>
      </c>
      <c r="E48" s="6" t="s">
        <v>947</v>
      </c>
      <c r="F48" s="6" t="s">
        <v>50</v>
      </c>
      <c r="G48" s="1" t="s">
        <v>70</v>
      </c>
      <c r="H48" s="1" t="s">
        <v>298</v>
      </c>
      <c r="I48" s="1" t="s">
        <v>962</v>
      </c>
      <c r="J48" s="1" t="s">
        <v>41</v>
      </c>
      <c r="K48" s="1" t="s">
        <v>953</v>
      </c>
    </row>
    <row r="49" spans="1:11">
      <c r="A49" s="1">
        <v>46</v>
      </c>
      <c r="B49" s="1" t="s">
        <v>1001</v>
      </c>
      <c r="C49" s="5">
        <v>46364</v>
      </c>
      <c r="D49" s="1" t="s">
        <v>122</v>
      </c>
      <c r="E49" s="6" t="s">
        <v>965</v>
      </c>
      <c r="F49" s="6" t="s">
        <v>89</v>
      </c>
      <c r="G49" s="1" t="s">
        <v>22</v>
      </c>
      <c r="H49" s="1" t="s">
        <v>303</v>
      </c>
      <c r="I49" s="1" t="s">
        <v>945</v>
      </c>
      <c r="J49" s="1" t="s">
        <v>36</v>
      </c>
      <c r="K49" s="1" t="s">
        <v>220</v>
      </c>
    </row>
    <row r="50" spans="1:11">
      <c r="A50" s="1">
        <v>47</v>
      </c>
      <c r="B50" s="1" t="s">
        <v>1002</v>
      </c>
      <c r="C50" s="5">
        <v>46371</v>
      </c>
      <c r="D50" s="1" t="s">
        <v>122</v>
      </c>
      <c r="E50" s="6" t="s">
        <v>965</v>
      </c>
      <c r="F50" s="6" t="s">
        <v>13</v>
      </c>
      <c r="G50" s="1" t="s">
        <v>28</v>
      </c>
      <c r="H50" s="1" t="s">
        <v>293</v>
      </c>
      <c r="I50" s="1" t="s">
        <v>945</v>
      </c>
      <c r="J50" s="1" t="s">
        <v>93</v>
      </c>
      <c r="K50" s="1" t="s">
        <v>220</v>
      </c>
    </row>
    <row r="51" spans="1:11">
      <c r="A51" s="1">
        <v>48</v>
      </c>
      <c r="B51" s="1" t="s">
        <v>1003</v>
      </c>
      <c r="C51" s="5">
        <v>46372</v>
      </c>
      <c r="D51" s="1" t="s">
        <v>122</v>
      </c>
      <c r="E51" s="6" t="s">
        <v>950</v>
      </c>
      <c r="F51" s="6" t="s">
        <v>5</v>
      </c>
      <c r="G51" s="1" t="s">
        <v>22</v>
      </c>
      <c r="H51" s="1" t="s">
        <v>952</v>
      </c>
      <c r="I51" s="1" t="s">
        <v>945</v>
      </c>
      <c r="J51" s="1" t="s">
        <v>78</v>
      </c>
      <c r="K51" s="1" t="s">
        <v>220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1008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1070</v>
      </c>
      <c r="C3" s="1" t="s">
        <v>126</v>
      </c>
      <c r="D3" s="1" t="s">
        <v>127</v>
      </c>
      <c r="E3" s="1" t="s">
        <v>1071</v>
      </c>
      <c r="F3" s="1" t="s">
        <v>129</v>
      </c>
      <c r="G3" s="1" t="s">
        <v>1072</v>
      </c>
      <c r="H3" s="1" t="s">
        <v>1073</v>
      </c>
      <c r="I3" s="1" t="s">
        <v>1074</v>
      </c>
      <c r="J3" s="1" t="s">
        <v>286</v>
      </c>
    </row>
    <row r="4" spans="1:12">
      <c r="A4" s="1">
        <v>1</v>
      </c>
      <c r="B4" s="1" t="s">
        <v>1009</v>
      </c>
      <c r="C4" s="5">
        <v>46048</v>
      </c>
      <c r="D4" s="1" t="s">
        <v>3</v>
      </c>
      <c r="E4" s="6" t="s">
        <v>1010</v>
      </c>
      <c r="F4" s="6" t="s">
        <v>89</v>
      </c>
      <c r="G4" s="1" t="s">
        <v>62</v>
      </c>
      <c r="H4" s="1" t="s">
        <v>1011</v>
      </c>
      <c r="I4" s="1" t="s">
        <v>28</v>
      </c>
      <c r="J4" s="1" t="s">
        <v>1012</v>
      </c>
    </row>
    <row r="5" spans="1:12">
      <c r="A5" s="1">
        <v>2</v>
      </c>
      <c r="B5" s="1" t="s">
        <v>1013</v>
      </c>
      <c r="C5" s="5">
        <v>46025</v>
      </c>
      <c r="D5" s="1" t="s">
        <v>3</v>
      </c>
      <c r="E5" s="6" t="s">
        <v>1014</v>
      </c>
      <c r="F5" s="6" t="s">
        <v>92</v>
      </c>
      <c r="G5" s="1" t="s">
        <v>104</v>
      </c>
      <c r="H5" s="1" t="s">
        <v>1015</v>
      </c>
      <c r="I5" s="1" t="s">
        <v>22</v>
      </c>
      <c r="J5" s="1" t="s">
        <v>230</v>
      </c>
    </row>
    <row r="6" spans="1:12">
      <c r="A6" s="1">
        <v>3</v>
      </c>
      <c r="B6" s="1" t="s">
        <v>1016</v>
      </c>
      <c r="C6" s="5">
        <v>46026</v>
      </c>
      <c r="D6" s="1" t="s">
        <v>3</v>
      </c>
      <c r="E6" s="6" t="s">
        <v>1017</v>
      </c>
      <c r="F6" s="6" t="s">
        <v>92</v>
      </c>
      <c r="G6" s="1" t="s">
        <v>22</v>
      </c>
      <c r="H6" s="1" t="s">
        <v>1018</v>
      </c>
      <c r="I6" s="1" t="s">
        <v>66</v>
      </c>
      <c r="J6" s="1" t="s">
        <v>1012</v>
      </c>
    </row>
    <row r="7" spans="1:12">
      <c r="A7" s="1">
        <v>4</v>
      </c>
      <c r="B7" s="1" t="s">
        <v>1019</v>
      </c>
      <c r="C7" s="5">
        <v>46068</v>
      </c>
      <c r="D7" s="1" t="s">
        <v>19</v>
      </c>
      <c r="E7" s="6" t="s">
        <v>1014</v>
      </c>
      <c r="F7" s="6" t="s">
        <v>50</v>
      </c>
      <c r="G7" s="1" t="s">
        <v>41</v>
      </c>
      <c r="H7" s="1" t="s">
        <v>1018</v>
      </c>
      <c r="I7" s="1" t="s">
        <v>41</v>
      </c>
      <c r="J7" s="1" t="s">
        <v>1020</v>
      </c>
    </row>
    <row r="8" spans="1:12">
      <c r="A8" s="1">
        <v>5</v>
      </c>
      <c r="B8" s="1" t="s">
        <v>1021</v>
      </c>
      <c r="C8" s="5">
        <v>46066</v>
      </c>
      <c r="D8" s="1" t="s">
        <v>19</v>
      </c>
      <c r="E8" s="6" t="s">
        <v>1022</v>
      </c>
      <c r="F8" s="6" t="s">
        <v>58</v>
      </c>
      <c r="G8" s="1" t="s">
        <v>15</v>
      </c>
      <c r="H8" s="1" t="s">
        <v>1018</v>
      </c>
      <c r="I8" s="1" t="s">
        <v>22</v>
      </c>
      <c r="J8" s="1" t="s">
        <v>230</v>
      </c>
    </row>
    <row r="9" spans="1:12">
      <c r="A9" s="1">
        <v>6</v>
      </c>
      <c r="B9" s="1" t="s">
        <v>1023</v>
      </c>
      <c r="C9" s="5">
        <v>46055</v>
      </c>
      <c r="D9" s="1" t="s">
        <v>19</v>
      </c>
      <c r="E9" s="6" t="s">
        <v>1010</v>
      </c>
      <c r="F9" s="6" t="s">
        <v>58</v>
      </c>
      <c r="G9" s="1" t="s">
        <v>93</v>
      </c>
      <c r="H9" s="1" t="s">
        <v>1015</v>
      </c>
      <c r="I9" s="1" t="s">
        <v>22</v>
      </c>
      <c r="J9" s="1" t="s">
        <v>1012</v>
      </c>
    </row>
    <row r="10" spans="1:12">
      <c r="A10" s="1">
        <v>7</v>
      </c>
      <c r="B10" s="1" t="s">
        <v>1024</v>
      </c>
      <c r="C10" s="5">
        <v>46073</v>
      </c>
      <c r="D10" s="1" t="s">
        <v>19</v>
      </c>
      <c r="E10" s="6" t="s">
        <v>1014</v>
      </c>
      <c r="F10" s="6" t="s">
        <v>89</v>
      </c>
      <c r="G10" s="1" t="s">
        <v>68</v>
      </c>
      <c r="H10" s="1" t="s">
        <v>1018</v>
      </c>
      <c r="I10" s="1" t="s">
        <v>70</v>
      </c>
      <c r="J10" s="1" t="s">
        <v>230</v>
      </c>
    </row>
    <row r="11" spans="1:12">
      <c r="A11" s="1">
        <v>8</v>
      </c>
      <c r="B11" s="1" t="s">
        <v>1025</v>
      </c>
      <c r="C11" s="5">
        <v>46094</v>
      </c>
      <c r="D11" s="1" t="s">
        <v>44</v>
      </c>
      <c r="E11" s="6" t="s">
        <v>1026</v>
      </c>
      <c r="F11" s="6" t="s">
        <v>27</v>
      </c>
      <c r="G11" s="1" t="s">
        <v>7</v>
      </c>
      <c r="H11" s="1" t="s">
        <v>1027</v>
      </c>
      <c r="I11" s="1" t="s">
        <v>28</v>
      </c>
      <c r="J11" s="1" t="s">
        <v>1012</v>
      </c>
    </row>
    <row r="12" spans="1:12">
      <c r="A12" s="1">
        <v>9</v>
      </c>
      <c r="B12" s="1" t="s">
        <v>1028</v>
      </c>
      <c r="C12" s="5">
        <v>46106</v>
      </c>
      <c r="D12" s="1" t="s">
        <v>44</v>
      </c>
      <c r="E12" s="6" t="s">
        <v>1029</v>
      </c>
      <c r="F12" s="6" t="s">
        <v>5</v>
      </c>
      <c r="G12" s="1" t="s">
        <v>36</v>
      </c>
      <c r="H12" s="1" t="s">
        <v>1030</v>
      </c>
      <c r="I12" s="1" t="s">
        <v>15</v>
      </c>
      <c r="J12" s="1" t="s">
        <v>1020</v>
      </c>
    </row>
    <row r="13" spans="1:12">
      <c r="A13" s="1">
        <v>10</v>
      </c>
      <c r="B13" s="1" t="s">
        <v>1031</v>
      </c>
      <c r="C13" s="5">
        <v>46133</v>
      </c>
      <c r="D13" s="1" t="s">
        <v>53</v>
      </c>
      <c r="E13" s="6" t="s">
        <v>1010</v>
      </c>
      <c r="F13" s="6" t="s">
        <v>89</v>
      </c>
      <c r="G13" s="1" t="s">
        <v>104</v>
      </c>
      <c r="H13" s="1" t="s">
        <v>1011</v>
      </c>
      <c r="I13" s="1" t="s">
        <v>22</v>
      </c>
      <c r="J13" s="1" t="s">
        <v>1020</v>
      </c>
    </row>
    <row r="14" spans="1:12">
      <c r="A14" s="1">
        <v>11</v>
      </c>
      <c r="B14" s="1" t="s">
        <v>1032</v>
      </c>
      <c r="C14" s="5">
        <v>46140</v>
      </c>
      <c r="D14" s="1" t="s">
        <v>53</v>
      </c>
      <c r="E14" s="6" t="s">
        <v>1010</v>
      </c>
      <c r="F14" s="6" t="s">
        <v>13</v>
      </c>
      <c r="G14" s="1" t="s">
        <v>41</v>
      </c>
      <c r="H14" s="1" t="s">
        <v>1015</v>
      </c>
      <c r="I14" s="1" t="s">
        <v>15</v>
      </c>
      <c r="J14" s="1" t="s">
        <v>1020</v>
      </c>
    </row>
    <row r="15" spans="1:12">
      <c r="A15" s="1">
        <v>12</v>
      </c>
      <c r="B15" s="1" t="s">
        <v>1033</v>
      </c>
      <c r="C15" s="5">
        <v>46119</v>
      </c>
      <c r="D15" s="1" t="s">
        <v>53</v>
      </c>
      <c r="E15" s="6" t="s">
        <v>1022</v>
      </c>
      <c r="F15" s="6" t="s">
        <v>13</v>
      </c>
      <c r="G15" s="1" t="s">
        <v>7</v>
      </c>
      <c r="H15" s="1" t="s">
        <v>1011</v>
      </c>
      <c r="I15" s="1" t="s">
        <v>41</v>
      </c>
      <c r="J15" s="1" t="s">
        <v>230</v>
      </c>
    </row>
    <row r="16" spans="1:12">
      <c r="A16" s="1">
        <v>13</v>
      </c>
      <c r="B16" s="1" t="s">
        <v>1034</v>
      </c>
      <c r="C16" s="5">
        <v>46124</v>
      </c>
      <c r="D16" s="1" t="s">
        <v>53</v>
      </c>
      <c r="E16" s="6" t="s">
        <v>1010</v>
      </c>
      <c r="F16" s="6" t="s">
        <v>65</v>
      </c>
      <c r="G16" s="1" t="s">
        <v>22</v>
      </c>
      <c r="H16" s="1" t="s">
        <v>1030</v>
      </c>
      <c r="I16" s="1" t="s">
        <v>41</v>
      </c>
      <c r="J16" s="1" t="s">
        <v>1012</v>
      </c>
    </row>
    <row r="17" spans="1:10">
      <c r="A17" s="1">
        <v>14</v>
      </c>
      <c r="B17" s="1" t="s">
        <v>1035</v>
      </c>
      <c r="C17" s="5">
        <v>46127</v>
      </c>
      <c r="D17" s="1" t="s">
        <v>53</v>
      </c>
      <c r="E17" s="6" t="s">
        <v>1017</v>
      </c>
      <c r="F17" s="6" t="s">
        <v>39</v>
      </c>
      <c r="G17" s="1" t="s">
        <v>28</v>
      </c>
      <c r="H17" s="1" t="s">
        <v>1027</v>
      </c>
      <c r="I17" s="1" t="s">
        <v>36</v>
      </c>
      <c r="J17" s="1" t="s">
        <v>1012</v>
      </c>
    </row>
    <row r="18" spans="1:10">
      <c r="A18" s="1">
        <v>15</v>
      </c>
      <c r="B18" s="1" t="s">
        <v>1036</v>
      </c>
      <c r="C18" s="5">
        <v>46150</v>
      </c>
      <c r="D18" s="1" t="s">
        <v>60</v>
      </c>
      <c r="E18" s="6" t="s">
        <v>1022</v>
      </c>
      <c r="F18" s="6" t="s">
        <v>46</v>
      </c>
      <c r="G18" s="1" t="s">
        <v>22</v>
      </c>
      <c r="H18" s="1" t="s">
        <v>1030</v>
      </c>
      <c r="I18" s="1" t="s">
        <v>7</v>
      </c>
      <c r="J18" s="1" t="s">
        <v>1012</v>
      </c>
    </row>
    <row r="19" spans="1:10">
      <c r="A19" s="1">
        <v>16</v>
      </c>
      <c r="B19" s="1" t="s">
        <v>1037</v>
      </c>
      <c r="C19" s="5">
        <v>46169</v>
      </c>
      <c r="D19" s="1" t="s">
        <v>60</v>
      </c>
      <c r="E19" s="6" t="s">
        <v>1022</v>
      </c>
      <c r="F19" s="6" t="s">
        <v>92</v>
      </c>
      <c r="G19" s="1" t="s">
        <v>66</v>
      </c>
      <c r="H19" s="1" t="s">
        <v>1018</v>
      </c>
      <c r="I19" s="1" t="s">
        <v>36</v>
      </c>
      <c r="J19" s="1" t="s">
        <v>1012</v>
      </c>
    </row>
    <row r="20" spans="1:10">
      <c r="A20" s="1">
        <v>17</v>
      </c>
      <c r="B20" s="1" t="s">
        <v>1038</v>
      </c>
      <c r="C20" s="5">
        <v>46167</v>
      </c>
      <c r="D20" s="1" t="s">
        <v>60</v>
      </c>
      <c r="E20" s="6" t="s">
        <v>1029</v>
      </c>
      <c r="F20" s="6" t="s">
        <v>39</v>
      </c>
      <c r="G20" s="1" t="s">
        <v>7</v>
      </c>
      <c r="H20" s="1" t="s">
        <v>1030</v>
      </c>
      <c r="I20" s="1" t="s">
        <v>68</v>
      </c>
      <c r="J20" s="1" t="s">
        <v>1012</v>
      </c>
    </row>
    <row r="21" spans="1:10">
      <c r="A21" s="1">
        <v>18</v>
      </c>
      <c r="B21" s="1" t="s">
        <v>1039</v>
      </c>
      <c r="C21" s="5">
        <v>46145</v>
      </c>
      <c r="D21" s="1" t="s">
        <v>60</v>
      </c>
      <c r="E21" s="6" t="s">
        <v>1026</v>
      </c>
      <c r="F21" s="6" t="s">
        <v>58</v>
      </c>
      <c r="G21" s="1" t="s">
        <v>62</v>
      </c>
      <c r="H21" s="1" t="s">
        <v>1018</v>
      </c>
      <c r="I21" s="1" t="s">
        <v>22</v>
      </c>
      <c r="J21" s="1" t="s">
        <v>1012</v>
      </c>
    </row>
    <row r="22" spans="1:10">
      <c r="A22" s="1">
        <v>19</v>
      </c>
      <c r="B22" s="1" t="s">
        <v>1040</v>
      </c>
      <c r="C22" s="5">
        <v>46167</v>
      </c>
      <c r="D22" s="1" t="s">
        <v>60</v>
      </c>
      <c r="E22" s="6" t="s">
        <v>1029</v>
      </c>
      <c r="F22" s="6" t="s">
        <v>92</v>
      </c>
      <c r="G22" s="1" t="s">
        <v>15</v>
      </c>
      <c r="H22" s="1" t="s">
        <v>1030</v>
      </c>
      <c r="I22" s="1" t="s">
        <v>66</v>
      </c>
      <c r="J22" s="1" t="s">
        <v>1020</v>
      </c>
    </row>
    <row r="23" spans="1:10">
      <c r="A23" s="1">
        <v>20</v>
      </c>
      <c r="B23" s="1" t="s">
        <v>1041</v>
      </c>
      <c r="C23" s="5">
        <v>46166</v>
      </c>
      <c r="D23" s="1" t="s">
        <v>60</v>
      </c>
      <c r="E23" s="6" t="s">
        <v>1014</v>
      </c>
      <c r="F23" s="6" t="s">
        <v>50</v>
      </c>
      <c r="G23" s="1" t="s">
        <v>28</v>
      </c>
      <c r="H23" s="1" t="s">
        <v>1015</v>
      </c>
      <c r="I23" s="1" t="s">
        <v>62</v>
      </c>
      <c r="J23" s="1" t="s">
        <v>1020</v>
      </c>
    </row>
    <row r="24" spans="1:10">
      <c r="A24" s="1">
        <v>21</v>
      </c>
      <c r="B24" s="1" t="s">
        <v>1042</v>
      </c>
      <c r="C24" s="5">
        <v>46167</v>
      </c>
      <c r="D24" s="1" t="s">
        <v>60</v>
      </c>
      <c r="E24" s="6" t="s">
        <v>1010</v>
      </c>
      <c r="F24" s="6" t="s">
        <v>39</v>
      </c>
      <c r="G24" s="1" t="s">
        <v>78</v>
      </c>
      <c r="H24" s="1" t="s">
        <v>1015</v>
      </c>
      <c r="I24" s="1" t="s">
        <v>36</v>
      </c>
      <c r="J24" s="1" t="s">
        <v>1020</v>
      </c>
    </row>
    <row r="25" spans="1:10">
      <c r="A25" s="1">
        <v>22</v>
      </c>
      <c r="B25" s="1" t="s">
        <v>1043</v>
      </c>
      <c r="C25" s="5">
        <v>46183</v>
      </c>
      <c r="D25" s="1" t="s">
        <v>73</v>
      </c>
      <c r="E25" s="6" t="s">
        <v>1029</v>
      </c>
      <c r="F25" s="6" t="s">
        <v>92</v>
      </c>
      <c r="G25" s="1" t="s">
        <v>66</v>
      </c>
      <c r="H25" s="1" t="s">
        <v>1027</v>
      </c>
      <c r="I25" s="1" t="s">
        <v>7</v>
      </c>
      <c r="J25" s="1" t="s">
        <v>1012</v>
      </c>
    </row>
    <row r="26" spans="1:10">
      <c r="A26" s="1">
        <v>23</v>
      </c>
      <c r="B26" s="1" t="s">
        <v>1044</v>
      </c>
      <c r="C26" s="5">
        <v>46190</v>
      </c>
      <c r="D26" s="1" t="s">
        <v>73</v>
      </c>
      <c r="E26" s="6" t="s">
        <v>1029</v>
      </c>
      <c r="F26" s="6" t="s">
        <v>89</v>
      </c>
      <c r="G26" s="1" t="s">
        <v>41</v>
      </c>
      <c r="H26" s="1" t="s">
        <v>1015</v>
      </c>
      <c r="I26" s="1" t="s">
        <v>32</v>
      </c>
      <c r="J26" s="1" t="s">
        <v>1020</v>
      </c>
    </row>
    <row r="27" spans="1:10">
      <c r="A27" s="1">
        <v>24</v>
      </c>
      <c r="B27" s="1" t="s">
        <v>1045</v>
      </c>
      <c r="C27" s="5">
        <v>46196</v>
      </c>
      <c r="D27" s="1" t="s">
        <v>73</v>
      </c>
      <c r="E27" s="6" t="s">
        <v>1029</v>
      </c>
      <c r="F27" s="6" t="s">
        <v>5</v>
      </c>
      <c r="G27" s="1" t="s">
        <v>93</v>
      </c>
      <c r="H27" s="1" t="s">
        <v>1030</v>
      </c>
      <c r="I27" s="1" t="s">
        <v>41</v>
      </c>
      <c r="J27" s="1" t="s">
        <v>1020</v>
      </c>
    </row>
    <row r="28" spans="1:10">
      <c r="A28" s="1">
        <v>25</v>
      </c>
      <c r="B28" s="1" t="s">
        <v>1046</v>
      </c>
      <c r="C28" s="5">
        <v>46178</v>
      </c>
      <c r="D28" s="1" t="s">
        <v>73</v>
      </c>
      <c r="E28" s="6" t="s">
        <v>1014</v>
      </c>
      <c r="F28" s="6" t="s">
        <v>65</v>
      </c>
      <c r="G28" s="1" t="s">
        <v>68</v>
      </c>
      <c r="H28" s="1" t="s">
        <v>1018</v>
      </c>
      <c r="I28" s="1" t="s">
        <v>104</v>
      </c>
      <c r="J28" s="1" t="s">
        <v>1012</v>
      </c>
    </row>
    <row r="29" spans="1:10">
      <c r="A29" s="1">
        <v>26</v>
      </c>
      <c r="B29" s="1" t="s">
        <v>1047</v>
      </c>
      <c r="C29" s="5">
        <v>46217</v>
      </c>
      <c r="D29" s="1" t="s">
        <v>76</v>
      </c>
      <c r="E29" s="6" t="s">
        <v>1014</v>
      </c>
      <c r="F29" s="6" t="s">
        <v>27</v>
      </c>
      <c r="G29" s="1" t="s">
        <v>32</v>
      </c>
      <c r="H29" s="1" t="s">
        <v>1027</v>
      </c>
      <c r="I29" s="1" t="s">
        <v>22</v>
      </c>
      <c r="J29" s="1" t="s">
        <v>230</v>
      </c>
    </row>
    <row r="30" spans="1:10">
      <c r="A30" s="1">
        <v>27</v>
      </c>
      <c r="B30" s="1" t="s">
        <v>1048</v>
      </c>
      <c r="C30" s="5">
        <v>46261</v>
      </c>
      <c r="D30" s="1" t="s">
        <v>86</v>
      </c>
      <c r="E30" s="6" t="s">
        <v>1029</v>
      </c>
      <c r="F30" s="6" t="s">
        <v>46</v>
      </c>
      <c r="G30" s="1" t="s">
        <v>78</v>
      </c>
      <c r="H30" s="1" t="s">
        <v>1015</v>
      </c>
      <c r="I30" s="1" t="s">
        <v>70</v>
      </c>
      <c r="J30" s="1" t="s">
        <v>1012</v>
      </c>
    </row>
    <row r="31" spans="1:10">
      <c r="A31" s="1">
        <v>28</v>
      </c>
      <c r="B31" s="1" t="s">
        <v>1049</v>
      </c>
      <c r="C31" s="5">
        <v>46256</v>
      </c>
      <c r="D31" s="1" t="s">
        <v>86</v>
      </c>
      <c r="E31" s="6" t="s">
        <v>1026</v>
      </c>
      <c r="F31" s="6" t="s">
        <v>92</v>
      </c>
      <c r="G31" s="1" t="s">
        <v>28</v>
      </c>
      <c r="H31" s="1" t="s">
        <v>1018</v>
      </c>
      <c r="I31" s="1" t="s">
        <v>15</v>
      </c>
      <c r="J31" s="1" t="s">
        <v>230</v>
      </c>
    </row>
    <row r="32" spans="1:10">
      <c r="A32" s="1">
        <v>29</v>
      </c>
      <c r="B32" s="1" t="s">
        <v>1050</v>
      </c>
      <c r="C32" s="5">
        <v>46243</v>
      </c>
      <c r="D32" s="1" t="s">
        <v>86</v>
      </c>
      <c r="E32" s="6" t="s">
        <v>1010</v>
      </c>
      <c r="F32" s="6" t="s">
        <v>5</v>
      </c>
      <c r="G32" s="1" t="s">
        <v>78</v>
      </c>
      <c r="H32" s="1" t="s">
        <v>1030</v>
      </c>
      <c r="I32" s="1" t="s">
        <v>68</v>
      </c>
      <c r="J32" s="1" t="s">
        <v>1020</v>
      </c>
    </row>
    <row r="33" spans="1:10">
      <c r="A33" s="1">
        <v>30</v>
      </c>
      <c r="B33" s="1" t="s">
        <v>1051</v>
      </c>
      <c r="C33" s="5">
        <v>46293</v>
      </c>
      <c r="D33" s="1" t="s">
        <v>102</v>
      </c>
      <c r="E33" s="6" t="s">
        <v>1026</v>
      </c>
      <c r="F33" s="6" t="s">
        <v>92</v>
      </c>
      <c r="G33" s="1" t="s">
        <v>22</v>
      </c>
      <c r="H33" s="1" t="s">
        <v>1011</v>
      </c>
      <c r="I33" s="1" t="s">
        <v>93</v>
      </c>
      <c r="J33" s="1" t="s">
        <v>1012</v>
      </c>
    </row>
    <row r="34" spans="1:10">
      <c r="A34" s="1">
        <v>31</v>
      </c>
      <c r="B34" s="1" t="s">
        <v>1052</v>
      </c>
      <c r="C34" s="5">
        <v>46273</v>
      </c>
      <c r="D34" s="1" t="s">
        <v>102</v>
      </c>
      <c r="E34" s="6" t="s">
        <v>1017</v>
      </c>
      <c r="F34" s="6" t="s">
        <v>50</v>
      </c>
      <c r="G34" s="1" t="s">
        <v>22</v>
      </c>
      <c r="H34" s="1" t="s">
        <v>1015</v>
      </c>
      <c r="I34" s="1" t="s">
        <v>41</v>
      </c>
      <c r="J34" s="1" t="s">
        <v>230</v>
      </c>
    </row>
    <row r="35" spans="1:10">
      <c r="A35" s="1">
        <v>32</v>
      </c>
      <c r="B35" s="1" t="s">
        <v>1053</v>
      </c>
      <c r="C35" s="5">
        <v>46279</v>
      </c>
      <c r="D35" s="1" t="s">
        <v>102</v>
      </c>
      <c r="E35" s="6" t="s">
        <v>1014</v>
      </c>
      <c r="F35" s="6" t="s">
        <v>27</v>
      </c>
      <c r="G35" s="1" t="s">
        <v>93</v>
      </c>
      <c r="H35" s="1" t="s">
        <v>1011</v>
      </c>
      <c r="I35" s="1" t="s">
        <v>32</v>
      </c>
      <c r="J35" s="1" t="s">
        <v>1020</v>
      </c>
    </row>
    <row r="36" spans="1:10">
      <c r="A36" s="1">
        <v>33</v>
      </c>
      <c r="B36" s="1" t="s">
        <v>1054</v>
      </c>
      <c r="C36" s="5">
        <v>46278</v>
      </c>
      <c r="D36" s="1" t="s">
        <v>102</v>
      </c>
      <c r="E36" s="6" t="s">
        <v>1022</v>
      </c>
      <c r="F36" s="6" t="s">
        <v>65</v>
      </c>
      <c r="G36" s="1" t="s">
        <v>70</v>
      </c>
      <c r="H36" s="1" t="s">
        <v>1018</v>
      </c>
      <c r="I36" s="1" t="s">
        <v>32</v>
      </c>
      <c r="J36" s="1" t="s">
        <v>230</v>
      </c>
    </row>
    <row r="37" spans="1:10">
      <c r="A37" s="1">
        <v>34</v>
      </c>
      <c r="B37" s="1" t="s">
        <v>1055</v>
      </c>
      <c r="C37" s="5">
        <v>46296</v>
      </c>
      <c r="D37" s="1" t="s">
        <v>106</v>
      </c>
      <c r="E37" s="6" t="s">
        <v>1026</v>
      </c>
      <c r="F37" s="6" t="s">
        <v>50</v>
      </c>
      <c r="G37" s="1" t="s">
        <v>78</v>
      </c>
      <c r="H37" s="1" t="s">
        <v>1018</v>
      </c>
      <c r="I37" s="1" t="s">
        <v>104</v>
      </c>
      <c r="J37" s="1" t="s">
        <v>230</v>
      </c>
    </row>
    <row r="38" spans="1:10">
      <c r="A38" s="1">
        <v>35</v>
      </c>
      <c r="B38" s="1" t="s">
        <v>1056</v>
      </c>
      <c r="C38" s="5">
        <v>46312</v>
      </c>
      <c r="D38" s="1" t="s">
        <v>106</v>
      </c>
      <c r="E38" s="6" t="s">
        <v>1022</v>
      </c>
      <c r="F38" s="6" t="s">
        <v>13</v>
      </c>
      <c r="G38" s="1" t="s">
        <v>66</v>
      </c>
      <c r="H38" s="1" t="s">
        <v>1027</v>
      </c>
      <c r="I38" s="1" t="s">
        <v>28</v>
      </c>
      <c r="J38" s="1" t="s">
        <v>1012</v>
      </c>
    </row>
    <row r="39" spans="1:10">
      <c r="A39" s="1">
        <v>36</v>
      </c>
      <c r="B39" s="1" t="s">
        <v>1057</v>
      </c>
      <c r="C39" s="5">
        <v>46321</v>
      </c>
      <c r="D39" s="1" t="s">
        <v>106</v>
      </c>
      <c r="E39" s="6" t="s">
        <v>1026</v>
      </c>
      <c r="F39" s="6" t="s">
        <v>65</v>
      </c>
      <c r="G39" s="1" t="s">
        <v>78</v>
      </c>
      <c r="H39" s="1" t="s">
        <v>1011</v>
      </c>
      <c r="I39" s="1" t="s">
        <v>78</v>
      </c>
      <c r="J39" s="1" t="s">
        <v>1020</v>
      </c>
    </row>
    <row r="40" spans="1:10">
      <c r="A40" s="1">
        <v>37</v>
      </c>
      <c r="B40" s="1" t="s">
        <v>1058</v>
      </c>
      <c r="C40" s="5">
        <v>46300</v>
      </c>
      <c r="D40" s="1" t="s">
        <v>106</v>
      </c>
      <c r="E40" s="6" t="s">
        <v>1026</v>
      </c>
      <c r="F40" s="6" t="s">
        <v>46</v>
      </c>
      <c r="G40" s="1" t="s">
        <v>70</v>
      </c>
      <c r="H40" s="1" t="s">
        <v>1027</v>
      </c>
      <c r="I40" s="1" t="s">
        <v>22</v>
      </c>
      <c r="J40" s="1" t="s">
        <v>230</v>
      </c>
    </row>
    <row r="41" spans="1:10">
      <c r="A41" s="1">
        <v>38</v>
      </c>
      <c r="B41" s="1" t="s">
        <v>1059</v>
      </c>
      <c r="C41" s="5">
        <v>46299</v>
      </c>
      <c r="D41" s="1" t="s">
        <v>106</v>
      </c>
      <c r="E41" s="6" t="s">
        <v>1017</v>
      </c>
      <c r="F41" s="6" t="s">
        <v>65</v>
      </c>
      <c r="G41" s="1" t="s">
        <v>36</v>
      </c>
      <c r="H41" s="1" t="s">
        <v>1015</v>
      </c>
      <c r="I41" s="1" t="s">
        <v>7</v>
      </c>
      <c r="J41" s="1" t="s">
        <v>230</v>
      </c>
    </row>
    <row r="42" spans="1:10">
      <c r="A42" s="1">
        <v>39</v>
      </c>
      <c r="B42" s="1" t="s">
        <v>1060</v>
      </c>
      <c r="C42" s="5">
        <v>46313</v>
      </c>
      <c r="D42" s="1" t="s">
        <v>106</v>
      </c>
      <c r="E42" s="6" t="s">
        <v>1022</v>
      </c>
      <c r="F42" s="6" t="s">
        <v>46</v>
      </c>
      <c r="G42" s="1" t="s">
        <v>93</v>
      </c>
      <c r="H42" s="1" t="s">
        <v>1027</v>
      </c>
      <c r="I42" s="1" t="s">
        <v>22</v>
      </c>
      <c r="J42" s="1" t="s">
        <v>230</v>
      </c>
    </row>
    <row r="43" spans="1:10">
      <c r="A43" s="1">
        <v>40</v>
      </c>
      <c r="B43" s="1" t="s">
        <v>1061</v>
      </c>
      <c r="C43" s="5">
        <v>46347</v>
      </c>
      <c r="D43" s="1" t="s">
        <v>111</v>
      </c>
      <c r="E43" s="6" t="s">
        <v>1029</v>
      </c>
      <c r="F43" s="6" t="s">
        <v>92</v>
      </c>
      <c r="G43" s="1" t="s">
        <v>104</v>
      </c>
      <c r="H43" s="1" t="s">
        <v>1015</v>
      </c>
      <c r="I43" s="1" t="s">
        <v>78</v>
      </c>
      <c r="J43" s="1" t="s">
        <v>1020</v>
      </c>
    </row>
    <row r="44" spans="1:10">
      <c r="A44" s="1">
        <v>41</v>
      </c>
      <c r="B44" s="1" t="s">
        <v>1062</v>
      </c>
      <c r="C44" s="5">
        <v>46336</v>
      </c>
      <c r="D44" s="1" t="s">
        <v>111</v>
      </c>
      <c r="E44" s="6" t="s">
        <v>1017</v>
      </c>
      <c r="F44" s="6" t="s">
        <v>27</v>
      </c>
      <c r="G44" s="1" t="s">
        <v>78</v>
      </c>
      <c r="H44" s="1" t="s">
        <v>1011</v>
      </c>
      <c r="I44" s="1" t="s">
        <v>15</v>
      </c>
      <c r="J44" s="1" t="s">
        <v>230</v>
      </c>
    </row>
    <row r="45" spans="1:10">
      <c r="A45" s="1">
        <v>42</v>
      </c>
      <c r="B45" s="1" t="s">
        <v>1063</v>
      </c>
      <c r="C45" s="5">
        <v>46339</v>
      </c>
      <c r="D45" s="1" t="s">
        <v>111</v>
      </c>
      <c r="E45" s="6" t="s">
        <v>1026</v>
      </c>
      <c r="F45" s="6" t="s">
        <v>46</v>
      </c>
      <c r="G45" s="1" t="s">
        <v>28</v>
      </c>
      <c r="H45" s="1" t="s">
        <v>1018</v>
      </c>
      <c r="I45" s="1" t="s">
        <v>32</v>
      </c>
      <c r="J45" s="1" t="s">
        <v>1020</v>
      </c>
    </row>
    <row r="46" spans="1:10">
      <c r="A46" s="1">
        <v>43</v>
      </c>
      <c r="B46" s="1" t="s">
        <v>1064</v>
      </c>
      <c r="C46" s="5">
        <v>46353</v>
      </c>
      <c r="D46" s="1" t="s">
        <v>111</v>
      </c>
      <c r="E46" s="6" t="s">
        <v>1026</v>
      </c>
      <c r="F46" s="6" t="s">
        <v>92</v>
      </c>
      <c r="G46" s="1" t="s">
        <v>70</v>
      </c>
      <c r="H46" s="1" t="s">
        <v>1027</v>
      </c>
      <c r="I46" s="1" t="s">
        <v>7</v>
      </c>
      <c r="J46" s="1" t="s">
        <v>1012</v>
      </c>
    </row>
    <row r="47" spans="1:10">
      <c r="A47" s="1">
        <v>44</v>
      </c>
      <c r="B47" s="1" t="s">
        <v>1065</v>
      </c>
      <c r="C47" s="5">
        <v>46354</v>
      </c>
      <c r="D47" s="1" t="s">
        <v>111</v>
      </c>
      <c r="E47" s="6" t="s">
        <v>1022</v>
      </c>
      <c r="F47" s="6" t="s">
        <v>92</v>
      </c>
      <c r="G47" s="1" t="s">
        <v>32</v>
      </c>
      <c r="H47" s="1" t="s">
        <v>1015</v>
      </c>
      <c r="I47" s="1" t="s">
        <v>68</v>
      </c>
      <c r="J47" s="1" t="s">
        <v>1020</v>
      </c>
    </row>
    <row r="48" spans="1:10">
      <c r="A48" s="1">
        <v>45</v>
      </c>
      <c r="B48" s="1" t="s">
        <v>1066</v>
      </c>
      <c r="C48" s="5">
        <v>46367</v>
      </c>
      <c r="D48" s="1" t="s">
        <v>122</v>
      </c>
      <c r="E48" s="6" t="s">
        <v>1017</v>
      </c>
      <c r="F48" s="6" t="s">
        <v>46</v>
      </c>
      <c r="G48" s="1" t="s">
        <v>22</v>
      </c>
      <c r="H48" s="1" t="s">
        <v>1011</v>
      </c>
      <c r="I48" s="1" t="s">
        <v>62</v>
      </c>
      <c r="J48" s="1" t="s">
        <v>230</v>
      </c>
    </row>
    <row r="49" spans="1:10">
      <c r="A49" s="1">
        <v>46</v>
      </c>
      <c r="B49" s="1" t="s">
        <v>1067</v>
      </c>
      <c r="C49" s="5">
        <v>46370</v>
      </c>
      <c r="D49" s="1" t="s">
        <v>122</v>
      </c>
      <c r="E49" s="6" t="s">
        <v>1022</v>
      </c>
      <c r="F49" s="6" t="s">
        <v>89</v>
      </c>
      <c r="G49" s="1" t="s">
        <v>104</v>
      </c>
      <c r="H49" s="1" t="s">
        <v>1015</v>
      </c>
      <c r="I49" s="1" t="s">
        <v>7</v>
      </c>
      <c r="J49" s="1" t="s">
        <v>230</v>
      </c>
    </row>
    <row r="50" spans="1:10">
      <c r="A50" s="1">
        <v>47</v>
      </c>
      <c r="B50" s="1" t="s">
        <v>1068</v>
      </c>
      <c r="C50" s="5">
        <v>46361</v>
      </c>
      <c r="D50" s="1" t="s">
        <v>122</v>
      </c>
      <c r="E50" s="6" t="s">
        <v>1022</v>
      </c>
      <c r="F50" s="6" t="s">
        <v>89</v>
      </c>
      <c r="G50" s="1" t="s">
        <v>28</v>
      </c>
      <c r="H50" s="1" t="s">
        <v>1018</v>
      </c>
      <c r="I50" s="1" t="s">
        <v>70</v>
      </c>
      <c r="J50" s="1" t="s">
        <v>1012</v>
      </c>
    </row>
    <row r="51" spans="1:10">
      <c r="A51" s="1">
        <v>48</v>
      </c>
      <c r="B51" s="1" t="s">
        <v>1069</v>
      </c>
      <c r="C51" s="5">
        <v>46377</v>
      </c>
      <c r="D51" s="1" t="s">
        <v>122</v>
      </c>
      <c r="E51" s="6" t="s">
        <v>1017</v>
      </c>
      <c r="F51" s="6" t="s">
        <v>89</v>
      </c>
      <c r="G51" s="1" t="s">
        <v>32</v>
      </c>
      <c r="H51" s="1" t="s">
        <v>1030</v>
      </c>
      <c r="I51" s="1" t="s">
        <v>15</v>
      </c>
      <c r="J51" s="1" t="s">
        <v>230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1075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1127</v>
      </c>
      <c r="C3" s="1" t="s">
        <v>126</v>
      </c>
      <c r="D3" s="1" t="s">
        <v>127</v>
      </c>
      <c r="E3" s="1" t="s">
        <v>1128</v>
      </c>
      <c r="F3" s="1" t="s">
        <v>129</v>
      </c>
      <c r="G3" s="1" t="s">
        <v>130</v>
      </c>
      <c r="H3" s="1" t="s">
        <v>1129</v>
      </c>
      <c r="I3" s="1" t="s">
        <v>1130</v>
      </c>
      <c r="J3" s="1" t="s">
        <v>1131</v>
      </c>
      <c r="K3" s="1" t="s">
        <v>1132</v>
      </c>
      <c r="L3" s="1" t="s">
        <v>1133</v>
      </c>
      <c r="M3" s="1" t="s">
        <v>1134</v>
      </c>
    </row>
    <row r="4" spans="1:15">
      <c r="A4" s="1">
        <v>1</v>
      </c>
      <c r="B4" s="1" t="s">
        <v>1076</v>
      </c>
      <c r="C4" s="5">
        <v>46038</v>
      </c>
      <c r="D4" s="1" t="s">
        <v>3</v>
      </c>
      <c r="E4" s="6" t="s">
        <v>91</v>
      </c>
      <c r="F4" s="6" t="s">
        <v>50</v>
      </c>
      <c r="G4" s="1" t="s">
        <v>31</v>
      </c>
      <c r="H4" s="1" t="s">
        <v>93</v>
      </c>
      <c r="I4" s="1" t="s">
        <v>78</v>
      </c>
      <c r="J4" s="1">
        <v>14</v>
      </c>
      <c r="K4" s="1" t="s">
        <v>157</v>
      </c>
      <c r="L4" s="1" t="s">
        <v>1077</v>
      </c>
      <c r="M4" s="1" t="s">
        <v>9</v>
      </c>
    </row>
    <row r="5" spans="1:15">
      <c r="A5" s="1">
        <v>2</v>
      </c>
      <c r="B5" s="1" t="s">
        <v>1078</v>
      </c>
      <c r="C5" s="5">
        <v>46027</v>
      </c>
      <c r="D5" s="1" t="s">
        <v>3</v>
      </c>
      <c r="E5" s="6" t="s">
        <v>38</v>
      </c>
      <c r="F5" s="6" t="s">
        <v>27</v>
      </c>
      <c r="G5" s="1" t="s">
        <v>51</v>
      </c>
      <c r="H5" s="1" t="s">
        <v>104</v>
      </c>
      <c r="I5" s="1" t="s">
        <v>68</v>
      </c>
      <c r="J5" s="1">
        <v>6</v>
      </c>
      <c r="K5" s="1" t="s">
        <v>157</v>
      </c>
      <c r="L5" s="1" t="s">
        <v>1079</v>
      </c>
      <c r="M5" s="1" t="s">
        <v>23</v>
      </c>
    </row>
    <row r="6" spans="1:15">
      <c r="A6" s="1">
        <v>3</v>
      </c>
      <c r="B6" s="1" t="s">
        <v>1080</v>
      </c>
      <c r="C6" s="5">
        <v>46025</v>
      </c>
      <c r="D6" s="1" t="s">
        <v>3</v>
      </c>
      <c r="E6" s="6" t="s">
        <v>4</v>
      </c>
      <c r="F6" s="6" t="s">
        <v>39</v>
      </c>
      <c r="G6" s="1" t="s">
        <v>82</v>
      </c>
      <c r="H6" s="1" t="s">
        <v>68</v>
      </c>
      <c r="I6" s="1" t="s">
        <v>15</v>
      </c>
      <c r="J6" s="1">
        <v>5</v>
      </c>
      <c r="K6" s="1" t="s">
        <v>142</v>
      </c>
      <c r="L6" s="1" t="s">
        <v>1081</v>
      </c>
      <c r="M6" s="1" t="s">
        <v>9</v>
      </c>
    </row>
    <row r="7" spans="1:15">
      <c r="A7" s="1">
        <v>4</v>
      </c>
      <c r="B7" s="1" t="s">
        <v>1082</v>
      </c>
      <c r="C7" s="5">
        <v>46063</v>
      </c>
      <c r="D7" s="1" t="s">
        <v>19</v>
      </c>
      <c r="E7" s="6" t="s">
        <v>12</v>
      </c>
      <c r="F7" s="6" t="s">
        <v>65</v>
      </c>
      <c r="G7" s="1" t="s">
        <v>87</v>
      </c>
      <c r="H7" s="1" t="s">
        <v>62</v>
      </c>
      <c r="I7" s="1" t="s">
        <v>15</v>
      </c>
      <c r="J7" s="1">
        <v>5</v>
      </c>
      <c r="K7" s="1" t="s">
        <v>151</v>
      </c>
      <c r="L7" s="1" t="s">
        <v>1081</v>
      </c>
      <c r="M7" s="1" t="s">
        <v>9</v>
      </c>
    </row>
    <row r="8" spans="1:15">
      <c r="A8" s="1">
        <v>5</v>
      </c>
      <c r="B8" s="1" t="s">
        <v>1083</v>
      </c>
      <c r="C8" s="5">
        <v>46073</v>
      </c>
      <c r="D8" s="1" t="s">
        <v>19</v>
      </c>
      <c r="E8" s="6" t="s">
        <v>38</v>
      </c>
      <c r="F8" s="6" t="s">
        <v>46</v>
      </c>
      <c r="G8" s="1" t="s">
        <v>87</v>
      </c>
      <c r="H8" s="1" t="s">
        <v>66</v>
      </c>
      <c r="I8" s="1" t="s">
        <v>32</v>
      </c>
      <c r="J8" s="1">
        <v>27</v>
      </c>
      <c r="K8" s="1" t="s">
        <v>142</v>
      </c>
      <c r="L8" s="1" t="s">
        <v>1081</v>
      </c>
      <c r="M8" s="1" t="s">
        <v>9</v>
      </c>
    </row>
    <row r="9" spans="1:15">
      <c r="A9" s="1">
        <v>6</v>
      </c>
      <c r="B9" s="1" t="s">
        <v>1084</v>
      </c>
      <c r="C9" s="5">
        <v>46097</v>
      </c>
      <c r="D9" s="1" t="s">
        <v>44</v>
      </c>
      <c r="E9" s="6" t="s">
        <v>30</v>
      </c>
      <c r="F9" s="6" t="s">
        <v>58</v>
      </c>
      <c r="G9" s="1" t="s">
        <v>40</v>
      </c>
      <c r="H9" s="1" t="s">
        <v>70</v>
      </c>
      <c r="I9" s="1" t="s">
        <v>70</v>
      </c>
      <c r="J9" s="1">
        <v>16</v>
      </c>
      <c r="K9" s="1" t="s">
        <v>157</v>
      </c>
      <c r="L9" s="1" t="s">
        <v>1081</v>
      </c>
      <c r="M9" s="1" t="s">
        <v>23</v>
      </c>
    </row>
    <row r="10" spans="1:15">
      <c r="A10" s="1">
        <v>7</v>
      </c>
      <c r="B10" s="1" t="s">
        <v>1085</v>
      </c>
      <c r="C10" s="5">
        <v>46101</v>
      </c>
      <c r="D10" s="1" t="s">
        <v>44</v>
      </c>
      <c r="E10" s="6" t="s">
        <v>54</v>
      </c>
      <c r="F10" s="6" t="s">
        <v>92</v>
      </c>
      <c r="G10" s="1" t="s">
        <v>87</v>
      </c>
      <c r="H10" s="1" t="s">
        <v>66</v>
      </c>
      <c r="I10" s="1" t="s">
        <v>78</v>
      </c>
      <c r="J10" s="1">
        <v>9</v>
      </c>
      <c r="K10" s="1" t="s">
        <v>151</v>
      </c>
      <c r="L10" s="1" t="s">
        <v>1077</v>
      </c>
      <c r="M10" s="1" t="s">
        <v>9</v>
      </c>
    </row>
    <row r="11" spans="1:15">
      <c r="A11" s="1">
        <v>8</v>
      </c>
      <c r="B11" s="1" t="s">
        <v>1086</v>
      </c>
      <c r="C11" s="5">
        <v>46108</v>
      </c>
      <c r="D11" s="1" t="s">
        <v>44</v>
      </c>
      <c r="E11" s="6" t="s">
        <v>54</v>
      </c>
      <c r="F11" s="6" t="s">
        <v>65</v>
      </c>
      <c r="G11" s="1" t="s">
        <v>21</v>
      </c>
      <c r="H11" s="1" t="s">
        <v>28</v>
      </c>
      <c r="I11" s="1" t="s">
        <v>7</v>
      </c>
      <c r="J11" s="1">
        <v>17</v>
      </c>
      <c r="K11" s="1" t="s">
        <v>142</v>
      </c>
      <c r="L11" s="1" t="s">
        <v>1079</v>
      </c>
      <c r="M11" s="1" t="s">
        <v>9</v>
      </c>
    </row>
    <row r="12" spans="1:15">
      <c r="A12" s="1">
        <v>9</v>
      </c>
      <c r="B12" s="1" t="s">
        <v>1087</v>
      </c>
      <c r="C12" s="5">
        <v>46121</v>
      </c>
      <c r="D12" s="1" t="s">
        <v>53</v>
      </c>
      <c r="E12" s="6" t="s">
        <v>49</v>
      </c>
      <c r="F12" s="6" t="s">
        <v>58</v>
      </c>
      <c r="G12" s="1" t="s">
        <v>40</v>
      </c>
      <c r="H12" s="1" t="s">
        <v>93</v>
      </c>
      <c r="I12" s="1" t="s">
        <v>28</v>
      </c>
      <c r="J12" s="1">
        <v>29</v>
      </c>
      <c r="K12" s="1" t="s">
        <v>157</v>
      </c>
      <c r="L12" s="1" t="s">
        <v>1081</v>
      </c>
      <c r="M12" s="1" t="s">
        <v>9</v>
      </c>
    </row>
    <row r="13" spans="1:15">
      <c r="A13" s="1">
        <v>10</v>
      </c>
      <c r="B13" s="1" t="s">
        <v>1088</v>
      </c>
      <c r="C13" s="5">
        <v>46136</v>
      </c>
      <c r="D13" s="1" t="s">
        <v>53</v>
      </c>
      <c r="E13" s="6" t="s">
        <v>16</v>
      </c>
      <c r="F13" s="6" t="s">
        <v>13</v>
      </c>
      <c r="G13" s="1" t="s">
        <v>87</v>
      </c>
      <c r="H13" s="1" t="s">
        <v>41</v>
      </c>
      <c r="I13" s="1" t="s">
        <v>70</v>
      </c>
      <c r="J13" s="1">
        <v>8</v>
      </c>
      <c r="K13" s="1" t="s">
        <v>151</v>
      </c>
      <c r="L13" s="1" t="s">
        <v>1077</v>
      </c>
      <c r="M13" s="1" t="s">
        <v>9</v>
      </c>
    </row>
    <row r="14" spans="1:15">
      <c r="A14" s="1">
        <v>11</v>
      </c>
      <c r="B14" s="1" t="s">
        <v>1089</v>
      </c>
      <c r="C14" s="5">
        <v>46125</v>
      </c>
      <c r="D14" s="1" t="s">
        <v>53</v>
      </c>
      <c r="E14" s="6" t="s">
        <v>49</v>
      </c>
      <c r="F14" s="6" t="s">
        <v>50</v>
      </c>
      <c r="G14" s="1" t="s">
        <v>82</v>
      </c>
      <c r="H14" s="1" t="s">
        <v>15</v>
      </c>
      <c r="I14" s="1" t="s">
        <v>32</v>
      </c>
      <c r="J14" s="1">
        <v>27</v>
      </c>
      <c r="K14" s="1" t="s">
        <v>157</v>
      </c>
      <c r="L14" s="1" t="s">
        <v>1079</v>
      </c>
      <c r="M14" s="1" t="s">
        <v>23</v>
      </c>
    </row>
    <row r="15" spans="1:15">
      <c r="A15" s="1">
        <v>12</v>
      </c>
      <c r="B15" s="1" t="s">
        <v>1090</v>
      </c>
      <c r="C15" s="5">
        <v>46124</v>
      </c>
      <c r="D15" s="1" t="s">
        <v>53</v>
      </c>
      <c r="E15" s="6" t="s">
        <v>4</v>
      </c>
      <c r="F15" s="6" t="s">
        <v>50</v>
      </c>
      <c r="G15" s="1" t="s">
        <v>21</v>
      </c>
      <c r="H15" s="1" t="s">
        <v>15</v>
      </c>
      <c r="I15" s="1" t="s">
        <v>68</v>
      </c>
      <c r="J15" s="1">
        <v>30</v>
      </c>
      <c r="K15" s="1" t="s">
        <v>142</v>
      </c>
      <c r="L15" s="1" t="s">
        <v>1081</v>
      </c>
      <c r="M15" s="1" t="s">
        <v>23</v>
      </c>
    </row>
    <row r="16" spans="1:15">
      <c r="A16" s="1">
        <v>13</v>
      </c>
      <c r="B16" s="1" t="s">
        <v>1091</v>
      </c>
      <c r="C16" s="5">
        <v>46153</v>
      </c>
      <c r="D16" s="1" t="s">
        <v>60</v>
      </c>
      <c r="E16" s="6" t="s">
        <v>20</v>
      </c>
      <c r="F16" s="6" t="s">
        <v>89</v>
      </c>
      <c r="G16" s="1" t="s">
        <v>87</v>
      </c>
      <c r="H16" s="1" t="s">
        <v>32</v>
      </c>
      <c r="I16" s="1" t="s">
        <v>104</v>
      </c>
      <c r="J16" s="1">
        <v>1</v>
      </c>
      <c r="K16" s="1" t="s">
        <v>151</v>
      </c>
      <c r="L16" s="1" t="s">
        <v>1077</v>
      </c>
      <c r="M16" s="1" t="s">
        <v>23</v>
      </c>
    </row>
    <row r="17" spans="1:13">
      <c r="A17" s="1">
        <v>14</v>
      </c>
      <c r="B17" s="1" t="s">
        <v>1092</v>
      </c>
      <c r="C17" s="5">
        <v>46150</v>
      </c>
      <c r="D17" s="1" t="s">
        <v>60</v>
      </c>
      <c r="E17" s="6" t="s">
        <v>4</v>
      </c>
      <c r="F17" s="6" t="s">
        <v>5</v>
      </c>
      <c r="G17" s="1" t="s">
        <v>51</v>
      </c>
      <c r="H17" s="1" t="s">
        <v>32</v>
      </c>
      <c r="I17" s="1" t="s">
        <v>36</v>
      </c>
      <c r="J17" s="1">
        <v>11</v>
      </c>
      <c r="K17" s="1" t="s">
        <v>142</v>
      </c>
      <c r="L17" s="1" t="s">
        <v>1079</v>
      </c>
      <c r="M17" s="1" t="s">
        <v>9</v>
      </c>
    </row>
    <row r="18" spans="1:13">
      <c r="A18" s="1">
        <v>15</v>
      </c>
      <c r="B18" s="1" t="s">
        <v>1093</v>
      </c>
      <c r="C18" s="5">
        <v>46174</v>
      </c>
      <c r="D18" s="1" t="s">
        <v>73</v>
      </c>
      <c r="E18" s="6" t="s">
        <v>45</v>
      </c>
      <c r="F18" s="6" t="s">
        <v>58</v>
      </c>
      <c r="G18" s="1" t="s">
        <v>14</v>
      </c>
      <c r="H18" s="1" t="s">
        <v>28</v>
      </c>
      <c r="I18" s="1" t="s">
        <v>22</v>
      </c>
      <c r="J18" s="1">
        <v>12</v>
      </c>
      <c r="K18" s="1" t="s">
        <v>157</v>
      </c>
      <c r="L18" s="1" t="s">
        <v>1077</v>
      </c>
      <c r="M18" s="1" t="s">
        <v>23</v>
      </c>
    </row>
    <row r="19" spans="1:13">
      <c r="A19" s="1">
        <v>16</v>
      </c>
      <c r="B19" s="1" t="s">
        <v>1094</v>
      </c>
      <c r="C19" s="5">
        <v>46184</v>
      </c>
      <c r="D19" s="1" t="s">
        <v>73</v>
      </c>
      <c r="E19" s="6" t="s">
        <v>91</v>
      </c>
      <c r="F19" s="6" t="s">
        <v>92</v>
      </c>
      <c r="G19" s="1" t="s">
        <v>95</v>
      </c>
      <c r="H19" s="1" t="s">
        <v>15</v>
      </c>
      <c r="I19" s="1" t="s">
        <v>22</v>
      </c>
      <c r="J19" s="1">
        <v>29</v>
      </c>
      <c r="K19" s="1" t="s">
        <v>151</v>
      </c>
      <c r="L19" s="1" t="s">
        <v>1081</v>
      </c>
      <c r="M19" s="1" t="s">
        <v>9</v>
      </c>
    </row>
    <row r="20" spans="1:13">
      <c r="A20" s="1">
        <v>17</v>
      </c>
      <c r="B20" s="1" t="s">
        <v>1095</v>
      </c>
      <c r="C20" s="5">
        <v>46227</v>
      </c>
      <c r="D20" s="1" t="s">
        <v>76</v>
      </c>
      <c r="E20" s="6" t="s">
        <v>64</v>
      </c>
      <c r="F20" s="6" t="s">
        <v>5</v>
      </c>
      <c r="G20" s="1" t="s">
        <v>14</v>
      </c>
      <c r="H20" s="1" t="s">
        <v>62</v>
      </c>
      <c r="I20" s="1" t="s">
        <v>93</v>
      </c>
      <c r="J20" s="1">
        <v>5</v>
      </c>
      <c r="K20" s="1" t="s">
        <v>151</v>
      </c>
      <c r="L20" s="1" t="s">
        <v>1081</v>
      </c>
      <c r="M20" s="1" t="s">
        <v>23</v>
      </c>
    </row>
    <row r="21" spans="1:13">
      <c r="A21" s="1">
        <v>18</v>
      </c>
      <c r="B21" s="1" t="s">
        <v>1096</v>
      </c>
      <c r="C21" s="5">
        <v>46208</v>
      </c>
      <c r="D21" s="1" t="s">
        <v>76</v>
      </c>
      <c r="E21" s="6" t="s">
        <v>38</v>
      </c>
      <c r="F21" s="6" t="s">
        <v>46</v>
      </c>
      <c r="G21" s="1" t="s">
        <v>51</v>
      </c>
      <c r="H21" s="1" t="s">
        <v>62</v>
      </c>
      <c r="I21" s="1" t="s">
        <v>68</v>
      </c>
      <c r="J21" s="1">
        <v>27</v>
      </c>
      <c r="K21" s="1" t="s">
        <v>142</v>
      </c>
      <c r="L21" s="1" t="s">
        <v>1079</v>
      </c>
      <c r="M21" s="1" t="s">
        <v>23</v>
      </c>
    </row>
    <row r="22" spans="1:13">
      <c r="A22" s="1">
        <v>19</v>
      </c>
      <c r="B22" s="1" t="s">
        <v>1097</v>
      </c>
      <c r="C22" s="5">
        <v>46207</v>
      </c>
      <c r="D22" s="1" t="s">
        <v>76</v>
      </c>
      <c r="E22" s="6" t="s">
        <v>16</v>
      </c>
      <c r="F22" s="6" t="s">
        <v>46</v>
      </c>
      <c r="G22" s="1" t="s">
        <v>6</v>
      </c>
      <c r="H22" s="1" t="s">
        <v>78</v>
      </c>
      <c r="I22" s="1" t="s">
        <v>32</v>
      </c>
      <c r="J22" s="1">
        <v>8</v>
      </c>
      <c r="K22" s="1" t="s">
        <v>157</v>
      </c>
      <c r="L22" s="1" t="s">
        <v>1079</v>
      </c>
      <c r="M22" s="1" t="s">
        <v>9</v>
      </c>
    </row>
    <row r="23" spans="1:13">
      <c r="A23" s="1">
        <v>20</v>
      </c>
      <c r="B23" s="1" t="s">
        <v>1098</v>
      </c>
      <c r="C23" s="5">
        <v>46211</v>
      </c>
      <c r="D23" s="1" t="s">
        <v>76</v>
      </c>
      <c r="E23" s="6" t="s">
        <v>4</v>
      </c>
      <c r="F23" s="6" t="s">
        <v>89</v>
      </c>
      <c r="G23" s="1" t="s">
        <v>51</v>
      </c>
      <c r="H23" s="1" t="s">
        <v>22</v>
      </c>
      <c r="I23" s="1" t="s">
        <v>15</v>
      </c>
      <c r="J23" s="1">
        <v>0</v>
      </c>
      <c r="K23" s="1" t="s">
        <v>151</v>
      </c>
      <c r="L23" s="1" t="s">
        <v>1079</v>
      </c>
      <c r="M23" s="1" t="s">
        <v>23</v>
      </c>
    </row>
    <row r="24" spans="1:13">
      <c r="A24" s="1">
        <v>21</v>
      </c>
      <c r="B24" s="1" t="s">
        <v>1099</v>
      </c>
      <c r="C24" s="5">
        <v>46206</v>
      </c>
      <c r="D24" s="1" t="s">
        <v>76</v>
      </c>
      <c r="E24" s="6" t="s">
        <v>16</v>
      </c>
      <c r="F24" s="6" t="s">
        <v>13</v>
      </c>
      <c r="G24" s="1" t="s">
        <v>77</v>
      </c>
      <c r="H24" s="1" t="s">
        <v>104</v>
      </c>
      <c r="I24" s="1" t="s">
        <v>93</v>
      </c>
      <c r="J24" s="1">
        <v>17</v>
      </c>
      <c r="K24" s="1" t="s">
        <v>157</v>
      </c>
      <c r="L24" s="1" t="s">
        <v>1077</v>
      </c>
      <c r="M24" s="1" t="s">
        <v>23</v>
      </c>
    </row>
    <row r="25" spans="1:13">
      <c r="A25" s="1">
        <v>22</v>
      </c>
      <c r="B25" s="1" t="s">
        <v>1100</v>
      </c>
      <c r="C25" s="5">
        <v>46212</v>
      </c>
      <c r="D25" s="1" t="s">
        <v>76</v>
      </c>
      <c r="E25" s="6" t="s">
        <v>57</v>
      </c>
      <c r="F25" s="6" t="s">
        <v>13</v>
      </c>
      <c r="G25" s="1" t="s">
        <v>40</v>
      </c>
      <c r="H25" s="1" t="s">
        <v>104</v>
      </c>
      <c r="I25" s="1" t="s">
        <v>41</v>
      </c>
      <c r="J25" s="1">
        <v>8</v>
      </c>
      <c r="K25" s="1" t="s">
        <v>157</v>
      </c>
      <c r="L25" s="1" t="s">
        <v>1081</v>
      </c>
      <c r="M25" s="1" t="s">
        <v>9</v>
      </c>
    </row>
    <row r="26" spans="1:13">
      <c r="A26" s="1">
        <v>23</v>
      </c>
      <c r="B26" s="1" t="s">
        <v>1101</v>
      </c>
      <c r="C26" s="5">
        <v>46206</v>
      </c>
      <c r="D26" s="1" t="s">
        <v>76</v>
      </c>
      <c r="E26" s="6" t="s">
        <v>20</v>
      </c>
      <c r="F26" s="6" t="s">
        <v>50</v>
      </c>
      <c r="G26" s="1" t="s">
        <v>87</v>
      </c>
      <c r="H26" s="1" t="s">
        <v>104</v>
      </c>
      <c r="I26" s="1" t="s">
        <v>68</v>
      </c>
      <c r="J26" s="1">
        <v>15</v>
      </c>
      <c r="K26" s="1" t="s">
        <v>151</v>
      </c>
      <c r="L26" s="1" t="s">
        <v>1081</v>
      </c>
      <c r="M26" s="1" t="s">
        <v>23</v>
      </c>
    </row>
    <row r="27" spans="1:13">
      <c r="A27" s="1">
        <v>24</v>
      </c>
      <c r="B27" s="1" t="s">
        <v>1102</v>
      </c>
      <c r="C27" s="5">
        <v>46206</v>
      </c>
      <c r="D27" s="1" t="s">
        <v>76</v>
      </c>
      <c r="E27" s="6" t="s">
        <v>91</v>
      </c>
      <c r="F27" s="6" t="s">
        <v>58</v>
      </c>
      <c r="G27" s="1" t="s">
        <v>40</v>
      </c>
      <c r="H27" s="1" t="s">
        <v>28</v>
      </c>
      <c r="I27" s="1" t="s">
        <v>62</v>
      </c>
      <c r="J27" s="1">
        <v>0</v>
      </c>
      <c r="K27" s="1" t="s">
        <v>151</v>
      </c>
      <c r="L27" s="1" t="s">
        <v>1079</v>
      </c>
      <c r="M27" s="1" t="s">
        <v>9</v>
      </c>
    </row>
    <row r="28" spans="1:13">
      <c r="A28" s="1">
        <v>25</v>
      </c>
      <c r="B28" s="1" t="s">
        <v>1103</v>
      </c>
      <c r="C28" s="5">
        <v>46240</v>
      </c>
      <c r="D28" s="1" t="s">
        <v>86</v>
      </c>
      <c r="E28" s="6" t="s">
        <v>64</v>
      </c>
      <c r="F28" s="6" t="s">
        <v>27</v>
      </c>
      <c r="G28" s="1" t="s">
        <v>80</v>
      </c>
      <c r="H28" s="1" t="s">
        <v>15</v>
      </c>
      <c r="I28" s="1" t="s">
        <v>68</v>
      </c>
      <c r="J28" s="1">
        <v>22</v>
      </c>
      <c r="K28" s="1" t="s">
        <v>151</v>
      </c>
      <c r="L28" s="1" t="s">
        <v>1079</v>
      </c>
      <c r="M28" s="1" t="s">
        <v>9</v>
      </c>
    </row>
    <row r="29" spans="1:13">
      <c r="A29" s="1">
        <v>26</v>
      </c>
      <c r="B29" s="1" t="s">
        <v>1104</v>
      </c>
      <c r="C29" s="5">
        <v>46250</v>
      </c>
      <c r="D29" s="1" t="s">
        <v>86</v>
      </c>
      <c r="E29" s="6" t="s">
        <v>12</v>
      </c>
      <c r="F29" s="6" t="s">
        <v>50</v>
      </c>
      <c r="G29" s="1" t="s">
        <v>21</v>
      </c>
      <c r="H29" s="1" t="s">
        <v>28</v>
      </c>
      <c r="I29" s="1" t="s">
        <v>28</v>
      </c>
      <c r="J29" s="1">
        <v>1</v>
      </c>
      <c r="K29" s="1" t="s">
        <v>151</v>
      </c>
      <c r="L29" s="1" t="s">
        <v>1081</v>
      </c>
      <c r="M29" s="1" t="s">
        <v>23</v>
      </c>
    </row>
    <row r="30" spans="1:13">
      <c r="A30" s="1">
        <v>27</v>
      </c>
      <c r="B30" s="1" t="s">
        <v>1105</v>
      </c>
      <c r="C30" s="5">
        <v>46250</v>
      </c>
      <c r="D30" s="1" t="s">
        <v>86</v>
      </c>
      <c r="E30" s="6" t="s">
        <v>26</v>
      </c>
      <c r="F30" s="6" t="s">
        <v>58</v>
      </c>
      <c r="G30" s="1" t="s">
        <v>51</v>
      </c>
      <c r="H30" s="1" t="s">
        <v>36</v>
      </c>
      <c r="I30" s="1" t="s">
        <v>7</v>
      </c>
      <c r="J30" s="1">
        <v>30</v>
      </c>
      <c r="K30" s="1" t="s">
        <v>157</v>
      </c>
      <c r="L30" s="1" t="s">
        <v>1079</v>
      </c>
      <c r="M30" s="1" t="s">
        <v>23</v>
      </c>
    </row>
    <row r="31" spans="1:13">
      <c r="A31" s="1">
        <v>28</v>
      </c>
      <c r="B31" s="1" t="s">
        <v>1106</v>
      </c>
      <c r="C31" s="5">
        <v>46254</v>
      </c>
      <c r="D31" s="1" t="s">
        <v>86</v>
      </c>
      <c r="E31" s="6" t="s">
        <v>26</v>
      </c>
      <c r="F31" s="6" t="s">
        <v>65</v>
      </c>
      <c r="G31" s="1" t="s">
        <v>82</v>
      </c>
      <c r="H31" s="1" t="s">
        <v>68</v>
      </c>
      <c r="I31" s="1" t="s">
        <v>62</v>
      </c>
      <c r="J31" s="1">
        <v>7</v>
      </c>
      <c r="K31" s="1" t="s">
        <v>157</v>
      </c>
      <c r="L31" s="1" t="s">
        <v>1077</v>
      </c>
      <c r="M31" s="1" t="s">
        <v>9</v>
      </c>
    </row>
    <row r="32" spans="1:13">
      <c r="A32" s="1">
        <v>29</v>
      </c>
      <c r="B32" s="1" t="s">
        <v>1107</v>
      </c>
      <c r="C32" s="5">
        <v>46244</v>
      </c>
      <c r="D32" s="1" t="s">
        <v>86</v>
      </c>
      <c r="E32" s="6" t="s">
        <v>61</v>
      </c>
      <c r="F32" s="6" t="s">
        <v>65</v>
      </c>
      <c r="G32" s="1" t="s">
        <v>14</v>
      </c>
      <c r="H32" s="1" t="s">
        <v>70</v>
      </c>
      <c r="I32" s="1" t="s">
        <v>66</v>
      </c>
      <c r="J32" s="1">
        <v>20</v>
      </c>
      <c r="K32" s="1" t="s">
        <v>151</v>
      </c>
      <c r="L32" s="1" t="s">
        <v>1079</v>
      </c>
      <c r="M32" s="1" t="s">
        <v>23</v>
      </c>
    </row>
    <row r="33" spans="1:13">
      <c r="A33" s="1">
        <v>30</v>
      </c>
      <c r="B33" s="1" t="s">
        <v>1108</v>
      </c>
      <c r="C33" s="5">
        <v>46256</v>
      </c>
      <c r="D33" s="1" t="s">
        <v>86</v>
      </c>
      <c r="E33" s="6" t="s">
        <v>16</v>
      </c>
      <c r="F33" s="6" t="s">
        <v>92</v>
      </c>
      <c r="G33" s="1" t="s">
        <v>95</v>
      </c>
      <c r="H33" s="1" t="s">
        <v>70</v>
      </c>
      <c r="I33" s="1" t="s">
        <v>62</v>
      </c>
      <c r="J33" s="1">
        <v>20</v>
      </c>
      <c r="K33" s="1" t="s">
        <v>142</v>
      </c>
      <c r="L33" s="1" t="s">
        <v>1079</v>
      </c>
      <c r="M33" s="1" t="s">
        <v>9</v>
      </c>
    </row>
    <row r="34" spans="1:13">
      <c r="A34" s="1">
        <v>31</v>
      </c>
      <c r="B34" s="1" t="s">
        <v>1109</v>
      </c>
      <c r="C34" s="5">
        <v>46252</v>
      </c>
      <c r="D34" s="1" t="s">
        <v>86</v>
      </c>
      <c r="E34" s="6" t="s">
        <v>57</v>
      </c>
      <c r="F34" s="6" t="s">
        <v>13</v>
      </c>
      <c r="G34" s="1" t="s">
        <v>40</v>
      </c>
      <c r="H34" s="1" t="s">
        <v>32</v>
      </c>
      <c r="I34" s="1" t="s">
        <v>78</v>
      </c>
      <c r="J34" s="1">
        <v>10</v>
      </c>
      <c r="K34" s="1" t="s">
        <v>151</v>
      </c>
      <c r="L34" s="1" t="s">
        <v>1077</v>
      </c>
      <c r="M34" s="1" t="s">
        <v>23</v>
      </c>
    </row>
    <row r="35" spans="1:13">
      <c r="A35" s="1">
        <v>32</v>
      </c>
      <c r="B35" s="1" t="s">
        <v>1110</v>
      </c>
      <c r="C35" s="5">
        <v>46272</v>
      </c>
      <c r="D35" s="1" t="s">
        <v>102</v>
      </c>
      <c r="E35" s="6" t="s">
        <v>26</v>
      </c>
      <c r="F35" s="6" t="s">
        <v>50</v>
      </c>
      <c r="G35" s="1" t="s">
        <v>40</v>
      </c>
      <c r="H35" s="1" t="s">
        <v>41</v>
      </c>
      <c r="I35" s="1" t="s">
        <v>62</v>
      </c>
      <c r="J35" s="1">
        <v>15</v>
      </c>
      <c r="K35" s="1" t="s">
        <v>151</v>
      </c>
      <c r="L35" s="1" t="s">
        <v>1081</v>
      </c>
      <c r="M35" s="1" t="s">
        <v>23</v>
      </c>
    </row>
    <row r="36" spans="1:13">
      <c r="A36" s="1">
        <v>33</v>
      </c>
      <c r="B36" s="1" t="s">
        <v>1111</v>
      </c>
      <c r="C36" s="5">
        <v>46267</v>
      </c>
      <c r="D36" s="1" t="s">
        <v>102</v>
      </c>
      <c r="E36" s="6" t="s">
        <v>12</v>
      </c>
      <c r="F36" s="6" t="s">
        <v>65</v>
      </c>
      <c r="G36" s="1" t="s">
        <v>21</v>
      </c>
      <c r="H36" s="1" t="s">
        <v>104</v>
      </c>
      <c r="I36" s="1" t="s">
        <v>68</v>
      </c>
      <c r="J36" s="1">
        <v>25</v>
      </c>
      <c r="K36" s="1" t="s">
        <v>142</v>
      </c>
      <c r="L36" s="1" t="s">
        <v>1077</v>
      </c>
      <c r="M36" s="1" t="s">
        <v>23</v>
      </c>
    </row>
    <row r="37" spans="1:13">
      <c r="A37" s="1">
        <v>34</v>
      </c>
      <c r="B37" s="1" t="s">
        <v>1112</v>
      </c>
      <c r="C37" s="5">
        <v>46301</v>
      </c>
      <c r="D37" s="1" t="s">
        <v>106</v>
      </c>
      <c r="E37" s="6" t="s">
        <v>64</v>
      </c>
      <c r="F37" s="6" t="s">
        <v>65</v>
      </c>
      <c r="G37" s="1" t="s">
        <v>51</v>
      </c>
      <c r="H37" s="1" t="s">
        <v>68</v>
      </c>
      <c r="I37" s="1" t="s">
        <v>41</v>
      </c>
      <c r="J37" s="1">
        <v>22</v>
      </c>
      <c r="K37" s="1" t="s">
        <v>142</v>
      </c>
      <c r="L37" s="1" t="s">
        <v>1081</v>
      </c>
      <c r="M37" s="1" t="s">
        <v>9</v>
      </c>
    </row>
    <row r="38" spans="1:13">
      <c r="A38" s="1">
        <v>35</v>
      </c>
      <c r="B38" s="1" t="s">
        <v>1113</v>
      </c>
      <c r="C38" s="5">
        <v>46298</v>
      </c>
      <c r="D38" s="1" t="s">
        <v>106</v>
      </c>
      <c r="E38" s="6" t="s">
        <v>12</v>
      </c>
      <c r="F38" s="6" t="s">
        <v>58</v>
      </c>
      <c r="G38" s="1" t="s">
        <v>21</v>
      </c>
      <c r="H38" s="1" t="s">
        <v>62</v>
      </c>
      <c r="I38" s="1" t="s">
        <v>41</v>
      </c>
      <c r="J38" s="1">
        <v>6</v>
      </c>
      <c r="K38" s="1" t="s">
        <v>151</v>
      </c>
      <c r="L38" s="1" t="s">
        <v>1081</v>
      </c>
      <c r="M38" s="1" t="s">
        <v>23</v>
      </c>
    </row>
    <row r="39" spans="1:13">
      <c r="A39" s="1">
        <v>36</v>
      </c>
      <c r="B39" s="1" t="s">
        <v>1114</v>
      </c>
      <c r="C39" s="5">
        <v>46306</v>
      </c>
      <c r="D39" s="1" t="s">
        <v>106</v>
      </c>
      <c r="E39" s="6" t="s">
        <v>61</v>
      </c>
      <c r="F39" s="6" t="s">
        <v>27</v>
      </c>
      <c r="G39" s="1" t="s">
        <v>14</v>
      </c>
      <c r="H39" s="1" t="s">
        <v>32</v>
      </c>
      <c r="I39" s="1" t="s">
        <v>78</v>
      </c>
      <c r="J39" s="1">
        <v>27</v>
      </c>
      <c r="K39" s="1" t="s">
        <v>151</v>
      </c>
      <c r="L39" s="1" t="s">
        <v>1077</v>
      </c>
      <c r="M39" s="1" t="s">
        <v>9</v>
      </c>
    </row>
    <row r="40" spans="1:13">
      <c r="A40" s="1">
        <v>37</v>
      </c>
      <c r="B40" s="1" t="s">
        <v>1115</v>
      </c>
      <c r="C40" s="5">
        <v>46301</v>
      </c>
      <c r="D40" s="1" t="s">
        <v>106</v>
      </c>
      <c r="E40" s="6" t="s">
        <v>20</v>
      </c>
      <c r="F40" s="6" t="s">
        <v>65</v>
      </c>
      <c r="G40" s="1" t="s">
        <v>31</v>
      </c>
      <c r="H40" s="1" t="s">
        <v>15</v>
      </c>
      <c r="I40" s="1" t="s">
        <v>28</v>
      </c>
      <c r="J40" s="1">
        <v>24</v>
      </c>
      <c r="K40" s="1" t="s">
        <v>151</v>
      </c>
      <c r="L40" s="1" t="s">
        <v>1081</v>
      </c>
      <c r="M40" s="1" t="s">
        <v>9</v>
      </c>
    </row>
    <row r="41" spans="1:13">
      <c r="A41" s="1">
        <v>38</v>
      </c>
      <c r="B41" s="1" t="s">
        <v>1116</v>
      </c>
      <c r="C41" s="5">
        <v>46351</v>
      </c>
      <c r="D41" s="1" t="s">
        <v>111</v>
      </c>
      <c r="E41" s="6" t="s">
        <v>61</v>
      </c>
      <c r="F41" s="6" t="s">
        <v>5</v>
      </c>
      <c r="G41" s="1" t="s">
        <v>95</v>
      </c>
      <c r="H41" s="1" t="s">
        <v>66</v>
      </c>
      <c r="I41" s="1" t="s">
        <v>36</v>
      </c>
      <c r="J41" s="1">
        <v>18</v>
      </c>
      <c r="K41" s="1" t="s">
        <v>142</v>
      </c>
      <c r="L41" s="1" t="s">
        <v>1079</v>
      </c>
      <c r="M41" s="1" t="s">
        <v>23</v>
      </c>
    </row>
    <row r="42" spans="1:13">
      <c r="A42" s="1">
        <v>39</v>
      </c>
      <c r="B42" s="1" t="s">
        <v>1117</v>
      </c>
      <c r="C42" s="5">
        <v>46329</v>
      </c>
      <c r="D42" s="1" t="s">
        <v>111</v>
      </c>
      <c r="E42" s="6" t="s">
        <v>20</v>
      </c>
      <c r="F42" s="6" t="s">
        <v>39</v>
      </c>
      <c r="G42" s="1" t="s">
        <v>51</v>
      </c>
      <c r="H42" s="1" t="s">
        <v>78</v>
      </c>
      <c r="I42" s="1" t="s">
        <v>32</v>
      </c>
      <c r="J42" s="1">
        <v>22</v>
      </c>
      <c r="K42" s="1" t="s">
        <v>142</v>
      </c>
      <c r="L42" s="1" t="s">
        <v>1081</v>
      </c>
      <c r="M42" s="1" t="s">
        <v>23</v>
      </c>
    </row>
    <row r="43" spans="1:13">
      <c r="A43" s="1">
        <v>40</v>
      </c>
      <c r="B43" s="1" t="s">
        <v>1118</v>
      </c>
      <c r="C43" s="5">
        <v>46348</v>
      </c>
      <c r="D43" s="1" t="s">
        <v>111</v>
      </c>
      <c r="E43" s="6" t="s">
        <v>16</v>
      </c>
      <c r="F43" s="6" t="s">
        <v>58</v>
      </c>
      <c r="G43" s="1" t="s">
        <v>51</v>
      </c>
      <c r="H43" s="1" t="s">
        <v>70</v>
      </c>
      <c r="I43" s="1" t="s">
        <v>15</v>
      </c>
      <c r="J43" s="1">
        <v>6</v>
      </c>
      <c r="K43" s="1" t="s">
        <v>151</v>
      </c>
      <c r="L43" s="1" t="s">
        <v>1079</v>
      </c>
      <c r="M43" s="1" t="s">
        <v>23</v>
      </c>
    </row>
    <row r="44" spans="1:13">
      <c r="A44" s="1">
        <v>41</v>
      </c>
      <c r="B44" s="1" t="s">
        <v>1119</v>
      </c>
      <c r="C44" s="5">
        <v>46333</v>
      </c>
      <c r="D44" s="1" t="s">
        <v>111</v>
      </c>
      <c r="E44" s="6" t="s">
        <v>30</v>
      </c>
      <c r="F44" s="6" t="s">
        <v>13</v>
      </c>
      <c r="G44" s="1" t="s">
        <v>21</v>
      </c>
      <c r="H44" s="1" t="s">
        <v>28</v>
      </c>
      <c r="I44" s="1" t="s">
        <v>28</v>
      </c>
      <c r="J44" s="1">
        <v>21</v>
      </c>
      <c r="K44" s="1" t="s">
        <v>142</v>
      </c>
      <c r="L44" s="1" t="s">
        <v>1081</v>
      </c>
      <c r="M44" s="1" t="s">
        <v>23</v>
      </c>
    </row>
    <row r="45" spans="1:13">
      <c r="A45" s="1">
        <v>42</v>
      </c>
      <c r="B45" s="1" t="s">
        <v>1120</v>
      </c>
      <c r="C45" s="5">
        <v>46348</v>
      </c>
      <c r="D45" s="1" t="s">
        <v>111</v>
      </c>
      <c r="E45" s="6" t="s">
        <v>30</v>
      </c>
      <c r="F45" s="6" t="s">
        <v>5</v>
      </c>
      <c r="G45" s="1" t="s">
        <v>51</v>
      </c>
      <c r="H45" s="1" t="s">
        <v>104</v>
      </c>
      <c r="I45" s="1" t="s">
        <v>22</v>
      </c>
      <c r="J45" s="1">
        <v>12</v>
      </c>
      <c r="K45" s="1" t="s">
        <v>157</v>
      </c>
      <c r="L45" s="1" t="s">
        <v>1081</v>
      </c>
      <c r="M45" s="1" t="s">
        <v>9</v>
      </c>
    </row>
    <row r="46" spans="1:13">
      <c r="A46" s="1">
        <v>43</v>
      </c>
      <c r="B46" s="1" t="s">
        <v>1121</v>
      </c>
      <c r="C46" s="5">
        <v>46339</v>
      </c>
      <c r="D46" s="1" t="s">
        <v>111</v>
      </c>
      <c r="E46" s="6" t="s">
        <v>91</v>
      </c>
      <c r="F46" s="6" t="s">
        <v>65</v>
      </c>
      <c r="G46" s="1" t="s">
        <v>80</v>
      </c>
      <c r="H46" s="1" t="s">
        <v>68</v>
      </c>
      <c r="I46" s="1" t="s">
        <v>62</v>
      </c>
      <c r="J46" s="1">
        <v>29</v>
      </c>
      <c r="K46" s="1" t="s">
        <v>157</v>
      </c>
      <c r="L46" s="1" t="s">
        <v>1079</v>
      </c>
      <c r="M46" s="1" t="s">
        <v>9</v>
      </c>
    </row>
    <row r="47" spans="1:13">
      <c r="A47" s="1">
        <v>44</v>
      </c>
      <c r="B47" s="1" t="s">
        <v>1122</v>
      </c>
      <c r="C47" s="5">
        <v>46371</v>
      </c>
      <c r="D47" s="1" t="s">
        <v>122</v>
      </c>
      <c r="E47" s="6" t="s">
        <v>91</v>
      </c>
      <c r="F47" s="6" t="s">
        <v>39</v>
      </c>
      <c r="G47" s="1" t="s">
        <v>95</v>
      </c>
      <c r="H47" s="1" t="s">
        <v>70</v>
      </c>
      <c r="I47" s="1" t="s">
        <v>93</v>
      </c>
      <c r="J47" s="1">
        <v>11</v>
      </c>
      <c r="K47" s="1" t="s">
        <v>142</v>
      </c>
      <c r="L47" s="1" t="s">
        <v>1079</v>
      </c>
      <c r="M47" s="1" t="s">
        <v>23</v>
      </c>
    </row>
    <row r="48" spans="1:13">
      <c r="A48" s="1">
        <v>45</v>
      </c>
      <c r="B48" s="1" t="s">
        <v>1123</v>
      </c>
      <c r="C48" s="5">
        <v>46382</v>
      </c>
      <c r="D48" s="1" t="s">
        <v>122</v>
      </c>
      <c r="E48" s="6" t="s">
        <v>26</v>
      </c>
      <c r="F48" s="6" t="s">
        <v>58</v>
      </c>
      <c r="G48" s="1" t="s">
        <v>6</v>
      </c>
      <c r="H48" s="1" t="s">
        <v>66</v>
      </c>
      <c r="I48" s="1" t="s">
        <v>70</v>
      </c>
      <c r="J48" s="1">
        <v>29</v>
      </c>
      <c r="K48" s="1" t="s">
        <v>157</v>
      </c>
      <c r="L48" s="1" t="s">
        <v>1081</v>
      </c>
      <c r="M48" s="1" t="s">
        <v>9</v>
      </c>
    </row>
    <row r="49" spans="1:13">
      <c r="A49" s="1">
        <v>46</v>
      </c>
      <c r="B49" s="1" t="s">
        <v>1124</v>
      </c>
      <c r="C49" s="5">
        <v>46383</v>
      </c>
      <c r="D49" s="1" t="s">
        <v>122</v>
      </c>
      <c r="E49" s="6" t="s">
        <v>38</v>
      </c>
      <c r="F49" s="6" t="s">
        <v>50</v>
      </c>
      <c r="G49" s="1" t="s">
        <v>80</v>
      </c>
      <c r="H49" s="1" t="s">
        <v>41</v>
      </c>
      <c r="I49" s="1" t="s">
        <v>32</v>
      </c>
      <c r="J49" s="1">
        <v>2</v>
      </c>
      <c r="K49" s="1" t="s">
        <v>157</v>
      </c>
      <c r="L49" s="1" t="s">
        <v>1081</v>
      </c>
      <c r="M49" s="1" t="s">
        <v>23</v>
      </c>
    </row>
    <row r="50" spans="1:13">
      <c r="A50" s="1">
        <v>47</v>
      </c>
      <c r="B50" s="1" t="s">
        <v>1125</v>
      </c>
      <c r="C50" s="5">
        <v>46382</v>
      </c>
      <c r="D50" s="1" t="s">
        <v>122</v>
      </c>
      <c r="E50" s="6" t="s">
        <v>64</v>
      </c>
      <c r="F50" s="6" t="s">
        <v>92</v>
      </c>
      <c r="G50" s="1" t="s">
        <v>51</v>
      </c>
      <c r="H50" s="1" t="s">
        <v>68</v>
      </c>
      <c r="I50" s="1" t="s">
        <v>68</v>
      </c>
      <c r="J50" s="1">
        <v>22</v>
      </c>
      <c r="K50" s="1" t="s">
        <v>151</v>
      </c>
      <c r="L50" s="1" t="s">
        <v>1077</v>
      </c>
      <c r="M50" s="1" t="s">
        <v>9</v>
      </c>
    </row>
    <row r="51" spans="1:13">
      <c r="A51" s="1">
        <v>48</v>
      </c>
      <c r="B51" s="1" t="s">
        <v>1126</v>
      </c>
      <c r="C51" s="5">
        <v>46381</v>
      </c>
      <c r="D51" s="1" t="s">
        <v>122</v>
      </c>
      <c r="E51" s="6" t="s">
        <v>12</v>
      </c>
      <c r="F51" s="6" t="s">
        <v>13</v>
      </c>
      <c r="G51" s="1" t="s">
        <v>82</v>
      </c>
      <c r="H51" s="1" t="s">
        <v>104</v>
      </c>
      <c r="I51" s="1" t="s">
        <v>104</v>
      </c>
      <c r="J51" s="1">
        <v>8</v>
      </c>
      <c r="K51" s="1" t="s">
        <v>142</v>
      </c>
      <c r="L51" s="1" t="s">
        <v>1079</v>
      </c>
      <c r="M51" s="1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1135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1191</v>
      </c>
      <c r="C3" s="1" t="s">
        <v>126</v>
      </c>
      <c r="D3" s="1" t="s">
        <v>127</v>
      </c>
      <c r="E3" s="1" t="s">
        <v>129</v>
      </c>
      <c r="F3" s="1" t="s">
        <v>1192</v>
      </c>
      <c r="G3" s="1" t="s">
        <v>1193</v>
      </c>
      <c r="H3" s="1" t="s">
        <v>1194</v>
      </c>
      <c r="I3" s="1" t="s">
        <v>1195</v>
      </c>
      <c r="J3" s="1" t="s">
        <v>286</v>
      </c>
    </row>
    <row r="4" spans="1:12">
      <c r="A4" s="1">
        <v>1</v>
      </c>
      <c r="B4" s="1" t="s">
        <v>1136</v>
      </c>
      <c r="C4" s="5">
        <v>46024</v>
      </c>
      <c r="D4" s="1" t="s">
        <v>3</v>
      </c>
      <c r="E4" s="6" t="s">
        <v>5</v>
      </c>
      <c r="F4" s="6" t="s">
        <v>104</v>
      </c>
      <c r="G4" s="1" t="s">
        <v>1137</v>
      </c>
      <c r="H4" s="1" t="s">
        <v>1138</v>
      </c>
      <c r="I4" s="1" t="s">
        <v>93</v>
      </c>
      <c r="J4" s="1" t="s">
        <v>224</v>
      </c>
    </row>
    <row r="5" spans="1:12">
      <c r="A5" s="1">
        <v>2</v>
      </c>
      <c r="B5" s="1" t="s">
        <v>1139</v>
      </c>
      <c r="C5" s="5">
        <v>46037</v>
      </c>
      <c r="D5" s="1" t="s">
        <v>3</v>
      </c>
      <c r="E5" s="6" t="s">
        <v>58</v>
      </c>
      <c r="F5" s="6" t="s">
        <v>78</v>
      </c>
      <c r="G5" s="1" t="s">
        <v>1140</v>
      </c>
      <c r="H5" s="1" t="s">
        <v>1138</v>
      </c>
      <c r="I5" s="1" t="s">
        <v>70</v>
      </c>
      <c r="J5" s="1" t="s">
        <v>224</v>
      </c>
    </row>
    <row r="6" spans="1:12">
      <c r="A6" s="1">
        <v>3</v>
      </c>
      <c r="B6" s="1" t="s">
        <v>1141</v>
      </c>
      <c r="C6" s="5">
        <v>46072</v>
      </c>
      <c r="D6" s="1" t="s">
        <v>19</v>
      </c>
      <c r="E6" s="6" t="s">
        <v>89</v>
      </c>
      <c r="F6" s="6" t="s">
        <v>7</v>
      </c>
      <c r="G6" s="1" t="s">
        <v>1142</v>
      </c>
      <c r="H6" s="1" t="s">
        <v>1143</v>
      </c>
      <c r="I6" s="1" t="s">
        <v>62</v>
      </c>
      <c r="J6" s="1" t="s">
        <v>580</v>
      </c>
    </row>
    <row r="7" spans="1:12">
      <c r="A7" s="1">
        <v>4</v>
      </c>
      <c r="B7" s="1" t="s">
        <v>1144</v>
      </c>
      <c r="C7" s="5">
        <v>46062</v>
      </c>
      <c r="D7" s="1" t="s">
        <v>19</v>
      </c>
      <c r="E7" s="6" t="s">
        <v>46</v>
      </c>
      <c r="F7" s="6" t="s">
        <v>28</v>
      </c>
      <c r="G7" s="1" t="s">
        <v>1145</v>
      </c>
      <c r="H7" s="1" t="s">
        <v>1143</v>
      </c>
      <c r="I7" s="1" t="s">
        <v>70</v>
      </c>
      <c r="J7" s="1" t="s">
        <v>580</v>
      </c>
    </row>
    <row r="8" spans="1:12">
      <c r="A8" s="1">
        <v>5</v>
      </c>
      <c r="B8" s="1" t="s">
        <v>1146</v>
      </c>
      <c r="C8" s="5">
        <v>46054</v>
      </c>
      <c r="D8" s="1" t="s">
        <v>19</v>
      </c>
      <c r="E8" s="6" t="s">
        <v>13</v>
      </c>
      <c r="F8" s="6" t="s">
        <v>78</v>
      </c>
      <c r="G8" s="1" t="s">
        <v>1140</v>
      </c>
      <c r="H8" s="1" t="s">
        <v>1143</v>
      </c>
      <c r="I8" s="1" t="s">
        <v>41</v>
      </c>
      <c r="J8" s="1" t="s">
        <v>580</v>
      </c>
    </row>
    <row r="9" spans="1:12">
      <c r="A9" s="1">
        <v>6</v>
      </c>
      <c r="B9" s="1" t="s">
        <v>1147</v>
      </c>
      <c r="C9" s="5">
        <v>46086</v>
      </c>
      <c r="D9" s="1" t="s">
        <v>44</v>
      </c>
      <c r="E9" s="6" t="s">
        <v>89</v>
      </c>
      <c r="F9" s="6" t="s">
        <v>28</v>
      </c>
      <c r="G9" s="1" t="s">
        <v>1145</v>
      </c>
      <c r="H9" s="1" t="s">
        <v>1138</v>
      </c>
      <c r="I9" s="1" t="s">
        <v>104</v>
      </c>
      <c r="J9" s="1" t="s">
        <v>580</v>
      </c>
    </row>
    <row r="10" spans="1:12">
      <c r="A10" s="1">
        <v>7</v>
      </c>
      <c r="B10" s="1" t="s">
        <v>1148</v>
      </c>
      <c r="C10" s="5">
        <v>46087</v>
      </c>
      <c r="D10" s="1" t="s">
        <v>44</v>
      </c>
      <c r="E10" s="6" t="s">
        <v>46</v>
      </c>
      <c r="F10" s="6" t="s">
        <v>22</v>
      </c>
      <c r="G10" s="1" t="s">
        <v>1145</v>
      </c>
      <c r="H10" s="1" t="s">
        <v>1138</v>
      </c>
      <c r="I10" s="1" t="s">
        <v>70</v>
      </c>
      <c r="J10" s="1" t="s">
        <v>1149</v>
      </c>
    </row>
    <row r="11" spans="1:12">
      <c r="A11" s="1">
        <v>8</v>
      </c>
      <c r="B11" s="1" t="s">
        <v>1150</v>
      </c>
      <c r="C11" s="5">
        <v>46093</v>
      </c>
      <c r="D11" s="1" t="s">
        <v>44</v>
      </c>
      <c r="E11" s="6" t="s">
        <v>46</v>
      </c>
      <c r="F11" s="6" t="s">
        <v>104</v>
      </c>
      <c r="G11" s="1" t="s">
        <v>1137</v>
      </c>
      <c r="H11" s="1" t="s">
        <v>1138</v>
      </c>
      <c r="I11" s="1" t="s">
        <v>62</v>
      </c>
      <c r="J11" s="1" t="s">
        <v>580</v>
      </c>
    </row>
    <row r="12" spans="1:12">
      <c r="A12" s="1">
        <v>9</v>
      </c>
      <c r="B12" s="1" t="s">
        <v>1151</v>
      </c>
      <c r="C12" s="5">
        <v>46084</v>
      </c>
      <c r="D12" s="1" t="s">
        <v>44</v>
      </c>
      <c r="E12" s="6" t="s">
        <v>46</v>
      </c>
      <c r="F12" s="6" t="s">
        <v>41</v>
      </c>
      <c r="G12" s="1" t="s">
        <v>1140</v>
      </c>
      <c r="H12" s="1" t="s">
        <v>1138</v>
      </c>
      <c r="I12" s="1" t="s">
        <v>104</v>
      </c>
      <c r="J12" s="1" t="s">
        <v>580</v>
      </c>
    </row>
    <row r="13" spans="1:12">
      <c r="A13" s="1">
        <v>10</v>
      </c>
      <c r="B13" s="1" t="s">
        <v>1152</v>
      </c>
      <c r="C13" s="5">
        <v>46101</v>
      </c>
      <c r="D13" s="1" t="s">
        <v>44</v>
      </c>
      <c r="E13" s="6" t="s">
        <v>65</v>
      </c>
      <c r="F13" s="6" t="s">
        <v>78</v>
      </c>
      <c r="G13" s="1" t="s">
        <v>1137</v>
      </c>
      <c r="H13" s="1" t="s">
        <v>1138</v>
      </c>
      <c r="I13" s="1" t="s">
        <v>22</v>
      </c>
      <c r="J13" s="1" t="s">
        <v>580</v>
      </c>
    </row>
    <row r="14" spans="1:12">
      <c r="A14" s="1">
        <v>11</v>
      </c>
      <c r="B14" s="1" t="s">
        <v>1153</v>
      </c>
      <c r="C14" s="5">
        <v>46118</v>
      </c>
      <c r="D14" s="1" t="s">
        <v>53</v>
      </c>
      <c r="E14" s="6" t="s">
        <v>13</v>
      </c>
      <c r="F14" s="6" t="s">
        <v>68</v>
      </c>
      <c r="G14" s="1" t="s">
        <v>1137</v>
      </c>
      <c r="H14" s="1" t="s">
        <v>1138</v>
      </c>
      <c r="I14" s="1" t="s">
        <v>70</v>
      </c>
      <c r="J14" s="1" t="s">
        <v>580</v>
      </c>
    </row>
    <row r="15" spans="1:12">
      <c r="A15" s="1">
        <v>12</v>
      </c>
      <c r="B15" s="1" t="s">
        <v>1154</v>
      </c>
      <c r="C15" s="5">
        <v>46117</v>
      </c>
      <c r="D15" s="1" t="s">
        <v>53</v>
      </c>
      <c r="E15" s="6" t="s">
        <v>27</v>
      </c>
      <c r="F15" s="6" t="s">
        <v>22</v>
      </c>
      <c r="G15" s="1" t="s">
        <v>1137</v>
      </c>
      <c r="H15" s="1" t="s">
        <v>1138</v>
      </c>
      <c r="I15" s="1" t="s">
        <v>41</v>
      </c>
      <c r="J15" s="1" t="s">
        <v>224</v>
      </c>
    </row>
    <row r="16" spans="1:12">
      <c r="A16" s="1">
        <v>13</v>
      </c>
      <c r="B16" s="1" t="s">
        <v>1155</v>
      </c>
      <c r="C16" s="5">
        <v>46126</v>
      </c>
      <c r="D16" s="1" t="s">
        <v>53</v>
      </c>
      <c r="E16" s="6" t="s">
        <v>58</v>
      </c>
      <c r="F16" s="6" t="s">
        <v>104</v>
      </c>
      <c r="G16" s="1" t="s">
        <v>1145</v>
      </c>
      <c r="H16" s="1" t="s">
        <v>1138</v>
      </c>
      <c r="I16" s="1" t="s">
        <v>32</v>
      </c>
      <c r="J16" s="1" t="s">
        <v>224</v>
      </c>
    </row>
    <row r="17" spans="1:10">
      <c r="A17" s="1">
        <v>14</v>
      </c>
      <c r="B17" s="1" t="s">
        <v>1156</v>
      </c>
      <c r="C17" s="5">
        <v>46121</v>
      </c>
      <c r="D17" s="1" t="s">
        <v>53</v>
      </c>
      <c r="E17" s="6" t="s">
        <v>46</v>
      </c>
      <c r="F17" s="6" t="s">
        <v>28</v>
      </c>
      <c r="G17" s="1" t="s">
        <v>1142</v>
      </c>
      <c r="H17" s="1" t="s">
        <v>1143</v>
      </c>
      <c r="I17" s="1" t="s">
        <v>7</v>
      </c>
      <c r="J17" s="1" t="s">
        <v>580</v>
      </c>
    </row>
    <row r="18" spans="1:10">
      <c r="A18" s="1">
        <v>15</v>
      </c>
      <c r="B18" s="1" t="s">
        <v>1157</v>
      </c>
      <c r="C18" s="5">
        <v>46148</v>
      </c>
      <c r="D18" s="1" t="s">
        <v>60</v>
      </c>
      <c r="E18" s="6" t="s">
        <v>46</v>
      </c>
      <c r="F18" s="6" t="s">
        <v>66</v>
      </c>
      <c r="G18" s="1" t="s">
        <v>1140</v>
      </c>
      <c r="H18" s="1" t="s">
        <v>1143</v>
      </c>
      <c r="I18" s="1" t="s">
        <v>104</v>
      </c>
      <c r="J18" s="1" t="s">
        <v>580</v>
      </c>
    </row>
    <row r="19" spans="1:10">
      <c r="A19" s="1">
        <v>16</v>
      </c>
      <c r="B19" s="1" t="s">
        <v>1158</v>
      </c>
      <c r="C19" s="5">
        <v>46147</v>
      </c>
      <c r="D19" s="1" t="s">
        <v>60</v>
      </c>
      <c r="E19" s="6" t="s">
        <v>58</v>
      </c>
      <c r="F19" s="6" t="s">
        <v>28</v>
      </c>
      <c r="G19" s="1" t="s">
        <v>1137</v>
      </c>
      <c r="H19" s="1" t="s">
        <v>1143</v>
      </c>
      <c r="I19" s="1" t="s">
        <v>70</v>
      </c>
      <c r="J19" s="1" t="s">
        <v>580</v>
      </c>
    </row>
    <row r="20" spans="1:10">
      <c r="A20" s="1">
        <v>17</v>
      </c>
      <c r="B20" s="1" t="s">
        <v>1159</v>
      </c>
      <c r="C20" s="5">
        <v>46163</v>
      </c>
      <c r="D20" s="1" t="s">
        <v>60</v>
      </c>
      <c r="E20" s="6" t="s">
        <v>27</v>
      </c>
      <c r="F20" s="6" t="s">
        <v>32</v>
      </c>
      <c r="G20" s="1" t="s">
        <v>1142</v>
      </c>
      <c r="H20" s="1" t="s">
        <v>1143</v>
      </c>
      <c r="I20" s="1" t="s">
        <v>70</v>
      </c>
      <c r="J20" s="1" t="s">
        <v>580</v>
      </c>
    </row>
    <row r="21" spans="1:10">
      <c r="A21" s="1">
        <v>18</v>
      </c>
      <c r="B21" s="1" t="s">
        <v>1160</v>
      </c>
      <c r="C21" s="5">
        <v>46160</v>
      </c>
      <c r="D21" s="1" t="s">
        <v>60</v>
      </c>
      <c r="E21" s="6" t="s">
        <v>13</v>
      </c>
      <c r="F21" s="6" t="s">
        <v>62</v>
      </c>
      <c r="G21" s="1" t="s">
        <v>1142</v>
      </c>
      <c r="H21" s="1" t="s">
        <v>1143</v>
      </c>
      <c r="I21" s="1" t="s">
        <v>104</v>
      </c>
      <c r="J21" s="1" t="s">
        <v>580</v>
      </c>
    </row>
    <row r="22" spans="1:10">
      <c r="A22" s="1">
        <v>19</v>
      </c>
      <c r="B22" s="1" t="s">
        <v>1161</v>
      </c>
      <c r="C22" s="5">
        <v>46147</v>
      </c>
      <c r="D22" s="1" t="s">
        <v>60</v>
      </c>
      <c r="E22" s="6" t="s">
        <v>39</v>
      </c>
      <c r="F22" s="6" t="s">
        <v>104</v>
      </c>
      <c r="G22" s="1" t="s">
        <v>1140</v>
      </c>
      <c r="H22" s="1" t="s">
        <v>1143</v>
      </c>
      <c r="I22" s="1" t="s">
        <v>41</v>
      </c>
      <c r="J22" s="1" t="s">
        <v>1149</v>
      </c>
    </row>
    <row r="23" spans="1:10">
      <c r="A23" s="1">
        <v>20</v>
      </c>
      <c r="B23" s="1" t="s">
        <v>1162</v>
      </c>
      <c r="C23" s="5">
        <v>46163</v>
      </c>
      <c r="D23" s="1" t="s">
        <v>60</v>
      </c>
      <c r="E23" s="6" t="s">
        <v>39</v>
      </c>
      <c r="F23" s="6" t="s">
        <v>32</v>
      </c>
      <c r="G23" s="1" t="s">
        <v>1145</v>
      </c>
      <c r="H23" s="1" t="s">
        <v>1143</v>
      </c>
      <c r="I23" s="1" t="s">
        <v>93</v>
      </c>
      <c r="J23" s="1" t="s">
        <v>224</v>
      </c>
    </row>
    <row r="24" spans="1:10">
      <c r="A24" s="1">
        <v>21</v>
      </c>
      <c r="B24" s="1" t="s">
        <v>1163</v>
      </c>
      <c r="C24" s="5">
        <v>46187</v>
      </c>
      <c r="D24" s="1" t="s">
        <v>73</v>
      </c>
      <c r="E24" s="6" t="s">
        <v>5</v>
      </c>
      <c r="F24" s="6" t="s">
        <v>15</v>
      </c>
      <c r="G24" s="1" t="s">
        <v>1140</v>
      </c>
      <c r="H24" s="1" t="s">
        <v>1143</v>
      </c>
      <c r="I24" s="1" t="s">
        <v>15</v>
      </c>
      <c r="J24" s="1" t="s">
        <v>580</v>
      </c>
    </row>
    <row r="25" spans="1:10">
      <c r="A25" s="1">
        <v>22</v>
      </c>
      <c r="B25" s="1" t="s">
        <v>1164</v>
      </c>
      <c r="C25" s="5">
        <v>46178</v>
      </c>
      <c r="D25" s="1" t="s">
        <v>73</v>
      </c>
      <c r="E25" s="6" t="s">
        <v>46</v>
      </c>
      <c r="F25" s="6" t="s">
        <v>78</v>
      </c>
      <c r="G25" s="1" t="s">
        <v>1142</v>
      </c>
      <c r="H25" s="1" t="s">
        <v>1138</v>
      </c>
      <c r="I25" s="1" t="s">
        <v>7</v>
      </c>
      <c r="J25" s="1" t="s">
        <v>1149</v>
      </c>
    </row>
    <row r="26" spans="1:10">
      <c r="A26" s="1">
        <v>23</v>
      </c>
      <c r="B26" s="1" t="s">
        <v>1165</v>
      </c>
      <c r="C26" s="5">
        <v>46182</v>
      </c>
      <c r="D26" s="1" t="s">
        <v>73</v>
      </c>
      <c r="E26" s="6" t="s">
        <v>27</v>
      </c>
      <c r="F26" s="6" t="s">
        <v>7</v>
      </c>
      <c r="G26" s="1" t="s">
        <v>1137</v>
      </c>
      <c r="H26" s="1" t="s">
        <v>1138</v>
      </c>
      <c r="I26" s="1" t="s">
        <v>66</v>
      </c>
      <c r="J26" s="1" t="s">
        <v>580</v>
      </c>
    </row>
    <row r="27" spans="1:10">
      <c r="A27" s="1">
        <v>24</v>
      </c>
      <c r="B27" s="1" t="s">
        <v>1166</v>
      </c>
      <c r="C27" s="5">
        <v>46206</v>
      </c>
      <c r="D27" s="1" t="s">
        <v>76</v>
      </c>
      <c r="E27" s="6" t="s">
        <v>50</v>
      </c>
      <c r="F27" s="6" t="s">
        <v>68</v>
      </c>
      <c r="G27" s="1" t="s">
        <v>1142</v>
      </c>
      <c r="H27" s="1" t="s">
        <v>1138</v>
      </c>
      <c r="I27" s="1" t="s">
        <v>78</v>
      </c>
      <c r="J27" s="1" t="s">
        <v>580</v>
      </c>
    </row>
    <row r="28" spans="1:10">
      <c r="A28" s="1">
        <v>25</v>
      </c>
      <c r="B28" s="1" t="s">
        <v>1167</v>
      </c>
      <c r="C28" s="5">
        <v>46209</v>
      </c>
      <c r="D28" s="1" t="s">
        <v>76</v>
      </c>
      <c r="E28" s="6" t="s">
        <v>39</v>
      </c>
      <c r="F28" s="6" t="s">
        <v>78</v>
      </c>
      <c r="G28" s="1" t="s">
        <v>1137</v>
      </c>
      <c r="H28" s="1" t="s">
        <v>1138</v>
      </c>
      <c r="I28" s="1" t="s">
        <v>66</v>
      </c>
      <c r="J28" s="1" t="s">
        <v>580</v>
      </c>
    </row>
    <row r="29" spans="1:10">
      <c r="A29" s="1">
        <v>26</v>
      </c>
      <c r="B29" s="1" t="s">
        <v>1168</v>
      </c>
      <c r="C29" s="5">
        <v>46221</v>
      </c>
      <c r="D29" s="1" t="s">
        <v>76</v>
      </c>
      <c r="E29" s="6" t="s">
        <v>27</v>
      </c>
      <c r="F29" s="6" t="s">
        <v>68</v>
      </c>
      <c r="G29" s="1" t="s">
        <v>1142</v>
      </c>
      <c r="H29" s="1" t="s">
        <v>1138</v>
      </c>
      <c r="I29" s="1" t="s">
        <v>22</v>
      </c>
      <c r="J29" s="1" t="s">
        <v>580</v>
      </c>
    </row>
    <row r="30" spans="1:10">
      <c r="A30" s="1">
        <v>27</v>
      </c>
      <c r="B30" s="1" t="s">
        <v>1169</v>
      </c>
      <c r="C30" s="5">
        <v>46207</v>
      </c>
      <c r="D30" s="1" t="s">
        <v>76</v>
      </c>
      <c r="E30" s="6" t="s">
        <v>58</v>
      </c>
      <c r="F30" s="6" t="s">
        <v>93</v>
      </c>
      <c r="G30" s="1" t="s">
        <v>1142</v>
      </c>
      <c r="H30" s="1" t="s">
        <v>1138</v>
      </c>
      <c r="I30" s="1" t="s">
        <v>28</v>
      </c>
      <c r="J30" s="1" t="s">
        <v>580</v>
      </c>
    </row>
    <row r="31" spans="1:10">
      <c r="A31" s="1">
        <v>28</v>
      </c>
      <c r="B31" s="1" t="s">
        <v>1170</v>
      </c>
      <c r="C31" s="5">
        <v>46260</v>
      </c>
      <c r="D31" s="1" t="s">
        <v>86</v>
      </c>
      <c r="E31" s="6" t="s">
        <v>92</v>
      </c>
      <c r="F31" s="6" t="s">
        <v>41</v>
      </c>
      <c r="G31" s="1" t="s">
        <v>1142</v>
      </c>
      <c r="H31" s="1" t="s">
        <v>1138</v>
      </c>
      <c r="I31" s="1" t="s">
        <v>28</v>
      </c>
      <c r="J31" s="1" t="s">
        <v>580</v>
      </c>
    </row>
    <row r="32" spans="1:10">
      <c r="A32" s="1">
        <v>29</v>
      </c>
      <c r="B32" s="1" t="s">
        <v>1171</v>
      </c>
      <c r="C32" s="5">
        <v>46240</v>
      </c>
      <c r="D32" s="1" t="s">
        <v>86</v>
      </c>
      <c r="E32" s="6" t="s">
        <v>13</v>
      </c>
      <c r="F32" s="6" t="s">
        <v>36</v>
      </c>
      <c r="G32" s="1" t="s">
        <v>1145</v>
      </c>
      <c r="H32" s="1" t="s">
        <v>1143</v>
      </c>
      <c r="I32" s="1" t="s">
        <v>22</v>
      </c>
      <c r="J32" s="1" t="s">
        <v>326</v>
      </c>
    </row>
    <row r="33" spans="1:10">
      <c r="A33" s="1">
        <v>30</v>
      </c>
      <c r="B33" s="1" t="s">
        <v>1172</v>
      </c>
      <c r="C33" s="5">
        <v>46249</v>
      </c>
      <c r="D33" s="1" t="s">
        <v>86</v>
      </c>
      <c r="E33" s="6" t="s">
        <v>5</v>
      </c>
      <c r="F33" s="6" t="s">
        <v>41</v>
      </c>
      <c r="G33" s="1" t="s">
        <v>1140</v>
      </c>
      <c r="H33" s="1" t="s">
        <v>1143</v>
      </c>
      <c r="I33" s="1" t="s">
        <v>15</v>
      </c>
      <c r="J33" s="1" t="s">
        <v>224</v>
      </c>
    </row>
    <row r="34" spans="1:10">
      <c r="A34" s="1">
        <v>31</v>
      </c>
      <c r="B34" s="1" t="s">
        <v>1173</v>
      </c>
      <c r="C34" s="5">
        <v>46241</v>
      </c>
      <c r="D34" s="1" t="s">
        <v>86</v>
      </c>
      <c r="E34" s="6" t="s">
        <v>89</v>
      </c>
      <c r="F34" s="6" t="s">
        <v>28</v>
      </c>
      <c r="G34" s="1" t="s">
        <v>1137</v>
      </c>
      <c r="H34" s="1" t="s">
        <v>1143</v>
      </c>
      <c r="I34" s="1" t="s">
        <v>15</v>
      </c>
      <c r="J34" s="1" t="s">
        <v>224</v>
      </c>
    </row>
    <row r="35" spans="1:10">
      <c r="A35" s="1">
        <v>32</v>
      </c>
      <c r="B35" s="1" t="s">
        <v>1174</v>
      </c>
      <c r="C35" s="5">
        <v>46289</v>
      </c>
      <c r="D35" s="1" t="s">
        <v>102</v>
      </c>
      <c r="E35" s="6" t="s">
        <v>89</v>
      </c>
      <c r="F35" s="6" t="s">
        <v>28</v>
      </c>
      <c r="G35" s="1" t="s">
        <v>1140</v>
      </c>
      <c r="H35" s="1" t="s">
        <v>1143</v>
      </c>
      <c r="I35" s="1" t="s">
        <v>36</v>
      </c>
      <c r="J35" s="1" t="s">
        <v>580</v>
      </c>
    </row>
    <row r="36" spans="1:10">
      <c r="A36" s="1">
        <v>33</v>
      </c>
      <c r="B36" s="1" t="s">
        <v>1175</v>
      </c>
      <c r="C36" s="5">
        <v>46290</v>
      </c>
      <c r="D36" s="1" t="s">
        <v>102</v>
      </c>
      <c r="E36" s="6" t="s">
        <v>58</v>
      </c>
      <c r="F36" s="6" t="s">
        <v>68</v>
      </c>
      <c r="G36" s="1" t="s">
        <v>1145</v>
      </c>
      <c r="H36" s="1" t="s">
        <v>1138</v>
      </c>
      <c r="I36" s="1" t="s">
        <v>68</v>
      </c>
      <c r="J36" s="1" t="s">
        <v>224</v>
      </c>
    </row>
    <row r="37" spans="1:10">
      <c r="A37" s="1">
        <v>34</v>
      </c>
      <c r="B37" s="1" t="s">
        <v>1176</v>
      </c>
      <c r="C37" s="5">
        <v>46309</v>
      </c>
      <c r="D37" s="1" t="s">
        <v>106</v>
      </c>
      <c r="E37" s="6" t="s">
        <v>27</v>
      </c>
      <c r="F37" s="6" t="s">
        <v>70</v>
      </c>
      <c r="G37" s="1" t="s">
        <v>1145</v>
      </c>
      <c r="H37" s="1" t="s">
        <v>1143</v>
      </c>
      <c r="I37" s="1" t="s">
        <v>93</v>
      </c>
      <c r="J37" s="1" t="s">
        <v>1149</v>
      </c>
    </row>
    <row r="38" spans="1:10">
      <c r="A38" s="1">
        <v>35</v>
      </c>
      <c r="B38" s="1" t="s">
        <v>1177</v>
      </c>
      <c r="C38" s="5">
        <v>46317</v>
      </c>
      <c r="D38" s="1" t="s">
        <v>106</v>
      </c>
      <c r="E38" s="6" t="s">
        <v>65</v>
      </c>
      <c r="F38" s="6" t="s">
        <v>70</v>
      </c>
      <c r="G38" s="1" t="s">
        <v>1137</v>
      </c>
      <c r="H38" s="1" t="s">
        <v>1143</v>
      </c>
      <c r="I38" s="1" t="s">
        <v>68</v>
      </c>
      <c r="J38" s="1" t="s">
        <v>326</v>
      </c>
    </row>
    <row r="39" spans="1:10">
      <c r="A39" s="1">
        <v>36</v>
      </c>
      <c r="B39" s="1" t="s">
        <v>1178</v>
      </c>
      <c r="C39" s="5">
        <v>46312</v>
      </c>
      <c r="D39" s="1" t="s">
        <v>106</v>
      </c>
      <c r="E39" s="6" t="s">
        <v>58</v>
      </c>
      <c r="F39" s="6" t="s">
        <v>62</v>
      </c>
      <c r="G39" s="1" t="s">
        <v>1137</v>
      </c>
      <c r="H39" s="1" t="s">
        <v>1143</v>
      </c>
      <c r="I39" s="1" t="s">
        <v>78</v>
      </c>
      <c r="J39" s="1" t="s">
        <v>580</v>
      </c>
    </row>
    <row r="40" spans="1:10">
      <c r="A40" s="1">
        <v>37</v>
      </c>
      <c r="B40" s="1" t="s">
        <v>1179</v>
      </c>
      <c r="C40" s="5">
        <v>46297</v>
      </c>
      <c r="D40" s="1" t="s">
        <v>106</v>
      </c>
      <c r="E40" s="6" t="s">
        <v>39</v>
      </c>
      <c r="F40" s="6" t="s">
        <v>36</v>
      </c>
      <c r="G40" s="1" t="s">
        <v>1142</v>
      </c>
      <c r="H40" s="1" t="s">
        <v>1138</v>
      </c>
      <c r="I40" s="1" t="s">
        <v>15</v>
      </c>
      <c r="J40" s="1" t="s">
        <v>224</v>
      </c>
    </row>
    <row r="41" spans="1:10">
      <c r="A41" s="1">
        <v>38</v>
      </c>
      <c r="B41" s="1" t="s">
        <v>1180</v>
      </c>
      <c r="C41" s="5">
        <v>46316</v>
      </c>
      <c r="D41" s="1" t="s">
        <v>106</v>
      </c>
      <c r="E41" s="6" t="s">
        <v>39</v>
      </c>
      <c r="F41" s="6" t="s">
        <v>22</v>
      </c>
      <c r="G41" s="1" t="s">
        <v>1140</v>
      </c>
      <c r="H41" s="1" t="s">
        <v>1143</v>
      </c>
      <c r="I41" s="1" t="s">
        <v>70</v>
      </c>
      <c r="J41" s="1" t="s">
        <v>580</v>
      </c>
    </row>
    <row r="42" spans="1:10">
      <c r="A42" s="1">
        <v>39</v>
      </c>
      <c r="B42" s="1" t="s">
        <v>1181</v>
      </c>
      <c r="C42" s="5">
        <v>46298</v>
      </c>
      <c r="D42" s="1" t="s">
        <v>106</v>
      </c>
      <c r="E42" s="6" t="s">
        <v>13</v>
      </c>
      <c r="F42" s="6" t="s">
        <v>93</v>
      </c>
      <c r="G42" s="1" t="s">
        <v>1142</v>
      </c>
      <c r="H42" s="1" t="s">
        <v>1143</v>
      </c>
      <c r="I42" s="1" t="s">
        <v>68</v>
      </c>
      <c r="J42" s="1" t="s">
        <v>580</v>
      </c>
    </row>
    <row r="43" spans="1:10">
      <c r="A43" s="1">
        <v>40</v>
      </c>
      <c r="B43" s="1" t="s">
        <v>1182</v>
      </c>
      <c r="C43" s="5">
        <v>46353</v>
      </c>
      <c r="D43" s="1" t="s">
        <v>111</v>
      </c>
      <c r="E43" s="6" t="s">
        <v>46</v>
      </c>
      <c r="F43" s="6" t="s">
        <v>28</v>
      </c>
      <c r="G43" s="1" t="s">
        <v>1142</v>
      </c>
      <c r="H43" s="1" t="s">
        <v>1138</v>
      </c>
      <c r="I43" s="1" t="s">
        <v>28</v>
      </c>
      <c r="J43" s="1" t="s">
        <v>224</v>
      </c>
    </row>
    <row r="44" spans="1:10">
      <c r="A44" s="1">
        <v>41</v>
      </c>
      <c r="B44" s="1" t="s">
        <v>1183</v>
      </c>
      <c r="C44" s="5">
        <v>46329</v>
      </c>
      <c r="D44" s="1" t="s">
        <v>111</v>
      </c>
      <c r="E44" s="6" t="s">
        <v>65</v>
      </c>
      <c r="F44" s="6" t="s">
        <v>28</v>
      </c>
      <c r="G44" s="1" t="s">
        <v>1140</v>
      </c>
      <c r="H44" s="1" t="s">
        <v>1143</v>
      </c>
      <c r="I44" s="1" t="s">
        <v>15</v>
      </c>
      <c r="J44" s="1" t="s">
        <v>1149</v>
      </c>
    </row>
    <row r="45" spans="1:10">
      <c r="A45" s="1">
        <v>42</v>
      </c>
      <c r="B45" s="1" t="s">
        <v>1184</v>
      </c>
      <c r="C45" s="5">
        <v>46349</v>
      </c>
      <c r="D45" s="1" t="s">
        <v>111</v>
      </c>
      <c r="E45" s="6" t="s">
        <v>89</v>
      </c>
      <c r="F45" s="6" t="s">
        <v>28</v>
      </c>
      <c r="G45" s="1" t="s">
        <v>1145</v>
      </c>
      <c r="H45" s="1" t="s">
        <v>1138</v>
      </c>
      <c r="I45" s="1" t="s">
        <v>78</v>
      </c>
      <c r="J45" s="1" t="s">
        <v>580</v>
      </c>
    </row>
    <row r="46" spans="1:10">
      <c r="A46" s="1">
        <v>43</v>
      </c>
      <c r="B46" s="1" t="s">
        <v>1185</v>
      </c>
      <c r="C46" s="5">
        <v>46341</v>
      </c>
      <c r="D46" s="1" t="s">
        <v>111</v>
      </c>
      <c r="E46" s="6" t="s">
        <v>89</v>
      </c>
      <c r="F46" s="6" t="s">
        <v>62</v>
      </c>
      <c r="G46" s="1" t="s">
        <v>1137</v>
      </c>
      <c r="H46" s="1" t="s">
        <v>1143</v>
      </c>
      <c r="I46" s="1" t="s">
        <v>7</v>
      </c>
      <c r="J46" s="1" t="s">
        <v>224</v>
      </c>
    </row>
    <row r="47" spans="1:10">
      <c r="A47" s="1">
        <v>44</v>
      </c>
      <c r="B47" s="1" t="s">
        <v>1186</v>
      </c>
      <c r="C47" s="5">
        <v>46366</v>
      </c>
      <c r="D47" s="1" t="s">
        <v>122</v>
      </c>
      <c r="E47" s="6" t="s">
        <v>27</v>
      </c>
      <c r="F47" s="6" t="s">
        <v>68</v>
      </c>
      <c r="G47" s="1" t="s">
        <v>1140</v>
      </c>
      <c r="H47" s="1" t="s">
        <v>1138</v>
      </c>
      <c r="I47" s="1" t="s">
        <v>70</v>
      </c>
      <c r="J47" s="1" t="s">
        <v>580</v>
      </c>
    </row>
    <row r="48" spans="1:10">
      <c r="A48" s="1">
        <v>45</v>
      </c>
      <c r="B48" s="1" t="s">
        <v>1187</v>
      </c>
      <c r="C48" s="5">
        <v>46377</v>
      </c>
      <c r="D48" s="1" t="s">
        <v>122</v>
      </c>
      <c r="E48" s="6" t="s">
        <v>58</v>
      </c>
      <c r="F48" s="6" t="s">
        <v>7</v>
      </c>
      <c r="G48" s="1" t="s">
        <v>1140</v>
      </c>
      <c r="H48" s="1" t="s">
        <v>1138</v>
      </c>
      <c r="I48" s="1" t="s">
        <v>62</v>
      </c>
      <c r="J48" s="1" t="s">
        <v>580</v>
      </c>
    </row>
    <row r="49" spans="1:10">
      <c r="A49" s="1">
        <v>46</v>
      </c>
      <c r="B49" s="1" t="s">
        <v>1188</v>
      </c>
      <c r="C49" s="5">
        <v>46374</v>
      </c>
      <c r="D49" s="1" t="s">
        <v>122</v>
      </c>
      <c r="E49" s="6" t="s">
        <v>13</v>
      </c>
      <c r="F49" s="6" t="s">
        <v>7</v>
      </c>
      <c r="G49" s="1" t="s">
        <v>1142</v>
      </c>
      <c r="H49" s="1" t="s">
        <v>1138</v>
      </c>
      <c r="I49" s="1" t="s">
        <v>70</v>
      </c>
      <c r="J49" s="1" t="s">
        <v>580</v>
      </c>
    </row>
    <row r="50" spans="1:10">
      <c r="A50" s="1">
        <v>47</v>
      </c>
      <c r="B50" s="1" t="s">
        <v>1189</v>
      </c>
      <c r="C50" s="5">
        <v>46377</v>
      </c>
      <c r="D50" s="1" t="s">
        <v>122</v>
      </c>
      <c r="E50" s="6" t="s">
        <v>5</v>
      </c>
      <c r="F50" s="6" t="s">
        <v>104</v>
      </c>
      <c r="G50" s="1" t="s">
        <v>1142</v>
      </c>
      <c r="H50" s="1" t="s">
        <v>1138</v>
      </c>
      <c r="I50" s="1" t="s">
        <v>28</v>
      </c>
      <c r="J50" s="1" t="s">
        <v>580</v>
      </c>
    </row>
    <row r="51" spans="1:10">
      <c r="A51" s="1">
        <v>48</v>
      </c>
      <c r="B51" s="1" t="s">
        <v>1190</v>
      </c>
      <c r="C51" s="5">
        <v>46371</v>
      </c>
      <c r="D51" s="1" t="s">
        <v>122</v>
      </c>
      <c r="E51" s="6" t="s">
        <v>27</v>
      </c>
      <c r="F51" s="6" t="s">
        <v>66</v>
      </c>
      <c r="G51" s="1" t="s">
        <v>1137</v>
      </c>
      <c r="H51" s="1" t="s">
        <v>1143</v>
      </c>
      <c r="I51" s="1" t="s">
        <v>22</v>
      </c>
      <c r="J51" s="1" t="s">
        <v>580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1196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770</v>
      </c>
      <c r="C3" s="1" t="s">
        <v>126</v>
      </c>
      <c r="D3" s="1" t="s">
        <v>127</v>
      </c>
      <c r="E3" s="1" t="s">
        <v>1250</v>
      </c>
      <c r="F3" s="1" t="s">
        <v>129</v>
      </c>
      <c r="G3" s="1" t="s">
        <v>130</v>
      </c>
      <c r="H3" s="1" t="s">
        <v>1251</v>
      </c>
      <c r="I3" s="1" t="s">
        <v>1252</v>
      </c>
      <c r="J3" s="1" t="s">
        <v>1253</v>
      </c>
      <c r="K3" s="1" t="s">
        <v>1254</v>
      </c>
      <c r="L3" s="2" t="s">
        <v>1255</v>
      </c>
      <c r="M3" s="1" t="s">
        <v>1256</v>
      </c>
      <c r="N3" s="1" t="s">
        <v>137</v>
      </c>
    </row>
    <row r="4" spans="1:16">
      <c r="A4" s="1">
        <v>1</v>
      </c>
      <c r="B4" s="1" t="s">
        <v>1197</v>
      </c>
      <c r="C4" s="5">
        <v>46039</v>
      </c>
      <c r="D4" s="1" t="s">
        <v>3</v>
      </c>
      <c r="E4" s="6" t="s">
        <v>1198</v>
      </c>
      <c r="F4" s="6" t="s">
        <v>39</v>
      </c>
      <c r="G4" s="1" t="s">
        <v>77</v>
      </c>
      <c r="H4" s="1" t="s">
        <v>62</v>
      </c>
      <c r="I4" s="1">
        <v>25</v>
      </c>
      <c r="J4" s="1">
        <v>4</v>
      </c>
      <c r="K4" s="1">
        <v>49</v>
      </c>
      <c r="L4" s="2">
        <f>IFERROR((K4-J4)/K4*100,0)</f>
        <v>0</v>
      </c>
      <c r="M4" s="1" t="s">
        <v>153</v>
      </c>
      <c r="N4" s="1" t="s">
        <v>23</v>
      </c>
    </row>
    <row r="5" spans="1:16">
      <c r="A5" s="1">
        <v>2</v>
      </c>
      <c r="B5" s="1" t="s">
        <v>1199</v>
      </c>
      <c r="C5" s="5">
        <v>46026</v>
      </c>
      <c r="D5" s="1" t="s">
        <v>3</v>
      </c>
      <c r="E5" s="6" t="s">
        <v>1198</v>
      </c>
      <c r="F5" s="6" t="s">
        <v>65</v>
      </c>
      <c r="G5" s="1" t="s">
        <v>80</v>
      </c>
      <c r="H5" s="1" t="s">
        <v>36</v>
      </c>
      <c r="I5" s="1">
        <v>45</v>
      </c>
      <c r="J5" s="1">
        <v>8</v>
      </c>
      <c r="K5" s="1">
        <v>21</v>
      </c>
      <c r="L5" s="2">
        <f>IFERROR((K5-J5)/K5*100,0)</f>
        <v>0</v>
      </c>
      <c r="M5" s="1" t="s">
        <v>153</v>
      </c>
      <c r="N5" s="1" t="s">
        <v>9</v>
      </c>
    </row>
    <row r="6" spans="1:16">
      <c r="A6" s="1">
        <v>3</v>
      </c>
      <c r="B6" s="1" t="s">
        <v>1200</v>
      </c>
      <c r="C6" s="5">
        <v>46055</v>
      </c>
      <c r="D6" s="1" t="s">
        <v>19</v>
      </c>
      <c r="E6" s="6" t="s">
        <v>61</v>
      </c>
      <c r="F6" s="6" t="s">
        <v>58</v>
      </c>
      <c r="G6" s="1" t="s">
        <v>80</v>
      </c>
      <c r="H6" s="1" t="s">
        <v>28</v>
      </c>
      <c r="I6" s="1">
        <v>34</v>
      </c>
      <c r="J6" s="1">
        <v>8</v>
      </c>
      <c r="K6" s="1">
        <v>19</v>
      </c>
      <c r="L6" s="2">
        <f>IFERROR((K6-J6)/K6*100,0)</f>
        <v>0</v>
      </c>
      <c r="M6" s="1" t="s">
        <v>153</v>
      </c>
      <c r="N6" s="1" t="s">
        <v>9</v>
      </c>
    </row>
    <row r="7" spans="1:16">
      <c r="A7" s="1">
        <v>4</v>
      </c>
      <c r="B7" s="1" t="s">
        <v>1201</v>
      </c>
      <c r="C7" s="5">
        <v>46067</v>
      </c>
      <c r="D7" s="1" t="s">
        <v>19</v>
      </c>
      <c r="E7" s="6" t="s">
        <v>61</v>
      </c>
      <c r="F7" s="6" t="s">
        <v>65</v>
      </c>
      <c r="G7" s="1" t="s">
        <v>14</v>
      </c>
      <c r="H7" s="1" t="s">
        <v>93</v>
      </c>
      <c r="I7" s="1">
        <v>23</v>
      </c>
      <c r="J7" s="1">
        <v>8</v>
      </c>
      <c r="K7" s="1">
        <v>40</v>
      </c>
      <c r="L7" s="2">
        <f>IFERROR((K7-J7)/K7*100,0)</f>
        <v>0</v>
      </c>
      <c r="M7" s="1" t="s">
        <v>145</v>
      </c>
      <c r="N7" s="1" t="s">
        <v>9</v>
      </c>
    </row>
    <row r="8" spans="1:16">
      <c r="A8" s="1">
        <v>5</v>
      </c>
      <c r="B8" s="1" t="s">
        <v>1202</v>
      </c>
      <c r="C8" s="5">
        <v>46068</v>
      </c>
      <c r="D8" s="1" t="s">
        <v>19</v>
      </c>
      <c r="E8" s="6" t="s">
        <v>1198</v>
      </c>
      <c r="F8" s="6" t="s">
        <v>58</v>
      </c>
      <c r="G8" s="1" t="s">
        <v>80</v>
      </c>
      <c r="H8" s="1" t="s">
        <v>41</v>
      </c>
      <c r="I8" s="1">
        <v>16</v>
      </c>
      <c r="J8" s="1">
        <v>6</v>
      </c>
      <c r="K8" s="1">
        <v>46</v>
      </c>
      <c r="L8" s="2">
        <f>IFERROR((K8-J8)/K8*100,0)</f>
        <v>0</v>
      </c>
      <c r="M8" s="1" t="s">
        <v>145</v>
      </c>
      <c r="N8" s="1" t="s">
        <v>9</v>
      </c>
    </row>
    <row r="9" spans="1:16">
      <c r="A9" s="1">
        <v>6</v>
      </c>
      <c r="B9" s="1" t="s">
        <v>1203</v>
      </c>
      <c r="C9" s="5">
        <v>46096</v>
      </c>
      <c r="D9" s="1" t="s">
        <v>44</v>
      </c>
      <c r="E9" s="6" t="s">
        <v>1204</v>
      </c>
      <c r="F9" s="6" t="s">
        <v>46</v>
      </c>
      <c r="G9" s="1" t="s">
        <v>35</v>
      </c>
      <c r="H9" s="1" t="s">
        <v>7</v>
      </c>
      <c r="I9" s="1">
        <v>39</v>
      </c>
      <c r="J9" s="1">
        <v>0</v>
      </c>
      <c r="K9" s="1">
        <v>31</v>
      </c>
      <c r="L9" s="2">
        <f>IFERROR((K9-J9)/K9*100,0)</f>
        <v>0</v>
      </c>
      <c r="M9" s="1" t="s">
        <v>153</v>
      </c>
      <c r="N9" s="1" t="s">
        <v>9</v>
      </c>
    </row>
    <row r="10" spans="1:16">
      <c r="A10" s="1">
        <v>7</v>
      </c>
      <c r="B10" s="1" t="s">
        <v>1205</v>
      </c>
      <c r="C10" s="5">
        <v>46106</v>
      </c>
      <c r="D10" s="1" t="s">
        <v>44</v>
      </c>
      <c r="E10" s="6" t="s">
        <v>1198</v>
      </c>
      <c r="F10" s="6" t="s">
        <v>50</v>
      </c>
      <c r="G10" s="1" t="s">
        <v>6</v>
      </c>
      <c r="H10" s="1" t="s">
        <v>15</v>
      </c>
      <c r="I10" s="1">
        <v>45</v>
      </c>
      <c r="J10" s="1">
        <v>1</v>
      </c>
      <c r="K10" s="1">
        <v>46</v>
      </c>
      <c r="L10" s="2">
        <f>IFERROR((K10-J10)/K10*100,0)</f>
        <v>0</v>
      </c>
      <c r="M10" s="1" t="s">
        <v>153</v>
      </c>
      <c r="N10" s="1" t="s">
        <v>9</v>
      </c>
    </row>
    <row r="11" spans="1:16">
      <c r="A11" s="1">
        <v>8</v>
      </c>
      <c r="B11" s="1" t="s">
        <v>1206</v>
      </c>
      <c r="C11" s="5">
        <v>46097</v>
      </c>
      <c r="D11" s="1" t="s">
        <v>44</v>
      </c>
      <c r="E11" s="6" t="s">
        <v>30</v>
      </c>
      <c r="F11" s="6" t="s">
        <v>50</v>
      </c>
      <c r="G11" s="1" t="s">
        <v>77</v>
      </c>
      <c r="H11" s="1" t="s">
        <v>15</v>
      </c>
      <c r="I11" s="1">
        <v>11</v>
      </c>
      <c r="J11" s="1">
        <v>4</v>
      </c>
      <c r="K11" s="1">
        <v>28</v>
      </c>
      <c r="L11" s="2">
        <f>IFERROR((K11-J11)/K11*100,0)</f>
        <v>0</v>
      </c>
      <c r="M11" s="1" t="s">
        <v>145</v>
      </c>
      <c r="N11" s="1" t="s">
        <v>9</v>
      </c>
    </row>
    <row r="12" spans="1:16">
      <c r="A12" s="1">
        <v>9</v>
      </c>
      <c r="B12" s="1" t="s">
        <v>1207</v>
      </c>
      <c r="C12" s="5">
        <v>46088</v>
      </c>
      <c r="D12" s="1" t="s">
        <v>44</v>
      </c>
      <c r="E12" s="6" t="s">
        <v>1208</v>
      </c>
      <c r="F12" s="6" t="s">
        <v>58</v>
      </c>
      <c r="G12" s="1" t="s">
        <v>31</v>
      </c>
      <c r="H12" s="1" t="s">
        <v>70</v>
      </c>
      <c r="I12" s="1">
        <v>14</v>
      </c>
      <c r="J12" s="1">
        <v>6</v>
      </c>
      <c r="K12" s="1">
        <v>30</v>
      </c>
      <c r="L12" s="2">
        <f>IFERROR((K12-J12)/K12*100,0)</f>
        <v>0</v>
      </c>
      <c r="M12" s="1" t="s">
        <v>149</v>
      </c>
      <c r="N12" s="1" t="s">
        <v>9</v>
      </c>
    </row>
    <row r="13" spans="1:16">
      <c r="A13" s="1">
        <v>10</v>
      </c>
      <c r="B13" s="1" t="s">
        <v>1209</v>
      </c>
      <c r="C13" s="5">
        <v>46137</v>
      </c>
      <c r="D13" s="1" t="s">
        <v>53</v>
      </c>
      <c r="E13" s="6" t="s">
        <v>1208</v>
      </c>
      <c r="F13" s="6" t="s">
        <v>58</v>
      </c>
      <c r="G13" s="1" t="s">
        <v>87</v>
      </c>
      <c r="H13" s="1" t="s">
        <v>41</v>
      </c>
      <c r="I13" s="1">
        <v>33</v>
      </c>
      <c r="J13" s="1">
        <v>1</v>
      </c>
      <c r="K13" s="1">
        <v>25</v>
      </c>
      <c r="L13" s="2">
        <f>IFERROR((K13-J13)/K13*100,0)</f>
        <v>0</v>
      </c>
      <c r="M13" s="1" t="s">
        <v>149</v>
      </c>
      <c r="N13" s="1" t="s">
        <v>9</v>
      </c>
    </row>
    <row r="14" spans="1:16">
      <c r="A14" s="1">
        <v>11</v>
      </c>
      <c r="B14" s="1" t="s">
        <v>1210</v>
      </c>
      <c r="C14" s="5">
        <v>46138</v>
      </c>
      <c r="D14" s="1" t="s">
        <v>53</v>
      </c>
      <c r="E14" s="6" t="s">
        <v>1198</v>
      </c>
      <c r="F14" s="6" t="s">
        <v>5</v>
      </c>
      <c r="G14" s="1" t="s">
        <v>80</v>
      </c>
      <c r="H14" s="1" t="s">
        <v>68</v>
      </c>
      <c r="I14" s="1">
        <v>28</v>
      </c>
      <c r="J14" s="1">
        <v>5</v>
      </c>
      <c r="K14" s="1">
        <v>42</v>
      </c>
      <c r="L14" s="2">
        <f>IFERROR((K14-J14)/K14*100,0)</f>
        <v>0</v>
      </c>
      <c r="M14" s="1" t="s">
        <v>149</v>
      </c>
      <c r="N14" s="1" t="s">
        <v>23</v>
      </c>
    </row>
    <row r="15" spans="1:16">
      <c r="A15" s="1">
        <v>12</v>
      </c>
      <c r="B15" s="1" t="s">
        <v>1211</v>
      </c>
      <c r="C15" s="5">
        <v>46127</v>
      </c>
      <c r="D15" s="1" t="s">
        <v>53</v>
      </c>
      <c r="E15" s="6" t="s">
        <v>1212</v>
      </c>
      <c r="F15" s="6" t="s">
        <v>46</v>
      </c>
      <c r="G15" s="1" t="s">
        <v>51</v>
      </c>
      <c r="H15" s="1" t="s">
        <v>62</v>
      </c>
      <c r="I15" s="1">
        <v>34</v>
      </c>
      <c r="J15" s="1">
        <v>4</v>
      </c>
      <c r="K15" s="1">
        <v>20</v>
      </c>
      <c r="L15" s="2">
        <f>IFERROR((K15-J15)/K15*100,0)</f>
        <v>0</v>
      </c>
      <c r="M15" s="1" t="s">
        <v>153</v>
      </c>
      <c r="N15" s="1" t="s">
        <v>23</v>
      </c>
    </row>
    <row r="16" spans="1:16">
      <c r="A16" s="1">
        <v>13</v>
      </c>
      <c r="B16" s="1" t="s">
        <v>1213</v>
      </c>
      <c r="C16" s="5">
        <v>46125</v>
      </c>
      <c r="D16" s="1" t="s">
        <v>53</v>
      </c>
      <c r="E16" s="6" t="s">
        <v>1212</v>
      </c>
      <c r="F16" s="6" t="s">
        <v>27</v>
      </c>
      <c r="G16" s="1" t="s">
        <v>35</v>
      </c>
      <c r="H16" s="1" t="s">
        <v>15</v>
      </c>
      <c r="I16" s="1">
        <v>50</v>
      </c>
      <c r="J16" s="1">
        <v>4</v>
      </c>
      <c r="K16" s="1">
        <v>45</v>
      </c>
      <c r="L16" s="2">
        <f>IFERROR((K16-J16)/K16*100,0)</f>
        <v>0</v>
      </c>
      <c r="M16" s="1" t="s">
        <v>153</v>
      </c>
      <c r="N16" s="1" t="s">
        <v>23</v>
      </c>
    </row>
    <row r="17" spans="1:14">
      <c r="A17" s="1">
        <v>14</v>
      </c>
      <c r="B17" s="1" t="s">
        <v>1214</v>
      </c>
      <c r="C17" s="5">
        <v>46150</v>
      </c>
      <c r="D17" s="1" t="s">
        <v>60</v>
      </c>
      <c r="E17" s="6" t="s">
        <v>1215</v>
      </c>
      <c r="F17" s="6" t="s">
        <v>13</v>
      </c>
      <c r="G17" s="1" t="s">
        <v>14</v>
      </c>
      <c r="H17" s="1" t="s">
        <v>36</v>
      </c>
      <c r="I17" s="1">
        <v>57</v>
      </c>
      <c r="J17" s="1">
        <v>5</v>
      </c>
      <c r="K17" s="1">
        <v>46</v>
      </c>
      <c r="L17" s="2">
        <f>IFERROR((K17-J17)/K17*100,0)</f>
        <v>0</v>
      </c>
      <c r="M17" s="1" t="s">
        <v>149</v>
      </c>
      <c r="N17" s="1" t="s">
        <v>9</v>
      </c>
    </row>
    <row r="18" spans="1:14">
      <c r="A18" s="1">
        <v>15</v>
      </c>
      <c r="B18" s="1" t="s">
        <v>1216</v>
      </c>
      <c r="C18" s="5">
        <v>46150</v>
      </c>
      <c r="D18" s="1" t="s">
        <v>60</v>
      </c>
      <c r="E18" s="6" t="s">
        <v>61</v>
      </c>
      <c r="F18" s="6" t="s">
        <v>92</v>
      </c>
      <c r="G18" s="1" t="s">
        <v>95</v>
      </c>
      <c r="H18" s="1" t="s">
        <v>93</v>
      </c>
      <c r="I18" s="1">
        <v>22</v>
      </c>
      <c r="J18" s="1">
        <v>8</v>
      </c>
      <c r="K18" s="1">
        <v>46</v>
      </c>
      <c r="L18" s="2">
        <f>IFERROR((K18-J18)/K18*100,0)</f>
        <v>0</v>
      </c>
      <c r="M18" s="1" t="s">
        <v>153</v>
      </c>
      <c r="N18" s="1" t="s">
        <v>23</v>
      </c>
    </row>
    <row r="19" spans="1:14">
      <c r="A19" s="1">
        <v>16</v>
      </c>
      <c r="B19" s="1" t="s">
        <v>1217</v>
      </c>
      <c r="C19" s="5">
        <v>46146</v>
      </c>
      <c r="D19" s="1" t="s">
        <v>60</v>
      </c>
      <c r="E19" s="6" t="s">
        <v>1204</v>
      </c>
      <c r="F19" s="6" t="s">
        <v>58</v>
      </c>
      <c r="G19" s="1" t="s">
        <v>31</v>
      </c>
      <c r="H19" s="1" t="s">
        <v>93</v>
      </c>
      <c r="I19" s="1">
        <v>24</v>
      </c>
      <c r="J19" s="1">
        <v>1</v>
      </c>
      <c r="K19" s="1">
        <v>16</v>
      </c>
      <c r="L19" s="2">
        <f>IFERROR((K19-J19)/K19*100,0)</f>
        <v>0</v>
      </c>
      <c r="M19" s="1" t="s">
        <v>145</v>
      </c>
      <c r="N19" s="1" t="s">
        <v>23</v>
      </c>
    </row>
    <row r="20" spans="1:14">
      <c r="A20" s="1">
        <v>17</v>
      </c>
      <c r="B20" s="1" t="s">
        <v>1218</v>
      </c>
      <c r="C20" s="5">
        <v>46148</v>
      </c>
      <c r="D20" s="1" t="s">
        <v>60</v>
      </c>
      <c r="E20" s="6" t="s">
        <v>30</v>
      </c>
      <c r="F20" s="6" t="s">
        <v>5</v>
      </c>
      <c r="G20" s="1" t="s">
        <v>40</v>
      </c>
      <c r="H20" s="1" t="s">
        <v>66</v>
      </c>
      <c r="I20" s="1">
        <v>38</v>
      </c>
      <c r="J20" s="1">
        <v>5</v>
      </c>
      <c r="K20" s="1">
        <v>49</v>
      </c>
      <c r="L20" s="2">
        <f>IFERROR((K20-J20)/K20*100,0)</f>
        <v>0</v>
      </c>
      <c r="M20" s="1" t="s">
        <v>153</v>
      </c>
      <c r="N20" s="1" t="s">
        <v>9</v>
      </c>
    </row>
    <row r="21" spans="1:14">
      <c r="A21" s="1">
        <v>18</v>
      </c>
      <c r="B21" s="1" t="s">
        <v>1219</v>
      </c>
      <c r="C21" s="5">
        <v>46154</v>
      </c>
      <c r="D21" s="1" t="s">
        <v>60</v>
      </c>
      <c r="E21" s="6" t="s">
        <v>1215</v>
      </c>
      <c r="F21" s="6" t="s">
        <v>65</v>
      </c>
      <c r="G21" s="1" t="s">
        <v>95</v>
      </c>
      <c r="H21" s="1" t="s">
        <v>36</v>
      </c>
      <c r="I21" s="1">
        <v>56</v>
      </c>
      <c r="J21" s="1">
        <v>1</v>
      </c>
      <c r="K21" s="1">
        <v>48</v>
      </c>
      <c r="L21" s="2">
        <f>IFERROR((K21-J21)/K21*100,0)</f>
        <v>0</v>
      </c>
      <c r="M21" s="1" t="s">
        <v>153</v>
      </c>
      <c r="N21" s="1" t="s">
        <v>9</v>
      </c>
    </row>
    <row r="22" spans="1:14">
      <c r="A22" s="1">
        <v>19</v>
      </c>
      <c r="B22" s="1" t="s">
        <v>1220</v>
      </c>
      <c r="C22" s="5">
        <v>46162</v>
      </c>
      <c r="D22" s="1" t="s">
        <v>60</v>
      </c>
      <c r="E22" s="6" t="s">
        <v>61</v>
      </c>
      <c r="F22" s="6" t="s">
        <v>27</v>
      </c>
      <c r="G22" s="1" t="s">
        <v>77</v>
      </c>
      <c r="H22" s="1" t="s">
        <v>62</v>
      </c>
      <c r="I22" s="1">
        <v>51</v>
      </c>
      <c r="J22" s="1">
        <v>2</v>
      </c>
      <c r="K22" s="1">
        <v>48</v>
      </c>
      <c r="L22" s="2">
        <f>IFERROR((K22-J22)/K22*100,0)</f>
        <v>0</v>
      </c>
      <c r="M22" s="1" t="s">
        <v>145</v>
      </c>
      <c r="N22" s="1" t="s">
        <v>23</v>
      </c>
    </row>
    <row r="23" spans="1:14">
      <c r="A23" s="1">
        <v>20</v>
      </c>
      <c r="B23" s="1" t="s">
        <v>1221</v>
      </c>
      <c r="C23" s="5">
        <v>46157</v>
      </c>
      <c r="D23" s="1" t="s">
        <v>60</v>
      </c>
      <c r="E23" s="6" t="s">
        <v>1204</v>
      </c>
      <c r="F23" s="6" t="s">
        <v>92</v>
      </c>
      <c r="G23" s="1" t="s">
        <v>35</v>
      </c>
      <c r="H23" s="1" t="s">
        <v>66</v>
      </c>
      <c r="I23" s="1">
        <v>29</v>
      </c>
      <c r="J23" s="1">
        <v>5</v>
      </c>
      <c r="K23" s="1">
        <v>25</v>
      </c>
      <c r="L23" s="2">
        <f>IFERROR((K23-J23)/K23*100,0)</f>
        <v>0</v>
      </c>
      <c r="M23" s="1" t="s">
        <v>153</v>
      </c>
      <c r="N23" s="1" t="s">
        <v>23</v>
      </c>
    </row>
    <row r="24" spans="1:14">
      <c r="A24" s="1">
        <v>21</v>
      </c>
      <c r="B24" s="1" t="s">
        <v>1222</v>
      </c>
      <c r="C24" s="5">
        <v>46191</v>
      </c>
      <c r="D24" s="1" t="s">
        <v>73</v>
      </c>
      <c r="E24" s="6" t="s">
        <v>61</v>
      </c>
      <c r="F24" s="6" t="s">
        <v>46</v>
      </c>
      <c r="G24" s="1" t="s">
        <v>6</v>
      </c>
      <c r="H24" s="1" t="s">
        <v>78</v>
      </c>
      <c r="I24" s="1">
        <v>54</v>
      </c>
      <c r="J24" s="1">
        <v>4</v>
      </c>
      <c r="K24" s="1">
        <v>16</v>
      </c>
      <c r="L24" s="2">
        <f>IFERROR((K24-J24)/K24*100,0)</f>
        <v>0</v>
      </c>
      <c r="M24" s="1" t="s">
        <v>145</v>
      </c>
      <c r="N24" s="1" t="s">
        <v>23</v>
      </c>
    </row>
    <row r="25" spans="1:14">
      <c r="A25" s="1">
        <v>22</v>
      </c>
      <c r="B25" s="1" t="s">
        <v>1223</v>
      </c>
      <c r="C25" s="5">
        <v>46187</v>
      </c>
      <c r="D25" s="1" t="s">
        <v>73</v>
      </c>
      <c r="E25" s="6" t="s">
        <v>61</v>
      </c>
      <c r="F25" s="6" t="s">
        <v>89</v>
      </c>
      <c r="G25" s="1" t="s">
        <v>6</v>
      </c>
      <c r="H25" s="1" t="s">
        <v>66</v>
      </c>
      <c r="I25" s="1">
        <v>33</v>
      </c>
      <c r="J25" s="1">
        <v>0</v>
      </c>
      <c r="K25" s="1">
        <v>17</v>
      </c>
      <c r="L25" s="2">
        <f>IFERROR((K25-J25)/K25*100,0)</f>
        <v>0</v>
      </c>
      <c r="M25" s="1" t="s">
        <v>153</v>
      </c>
      <c r="N25" s="1" t="s">
        <v>9</v>
      </c>
    </row>
    <row r="26" spans="1:14">
      <c r="A26" s="1">
        <v>23</v>
      </c>
      <c r="B26" s="1" t="s">
        <v>1224</v>
      </c>
      <c r="C26" s="5">
        <v>46181</v>
      </c>
      <c r="D26" s="1" t="s">
        <v>73</v>
      </c>
      <c r="E26" s="6" t="s">
        <v>1198</v>
      </c>
      <c r="F26" s="6" t="s">
        <v>65</v>
      </c>
      <c r="G26" s="1" t="s">
        <v>77</v>
      </c>
      <c r="H26" s="1" t="s">
        <v>32</v>
      </c>
      <c r="I26" s="1">
        <v>45</v>
      </c>
      <c r="J26" s="1">
        <v>3</v>
      </c>
      <c r="K26" s="1">
        <v>17</v>
      </c>
      <c r="L26" s="2">
        <f>IFERROR((K26-J26)/K26*100,0)</f>
        <v>0</v>
      </c>
      <c r="M26" s="1" t="s">
        <v>145</v>
      </c>
      <c r="N26" s="1" t="s">
        <v>9</v>
      </c>
    </row>
    <row r="27" spans="1:14">
      <c r="A27" s="1">
        <v>24</v>
      </c>
      <c r="B27" s="1" t="s">
        <v>1225</v>
      </c>
      <c r="C27" s="5">
        <v>46195</v>
      </c>
      <c r="D27" s="1" t="s">
        <v>73</v>
      </c>
      <c r="E27" s="6" t="s">
        <v>1198</v>
      </c>
      <c r="F27" s="6" t="s">
        <v>39</v>
      </c>
      <c r="G27" s="1" t="s">
        <v>80</v>
      </c>
      <c r="H27" s="1" t="s">
        <v>70</v>
      </c>
      <c r="I27" s="1">
        <v>45</v>
      </c>
      <c r="J27" s="1">
        <v>7</v>
      </c>
      <c r="K27" s="1">
        <v>34</v>
      </c>
      <c r="L27" s="2">
        <f>IFERROR((K27-J27)/K27*100,0)</f>
        <v>0</v>
      </c>
      <c r="M27" s="1" t="s">
        <v>145</v>
      </c>
      <c r="N27" s="1" t="s">
        <v>23</v>
      </c>
    </row>
    <row r="28" spans="1:14">
      <c r="A28" s="1">
        <v>25</v>
      </c>
      <c r="B28" s="1" t="s">
        <v>1226</v>
      </c>
      <c r="C28" s="5">
        <v>46217</v>
      </c>
      <c r="D28" s="1" t="s">
        <v>76</v>
      </c>
      <c r="E28" s="6" t="s">
        <v>1215</v>
      </c>
      <c r="F28" s="6" t="s">
        <v>13</v>
      </c>
      <c r="G28" s="1" t="s">
        <v>40</v>
      </c>
      <c r="H28" s="1" t="s">
        <v>41</v>
      </c>
      <c r="I28" s="1">
        <v>12</v>
      </c>
      <c r="J28" s="1">
        <v>6</v>
      </c>
      <c r="K28" s="1">
        <v>49</v>
      </c>
      <c r="L28" s="2">
        <f>IFERROR((K28-J28)/K28*100,0)</f>
        <v>0</v>
      </c>
      <c r="M28" s="1" t="s">
        <v>153</v>
      </c>
      <c r="N28" s="1" t="s">
        <v>23</v>
      </c>
    </row>
    <row r="29" spans="1:14">
      <c r="A29" s="1">
        <v>26</v>
      </c>
      <c r="B29" s="1" t="s">
        <v>1227</v>
      </c>
      <c r="C29" s="5">
        <v>46217</v>
      </c>
      <c r="D29" s="1" t="s">
        <v>76</v>
      </c>
      <c r="E29" s="6" t="s">
        <v>61</v>
      </c>
      <c r="F29" s="6" t="s">
        <v>92</v>
      </c>
      <c r="G29" s="1" t="s">
        <v>82</v>
      </c>
      <c r="H29" s="1" t="s">
        <v>68</v>
      </c>
      <c r="I29" s="1">
        <v>45</v>
      </c>
      <c r="J29" s="1">
        <v>3</v>
      </c>
      <c r="K29" s="1">
        <v>22</v>
      </c>
      <c r="L29" s="2">
        <f>IFERROR((K29-J29)/K29*100,0)</f>
        <v>0</v>
      </c>
      <c r="M29" s="1" t="s">
        <v>153</v>
      </c>
      <c r="N29" s="1" t="s">
        <v>23</v>
      </c>
    </row>
    <row r="30" spans="1:14">
      <c r="A30" s="1">
        <v>27</v>
      </c>
      <c r="B30" s="1" t="s">
        <v>1228</v>
      </c>
      <c r="C30" s="5">
        <v>46213</v>
      </c>
      <c r="D30" s="1" t="s">
        <v>76</v>
      </c>
      <c r="E30" s="6" t="s">
        <v>1208</v>
      </c>
      <c r="F30" s="6" t="s">
        <v>92</v>
      </c>
      <c r="G30" s="1" t="s">
        <v>87</v>
      </c>
      <c r="H30" s="1" t="s">
        <v>70</v>
      </c>
      <c r="I30" s="1">
        <v>17</v>
      </c>
      <c r="J30" s="1">
        <v>5</v>
      </c>
      <c r="K30" s="1">
        <v>44</v>
      </c>
      <c r="L30" s="2">
        <f>IFERROR((K30-J30)/K30*100,0)</f>
        <v>0</v>
      </c>
      <c r="M30" s="1" t="s">
        <v>145</v>
      </c>
      <c r="N30" s="1" t="s">
        <v>23</v>
      </c>
    </row>
    <row r="31" spans="1:14">
      <c r="A31" s="1">
        <v>28</v>
      </c>
      <c r="B31" s="1" t="s">
        <v>1229</v>
      </c>
      <c r="C31" s="5">
        <v>46259</v>
      </c>
      <c r="D31" s="1" t="s">
        <v>86</v>
      </c>
      <c r="E31" s="6" t="s">
        <v>1208</v>
      </c>
      <c r="F31" s="6" t="s">
        <v>13</v>
      </c>
      <c r="G31" s="1" t="s">
        <v>82</v>
      </c>
      <c r="H31" s="1" t="s">
        <v>41</v>
      </c>
      <c r="I31" s="1">
        <v>49</v>
      </c>
      <c r="J31" s="1">
        <v>4</v>
      </c>
      <c r="K31" s="1">
        <v>32</v>
      </c>
      <c r="L31" s="2">
        <f>IFERROR((K31-J31)/K31*100,0)</f>
        <v>0</v>
      </c>
      <c r="M31" s="1" t="s">
        <v>145</v>
      </c>
      <c r="N31" s="1" t="s">
        <v>23</v>
      </c>
    </row>
    <row r="32" spans="1:14">
      <c r="A32" s="1">
        <v>29</v>
      </c>
      <c r="B32" s="1" t="s">
        <v>1230</v>
      </c>
      <c r="C32" s="5">
        <v>46256</v>
      </c>
      <c r="D32" s="1" t="s">
        <v>86</v>
      </c>
      <c r="E32" s="6" t="s">
        <v>30</v>
      </c>
      <c r="F32" s="6" t="s">
        <v>27</v>
      </c>
      <c r="G32" s="1" t="s">
        <v>77</v>
      </c>
      <c r="H32" s="1" t="s">
        <v>68</v>
      </c>
      <c r="I32" s="1">
        <v>51</v>
      </c>
      <c r="J32" s="1">
        <v>3</v>
      </c>
      <c r="K32" s="1">
        <v>29</v>
      </c>
      <c r="L32" s="2">
        <f>IFERROR((K32-J32)/K32*100,0)</f>
        <v>0</v>
      </c>
      <c r="M32" s="1" t="s">
        <v>153</v>
      </c>
      <c r="N32" s="1" t="s">
        <v>9</v>
      </c>
    </row>
    <row r="33" spans="1:14">
      <c r="A33" s="1">
        <v>30</v>
      </c>
      <c r="B33" s="1" t="s">
        <v>1231</v>
      </c>
      <c r="C33" s="5">
        <v>46239</v>
      </c>
      <c r="D33" s="1" t="s">
        <v>86</v>
      </c>
      <c r="E33" s="6" t="s">
        <v>61</v>
      </c>
      <c r="F33" s="6" t="s">
        <v>13</v>
      </c>
      <c r="G33" s="1" t="s">
        <v>87</v>
      </c>
      <c r="H33" s="1" t="s">
        <v>28</v>
      </c>
      <c r="I33" s="1">
        <v>29</v>
      </c>
      <c r="J33" s="1">
        <v>4</v>
      </c>
      <c r="K33" s="1">
        <v>24</v>
      </c>
      <c r="L33" s="2">
        <f>IFERROR((K33-J33)/K33*100,0)</f>
        <v>0</v>
      </c>
      <c r="M33" s="1" t="s">
        <v>153</v>
      </c>
      <c r="N33" s="1" t="s">
        <v>9</v>
      </c>
    </row>
    <row r="34" spans="1:14">
      <c r="A34" s="1">
        <v>31</v>
      </c>
      <c r="B34" s="1" t="s">
        <v>1232</v>
      </c>
      <c r="C34" s="5">
        <v>46255</v>
      </c>
      <c r="D34" s="1" t="s">
        <v>86</v>
      </c>
      <c r="E34" s="6" t="s">
        <v>61</v>
      </c>
      <c r="F34" s="6" t="s">
        <v>92</v>
      </c>
      <c r="G34" s="1" t="s">
        <v>40</v>
      </c>
      <c r="H34" s="1" t="s">
        <v>70</v>
      </c>
      <c r="I34" s="1">
        <v>45</v>
      </c>
      <c r="J34" s="1">
        <v>4</v>
      </c>
      <c r="K34" s="1">
        <v>23</v>
      </c>
      <c r="L34" s="2">
        <f>IFERROR((K34-J34)/K34*100,0)</f>
        <v>0</v>
      </c>
      <c r="M34" s="1" t="s">
        <v>153</v>
      </c>
      <c r="N34" s="1" t="s">
        <v>9</v>
      </c>
    </row>
    <row r="35" spans="1:14">
      <c r="A35" s="1">
        <v>32</v>
      </c>
      <c r="B35" s="1" t="s">
        <v>1233</v>
      </c>
      <c r="C35" s="5">
        <v>46241</v>
      </c>
      <c r="D35" s="1" t="s">
        <v>86</v>
      </c>
      <c r="E35" s="6" t="s">
        <v>1212</v>
      </c>
      <c r="F35" s="6" t="s">
        <v>92</v>
      </c>
      <c r="G35" s="1" t="s">
        <v>6</v>
      </c>
      <c r="H35" s="1" t="s">
        <v>22</v>
      </c>
      <c r="I35" s="1">
        <v>57</v>
      </c>
      <c r="J35" s="1">
        <v>3</v>
      </c>
      <c r="K35" s="1">
        <v>23</v>
      </c>
      <c r="L35" s="2">
        <f>IFERROR((K35-J35)/K35*100,0)</f>
        <v>0</v>
      </c>
      <c r="M35" s="1" t="s">
        <v>145</v>
      </c>
      <c r="N35" s="1" t="s">
        <v>9</v>
      </c>
    </row>
    <row r="36" spans="1:14">
      <c r="A36" s="1">
        <v>33</v>
      </c>
      <c r="B36" s="1" t="s">
        <v>1234</v>
      </c>
      <c r="C36" s="5">
        <v>46249</v>
      </c>
      <c r="D36" s="1" t="s">
        <v>86</v>
      </c>
      <c r="E36" s="6" t="s">
        <v>61</v>
      </c>
      <c r="F36" s="6" t="s">
        <v>50</v>
      </c>
      <c r="G36" s="1" t="s">
        <v>21</v>
      </c>
      <c r="H36" s="1" t="s">
        <v>62</v>
      </c>
      <c r="I36" s="1">
        <v>46</v>
      </c>
      <c r="J36" s="1">
        <v>3</v>
      </c>
      <c r="K36" s="1">
        <v>40</v>
      </c>
      <c r="L36" s="2">
        <f>IFERROR((K36-J36)/K36*100,0)</f>
        <v>0</v>
      </c>
      <c r="M36" s="1" t="s">
        <v>153</v>
      </c>
      <c r="N36" s="1" t="s">
        <v>23</v>
      </c>
    </row>
    <row r="37" spans="1:14">
      <c r="A37" s="1">
        <v>34</v>
      </c>
      <c r="B37" s="1" t="s">
        <v>1235</v>
      </c>
      <c r="C37" s="5">
        <v>46257</v>
      </c>
      <c r="D37" s="1" t="s">
        <v>86</v>
      </c>
      <c r="E37" s="6" t="s">
        <v>1198</v>
      </c>
      <c r="F37" s="6" t="s">
        <v>27</v>
      </c>
      <c r="G37" s="1" t="s">
        <v>31</v>
      </c>
      <c r="H37" s="1" t="s">
        <v>93</v>
      </c>
      <c r="I37" s="1">
        <v>41</v>
      </c>
      <c r="J37" s="1">
        <v>3</v>
      </c>
      <c r="K37" s="1">
        <v>50</v>
      </c>
      <c r="L37" s="2">
        <f>IFERROR((K37-J37)/K37*100,0)</f>
        <v>0</v>
      </c>
      <c r="M37" s="1" t="s">
        <v>145</v>
      </c>
      <c r="N37" s="1" t="s">
        <v>9</v>
      </c>
    </row>
    <row r="38" spans="1:14">
      <c r="A38" s="1">
        <v>35</v>
      </c>
      <c r="B38" s="1" t="s">
        <v>1236</v>
      </c>
      <c r="C38" s="5">
        <v>46271</v>
      </c>
      <c r="D38" s="1" t="s">
        <v>102</v>
      </c>
      <c r="E38" s="6" t="s">
        <v>30</v>
      </c>
      <c r="F38" s="6" t="s">
        <v>5</v>
      </c>
      <c r="G38" s="1" t="s">
        <v>35</v>
      </c>
      <c r="H38" s="1" t="s">
        <v>28</v>
      </c>
      <c r="I38" s="1">
        <v>17</v>
      </c>
      <c r="J38" s="1">
        <v>2</v>
      </c>
      <c r="K38" s="1">
        <v>44</v>
      </c>
      <c r="L38" s="2">
        <f>IFERROR((K38-J38)/K38*100,0)</f>
        <v>0</v>
      </c>
      <c r="M38" s="1" t="s">
        <v>153</v>
      </c>
      <c r="N38" s="1" t="s">
        <v>9</v>
      </c>
    </row>
    <row r="39" spans="1:14">
      <c r="A39" s="1">
        <v>36</v>
      </c>
      <c r="B39" s="1" t="s">
        <v>1237</v>
      </c>
      <c r="C39" s="5">
        <v>46267</v>
      </c>
      <c r="D39" s="1" t="s">
        <v>102</v>
      </c>
      <c r="E39" s="6" t="s">
        <v>1212</v>
      </c>
      <c r="F39" s="6" t="s">
        <v>50</v>
      </c>
      <c r="G39" s="1" t="s">
        <v>14</v>
      </c>
      <c r="H39" s="1" t="s">
        <v>22</v>
      </c>
      <c r="I39" s="1">
        <v>19</v>
      </c>
      <c r="J39" s="1">
        <v>7</v>
      </c>
      <c r="K39" s="1">
        <v>47</v>
      </c>
      <c r="L39" s="2">
        <f>IFERROR((K39-J39)/K39*100,0)</f>
        <v>0</v>
      </c>
      <c r="M39" s="1" t="s">
        <v>149</v>
      </c>
      <c r="N39" s="1" t="s">
        <v>9</v>
      </c>
    </row>
    <row r="40" spans="1:14">
      <c r="A40" s="1">
        <v>37</v>
      </c>
      <c r="B40" s="1" t="s">
        <v>1238</v>
      </c>
      <c r="C40" s="5">
        <v>46278</v>
      </c>
      <c r="D40" s="1" t="s">
        <v>102</v>
      </c>
      <c r="E40" s="6" t="s">
        <v>1204</v>
      </c>
      <c r="F40" s="6" t="s">
        <v>50</v>
      </c>
      <c r="G40" s="1" t="s">
        <v>82</v>
      </c>
      <c r="H40" s="1" t="s">
        <v>32</v>
      </c>
      <c r="I40" s="1">
        <v>21</v>
      </c>
      <c r="J40" s="1">
        <v>6</v>
      </c>
      <c r="K40" s="1">
        <v>30</v>
      </c>
      <c r="L40" s="2">
        <f>IFERROR((K40-J40)/K40*100,0)</f>
        <v>0</v>
      </c>
      <c r="M40" s="1" t="s">
        <v>153</v>
      </c>
      <c r="N40" s="1" t="s">
        <v>23</v>
      </c>
    </row>
    <row r="41" spans="1:14">
      <c r="A41" s="1">
        <v>38</v>
      </c>
      <c r="B41" s="1" t="s">
        <v>1239</v>
      </c>
      <c r="C41" s="5">
        <v>46302</v>
      </c>
      <c r="D41" s="1" t="s">
        <v>106</v>
      </c>
      <c r="E41" s="6" t="s">
        <v>1198</v>
      </c>
      <c r="F41" s="6" t="s">
        <v>92</v>
      </c>
      <c r="G41" s="1" t="s">
        <v>6</v>
      </c>
      <c r="H41" s="1" t="s">
        <v>22</v>
      </c>
      <c r="I41" s="1">
        <v>59</v>
      </c>
      <c r="J41" s="1">
        <v>7</v>
      </c>
      <c r="K41" s="1">
        <v>49</v>
      </c>
      <c r="L41" s="2">
        <f>IFERROR((K41-J41)/K41*100,0)</f>
        <v>0</v>
      </c>
      <c r="M41" s="1" t="s">
        <v>153</v>
      </c>
      <c r="N41" s="1" t="s">
        <v>23</v>
      </c>
    </row>
    <row r="42" spans="1:14">
      <c r="A42" s="1">
        <v>39</v>
      </c>
      <c r="B42" s="1" t="s">
        <v>1240</v>
      </c>
      <c r="C42" s="5">
        <v>46303</v>
      </c>
      <c r="D42" s="1" t="s">
        <v>106</v>
      </c>
      <c r="E42" s="6" t="s">
        <v>30</v>
      </c>
      <c r="F42" s="6" t="s">
        <v>92</v>
      </c>
      <c r="G42" s="1" t="s">
        <v>87</v>
      </c>
      <c r="H42" s="1" t="s">
        <v>36</v>
      </c>
      <c r="I42" s="1">
        <v>59</v>
      </c>
      <c r="J42" s="1">
        <v>6</v>
      </c>
      <c r="K42" s="1">
        <v>43</v>
      </c>
      <c r="L42" s="2">
        <f>IFERROR((K42-J42)/K42*100,0)</f>
        <v>0</v>
      </c>
      <c r="M42" s="1" t="s">
        <v>149</v>
      </c>
      <c r="N42" s="1" t="s">
        <v>23</v>
      </c>
    </row>
    <row r="43" spans="1:14">
      <c r="A43" s="1">
        <v>40</v>
      </c>
      <c r="B43" s="1" t="s">
        <v>1241</v>
      </c>
      <c r="C43" s="5">
        <v>46313</v>
      </c>
      <c r="D43" s="1" t="s">
        <v>106</v>
      </c>
      <c r="E43" s="6" t="s">
        <v>1212</v>
      </c>
      <c r="F43" s="6" t="s">
        <v>27</v>
      </c>
      <c r="G43" s="1" t="s">
        <v>40</v>
      </c>
      <c r="H43" s="1" t="s">
        <v>15</v>
      </c>
      <c r="I43" s="1">
        <v>26</v>
      </c>
      <c r="J43" s="1">
        <v>6</v>
      </c>
      <c r="K43" s="1">
        <v>47</v>
      </c>
      <c r="L43" s="2">
        <f>IFERROR((K43-J43)/K43*100,0)</f>
        <v>0</v>
      </c>
      <c r="M43" s="1" t="s">
        <v>145</v>
      </c>
      <c r="N43" s="1" t="s">
        <v>9</v>
      </c>
    </row>
    <row r="44" spans="1:14">
      <c r="A44" s="1">
        <v>41</v>
      </c>
      <c r="B44" s="1" t="s">
        <v>1242</v>
      </c>
      <c r="C44" s="5">
        <v>46302</v>
      </c>
      <c r="D44" s="1" t="s">
        <v>106</v>
      </c>
      <c r="E44" s="6" t="s">
        <v>30</v>
      </c>
      <c r="F44" s="6" t="s">
        <v>58</v>
      </c>
      <c r="G44" s="1" t="s">
        <v>21</v>
      </c>
      <c r="H44" s="1" t="s">
        <v>41</v>
      </c>
      <c r="I44" s="1">
        <v>49</v>
      </c>
      <c r="J44" s="1">
        <v>0</v>
      </c>
      <c r="K44" s="1">
        <v>36</v>
      </c>
      <c r="L44" s="2">
        <f>IFERROR((K44-J44)/K44*100,0)</f>
        <v>0</v>
      </c>
      <c r="M44" s="1" t="s">
        <v>149</v>
      </c>
      <c r="N44" s="1" t="s">
        <v>23</v>
      </c>
    </row>
    <row r="45" spans="1:14">
      <c r="A45" s="1">
        <v>42</v>
      </c>
      <c r="B45" s="1" t="s">
        <v>1243</v>
      </c>
      <c r="C45" s="5">
        <v>46304</v>
      </c>
      <c r="D45" s="1" t="s">
        <v>106</v>
      </c>
      <c r="E45" s="6" t="s">
        <v>1198</v>
      </c>
      <c r="F45" s="6" t="s">
        <v>50</v>
      </c>
      <c r="G45" s="1" t="s">
        <v>51</v>
      </c>
      <c r="H45" s="1" t="s">
        <v>104</v>
      </c>
      <c r="I45" s="1">
        <v>27</v>
      </c>
      <c r="J45" s="1">
        <v>2</v>
      </c>
      <c r="K45" s="1">
        <v>28</v>
      </c>
      <c r="L45" s="2">
        <f>IFERROR((K45-J45)/K45*100,0)</f>
        <v>0</v>
      </c>
      <c r="M45" s="1" t="s">
        <v>149</v>
      </c>
      <c r="N45" s="1" t="s">
        <v>23</v>
      </c>
    </row>
    <row r="46" spans="1:14">
      <c r="A46" s="1">
        <v>43</v>
      </c>
      <c r="B46" s="1" t="s">
        <v>1244</v>
      </c>
      <c r="C46" s="5">
        <v>46328</v>
      </c>
      <c r="D46" s="1" t="s">
        <v>111</v>
      </c>
      <c r="E46" s="6" t="s">
        <v>1212</v>
      </c>
      <c r="F46" s="6" t="s">
        <v>27</v>
      </c>
      <c r="G46" s="1" t="s">
        <v>6</v>
      </c>
      <c r="H46" s="1" t="s">
        <v>78</v>
      </c>
      <c r="I46" s="1">
        <v>23</v>
      </c>
      <c r="J46" s="1">
        <v>0</v>
      </c>
      <c r="K46" s="1">
        <v>22</v>
      </c>
      <c r="L46" s="2">
        <f>IFERROR((K46-J46)/K46*100,0)</f>
        <v>0</v>
      </c>
      <c r="M46" s="1" t="s">
        <v>153</v>
      </c>
      <c r="N46" s="1" t="s">
        <v>23</v>
      </c>
    </row>
    <row r="47" spans="1:14">
      <c r="A47" s="1">
        <v>44</v>
      </c>
      <c r="B47" s="1" t="s">
        <v>1245</v>
      </c>
      <c r="C47" s="5">
        <v>46344</v>
      </c>
      <c r="D47" s="1" t="s">
        <v>111</v>
      </c>
      <c r="E47" s="6" t="s">
        <v>1204</v>
      </c>
      <c r="F47" s="6" t="s">
        <v>89</v>
      </c>
      <c r="G47" s="1" t="s">
        <v>14</v>
      </c>
      <c r="H47" s="1" t="s">
        <v>28</v>
      </c>
      <c r="I47" s="1">
        <v>11</v>
      </c>
      <c r="J47" s="1">
        <v>3</v>
      </c>
      <c r="K47" s="1">
        <v>45</v>
      </c>
      <c r="L47" s="2">
        <f>IFERROR((K47-J47)/K47*100,0)</f>
        <v>0</v>
      </c>
      <c r="M47" s="1" t="s">
        <v>145</v>
      </c>
      <c r="N47" s="1" t="s">
        <v>23</v>
      </c>
    </row>
    <row r="48" spans="1:14">
      <c r="A48" s="1">
        <v>45</v>
      </c>
      <c r="B48" s="1" t="s">
        <v>1246</v>
      </c>
      <c r="C48" s="5">
        <v>46367</v>
      </c>
      <c r="D48" s="1" t="s">
        <v>122</v>
      </c>
      <c r="E48" s="6" t="s">
        <v>1198</v>
      </c>
      <c r="F48" s="6" t="s">
        <v>65</v>
      </c>
      <c r="G48" s="1" t="s">
        <v>21</v>
      </c>
      <c r="H48" s="1" t="s">
        <v>22</v>
      </c>
      <c r="I48" s="1">
        <v>38</v>
      </c>
      <c r="J48" s="1">
        <v>2</v>
      </c>
      <c r="K48" s="1">
        <v>15</v>
      </c>
      <c r="L48" s="2">
        <f>IFERROR((K48-J48)/K48*100,0)</f>
        <v>0</v>
      </c>
      <c r="M48" s="1" t="s">
        <v>149</v>
      </c>
      <c r="N48" s="1" t="s">
        <v>23</v>
      </c>
    </row>
    <row r="49" spans="1:14">
      <c r="A49" s="1">
        <v>46</v>
      </c>
      <c r="B49" s="1" t="s">
        <v>1247</v>
      </c>
      <c r="C49" s="5">
        <v>46375</v>
      </c>
      <c r="D49" s="1" t="s">
        <v>122</v>
      </c>
      <c r="E49" s="6" t="s">
        <v>1198</v>
      </c>
      <c r="F49" s="6" t="s">
        <v>58</v>
      </c>
      <c r="G49" s="1" t="s">
        <v>21</v>
      </c>
      <c r="H49" s="1" t="s">
        <v>32</v>
      </c>
      <c r="I49" s="1">
        <v>45</v>
      </c>
      <c r="J49" s="1">
        <v>0</v>
      </c>
      <c r="K49" s="1">
        <v>23</v>
      </c>
      <c r="L49" s="2">
        <f>IFERROR((K49-J49)/K49*100,0)</f>
        <v>0</v>
      </c>
      <c r="M49" s="1" t="s">
        <v>149</v>
      </c>
      <c r="N49" s="1" t="s">
        <v>23</v>
      </c>
    </row>
    <row r="50" spans="1:14">
      <c r="A50" s="1">
        <v>47</v>
      </c>
      <c r="B50" s="1" t="s">
        <v>1248</v>
      </c>
      <c r="C50" s="5">
        <v>46383</v>
      </c>
      <c r="D50" s="1" t="s">
        <v>122</v>
      </c>
      <c r="E50" s="6" t="s">
        <v>30</v>
      </c>
      <c r="F50" s="6" t="s">
        <v>46</v>
      </c>
      <c r="G50" s="1" t="s">
        <v>35</v>
      </c>
      <c r="H50" s="1" t="s">
        <v>36</v>
      </c>
      <c r="I50" s="1">
        <v>35</v>
      </c>
      <c r="J50" s="1">
        <v>3</v>
      </c>
      <c r="K50" s="1">
        <v>26</v>
      </c>
      <c r="L50" s="2">
        <f>IFERROR((K50-J50)/K50*100,0)</f>
        <v>0</v>
      </c>
      <c r="M50" s="1" t="s">
        <v>153</v>
      </c>
      <c r="N50" s="1" t="s">
        <v>9</v>
      </c>
    </row>
    <row r="51" spans="1:14">
      <c r="A51" s="1">
        <v>48</v>
      </c>
      <c r="B51" s="1" t="s">
        <v>1249</v>
      </c>
      <c r="C51" s="5">
        <v>46380</v>
      </c>
      <c r="D51" s="1" t="s">
        <v>122</v>
      </c>
      <c r="E51" s="6" t="s">
        <v>1212</v>
      </c>
      <c r="F51" s="6" t="s">
        <v>92</v>
      </c>
      <c r="G51" s="1" t="s">
        <v>95</v>
      </c>
      <c r="H51" s="1" t="s">
        <v>104</v>
      </c>
      <c r="I51" s="1">
        <v>30</v>
      </c>
      <c r="J51" s="1">
        <v>5</v>
      </c>
      <c r="K51" s="1">
        <v>22</v>
      </c>
      <c r="L51" s="2">
        <f>IFERROR((K51-J51)/K51*100,0)</f>
        <v>0</v>
      </c>
      <c r="M51" s="1" t="s">
        <v>145</v>
      </c>
      <c r="N51" s="1" t="s">
        <v>9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8" customWidth="1"/>
  </cols>
  <sheetData>
    <row r="1" spans="1:17" ht="22" customHeight="1">
      <c r="A1" s="3" t="s">
        <v>1257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1313</v>
      </c>
      <c r="C3" s="1" t="s">
        <v>1314</v>
      </c>
      <c r="D3" s="1" t="s">
        <v>127</v>
      </c>
      <c r="E3" s="1" t="s">
        <v>1315</v>
      </c>
      <c r="F3" s="1" t="s">
        <v>129</v>
      </c>
      <c r="G3" s="1" t="s">
        <v>130</v>
      </c>
      <c r="H3" s="1" t="s">
        <v>414</v>
      </c>
      <c r="I3" s="1" t="s">
        <v>645</v>
      </c>
      <c r="J3" s="1" t="s">
        <v>1316</v>
      </c>
      <c r="K3" s="1" t="s">
        <v>1317</v>
      </c>
      <c r="L3" s="1" t="s">
        <v>358</v>
      </c>
      <c r="M3" s="1" t="s">
        <v>1318</v>
      </c>
      <c r="N3" s="1" t="s">
        <v>286</v>
      </c>
      <c r="O3" s="8" t="s">
        <v>1319</v>
      </c>
    </row>
    <row r="4" spans="1:17">
      <c r="A4" s="1">
        <v>1</v>
      </c>
      <c r="B4" s="1" t="s">
        <v>1258</v>
      </c>
      <c r="C4" s="5">
        <v>46028</v>
      </c>
      <c r="D4" s="1" t="s">
        <v>3</v>
      </c>
      <c r="E4" s="6" t="s">
        <v>1259</v>
      </c>
      <c r="F4" s="6" t="s">
        <v>27</v>
      </c>
      <c r="G4" s="1" t="s">
        <v>95</v>
      </c>
      <c r="H4" s="1" t="s">
        <v>16</v>
      </c>
      <c r="I4" s="1" t="s">
        <v>157</v>
      </c>
      <c r="J4" s="1" t="s">
        <v>70</v>
      </c>
      <c r="K4" s="1" t="s">
        <v>62</v>
      </c>
      <c r="L4" s="5">
        <v>46054</v>
      </c>
      <c r="M4" s="5">
        <v>46046</v>
      </c>
      <c r="N4" s="1" t="s">
        <v>220</v>
      </c>
      <c r="O4" s="8">
        <f>IF(N4="","",IF(N4="Closed",IF(M4&lt;=L4,"On-Time","Delayed"),"Pending"))</f>
        <v>0</v>
      </c>
    </row>
    <row r="5" spans="1:17">
      <c r="A5" s="1">
        <v>2</v>
      </c>
      <c r="B5" s="1" t="s">
        <v>1260</v>
      </c>
      <c r="C5" s="5">
        <v>46030</v>
      </c>
      <c r="D5" s="1" t="s">
        <v>3</v>
      </c>
      <c r="E5" s="6" t="s">
        <v>1261</v>
      </c>
      <c r="F5" s="6" t="s">
        <v>65</v>
      </c>
      <c r="G5" s="1" t="s">
        <v>82</v>
      </c>
      <c r="H5" s="1" t="s">
        <v>26</v>
      </c>
      <c r="I5" s="1" t="s">
        <v>142</v>
      </c>
      <c r="J5" s="1" t="s">
        <v>62</v>
      </c>
      <c r="K5" s="1" t="s">
        <v>32</v>
      </c>
      <c r="L5" s="5">
        <v>46073</v>
      </c>
      <c r="M5" s="5">
        <v>46064</v>
      </c>
      <c r="N5" s="1" t="s">
        <v>1262</v>
      </c>
      <c r="O5" s="8">
        <f>IF(N5="","",IF(N5="Closed",IF(M5&lt;=L5,"On-Time","Delayed"),"Pending"))</f>
        <v>0</v>
      </c>
    </row>
    <row r="6" spans="1:17">
      <c r="A6" s="1">
        <v>3</v>
      </c>
      <c r="B6" s="1" t="s">
        <v>1263</v>
      </c>
      <c r="C6" s="5">
        <v>46058</v>
      </c>
      <c r="D6" s="1" t="s">
        <v>19</v>
      </c>
      <c r="E6" s="6" t="s">
        <v>1261</v>
      </c>
      <c r="F6" s="6" t="s">
        <v>5</v>
      </c>
      <c r="G6" s="1" t="s">
        <v>35</v>
      </c>
      <c r="H6" s="1" t="s">
        <v>12</v>
      </c>
      <c r="I6" s="1" t="s">
        <v>161</v>
      </c>
      <c r="J6" s="1" t="s">
        <v>66</v>
      </c>
      <c r="K6" s="1" t="s">
        <v>68</v>
      </c>
      <c r="L6" s="5">
        <v>46090</v>
      </c>
      <c r="M6" s="5">
        <v>46073</v>
      </c>
      <c r="N6" s="1" t="s">
        <v>1262</v>
      </c>
      <c r="O6" s="8">
        <f>IF(N6="","",IF(N6="Closed",IF(M6&lt;=L6,"On-Time","Delayed"),"Pending"))</f>
        <v>0</v>
      </c>
    </row>
    <row r="7" spans="1:17">
      <c r="A7" s="1">
        <v>4</v>
      </c>
      <c r="B7" s="1" t="s">
        <v>1264</v>
      </c>
      <c r="C7" s="5">
        <v>46077</v>
      </c>
      <c r="D7" s="1" t="s">
        <v>19</v>
      </c>
      <c r="E7" s="6" t="s">
        <v>1265</v>
      </c>
      <c r="F7" s="6" t="s">
        <v>5</v>
      </c>
      <c r="G7" s="1" t="s">
        <v>21</v>
      </c>
      <c r="H7" s="1" t="s">
        <v>26</v>
      </c>
      <c r="I7" s="1" t="s">
        <v>151</v>
      </c>
      <c r="J7" s="1" t="s">
        <v>22</v>
      </c>
      <c r="K7" s="1" t="s">
        <v>7</v>
      </c>
      <c r="L7" s="5">
        <v>46093</v>
      </c>
      <c r="M7" s="5">
        <v>46106</v>
      </c>
      <c r="N7" s="1" t="s">
        <v>220</v>
      </c>
      <c r="O7" s="8">
        <f>IF(N7="","",IF(N7="Closed",IF(M7&lt;=L7,"On-Time","Delayed"),"Pending"))</f>
        <v>0</v>
      </c>
    </row>
    <row r="8" spans="1:17">
      <c r="A8" s="1">
        <v>5</v>
      </c>
      <c r="B8" s="1" t="s">
        <v>1266</v>
      </c>
      <c r="C8" s="5">
        <v>46062</v>
      </c>
      <c r="D8" s="1" t="s">
        <v>19</v>
      </c>
      <c r="E8" s="6" t="s">
        <v>1267</v>
      </c>
      <c r="F8" s="6" t="s">
        <v>89</v>
      </c>
      <c r="G8" s="1" t="s">
        <v>51</v>
      </c>
      <c r="H8" s="1" t="s">
        <v>61</v>
      </c>
      <c r="I8" s="1" t="s">
        <v>161</v>
      </c>
      <c r="J8" s="1" t="s">
        <v>41</v>
      </c>
      <c r="K8" s="1" t="s">
        <v>70</v>
      </c>
      <c r="L8" s="5">
        <v>46090</v>
      </c>
      <c r="M8" s="5">
        <v>46088</v>
      </c>
      <c r="N8" s="1" t="s">
        <v>302</v>
      </c>
      <c r="O8" s="8">
        <f>IF(N8="","",IF(N8="Closed",IF(M8&lt;=L8,"On-Time","Delayed"),"Pending"))</f>
        <v>0</v>
      </c>
    </row>
    <row r="9" spans="1:17">
      <c r="A9" s="1">
        <v>6</v>
      </c>
      <c r="B9" s="1" t="s">
        <v>1268</v>
      </c>
      <c r="C9" s="5">
        <v>46054</v>
      </c>
      <c r="D9" s="1" t="s">
        <v>19</v>
      </c>
      <c r="E9" s="6" t="s">
        <v>1269</v>
      </c>
      <c r="F9" s="6" t="s">
        <v>92</v>
      </c>
      <c r="G9" s="1" t="s">
        <v>80</v>
      </c>
      <c r="H9" s="1" t="s">
        <v>26</v>
      </c>
      <c r="I9" s="1" t="s">
        <v>151</v>
      </c>
      <c r="J9" s="1" t="s">
        <v>93</v>
      </c>
      <c r="K9" s="1" t="s">
        <v>68</v>
      </c>
      <c r="L9" s="5">
        <v>46063</v>
      </c>
      <c r="M9" s="5">
        <v>46088</v>
      </c>
      <c r="N9" s="1" t="s">
        <v>220</v>
      </c>
      <c r="O9" s="8">
        <f>IF(N9="","",IF(N9="Closed",IF(M9&lt;=L9,"On-Time","Delayed"),"Pending"))</f>
        <v>0</v>
      </c>
    </row>
    <row r="10" spans="1:17">
      <c r="A10" s="1">
        <v>7</v>
      </c>
      <c r="B10" s="1" t="s">
        <v>1270</v>
      </c>
      <c r="C10" s="5">
        <v>46057</v>
      </c>
      <c r="D10" s="1" t="s">
        <v>19</v>
      </c>
      <c r="E10" s="6" t="s">
        <v>1269</v>
      </c>
      <c r="F10" s="6" t="s">
        <v>58</v>
      </c>
      <c r="G10" s="1" t="s">
        <v>40</v>
      </c>
      <c r="H10" s="1" t="s">
        <v>38</v>
      </c>
      <c r="I10" s="1" t="s">
        <v>142</v>
      </c>
      <c r="J10" s="1" t="s">
        <v>22</v>
      </c>
      <c r="K10" s="1" t="s">
        <v>104</v>
      </c>
      <c r="L10" s="5">
        <v>46071</v>
      </c>
      <c r="M10" s="5">
        <v>46099</v>
      </c>
      <c r="N10" s="1" t="s">
        <v>326</v>
      </c>
      <c r="O10" s="8">
        <f>IF(N10="","",IF(N10="Closed",IF(M10&lt;=L10,"On-Time","Delayed"),"Pending"))</f>
        <v>0</v>
      </c>
    </row>
    <row r="11" spans="1:17">
      <c r="A11" s="1">
        <v>8</v>
      </c>
      <c r="B11" s="1" t="s">
        <v>1271</v>
      </c>
      <c r="C11" s="5">
        <v>46078</v>
      </c>
      <c r="D11" s="1" t="s">
        <v>19</v>
      </c>
      <c r="E11" s="6" t="s">
        <v>1269</v>
      </c>
      <c r="F11" s="6" t="s">
        <v>5</v>
      </c>
      <c r="G11" s="1" t="s">
        <v>95</v>
      </c>
      <c r="H11" s="1" t="s">
        <v>45</v>
      </c>
      <c r="I11" s="1" t="s">
        <v>151</v>
      </c>
      <c r="J11" s="1" t="s">
        <v>66</v>
      </c>
      <c r="K11" s="1" t="s">
        <v>78</v>
      </c>
      <c r="L11" s="5">
        <v>46122</v>
      </c>
      <c r="M11" s="5">
        <v>46090</v>
      </c>
      <c r="N11" s="1" t="s">
        <v>302</v>
      </c>
      <c r="O11" s="8">
        <f>IF(N11="","",IF(N11="Closed",IF(M11&lt;=L11,"On-Time","Delayed"),"Pending"))</f>
        <v>0</v>
      </c>
    </row>
    <row r="12" spans="1:17">
      <c r="A12" s="1">
        <v>9</v>
      </c>
      <c r="B12" s="1" t="s">
        <v>1272</v>
      </c>
      <c r="C12" s="5">
        <v>46101</v>
      </c>
      <c r="D12" s="1" t="s">
        <v>44</v>
      </c>
      <c r="E12" s="6" t="s">
        <v>1261</v>
      </c>
      <c r="F12" s="6" t="s">
        <v>92</v>
      </c>
      <c r="G12" s="1" t="s">
        <v>40</v>
      </c>
      <c r="H12" s="1" t="s">
        <v>20</v>
      </c>
      <c r="I12" s="1" t="s">
        <v>157</v>
      </c>
      <c r="J12" s="1" t="s">
        <v>68</v>
      </c>
      <c r="K12" s="1" t="s">
        <v>32</v>
      </c>
      <c r="L12" s="5">
        <v>46135</v>
      </c>
      <c r="M12" s="5">
        <v>46125</v>
      </c>
      <c r="N12" s="1" t="s">
        <v>220</v>
      </c>
      <c r="O12" s="8">
        <f>IF(N12="","",IF(N12="Closed",IF(M12&lt;=L12,"On-Time","Delayed"),"Pending"))</f>
        <v>0</v>
      </c>
    </row>
    <row r="13" spans="1:17">
      <c r="A13" s="1">
        <v>10</v>
      </c>
      <c r="B13" s="1" t="s">
        <v>1273</v>
      </c>
      <c r="C13" s="5">
        <v>46085</v>
      </c>
      <c r="D13" s="1" t="s">
        <v>44</v>
      </c>
      <c r="E13" s="6" t="s">
        <v>1274</v>
      </c>
      <c r="F13" s="6" t="s">
        <v>58</v>
      </c>
      <c r="G13" s="1" t="s">
        <v>31</v>
      </c>
      <c r="H13" s="1" t="s">
        <v>54</v>
      </c>
      <c r="I13" s="1" t="s">
        <v>157</v>
      </c>
      <c r="J13" s="1" t="s">
        <v>36</v>
      </c>
      <c r="K13" s="1" t="s">
        <v>41</v>
      </c>
      <c r="L13" s="5">
        <v>46120</v>
      </c>
      <c r="M13" s="5">
        <v>46105</v>
      </c>
      <c r="N13" s="1" t="s">
        <v>326</v>
      </c>
      <c r="O13" s="8">
        <f>IF(N13="","",IF(N13="Closed",IF(M13&lt;=L13,"On-Time","Delayed"),"Pending"))</f>
        <v>0</v>
      </c>
    </row>
    <row r="14" spans="1:17">
      <c r="A14" s="1">
        <v>11</v>
      </c>
      <c r="B14" s="1" t="s">
        <v>1275</v>
      </c>
      <c r="C14" s="5">
        <v>46083</v>
      </c>
      <c r="D14" s="1" t="s">
        <v>44</v>
      </c>
      <c r="E14" s="6" t="s">
        <v>1267</v>
      </c>
      <c r="F14" s="6" t="s">
        <v>89</v>
      </c>
      <c r="G14" s="1" t="s">
        <v>51</v>
      </c>
      <c r="H14" s="1" t="s">
        <v>91</v>
      </c>
      <c r="I14" s="1" t="s">
        <v>161</v>
      </c>
      <c r="J14" s="1" t="s">
        <v>78</v>
      </c>
      <c r="K14" s="1" t="s">
        <v>93</v>
      </c>
      <c r="L14" s="5">
        <v>46105</v>
      </c>
      <c r="M14" s="5">
        <v>46100</v>
      </c>
      <c r="N14" s="1" t="s">
        <v>220</v>
      </c>
      <c r="O14" s="8">
        <f>IF(N14="","",IF(N14="Closed",IF(M14&lt;=L14,"On-Time","Delayed"),"Pending"))</f>
        <v>0</v>
      </c>
    </row>
    <row r="15" spans="1:17">
      <c r="A15" s="1">
        <v>12</v>
      </c>
      <c r="B15" s="1" t="s">
        <v>1276</v>
      </c>
      <c r="C15" s="5">
        <v>46107</v>
      </c>
      <c r="D15" s="1" t="s">
        <v>44</v>
      </c>
      <c r="E15" s="6" t="s">
        <v>1269</v>
      </c>
      <c r="F15" s="6" t="s">
        <v>65</v>
      </c>
      <c r="G15" s="1" t="s">
        <v>35</v>
      </c>
      <c r="H15" s="1" t="s">
        <v>64</v>
      </c>
      <c r="I15" s="1" t="s">
        <v>161</v>
      </c>
      <c r="J15" s="1" t="s">
        <v>15</v>
      </c>
      <c r="K15" s="1" t="s">
        <v>22</v>
      </c>
      <c r="L15" s="5">
        <v>46130</v>
      </c>
      <c r="M15" s="5">
        <v>46144</v>
      </c>
      <c r="N15" s="1" t="s">
        <v>220</v>
      </c>
      <c r="O15" s="8">
        <f>IF(N15="","",IF(N15="Closed",IF(M15&lt;=L15,"On-Time","Delayed"),"Pending"))</f>
        <v>0</v>
      </c>
    </row>
    <row r="16" spans="1:17">
      <c r="A16" s="1">
        <v>13</v>
      </c>
      <c r="B16" s="1" t="s">
        <v>1277</v>
      </c>
      <c r="C16" s="5">
        <v>46094</v>
      </c>
      <c r="D16" s="1" t="s">
        <v>44</v>
      </c>
      <c r="E16" s="6" t="s">
        <v>1267</v>
      </c>
      <c r="F16" s="6" t="s">
        <v>27</v>
      </c>
      <c r="G16" s="1" t="s">
        <v>21</v>
      </c>
      <c r="H16" s="1" t="s">
        <v>54</v>
      </c>
      <c r="I16" s="1" t="s">
        <v>157</v>
      </c>
      <c r="J16" s="1" t="s">
        <v>93</v>
      </c>
      <c r="K16" s="1" t="s">
        <v>41</v>
      </c>
      <c r="L16" s="5">
        <v>46104</v>
      </c>
      <c r="M16" s="5">
        <v>46119</v>
      </c>
      <c r="N16" s="1" t="s">
        <v>326</v>
      </c>
      <c r="O16" s="8">
        <f>IF(N16="","",IF(N16="Closed",IF(M16&lt;=L16,"On-Time","Delayed"),"Pending"))</f>
        <v>0</v>
      </c>
    </row>
    <row r="17" spans="1:15">
      <c r="A17" s="1">
        <v>14</v>
      </c>
      <c r="B17" s="1" t="s">
        <v>1278</v>
      </c>
      <c r="C17" s="5">
        <v>46083</v>
      </c>
      <c r="D17" s="1" t="s">
        <v>44</v>
      </c>
      <c r="E17" s="6" t="s">
        <v>1267</v>
      </c>
      <c r="F17" s="6" t="s">
        <v>13</v>
      </c>
      <c r="G17" s="1" t="s">
        <v>14</v>
      </c>
      <c r="H17" s="1" t="s">
        <v>91</v>
      </c>
      <c r="I17" s="1" t="s">
        <v>151</v>
      </c>
      <c r="J17" s="1" t="s">
        <v>32</v>
      </c>
      <c r="K17" s="1" t="s">
        <v>78</v>
      </c>
      <c r="L17" s="5">
        <v>46110</v>
      </c>
      <c r="M17" s="5">
        <v>46105</v>
      </c>
      <c r="N17" s="1" t="s">
        <v>326</v>
      </c>
      <c r="O17" s="8">
        <f>IF(N17="","",IF(N17="Closed",IF(M17&lt;=L17,"On-Time","Delayed"),"Pending"))</f>
        <v>0</v>
      </c>
    </row>
    <row r="18" spans="1:15">
      <c r="A18" s="1">
        <v>15</v>
      </c>
      <c r="B18" s="1" t="s">
        <v>1279</v>
      </c>
      <c r="C18" s="5">
        <v>46128</v>
      </c>
      <c r="D18" s="1" t="s">
        <v>53</v>
      </c>
      <c r="E18" s="6" t="s">
        <v>1269</v>
      </c>
      <c r="F18" s="6" t="s">
        <v>50</v>
      </c>
      <c r="G18" s="1" t="s">
        <v>95</v>
      </c>
      <c r="H18" s="1" t="s">
        <v>26</v>
      </c>
      <c r="I18" s="1" t="s">
        <v>142</v>
      </c>
      <c r="J18" s="1" t="s">
        <v>78</v>
      </c>
      <c r="K18" s="1" t="s">
        <v>66</v>
      </c>
      <c r="L18" s="5">
        <v>46142</v>
      </c>
      <c r="M18" s="5">
        <v>46139</v>
      </c>
      <c r="N18" s="1" t="s">
        <v>220</v>
      </c>
      <c r="O18" s="8">
        <f>IF(N18="","",IF(N18="Closed",IF(M18&lt;=L18,"On-Time","Delayed"),"Pending"))</f>
        <v>0</v>
      </c>
    </row>
    <row r="19" spans="1:15">
      <c r="A19" s="1">
        <v>16</v>
      </c>
      <c r="B19" s="1" t="s">
        <v>1280</v>
      </c>
      <c r="C19" s="5">
        <v>46114</v>
      </c>
      <c r="D19" s="1" t="s">
        <v>53</v>
      </c>
      <c r="E19" s="6" t="s">
        <v>1265</v>
      </c>
      <c r="F19" s="6" t="s">
        <v>39</v>
      </c>
      <c r="G19" s="1" t="s">
        <v>87</v>
      </c>
      <c r="H19" s="1" t="s">
        <v>12</v>
      </c>
      <c r="I19" s="1" t="s">
        <v>157</v>
      </c>
      <c r="J19" s="1" t="s">
        <v>22</v>
      </c>
      <c r="K19" s="1" t="s">
        <v>41</v>
      </c>
      <c r="L19" s="5">
        <v>46158</v>
      </c>
      <c r="M19" s="5">
        <v>46152</v>
      </c>
      <c r="N19" s="1" t="s">
        <v>220</v>
      </c>
      <c r="O19" s="8">
        <f>IF(N19="","",IF(N19="Closed",IF(M19&lt;=L19,"On-Time","Delayed"),"Pending"))</f>
        <v>0</v>
      </c>
    </row>
    <row r="20" spans="1:15">
      <c r="A20" s="1">
        <v>17</v>
      </c>
      <c r="B20" s="1" t="s">
        <v>1281</v>
      </c>
      <c r="C20" s="5">
        <v>46130</v>
      </c>
      <c r="D20" s="1" t="s">
        <v>53</v>
      </c>
      <c r="E20" s="6" t="s">
        <v>1259</v>
      </c>
      <c r="F20" s="6" t="s">
        <v>46</v>
      </c>
      <c r="G20" s="1" t="s">
        <v>40</v>
      </c>
      <c r="H20" s="1" t="s">
        <v>91</v>
      </c>
      <c r="I20" s="1" t="s">
        <v>157</v>
      </c>
      <c r="J20" s="1" t="s">
        <v>36</v>
      </c>
      <c r="K20" s="1" t="s">
        <v>15</v>
      </c>
      <c r="L20" s="5">
        <v>46162</v>
      </c>
      <c r="M20" s="5">
        <v>46145</v>
      </c>
      <c r="N20" s="1" t="s">
        <v>224</v>
      </c>
      <c r="O20" s="8">
        <f>IF(N20="","",IF(N20="Closed",IF(M20&lt;=L20,"On-Time","Delayed"),"Pending"))</f>
        <v>0</v>
      </c>
    </row>
    <row r="21" spans="1:15">
      <c r="A21" s="1">
        <v>18</v>
      </c>
      <c r="B21" s="1" t="s">
        <v>1282</v>
      </c>
      <c r="C21" s="5">
        <v>46153</v>
      </c>
      <c r="D21" s="1" t="s">
        <v>60</v>
      </c>
      <c r="E21" s="6" t="s">
        <v>1267</v>
      </c>
      <c r="F21" s="6" t="s">
        <v>13</v>
      </c>
      <c r="G21" s="1" t="s">
        <v>87</v>
      </c>
      <c r="H21" s="1" t="s">
        <v>38</v>
      </c>
      <c r="I21" s="1" t="s">
        <v>142</v>
      </c>
      <c r="J21" s="1" t="s">
        <v>32</v>
      </c>
      <c r="K21" s="1" t="s">
        <v>70</v>
      </c>
      <c r="L21" s="5">
        <v>46181</v>
      </c>
      <c r="M21" s="5">
        <v>46177</v>
      </c>
      <c r="N21" s="1" t="s">
        <v>220</v>
      </c>
      <c r="O21" s="8">
        <f>IF(N21="","",IF(N21="Closed",IF(M21&lt;=L21,"On-Time","Delayed"),"Pending"))</f>
        <v>0</v>
      </c>
    </row>
    <row r="22" spans="1:15">
      <c r="A22" s="1">
        <v>19</v>
      </c>
      <c r="B22" s="1" t="s">
        <v>1283</v>
      </c>
      <c r="C22" s="5">
        <v>46150</v>
      </c>
      <c r="D22" s="1" t="s">
        <v>60</v>
      </c>
      <c r="E22" s="6" t="s">
        <v>1265</v>
      </c>
      <c r="F22" s="6" t="s">
        <v>89</v>
      </c>
      <c r="G22" s="1" t="s">
        <v>77</v>
      </c>
      <c r="H22" s="1" t="s">
        <v>16</v>
      </c>
      <c r="I22" s="1" t="s">
        <v>157</v>
      </c>
      <c r="J22" s="1" t="s">
        <v>93</v>
      </c>
      <c r="K22" s="1" t="s">
        <v>78</v>
      </c>
      <c r="L22" s="5">
        <v>46194</v>
      </c>
      <c r="M22" s="5">
        <v>46170</v>
      </c>
      <c r="N22" s="1" t="s">
        <v>220</v>
      </c>
      <c r="O22" s="8">
        <f>IF(N22="","",IF(N22="Closed",IF(M22&lt;=L22,"On-Time","Delayed"),"Pending"))</f>
        <v>0</v>
      </c>
    </row>
    <row r="23" spans="1:15">
      <c r="A23" s="1">
        <v>20</v>
      </c>
      <c r="B23" s="1" t="s">
        <v>1284</v>
      </c>
      <c r="C23" s="5">
        <v>46167</v>
      </c>
      <c r="D23" s="1" t="s">
        <v>60</v>
      </c>
      <c r="E23" s="6" t="s">
        <v>1261</v>
      </c>
      <c r="F23" s="6" t="s">
        <v>27</v>
      </c>
      <c r="G23" s="1" t="s">
        <v>87</v>
      </c>
      <c r="H23" s="1" t="s">
        <v>30</v>
      </c>
      <c r="I23" s="1" t="s">
        <v>161</v>
      </c>
      <c r="J23" s="1" t="s">
        <v>68</v>
      </c>
      <c r="K23" s="1" t="s">
        <v>68</v>
      </c>
      <c r="L23" s="5">
        <v>46193</v>
      </c>
      <c r="M23" s="5">
        <v>46179</v>
      </c>
      <c r="N23" s="1" t="s">
        <v>220</v>
      </c>
      <c r="O23" s="8">
        <f>IF(N23="","",IF(N23="Closed",IF(M23&lt;=L23,"On-Time","Delayed"),"Pending"))</f>
        <v>0</v>
      </c>
    </row>
    <row r="24" spans="1:15">
      <c r="A24" s="1">
        <v>21</v>
      </c>
      <c r="B24" s="1" t="s">
        <v>1285</v>
      </c>
      <c r="C24" s="5">
        <v>46193</v>
      </c>
      <c r="D24" s="1" t="s">
        <v>73</v>
      </c>
      <c r="E24" s="6" t="s">
        <v>1261</v>
      </c>
      <c r="F24" s="6" t="s">
        <v>39</v>
      </c>
      <c r="G24" s="1" t="s">
        <v>14</v>
      </c>
      <c r="H24" s="1" t="s">
        <v>54</v>
      </c>
      <c r="I24" s="1" t="s">
        <v>142</v>
      </c>
      <c r="J24" s="1" t="s">
        <v>7</v>
      </c>
      <c r="K24" s="1" t="s">
        <v>22</v>
      </c>
      <c r="L24" s="5">
        <v>46233</v>
      </c>
      <c r="M24" s="5">
        <v>46200</v>
      </c>
      <c r="N24" s="1" t="s">
        <v>1262</v>
      </c>
      <c r="O24" s="8">
        <f>IF(N24="","",IF(N24="Closed",IF(M24&lt;=L24,"On-Time","Delayed"),"Pending"))</f>
        <v>0</v>
      </c>
    </row>
    <row r="25" spans="1:15">
      <c r="A25" s="1">
        <v>22</v>
      </c>
      <c r="B25" s="1" t="s">
        <v>1286</v>
      </c>
      <c r="C25" s="5">
        <v>46174</v>
      </c>
      <c r="D25" s="1" t="s">
        <v>73</v>
      </c>
      <c r="E25" s="6" t="s">
        <v>1259</v>
      </c>
      <c r="F25" s="6" t="s">
        <v>58</v>
      </c>
      <c r="G25" s="1" t="s">
        <v>80</v>
      </c>
      <c r="H25" s="1" t="s">
        <v>49</v>
      </c>
      <c r="I25" s="1" t="s">
        <v>161</v>
      </c>
      <c r="J25" s="1" t="s">
        <v>32</v>
      </c>
      <c r="K25" s="1" t="s">
        <v>41</v>
      </c>
      <c r="L25" s="5">
        <v>46208</v>
      </c>
      <c r="M25" s="5">
        <v>46205</v>
      </c>
      <c r="N25" s="1" t="s">
        <v>1262</v>
      </c>
      <c r="O25" s="8">
        <f>IF(N25="","",IF(N25="Closed",IF(M25&lt;=L25,"On-Time","Delayed"),"Pending"))</f>
        <v>0</v>
      </c>
    </row>
    <row r="26" spans="1:15">
      <c r="A26" s="1">
        <v>23</v>
      </c>
      <c r="B26" s="1" t="s">
        <v>1287</v>
      </c>
      <c r="C26" s="5">
        <v>46185</v>
      </c>
      <c r="D26" s="1" t="s">
        <v>73</v>
      </c>
      <c r="E26" s="6" t="s">
        <v>1259</v>
      </c>
      <c r="F26" s="6" t="s">
        <v>5</v>
      </c>
      <c r="G26" s="1" t="s">
        <v>82</v>
      </c>
      <c r="H26" s="1" t="s">
        <v>38</v>
      </c>
      <c r="I26" s="1" t="s">
        <v>151</v>
      </c>
      <c r="J26" s="1" t="s">
        <v>7</v>
      </c>
      <c r="K26" s="1" t="s">
        <v>15</v>
      </c>
      <c r="L26" s="5">
        <v>46202</v>
      </c>
      <c r="M26" s="5">
        <v>46210</v>
      </c>
      <c r="N26" s="1" t="s">
        <v>220</v>
      </c>
      <c r="O26" s="8">
        <f>IF(N26="","",IF(N26="Closed",IF(M26&lt;=L26,"On-Time","Delayed"),"Pending"))</f>
        <v>0</v>
      </c>
    </row>
    <row r="27" spans="1:15">
      <c r="A27" s="1">
        <v>24</v>
      </c>
      <c r="B27" s="1" t="s">
        <v>1288</v>
      </c>
      <c r="C27" s="5">
        <v>46176</v>
      </c>
      <c r="D27" s="1" t="s">
        <v>73</v>
      </c>
      <c r="E27" s="6" t="s">
        <v>1259</v>
      </c>
      <c r="F27" s="6" t="s">
        <v>65</v>
      </c>
      <c r="G27" s="1" t="s">
        <v>35</v>
      </c>
      <c r="H27" s="1" t="s">
        <v>38</v>
      </c>
      <c r="I27" s="1" t="s">
        <v>161</v>
      </c>
      <c r="J27" s="1" t="s">
        <v>93</v>
      </c>
      <c r="K27" s="1" t="s">
        <v>68</v>
      </c>
      <c r="L27" s="5">
        <v>46202</v>
      </c>
      <c r="M27" s="5">
        <v>46204</v>
      </c>
      <c r="N27" s="1" t="s">
        <v>220</v>
      </c>
      <c r="O27" s="8">
        <f>IF(N27="","",IF(N27="Closed",IF(M27&lt;=L27,"On-Time","Delayed"),"Pending"))</f>
        <v>0</v>
      </c>
    </row>
    <row r="28" spans="1:15">
      <c r="A28" s="1">
        <v>25</v>
      </c>
      <c r="B28" s="1" t="s">
        <v>1289</v>
      </c>
      <c r="C28" s="5">
        <v>46182</v>
      </c>
      <c r="D28" s="1" t="s">
        <v>73</v>
      </c>
      <c r="E28" s="6" t="s">
        <v>1259</v>
      </c>
      <c r="F28" s="6" t="s">
        <v>13</v>
      </c>
      <c r="G28" s="1" t="s">
        <v>95</v>
      </c>
      <c r="H28" s="1" t="s">
        <v>45</v>
      </c>
      <c r="I28" s="1" t="s">
        <v>151</v>
      </c>
      <c r="J28" s="1" t="s">
        <v>15</v>
      </c>
      <c r="K28" s="1" t="s">
        <v>28</v>
      </c>
      <c r="L28" s="5">
        <v>46210</v>
      </c>
      <c r="M28" s="5">
        <v>46221</v>
      </c>
      <c r="N28" s="1" t="s">
        <v>1262</v>
      </c>
      <c r="O28" s="8">
        <f>IF(N28="","",IF(N28="Closed",IF(M28&lt;=L28,"On-Time","Delayed"),"Pending"))</f>
        <v>0</v>
      </c>
    </row>
    <row r="29" spans="1:15">
      <c r="A29" s="1">
        <v>26</v>
      </c>
      <c r="B29" s="1" t="s">
        <v>1290</v>
      </c>
      <c r="C29" s="5">
        <v>46179</v>
      </c>
      <c r="D29" s="1" t="s">
        <v>73</v>
      </c>
      <c r="E29" s="6" t="s">
        <v>1274</v>
      </c>
      <c r="F29" s="6" t="s">
        <v>50</v>
      </c>
      <c r="G29" s="1" t="s">
        <v>21</v>
      </c>
      <c r="H29" s="1" t="s">
        <v>16</v>
      </c>
      <c r="I29" s="1" t="s">
        <v>151</v>
      </c>
      <c r="J29" s="1" t="s">
        <v>68</v>
      </c>
      <c r="K29" s="1" t="s">
        <v>70</v>
      </c>
      <c r="L29" s="5">
        <v>46192</v>
      </c>
      <c r="M29" s="5">
        <v>46217</v>
      </c>
      <c r="N29" s="1" t="s">
        <v>302</v>
      </c>
      <c r="O29" s="8">
        <f>IF(N29="","",IF(N29="Closed",IF(M29&lt;=L29,"On-Time","Delayed"),"Pending"))</f>
        <v>0</v>
      </c>
    </row>
    <row r="30" spans="1:15">
      <c r="A30" s="1">
        <v>27</v>
      </c>
      <c r="B30" s="1" t="s">
        <v>1291</v>
      </c>
      <c r="C30" s="5">
        <v>46206</v>
      </c>
      <c r="D30" s="1" t="s">
        <v>76</v>
      </c>
      <c r="E30" s="6" t="s">
        <v>1261</v>
      </c>
      <c r="F30" s="6" t="s">
        <v>92</v>
      </c>
      <c r="G30" s="1" t="s">
        <v>31</v>
      </c>
      <c r="H30" s="1" t="s">
        <v>26</v>
      </c>
      <c r="I30" s="1" t="s">
        <v>151</v>
      </c>
      <c r="J30" s="1" t="s">
        <v>104</v>
      </c>
      <c r="K30" s="1" t="s">
        <v>70</v>
      </c>
      <c r="L30" s="5">
        <v>46246</v>
      </c>
      <c r="M30" s="5">
        <v>46240</v>
      </c>
      <c r="N30" s="1" t="s">
        <v>302</v>
      </c>
      <c r="O30" s="8">
        <f>IF(N30="","",IF(N30="Closed",IF(M30&lt;=L30,"On-Time","Delayed"),"Pending"))</f>
        <v>0</v>
      </c>
    </row>
    <row r="31" spans="1:15">
      <c r="A31" s="1">
        <v>28</v>
      </c>
      <c r="B31" s="1" t="s">
        <v>1292</v>
      </c>
      <c r="C31" s="5">
        <v>46206</v>
      </c>
      <c r="D31" s="1" t="s">
        <v>76</v>
      </c>
      <c r="E31" s="6" t="s">
        <v>1259</v>
      </c>
      <c r="F31" s="6" t="s">
        <v>39</v>
      </c>
      <c r="G31" s="1" t="s">
        <v>35</v>
      </c>
      <c r="H31" s="1" t="s">
        <v>16</v>
      </c>
      <c r="I31" s="1" t="s">
        <v>151</v>
      </c>
      <c r="J31" s="1" t="s">
        <v>78</v>
      </c>
      <c r="K31" s="1" t="s">
        <v>32</v>
      </c>
      <c r="L31" s="5">
        <v>46235</v>
      </c>
      <c r="M31" s="5">
        <v>46246</v>
      </c>
      <c r="N31" s="1" t="s">
        <v>326</v>
      </c>
      <c r="O31" s="8">
        <f>IF(N31="","",IF(N31="Closed",IF(M31&lt;=L31,"On-Time","Delayed"),"Pending"))</f>
        <v>0</v>
      </c>
    </row>
    <row r="32" spans="1:15">
      <c r="A32" s="1">
        <v>29</v>
      </c>
      <c r="B32" s="1" t="s">
        <v>1293</v>
      </c>
      <c r="C32" s="5">
        <v>46222</v>
      </c>
      <c r="D32" s="1" t="s">
        <v>76</v>
      </c>
      <c r="E32" s="6" t="s">
        <v>1259</v>
      </c>
      <c r="F32" s="6" t="s">
        <v>46</v>
      </c>
      <c r="G32" s="1" t="s">
        <v>80</v>
      </c>
      <c r="H32" s="1" t="s">
        <v>54</v>
      </c>
      <c r="I32" s="1" t="s">
        <v>157</v>
      </c>
      <c r="J32" s="1" t="s">
        <v>70</v>
      </c>
      <c r="K32" s="1" t="s">
        <v>78</v>
      </c>
      <c r="L32" s="5">
        <v>46251</v>
      </c>
      <c r="M32" s="5">
        <v>46246</v>
      </c>
      <c r="N32" s="1" t="s">
        <v>1262</v>
      </c>
      <c r="O32" s="8">
        <f>IF(N32="","",IF(N32="Closed",IF(M32&lt;=L32,"On-Time","Delayed"),"Pending"))</f>
        <v>0</v>
      </c>
    </row>
    <row r="33" spans="1:15">
      <c r="A33" s="1">
        <v>30</v>
      </c>
      <c r="B33" s="1" t="s">
        <v>1294</v>
      </c>
      <c r="C33" s="5">
        <v>46220</v>
      </c>
      <c r="D33" s="1" t="s">
        <v>76</v>
      </c>
      <c r="E33" s="6" t="s">
        <v>1269</v>
      </c>
      <c r="F33" s="6" t="s">
        <v>50</v>
      </c>
      <c r="G33" s="1" t="s">
        <v>6</v>
      </c>
      <c r="H33" s="1" t="s">
        <v>54</v>
      </c>
      <c r="I33" s="1" t="s">
        <v>157</v>
      </c>
      <c r="J33" s="1" t="s">
        <v>7</v>
      </c>
      <c r="K33" s="1" t="s">
        <v>68</v>
      </c>
      <c r="L33" s="5">
        <v>46244</v>
      </c>
      <c r="M33" s="5">
        <v>46257</v>
      </c>
      <c r="N33" s="1" t="s">
        <v>1262</v>
      </c>
      <c r="O33" s="8">
        <f>IF(N33="","",IF(N33="Closed",IF(M33&lt;=L33,"On-Time","Delayed"),"Pending"))</f>
        <v>0</v>
      </c>
    </row>
    <row r="34" spans="1:15">
      <c r="A34" s="1">
        <v>31</v>
      </c>
      <c r="B34" s="1" t="s">
        <v>1295</v>
      </c>
      <c r="C34" s="5">
        <v>46244</v>
      </c>
      <c r="D34" s="1" t="s">
        <v>86</v>
      </c>
      <c r="E34" s="6" t="s">
        <v>1259</v>
      </c>
      <c r="F34" s="6" t="s">
        <v>89</v>
      </c>
      <c r="G34" s="1" t="s">
        <v>21</v>
      </c>
      <c r="H34" s="1" t="s">
        <v>26</v>
      </c>
      <c r="I34" s="1" t="s">
        <v>161</v>
      </c>
      <c r="J34" s="1" t="s">
        <v>15</v>
      </c>
      <c r="K34" s="1" t="s">
        <v>7</v>
      </c>
      <c r="L34" s="5">
        <v>46260</v>
      </c>
      <c r="M34" s="5">
        <v>46266</v>
      </c>
      <c r="N34" s="1" t="s">
        <v>302</v>
      </c>
      <c r="O34" s="8">
        <f>IF(N34="","",IF(N34="Closed",IF(M34&lt;=L34,"On-Time","Delayed"),"Pending"))</f>
        <v>0</v>
      </c>
    </row>
    <row r="35" spans="1:15">
      <c r="A35" s="1">
        <v>32</v>
      </c>
      <c r="B35" s="1" t="s">
        <v>1296</v>
      </c>
      <c r="C35" s="5">
        <v>46248</v>
      </c>
      <c r="D35" s="1" t="s">
        <v>86</v>
      </c>
      <c r="E35" s="6" t="s">
        <v>1259</v>
      </c>
      <c r="F35" s="6" t="s">
        <v>39</v>
      </c>
      <c r="G35" s="1" t="s">
        <v>80</v>
      </c>
      <c r="H35" s="1" t="s">
        <v>54</v>
      </c>
      <c r="I35" s="1" t="s">
        <v>142</v>
      </c>
      <c r="J35" s="1" t="s">
        <v>22</v>
      </c>
      <c r="K35" s="1" t="s">
        <v>104</v>
      </c>
      <c r="L35" s="5">
        <v>46293</v>
      </c>
      <c r="M35" s="5">
        <v>46264</v>
      </c>
      <c r="N35" s="1" t="s">
        <v>220</v>
      </c>
      <c r="O35" s="8">
        <f>IF(N35="","",IF(N35="Closed",IF(M35&lt;=L35,"On-Time","Delayed"),"Pending"))</f>
        <v>0</v>
      </c>
    </row>
    <row r="36" spans="1:15">
      <c r="A36" s="1">
        <v>33</v>
      </c>
      <c r="B36" s="1" t="s">
        <v>1297</v>
      </c>
      <c r="C36" s="5">
        <v>46255</v>
      </c>
      <c r="D36" s="1" t="s">
        <v>86</v>
      </c>
      <c r="E36" s="6" t="s">
        <v>1267</v>
      </c>
      <c r="F36" s="6" t="s">
        <v>13</v>
      </c>
      <c r="G36" s="1" t="s">
        <v>21</v>
      </c>
      <c r="H36" s="1" t="s">
        <v>38</v>
      </c>
      <c r="I36" s="1" t="s">
        <v>157</v>
      </c>
      <c r="J36" s="1" t="s">
        <v>68</v>
      </c>
      <c r="K36" s="1" t="s">
        <v>41</v>
      </c>
      <c r="L36" s="5">
        <v>46273</v>
      </c>
      <c r="M36" s="5">
        <v>46265</v>
      </c>
      <c r="N36" s="1" t="s">
        <v>302</v>
      </c>
      <c r="O36" s="8">
        <f>IF(N36="","",IF(N36="Closed",IF(M36&lt;=L36,"On-Time","Delayed"),"Pending"))</f>
        <v>0</v>
      </c>
    </row>
    <row r="37" spans="1:15">
      <c r="A37" s="1">
        <v>34</v>
      </c>
      <c r="B37" s="1" t="s">
        <v>1298</v>
      </c>
      <c r="C37" s="5">
        <v>46278</v>
      </c>
      <c r="D37" s="1" t="s">
        <v>102</v>
      </c>
      <c r="E37" s="6" t="s">
        <v>1274</v>
      </c>
      <c r="F37" s="6" t="s">
        <v>58</v>
      </c>
      <c r="G37" s="1" t="s">
        <v>82</v>
      </c>
      <c r="H37" s="1" t="s">
        <v>64</v>
      </c>
      <c r="I37" s="1" t="s">
        <v>151</v>
      </c>
      <c r="J37" s="1" t="s">
        <v>70</v>
      </c>
      <c r="K37" s="1" t="s">
        <v>36</v>
      </c>
      <c r="L37" s="5">
        <v>46296</v>
      </c>
      <c r="M37" s="5">
        <v>46317</v>
      </c>
      <c r="N37" s="1" t="s">
        <v>220</v>
      </c>
      <c r="O37" s="8">
        <f>IF(N37="","",IF(N37="Closed",IF(M37&lt;=L37,"On-Time","Delayed"),"Pending"))</f>
        <v>0</v>
      </c>
    </row>
    <row r="38" spans="1:15">
      <c r="A38" s="1">
        <v>35</v>
      </c>
      <c r="B38" s="1" t="s">
        <v>1299</v>
      </c>
      <c r="C38" s="5">
        <v>46321</v>
      </c>
      <c r="D38" s="1" t="s">
        <v>106</v>
      </c>
      <c r="E38" s="6" t="s">
        <v>1259</v>
      </c>
      <c r="F38" s="6" t="s">
        <v>65</v>
      </c>
      <c r="G38" s="1" t="s">
        <v>77</v>
      </c>
      <c r="H38" s="1" t="s">
        <v>54</v>
      </c>
      <c r="I38" s="1" t="s">
        <v>161</v>
      </c>
      <c r="J38" s="1" t="s">
        <v>7</v>
      </c>
      <c r="K38" s="1" t="s">
        <v>78</v>
      </c>
      <c r="L38" s="5">
        <v>46351</v>
      </c>
      <c r="M38" s="5">
        <v>46328</v>
      </c>
      <c r="N38" s="1" t="s">
        <v>326</v>
      </c>
      <c r="O38" s="8">
        <f>IF(N38="","",IF(N38="Closed",IF(M38&lt;=L38,"On-Time","Delayed"),"Pending"))</f>
        <v>0</v>
      </c>
    </row>
    <row r="39" spans="1:15">
      <c r="A39" s="1">
        <v>36</v>
      </c>
      <c r="B39" s="1" t="s">
        <v>1300</v>
      </c>
      <c r="C39" s="5">
        <v>46320</v>
      </c>
      <c r="D39" s="1" t="s">
        <v>106</v>
      </c>
      <c r="E39" s="6" t="s">
        <v>1259</v>
      </c>
      <c r="F39" s="6" t="s">
        <v>50</v>
      </c>
      <c r="G39" s="1" t="s">
        <v>77</v>
      </c>
      <c r="H39" s="1" t="s">
        <v>30</v>
      </c>
      <c r="I39" s="1" t="s">
        <v>151</v>
      </c>
      <c r="J39" s="1" t="s">
        <v>15</v>
      </c>
      <c r="K39" s="1" t="s">
        <v>7</v>
      </c>
      <c r="L39" s="5">
        <v>46358</v>
      </c>
      <c r="M39" s="5">
        <v>46344</v>
      </c>
      <c r="N39" s="1" t="s">
        <v>224</v>
      </c>
      <c r="O39" s="8">
        <f>IF(N39="","",IF(N39="Closed",IF(M39&lt;=L39,"On-Time","Delayed"),"Pending"))</f>
        <v>0</v>
      </c>
    </row>
    <row r="40" spans="1:15">
      <c r="A40" s="1">
        <v>37</v>
      </c>
      <c r="B40" s="1" t="s">
        <v>1301</v>
      </c>
      <c r="C40" s="5">
        <v>46323</v>
      </c>
      <c r="D40" s="1" t="s">
        <v>106</v>
      </c>
      <c r="E40" s="6" t="s">
        <v>1269</v>
      </c>
      <c r="F40" s="6" t="s">
        <v>92</v>
      </c>
      <c r="G40" s="1" t="s">
        <v>80</v>
      </c>
      <c r="H40" s="1" t="s">
        <v>49</v>
      </c>
      <c r="I40" s="1" t="s">
        <v>151</v>
      </c>
      <c r="J40" s="1" t="s">
        <v>78</v>
      </c>
      <c r="K40" s="1" t="s">
        <v>7</v>
      </c>
      <c r="L40" s="5">
        <v>46329</v>
      </c>
      <c r="M40" s="5">
        <v>46341</v>
      </c>
      <c r="N40" s="1" t="s">
        <v>302</v>
      </c>
      <c r="O40" s="8">
        <f>IF(N40="","",IF(N40="Closed",IF(M40&lt;=L40,"On-Time","Delayed"),"Pending"))</f>
        <v>0</v>
      </c>
    </row>
    <row r="41" spans="1:15">
      <c r="A41" s="1">
        <v>38</v>
      </c>
      <c r="B41" s="1" t="s">
        <v>1302</v>
      </c>
      <c r="C41" s="5">
        <v>46303</v>
      </c>
      <c r="D41" s="1" t="s">
        <v>106</v>
      </c>
      <c r="E41" s="6" t="s">
        <v>1274</v>
      </c>
      <c r="F41" s="6" t="s">
        <v>58</v>
      </c>
      <c r="G41" s="1" t="s">
        <v>31</v>
      </c>
      <c r="H41" s="1" t="s">
        <v>30</v>
      </c>
      <c r="I41" s="1" t="s">
        <v>161</v>
      </c>
      <c r="J41" s="1" t="s">
        <v>68</v>
      </c>
      <c r="K41" s="1" t="s">
        <v>28</v>
      </c>
      <c r="L41" s="5">
        <v>46329</v>
      </c>
      <c r="M41" s="5">
        <v>46336</v>
      </c>
      <c r="N41" s="1" t="s">
        <v>220</v>
      </c>
      <c r="O41" s="8">
        <f>IF(N41="","",IF(N41="Closed",IF(M41&lt;=L41,"On-Time","Delayed"),"Pending"))</f>
        <v>0</v>
      </c>
    </row>
    <row r="42" spans="1:15">
      <c r="A42" s="1">
        <v>39</v>
      </c>
      <c r="B42" s="1" t="s">
        <v>1303</v>
      </c>
      <c r="C42" s="5">
        <v>46312</v>
      </c>
      <c r="D42" s="1" t="s">
        <v>106</v>
      </c>
      <c r="E42" s="6" t="s">
        <v>1259</v>
      </c>
      <c r="F42" s="6" t="s">
        <v>27</v>
      </c>
      <c r="G42" s="1" t="s">
        <v>35</v>
      </c>
      <c r="H42" s="1" t="s">
        <v>30</v>
      </c>
      <c r="I42" s="1" t="s">
        <v>151</v>
      </c>
      <c r="J42" s="1" t="s">
        <v>68</v>
      </c>
      <c r="K42" s="1" t="s">
        <v>70</v>
      </c>
      <c r="L42" s="5">
        <v>46345</v>
      </c>
      <c r="M42" s="5">
        <v>46357</v>
      </c>
      <c r="N42" s="1" t="s">
        <v>224</v>
      </c>
      <c r="O42" s="8">
        <f>IF(N42="","",IF(N42="Closed",IF(M42&lt;=L42,"On-Time","Delayed"),"Pending"))</f>
        <v>0</v>
      </c>
    </row>
    <row r="43" spans="1:15">
      <c r="A43" s="1">
        <v>40</v>
      </c>
      <c r="B43" s="1" t="s">
        <v>1304</v>
      </c>
      <c r="C43" s="5">
        <v>46305</v>
      </c>
      <c r="D43" s="1" t="s">
        <v>106</v>
      </c>
      <c r="E43" s="6" t="s">
        <v>1274</v>
      </c>
      <c r="F43" s="6" t="s">
        <v>13</v>
      </c>
      <c r="G43" s="1" t="s">
        <v>82</v>
      </c>
      <c r="H43" s="1" t="s">
        <v>20</v>
      </c>
      <c r="I43" s="1" t="s">
        <v>161</v>
      </c>
      <c r="J43" s="1" t="s">
        <v>22</v>
      </c>
      <c r="K43" s="1" t="s">
        <v>28</v>
      </c>
      <c r="L43" s="5">
        <v>46333</v>
      </c>
      <c r="M43" s="5">
        <v>46319</v>
      </c>
      <c r="N43" s="1" t="s">
        <v>220</v>
      </c>
      <c r="O43" s="8">
        <f>IF(N43="","",IF(N43="Closed",IF(M43&lt;=L43,"On-Time","Delayed"),"Pending"))</f>
        <v>0</v>
      </c>
    </row>
    <row r="44" spans="1:15">
      <c r="A44" s="1">
        <v>41</v>
      </c>
      <c r="B44" s="1" t="s">
        <v>1305</v>
      </c>
      <c r="C44" s="5">
        <v>46298</v>
      </c>
      <c r="D44" s="1" t="s">
        <v>106</v>
      </c>
      <c r="E44" s="6" t="s">
        <v>1269</v>
      </c>
      <c r="F44" s="6" t="s">
        <v>46</v>
      </c>
      <c r="G44" s="1" t="s">
        <v>77</v>
      </c>
      <c r="H44" s="1" t="s">
        <v>20</v>
      </c>
      <c r="I44" s="1" t="s">
        <v>142</v>
      </c>
      <c r="J44" s="1" t="s">
        <v>78</v>
      </c>
      <c r="K44" s="1" t="s">
        <v>22</v>
      </c>
      <c r="L44" s="5">
        <v>46339</v>
      </c>
      <c r="M44" s="5">
        <v>46320</v>
      </c>
      <c r="N44" s="1" t="s">
        <v>224</v>
      </c>
      <c r="O44" s="8">
        <f>IF(N44="","",IF(N44="Closed",IF(M44&lt;=L44,"On-Time","Delayed"),"Pending"))</f>
        <v>0</v>
      </c>
    </row>
    <row r="45" spans="1:15">
      <c r="A45" s="1">
        <v>42</v>
      </c>
      <c r="B45" s="1" t="s">
        <v>1306</v>
      </c>
      <c r="C45" s="5">
        <v>46334</v>
      </c>
      <c r="D45" s="1" t="s">
        <v>111</v>
      </c>
      <c r="E45" s="6" t="s">
        <v>1267</v>
      </c>
      <c r="F45" s="6" t="s">
        <v>89</v>
      </c>
      <c r="G45" s="1" t="s">
        <v>31</v>
      </c>
      <c r="H45" s="1" t="s">
        <v>57</v>
      </c>
      <c r="I45" s="1" t="s">
        <v>157</v>
      </c>
      <c r="J45" s="1" t="s">
        <v>66</v>
      </c>
      <c r="K45" s="1" t="s">
        <v>15</v>
      </c>
      <c r="L45" s="5">
        <v>46363</v>
      </c>
      <c r="M45" s="5">
        <v>46374</v>
      </c>
      <c r="N45" s="1" t="s">
        <v>220</v>
      </c>
      <c r="O45" s="8">
        <f>IF(N45="","",IF(N45="Closed",IF(M45&lt;=L45,"On-Time","Delayed"),"Pending"))</f>
        <v>0</v>
      </c>
    </row>
    <row r="46" spans="1:15">
      <c r="A46" s="1">
        <v>43</v>
      </c>
      <c r="B46" s="1" t="s">
        <v>1307</v>
      </c>
      <c r="C46" s="5">
        <v>46335</v>
      </c>
      <c r="D46" s="1" t="s">
        <v>111</v>
      </c>
      <c r="E46" s="6" t="s">
        <v>1261</v>
      </c>
      <c r="F46" s="6" t="s">
        <v>89</v>
      </c>
      <c r="G46" s="1" t="s">
        <v>87</v>
      </c>
      <c r="H46" s="1" t="s">
        <v>38</v>
      </c>
      <c r="I46" s="1" t="s">
        <v>161</v>
      </c>
      <c r="J46" s="1" t="s">
        <v>15</v>
      </c>
      <c r="K46" s="1" t="s">
        <v>93</v>
      </c>
      <c r="L46" s="5">
        <v>46371</v>
      </c>
      <c r="M46" s="5">
        <v>46355</v>
      </c>
      <c r="N46" s="1" t="s">
        <v>302</v>
      </c>
      <c r="O46" s="8">
        <f>IF(N46="","",IF(N46="Closed",IF(M46&lt;=L46,"On-Time","Delayed"),"Pending"))</f>
        <v>0</v>
      </c>
    </row>
    <row r="47" spans="1:15">
      <c r="A47" s="1">
        <v>44</v>
      </c>
      <c r="B47" s="1" t="s">
        <v>1308</v>
      </c>
      <c r="C47" s="5">
        <v>46349</v>
      </c>
      <c r="D47" s="1" t="s">
        <v>111</v>
      </c>
      <c r="E47" s="6" t="s">
        <v>1261</v>
      </c>
      <c r="F47" s="6" t="s">
        <v>27</v>
      </c>
      <c r="G47" s="1" t="s">
        <v>14</v>
      </c>
      <c r="H47" s="1" t="s">
        <v>30</v>
      </c>
      <c r="I47" s="1" t="s">
        <v>161</v>
      </c>
      <c r="J47" s="1" t="s">
        <v>7</v>
      </c>
      <c r="K47" s="1" t="s">
        <v>70</v>
      </c>
      <c r="L47" s="5">
        <v>46373</v>
      </c>
      <c r="M47" s="5">
        <v>46355</v>
      </c>
      <c r="N47" s="1" t="s">
        <v>220</v>
      </c>
      <c r="O47" s="8">
        <f>IF(N47="","",IF(N47="Closed",IF(M47&lt;=L47,"On-Time","Delayed"),"Pending"))</f>
        <v>0</v>
      </c>
    </row>
    <row r="48" spans="1:15">
      <c r="A48" s="1">
        <v>45</v>
      </c>
      <c r="B48" s="1" t="s">
        <v>1309</v>
      </c>
      <c r="C48" s="5">
        <v>46368</v>
      </c>
      <c r="D48" s="1" t="s">
        <v>122</v>
      </c>
      <c r="E48" s="6" t="s">
        <v>1265</v>
      </c>
      <c r="F48" s="6" t="s">
        <v>39</v>
      </c>
      <c r="G48" s="1" t="s">
        <v>51</v>
      </c>
      <c r="H48" s="1" t="s">
        <v>16</v>
      </c>
      <c r="I48" s="1" t="s">
        <v>151</v>
      </c>
      <c r="J48" s="1" t="s">
        <v>68</v>
      </c>
      <c r="K48" s="1" t="s">
        <v>41</v>
      </c>
      <c r="L48" s="5">
        <v>46399</v>
      </c>
      <c r="M48" s="5">
        <v>46377</v>
      </c>
      <c r="N48" s="1" t="s">
        <v>224</v>
      </c>
      <c r="O48" s="8">
        <f>IF(N48="","",IF(N48="Closed",IF(M48&lt;=L48,"On-Time","Delayed"),"Pending"))</f>
        <v>0</v>
      </c>
    </row>
    <row r="49" spans="1:15">
      <c r="A49" s="1">
        <v>46</v>
      </c>
      <c r="B49" s="1" t="s">
        <v>1310</v>
      </c>
      <c r="C49" s="5">
        <v>46363</v>
      </c>
      <c r="D49" s="1" t="s">
        <v>122</v>
      </c>
      <c r="E49" s="6" t="s">
        <v>1261</v>
      </c>
      <c r="F49" s="6" t="s">
        <v>50</v>
      </c>
      <c r="G49" s="1" t="s">
        <v>82</v>
      </c>
      <c r="H49" s="1" t="s">
        <v>4</v>
      </c>
      <c r="I49" s="1" t="s">
        <v>161</v>
      </c>
      <c r="J49" s="1" t="s">
        <v>36</v>
      </c>
      <c r="K49" s="1" t="s">
        <v>66</v>
      </c>
      <c r="L49" s="5">
        <v>46388</v>
      </c>
      <c r="M49" s="5">
        <v>46379</v>
      </c>
      <c r="N49" s="1" t="s">
        <v>1262</v>
      </c>
      <c r="O49" s="8">
        <f>IF(N49="","",IF(N49="Closed",IF(M49&lt;=L49,"On-Time","Delayed"),"Pending"))</f>
        <v>0</v>
      </c>
    </row>
    <row r="50" spans="1:15">
      <c r="A50" s="1">
        <v>47</v>
      </c>
      <c r="B50" s="1" t="s">
        <v>1311</v>
      </c>
      <c r="C50" s="5">
        <v>46361</v>
      </c>
      <c r="D50" s="1" t="s">
        <v>122</v>
      </c>
      <c r="E50" s="6" t="s">
        <v>1259</v>
      </c>
      <c r="F50" s="6" t="s">
        <v>89</v>
      </c>
      <c r="G50" s="1" t="s">
        <v>77</v>
      </c>
      <c r="H50" s="1" t="s">
        <v>12</v>
      </c>
      <c r="I50" s="1" t="s">
        <v>157</v>
      </c>
      <c r="J50" s="1" t="s">
        <v>66</v>
      </c>
      <c r="K50" s="1" t="s">
        <v>7</v>
      </c>
      <c r="L50" s="5">
        <v>46396</v>
      </c>
      <c r="M50" s="5">
        <v>46396</v>
      </c>
      <c r="N50" s="1" t="s">
        <v>220</v>
      </c>
      <c r="O50" s="8">
        <f>IF(N50="","",IF(N50="Closed",IF(M50&lt;=L50,"On-Time","Delayed"),"Pending"))</f>
        <v>0</v>
      </c>
    </row>
    <row r="51" spans="1:15">
      <c r="A51" s="1">
        <v>48</v>
      </c>
      <c r="B51" s="1" t="s">
        <v>1312</v>
      </c>
      <c r="C51" s="5">
        <v>46376</v>
      </c>
      <c r="D51" s="1" t="s">
        <v>122</v>
      </c>
      <c r="E51" s="6" t="s">
        <v>1261</v>
      </c>
      <c r="F51" s="6" t="s">
        <v>27</v>
      </c>
      <c r="G51" s="1" t="s">
        <v>82</v>
      </c>
      <c r="H51" s="1" t="s">
        <v>4</v>
      </c>
      <c r="I51" s="1" t="s">
        <v>142</v>
      </c>
      <c r="J51" s="1" t="s">
        <v>32</v>
      </c>
      <c r="K51" s="1" t="s">
        <v>41</v>
      </c>
      <c r="L51" s="5">
        <v>46409</v>
      </c>
      <c r="M51" s="5">
        <v>46395</v>
      </c>
      <c r="N51" s="1" t="s">
        <v>224</v>
      </c>
      <c r="O51" s="8">
        <f>IF(N51="","",IF(N51="Closed",IF(M51&lt;=L51,"On-Time","Delayed"),"Pending"))</f>
        <v>0</v>
      </c>
    </row>
    <row r="52" spans="1:15">
      <c r="O52" s="8">
        <f>IF(N52="","",IF(N52="Closed",IF(M52&lt;=L52,"On-Time","Delayed"),"Pending"))</f>
        <v>0</v>
      </c>
    </row>
    <row r="53" spans="1:15">
      <c r="O53" s="8">
        <f>IF(N53="","",IF(N53="Closed",IF(M53&lt;=L53,"On-Time","Delayed"),"Pending"))</f>
        <v>0</v>
      </c>
    </row>
    <row r="54" spans="1:15">
      <c r="O54" s="8">
        <f>IF(N54="","",IF(N54="Closed",IF(M54&lt;=L54,"On-Time","Delayed"),"Pending"))</f>
        <v>0</v>
      </c>
    </row>
    <row r="55" spans="1:15">
      <c r="O55" s="8">
        <f>IF(N55="","",IF(N55="Closed",IF(M55&lt;=L55,"On-Time","Delayed"),"Pending"))</f>
        <v>0</v>
      </c>
    </row>
    <row r="56" spans="1:15">
      <c r="O56" s="8">
        <f>IF(N56="","",IF(N56="Closed",IF(M56&lt;=L56,"On-Time","Delayed"),"Pending"))</f>
        <v>0</v>
      </c>
    </row>
    <row r="57" spans="1:15">
      <c r="O57" s="8">
        <f>IF(N57="","",IF(N57="Closed",IF(M57&lt;=L57,"On-Time","Delayed"),"Pending"))</f>
        <v>0</v>
      </c>
    </row>
    <row r="58" spans="1:15">
      <c r="O58" s="8">
        <f>IF(N58="","",IF(N58="Closed",IF(M58&lt;=L58,"On-Time","Delayed"),"Pending"))</f>
        <v>0</v>
      </c>
    </row>
    <row r="59" spans="1:15">
      <c r="O59" s="8">
        <f>IF(N59="","",IF(N59="Closed",IF(M59&lt;=L59,"On-Time","Delayed"),"Pending"))</f>
        <v>0</v>
      </c>
    </row>
    <row r="60" spans="1:15">
      <c r="O60" s="8">
        <f>IF(N60="","",IF(N60="Closed",IF(M60&lt;=L60,"On-Time","Delayed"),"Pending"))</f>
        <v>0</v>
      </c>
    </row>
    <row r="61" spans="1:15">
      <c r="O61" s="8">
        <f>IF(N61="","",IF(N61="Closed",IF(M61&lt;=L61,"On-Time","Delayed"),"Pending"))</f>
        <v>0</v>
      </c>
    </row>
    <row r="62" spans="1:15">
      <c r="O62" s="8">
        <f>IF(N62="","",IF(N62="Closed",IF(M62&lt;=L62,"On-Time","Delayed"),"Pending"))</f>
        <v>0</v>
      </c>
    </row>
    <row r="63" spans="1:15">
      <c r="O63" s="8">
        <f>IF(N63="","",IF(N63="Closed",IF(M63&lt;=L63,"On-Time","Delayed"),"Pending"))</f>
        <v>0</v>
      </c>
    </row>
    <row r="64" spans="1:15">
      <c r="O64" s="8">
        <f>IF(N64="","",IF(N64="Closed",IF(M64&lt;=L64,"On-Time","Delayed"),"Pending"))</f>
        <v>0</v>
      </c>
    </row>
    <row r="65" spans="15:15">
      <c r="O65" s="8">
        <f>IF(N65="","",IF(N65="Closed",IF(M65&lt;=L65,"On-Time","Delayed"),"Pending"))</f>
        <v>0</v>
      </c>
    </row>
    <row r="66" spans="15:15">
      <c r="O66" s="8">
        <f>IF(N66="","",IF(N66="Closed",IF(M66&lt;=L66,"On-Time","Delayed"),"Pending"))</f>
        <v>0</v>
      </c>
    </row>
    <row r="67" spans="15:15">
      <c r="O67" s="8">
        <f>IF(N67="","",IF(N67="Closed",IF(M67&lt;=L67,"On-Time","Delayed"),"Pending"))</f>
        <v>0</v>
      </c>
    </row>
    <row r="68" spans="15:15">
      <c r="O68" s="8">
        <f>IF(N68="","",IF(N68="Closed",IF(M68&lt;=L68,"On-Time","Delayed"),"Pending"))</f>
        <v>0</v>
      </c>
    </row>
    <row r="69" spans="15:15">
      <c r="O69" s="8">
        <f>IF(N69="","",IF(N69="Closed",IF(M69&lt;=L69,"On-Time","Delayed"),"Pending"))</f>
        <v>0</v>
      </c>
    </row>
    <row r="70" spans="15:15">
      <c r="O70" s="8">
        <f>IF(N70="","",IF(N70="Closed",IF(M70&lt;=L70,"On-Time","Delayed"),"Pending"))</f>
        <v>0</v>
      </c>
    </row>
    <row r="71" spans="15:15">
      <c r="O71" s="8">
        <f>IF(N71="","",IF(N71="Closed",IF(M71&lt;=L71,"On-Time","Delayed"),"Pending"))</f>
        <v>0</v>
      </c>
    </row>
    <row r="72" spans="15:15">
      <c r="O72" s="8">
        <f>IF(N72="","",IF(N72="Closed",IF(M72&lt;=L72,"On-Time","Delayed"),"Pending"))</f>
        <v>0</v>
      </c>
    </row>
    <row r="73" spans="15:15">
      <c r="O73" s="8">
        <f>IF(N73="","",IF(N73="Closed",IF(M73&lt;=L73,"On-Time","Delayed"),"Pending"))</f>
        <v>0</v>
      </c>
    </row>
    <row r="74" spans="15:15">
      <c r="O74" s="8">
        <f>IF(N74="","",IF(N74="Closed",IF(M74&lt;=L74,"On-Time","Delayed"),"Pending"))</f>
        <v>0</v>
      </c>
    </row>
    <row r="75" spans="15:15">
      <c r="O75" s="8">
        <f>IF(N75="","",IF(N75="Closed",IF(M75&lt;=L75,"On-Time","Delayed"),"Pending"))</f>
        <v>0</v>
      </c>
    </row>
    <row r="76" spans="15:15">
      <c r="O76" s="8">
        <f>IF(N76="","",IF(N76="Closed",IF(M76&lt;=L76,"On-Time","Delayed"),"Pending"))</f>
        <v>0</v>
      </c>
    </row>
    <row r="77" spans="15:15">
      <c r="O77" s="8">
        <f>IF(N77="","",IF(N77="Closed",IF(M77&lt;=L77,"On-Time","Delayed"),"Pending"))</f>
        <v>0</v>
      </c>
    </row>
    <row r="78" spans="15:15">
      <c r="O78" s="8">
        <f>IF(N78="","",IF(N78="Closed",IF(M78&lt;=L78,"On-Time","Delayed"),"Pending"))</f>
        <v>0</v>
      </c>
    </row>
    <row r="79" spans="15:15">
      <c r="O79" s="8">
        <f>IF(N79="","",IF(N79="Closed",IF(M79&lt;=L79,"On-Time","Delayed"),"Pending"))</f>
        <v>0</v>
      </c>
    </row>
    <row r="80" spans="15:15">
      <c r="O80" s="8">
        <f>IF(N80="","",IF(N80="Closed",IF(M80&lt;=L80,"On-Time","Delayed"),"Pending"))</f>
        <v>0</v>
      </c>
    </row>
    <row r="81" spans="15:15">
      <c r="O81" s="8">
        <f>IF(N81="","",IF(N81="Closed",IF(M81&lt;=L81,"On-Time","Delayed"),"Pending"))</f>
        <v>0</v>
      </c>
    </row>
    <row r="82" spans="15:15">
      <c r="O82" s="8">
        <f>IF(N82="","",IF(N82="Closed",IF(M82&lt;=L82,"On-Time","Delayed"),"Pending"))</f>
        <v>0</v>
      </c>
    </row>
    <row r="83" spans="15:15">
      <c r="O83" s="8">
        <f>IF(N83="","",IF(N83="Closed",IF(M83&lt;=L83,"On-Time","Delayed"),"Pending"))</f>
        <v>0</v>
      </c>
    </row>
    <row r="84" spans="15:15">
      <c r="O84" s="8">
        <f>IF(N84="","",IF(N84="Closed",IF(M84&lt;=L84,"On-Time","Delayed"),"Pending"))</f>
        <v>0</v>
      </c>
    </row>
    <row r="85" spans="15:15">
      <c r="O85" s="8">
        <f>IF(N85="","",IF(N85="Closed",IF(M85&lt;=L85,"On-Time","Delayed"),"Pending"))</f>
        <v>0</v>
      </c>
    </row>
    <row r="86" spans="15:15">
      <c r="O86" s="8">
        <f>IF(N86="","",IF(N86="Closed",IF(M86&lt;=L86,"On-Time","Delayed"),"Pending"))</f>
        <v>0</v>
      </c>
    </row>
    <row r="87" spans="15:15">
      <c r="O87" s="8">
        <f>IF(N87="","",IF(N87="Closed",IF(M87&lt;=L87,"On-Time","Delayed"),"Pending"))</f>
        <v>0</v>
      </c>
    </row>
    <row r="88" spans="15:15">
      <c r="O88" s="8">
        <f>IF(N88="","",IF(N88="Closed",IF(M88&lt;=L88,"On-Time","Delayed"),"Pending"))</f>
        <v>0</v>
      </c>
    </row>
    <row r="89" spans="15:15">
      <c r="O89" s="8">
        <f>IF(N89="","",IF(N89="Closed",IF(M89&lt;=L89,"On-Time","Delayed"),"Pending"))</f>
        <v>0</v>
      </c>
    </row>
    <row r="90" spans="15:15">
      <c r="O90" s="8">
        <f>IF(N90="","",IF(N90="Closed",IF(M90&lt;=L90,"On-Time","Delayed"),"Pending"))</f>
        <v>0</v>
      </c>
    </row>
    <row r="91" spans="15:15">
      <c r="O91" s="8">
        <f>IF(N91="","",IF(N91="Closed",IF(M91&lt;=L91,"On-Time","Delayed"),"Pending"))</f>
        <v>0</v>
      </c>
    </row>
    <row r="92" spans="15:15">
      <c r="O92" s="8">
        <f>IF(N92="","",IF(N92="Closed",IF(M92&lt;=L92,"On-Time","Delayed"),"Pending"))</f>
        <v>0</v>
      </c>
    </row>
    <row r="93" spans="15:15">
      <c r="O93" s="8">
        <f>IF(N93="","",IF(N93="Closed",IF(M93&lt;=L93,"On-Time","Delayed"),"Pending"))</f>
        <v>0</v>
      </c>
    </row>
    <row r="94" spans="15:15">
      <c r="O94" s="8">
        <f>IF(N94="","",IF(N94="Closed",IF(M94&lt;=L94,"On-Time","Delayed"),"Pending"))</f>
        <v>0</v>
      </c>
    </row>
    <row r="95" spans="15:15">
      <c r="O95" s="8">
        <f>IF(N95="","",IF(N95="Closed",IF(M95&lt;=L95,"On-Time","Delayed"),"Pending"))</f>
        <v>0</v>
      </c>
    </row>
    <row r="96" spans="15:15">
      <c r="O96" s="8">
        <f>IF(N96="","",IF(N96="Closed",IF(M96&lt;=L96,"On-Time","Delayed"),"Pending"))</f>
        <v>0</v>
      </c>
    </row>
    <row r="97" spans="15:15">
      <c r="O97" s="8">
        <f>IF(N97="","",IF(N97="Closed",IF(M97&lt;=L97,"On-Time","Delayed"),"Pending"))</f>
        <v>0</v>
      </c>
    </row>
    <row r="98" spans="15:15">
      <c r="O98" s="8">
        <f>IF(N98="","",IF(N98="Closed",IF(M98&lt;=L98,"On-Time","Delayed"),"Pending"))</f>
        <v>0</v>
      </c>
    </row>
    <row r="99" spans="15:15">
      <c r="O99" s="8">
        <f>IF(N99="","",IF(N99="Closed",IF(M99&lt;=L99,"On-Time","Delayed"),"Pending"))</f>
        <v>0</v>
      </c>
    </row>
    <row r="100" spans="15:15">
      <c r="O100" s="8">
        <f>IF(N100="","",IF(N100="Closed",IF(M100&lt;=L100,"On-Time","Delayed"),"Pending"))</f>
        <v>0</v>
      </c>
    </row>
    <row r="101" spans="15:15">
      <c r="O101" s="8">
        <f>IF(N101="","",IF(N101="Closed",IF(M101&lt;=L101,"On-Time","Delayed"),"Pending"))</f>
        <v>0</v>
      </c>
    </row>
    <row r="102" spans="15:15">
      <c r="O102" s="8">
        <f>IF(N102="","",IF(N102="Closed",IF(M102&lt;=L102,"On-Time","Delayed"),"Pending"))</f>
        <v>0</v>
      </c>
    </row>
    <row r="103" spans="15:15">
      <c r="O103" s="8">
        <f>IF(N103="","",IF(N103="Closed",IF(M103&lt;=L103,"On-Time","Delayed"),"Pending"))</f>
        <v>0</v>
      </c>
    </row>
    <row r="104" spans="15:15">
      <c r="O104" s="8">
        <f>IF(N104="","",IF(N104="Closed",IF(M104&lt;=L104,"On-Time","Delayed"),"Pending"))</f>
        <v>0</v>
      </c>
    </row>
    <row r="105" spans="15:15">
      <c r="O105" s="8">
        <f>IF(N105="","",IF(N105="Closed",IF(M105&lt;=L105,"On-Time","Delayed"),"Pending"))</f>
        <v>0</v>
      </c>
    </row>
    <row r="106" spans="15:15">
      <c r="O106" s="8">
        <f>IF(N106="","",IF(N106="Closed",IF(M106&lt;=L106,"On-Time","Delayed"),"Pending"))</f>
        <v>0</v>
      </c>
    </row>
    <row r="107" spans="15:15">
      <c r="O107" s="8">
        <f>IF(N107="","",IF(N107="Closed",IF(M107&lt;=L107,"On-Time","Delayed"),"Pending"))</f>
        <v>0</v>
      </c>
    </row>
    <row r="108" spans="15:15">
      <c r="O108" s="8">
        <f>IF(N108="","",IF(N108="Closed",IF(M108&lt;=L108,"On-Time","Delayed"),"Pending"))</f>
        <v>0</v>
      </c>
    </row>
    <row r="109" spans="15:15">
      <c r="O109" s="8">
        <f>IF(N109="","",IF(N109="Closed",IF(M109&lt;=L109,"On-Time","Delayed"),"Pending"))</f>
        <v>0</v>
      </c>
    </row>
    <row r="110" spans="15:15">
      <c r="O110" s="8">
        <f>IF(N110="","",IF(N110="Closed",IF(M110&lt;=L110,"On-Time","Delayed"),"Pending"))</f>
        <v>0</v>
      </c>
    </row>
    <row r="111" spans="15:15">
      <c r="O111" s="8">
        <f>IF(N111="","",IF(N111="Closed",IF(M111&lt;=L111,"On-Time","Delayed"),"Pending"))</f>
        <v>0</v>
      </c>
    </row>
    <row r="112" spans="15:15">
      <c r="O112" s="8">
        <f>IF(N112="","",IF(N112="Closed",IF(M112&lt;=L112,"On-Time","Delayed"),"Pending"))</f>
        <v>0</v>
      </c>
    </row>
    <row r="113" spans="15:15">
      <c r="O113" s="8">
        <f>IF(N113="","",IF(N113="Closed",IF(M113&lt;=L113,"On-Time","Delayed"),"Pending"))</f>
        <v>0</v>
      </c>
    </row>
    <row r="114" spans="15:15">
      <c r="O114" s="8">
        <f>IF(N114="","",IF(N114="Closed",IF(M114&lt;=L114,"On-Time","Delayed"),"Pending"))</f>
        <v>0</v>
      </c>
    </row>
    <row r="115" spans="15:15">
      <c r="O115" s="8">
        <f>IF(N115="","",IF(N115="Closed",IF(M115&lt;=L115,"On-Time","Delayed"),"Pending"))</f>
        <v>0</v>
      </c>
    </row>
    <row r="116" spans="15:15">
      <c r="O116" s="8">
        <f>IF(N116="","",IF(N116="Closed",IF(M116&lt;=L116,"On-Time","Delayed"),"Pending"))</f>
        <v>0</v>
      </c>
    </row>
    <row r="117" spans="15:15">
      <c r="O117" s="8">
        <f>IF(N117="","",IF(N117="Closed",IF(M117&lt;=L117,"On-Time","Delayed"),"Pending"))</f>
        <v>0</v>
      </c>
    </row>
    <row r="118" spans="15:15">
      <c r="O118" s="8">
        <f>IF(N118="","",IF(N118="Closed",IF(M118&lt;=L118,"On-Time","Delayed"),"Pending"))</f>
        <v>0</v>
      </c>
    </row>
    <row r="119" spans="15:15">
      <c r="O119" s="8">
        <f>IF(N119="","",IF(N119="Closed",IF(M119&lt;=L119,"On-Time","Delayed"),"Pending"))</f>
        <v>0</v>
      </c>
    </row>
    <row r="120" spans="15:15">
      <c r="O120" s="8">
        <f>IF(N120="","",IF(N120="Closed",IF(M120&lt;=L120,"On-Time","Delayed"),"Pending"))</f>
        <v>0</v>
      </c>
    </row>
    <row r="121" spans="15:15">
      <c r="O121" s="8">
        <f>IF(N121="","",IF(N121="Closed",IF(M121&lt;=L121,"On-Time","Delayed"),"Pending"))</f>
        <v>0</v>
      </c>
    </row>
    <row r="122" spans="15:15">
      <c r="O122" s="8">
        <f>IF(N122="","",IF(N122="Closed",IF(M122&lt;=L122,"On-Time","Delayed"),"Pending"))</f>
        <v>0</v>
      </c>
    </row>
    <row r="123" spans="15:15">
      <c r="O123" s="8">
        <f>IF(N123="","",IF(N123="Closed",IF(M123&lt;=L123,"On-Time","Delayed"),"Pending"))</f>
        <v>0</v>
      </c>
    </row>
    <row r="124" spans="15:15">
      <c r="O124" s="8">
        <f>IF(N124="","",IF(N124="Closed",IF(M124&lt;=L124,"On-Time","Delayed"),"Pending"))</f>
        <v>0</v>
      </c>
    </row>
    <row r="125" spans="15:15">
      <c r="O125" s="8">
        <f>IF(N125="","",IF(N125="Closed",IF(M125&lt;=L125,"On-Time","Delayed"),"Pending"))</f>
        <v>0</v>
      </c>
    </row>
    <row r="126" spans="15:15">
      <c r="O126" s="8">
        <f>IF(N126="","",IF(N126="Closed",IF(M126&lt;=L126,"On-Time","Delayed"),"Pending"))</f>
        <v>0</v>
      </c>
    </row>
    <row r="127" spans="15:15">
      <c r="O127" s="8">
        <f>IF(N127="","",IF(N127="Closed",IF(M127&lt;=L127,"On-Time","Delayed"),"Pending"))</f>
        <v>0</v>
      </c>
    </row>
    <row r="128" spans="15:15">
      <c r="O128" s="8">
        <f>IF(N128="","",IF(N128="Closed",IF(M128&lt;=L128,"On-Time","Delayed"),"Pending"))</f>
        <v>0</v>
      </c>
    </row>
    <row r="129" spans="15:15">
      <c r="O129" s="8">
        <f>IF(N129="","",IF(N129="Closed",IF(M129&lt;=L129,"On-Time","Delayed"),"Pending"))</f>
        <v>0</v>
      </c>
    </row>
    <row r="130" spans="15:15">
      <c r="O130" s="8">
        <f>IF(N130="","",IF(N130="Closed",IF(M130&lt;=L130,"On-Time","Delayed"),"Pending"))</f>
        <v>0</v>
      </c>
    </row>
    <row r="131" spans="15:15">
      <c r="O131" s="8">
        <f>IF(N131="","",IF(N131="Closed",IF(M131&lt;=L131,"On-Time","Delayed"),"Pending"))</f>
        <v>0</v>
      </c>
    </row>
    <row r="132" spans="15:15">
      <c r="O132" s="8">
        <f>IF(N132="","",IF(N132="Closed",IF(M132&lt;=L132,"On-Time","Delayed"),"Pending"))</f>
        <v>0</v>
      </c>
    </row>
    <row r="133" spans="15:15">
      <c r="O133" s="8">
        <f>IF(N133="","",IF(N133="Closed",IF(M133&lt;=L133,"On-Time","Delayed"),"Pending"))</f>
        <v>0</v>
      </c>
    </row>
    <row r="134" spans="15:15">
      <c r="O134" s="8">
        <f>IF(N134="","",IF(N134="Closed",IF(M134&lt;=L134,"On-Time","Delayed"),"Pending"))</f>
        <v>0</v>
      </c>
    </row>
    <row r="135" spans="15:15">
      <c r="O135" s="8">
        <f>IF(N135="","",IF(N135="Closed",IF(M135&lt;=L135,"On-Time","Delayed"),"Pending"))</f>
        <v>0</v>
      </c>
    </row>
    <row r="136" spans="15:15">
      <c r="O136" s="8">
        <f>IF(N136="","",IF(N136="Closed",IF(M136&lt;=L136,"On-Time","Delayed"),"Pending"))</f>
        <v>0</v>
      </c>
    </row>
    <row r="137" spans="15:15">
      <c r="O137" s="8">
        <f>IF(N137="","",IF(N137="Closed",IF(M137&lt;=L137,"On-Time","Delayed"),"Pending"))</f>
        <v>0</v>
      </c>
    </row>
    <row r="138" spans="15:15">
      <c r="O138" s="8">
        <f>IF(N138="","",IF(N138="Closed",IF(M138&lt;=L138,"On-Time","Delayed"),"Pending"))</f>
        <v>0</v>
      </c>
    </row>
    <row r="139" spans="15:15">
      <c r="O139" s="8">
        <f>IF(N139="","",IF(N139="Closed",IF(M139&lt;=L139,"On-Time","Delayed"),"Pending"))</f>
        <v>0</v>
      </c>
    </row>
    <row r="140" spans="15:15">
      <c r="O140" s="8">
        <f>IF(N140="","",IF(N140="Closed",IF(M140&lt;=L140,"On-Time","Delayed"),"Pending"))</f>
        <v>0</v>
      </c>
    </row>
    <row r="141" spans="15:15">
      <c r="O141" s="8">
        <f>IF(N141="","",IF(N141="Closed",IF(M141&lt;=L141,"On-Time","Delayed"),"Pending"))</f>
        <v>0</v>
      </c>
    </row>
    <row r="142" spans="15:15">
      <c r="O142" s="8">
        <f>IF(N142="","",IF(N142="Closed",IF(M142&lt;=L142,"On-Time","Delayed"),"Pending"))</f>
        <v>0</v>
      </c>
    </row>
    <row r="143" spans="15:15">
      <c r="O143" s="8">
        <f>IF(N143="","",IF(N143="Closed",IF(M143&lt;=L143,"On-Time","Delayed"),"Pending"))</f>
        <v>0</v>
      </c>
    </row>
    <row r="144" spans="15:15">
      <c r="O144" s="8">
        <f>IF(N144="","",IF(N144="Closed",IF(M144&lt;=L144,"On-Time","Delayed"),"Pending"))</f>
        <v>0</v>
      </c>
    </row>
    <row r="145" spans="15:15">
      <c r="O145" s="8">
        <f>IF(N145="","",IF(N145="Closed",IF(M145&lt;=L145,"On-Time","Delayed"),"Pending"))</f>
        <v>0</v>
      </c>
    </row>
    <row r="146" spans="15:15">
      <c r="O146" s="8">
        <f>IF(N146="","",IF(N146="Closed",IF(M146&lt;=L146,"On-Time","Delayed"),"Pending"))</f>
        <v>0</v>
      </c>
    </row>
    <row r="147" spans="15:15">
      <c r="O147" s="8">
        <f>IF(N147="","",IF(N147="Closed",IF(M147&lt;=L147,"On-Time","Delayed"),"Pending"))</f>
        <v>0</v>
      </c>
    </row>
    <row r="148" spans="15:15">
      <c r="O148" s="8">
        <f>IF(N148="","",IF(N148="Closed",IF(M148&lt;=L148,"On-Time","Delayed"),"Pending"))</f>
        <v>0</v>
      </c>
    </row>
    <row r="149" spans="15:15">
      <c r="O149" s="8">
        <f>IF(N149="","",IF(N149="Closed",IF(M149&lt;=L149,"On-Time","Delayed"),"Pending"))</f>
        <v>0</v>
      </c>
    </row>
    <row r="150" spans="15:15">
      <c r="O150" s="8">
        <f>IF(N150="","",IF(N150="Closed",IF(M150&lt;=L150,"On-Time","Delayed"),"Pending"))</f>
        <v>0</v>
      </c>
    </row>
    <row r="151" spans="15:15">
      <c r="O151" s="8">
        <f>IF(N151="","",IF(N151="Closed",IF(M151&lt;=L151,"On-Time","Delayed"),"Pending"))</f>
        <v>0</v>
      </c>
    </row>
    <row r="152" spans="15:15">
      <c r="O152" s="8">
        <f>IF(N152="","",IF(N152="Closed",IF(M152&lt;=L152,"On-Time","Delayed"),"Pending"))</f>
        <v>0</v>
      </c>
    </row>
    <row r="153" spans="15:15">
      <c r="O153" s="8">
        <f>IF(N153="","",IF(N153="Closed",IF(M153&lt;=L153,"On-Time","Delayed"),"Pending"))</f>
        <v>0</v>
      </c>
    </row>
    <row r="154" spans="15:15">
      <c r="O154" s="8">
        <f>IF(N154="","",IF(N154="Closed",IF(M154&lt;=L154,"On-Time","Delayed"),"Pending"))</f>
        <v>0</v>
      </c>
    </row>
    <row r="155" spans="15:15">
      <c r="O155" s="8">
        <f>IF(N155="","",IF(N155="Closed",IF(M155&lt;=L155,"On-Time","Delayed"),"Pending"))</f>
        <v>0</v>
      </c>
    </row>
    <row r="156" spans="15:15">
      <c r="O156" s="8">
        <f>IF(N156="","",IF(N156="Closed",IF(M156&lt;=L156,"On-Time","Delayed"),"Pending"))</f>
        <v>0</v>
      </c>
    </row>
    <row r="157" spans="15:15">
      <c r="O157" s="8">
        <f>IF(N157="","",IF(N157="Closed",IF(M157&lt;=L157,"On-Time","Delayed"),"Pending"))</f>
        <v>0</v>
      </c>
    </row>
    <row r="158" spans="15:15">
      <c r="O158" s="8">
        <f>IF(N158="","",IF(N158="Closed",IF(M158&lt;=L158,"On-Time","Delayed"),"Pending"))</f>
        <v>0</v>
      </c>
    </row>
    <row r="159" spans="15:15">
      <c r="O159" s="8">
        <f>IF(N159="","",IF(N159="Closed",IF(M159&lt;=L159,"On-Time","Delayed"),"Pending"))</f>
        <v>0</v>
      </c>
    </row>
    <row r="160" spans="15:15">
      <c r="O160" s="8">
        <f>IF(N160="","",IF(N160="Closed",IF(M160&lt;=L160,"On-Time","Delayed"),"Pending"))</f>
        <v>0</v>
      </c>
    </row>
    <row r="161" spans="15:15">
      <c r="O161" s="8">
        <f>IF(N161="","",IF(N161="Closed",IF(M161&lt;=L161,"On-Time","Delayed"),"Pending"))</f>
        <v>0</v>
      </c>
    </row>
    <row r="162" spans="15:15">
      <c r="O162" s="8">
        <f>IF(N162="","",IF(N162="Closed",IF(M162&lt;=L162,"On-Time","Delayed"),"Pending"))</f>
        <v>0</v>
      </c>
    </row>
    <row r="163" spans="15:15">
      <c r="O163" s="8">
        <f>IF(N163="","",IF(N163="Closed",IF(M163&lt;=L163,"On-Time","Delayed"),"Pending"))</f>
        <v>0</v>
      </c>
    </row>
    <row r="164" spans="15:15">
      <c r="O164" s="8">
        <f>IF(N164="","",IF(N164="Closed",IF(M164&lt;=L164,"On-Time","Delayed"),"Pending"))</f>
        <v>0</v>
      </c>
    </row>
    <row r="165" spans="15:15">
      <c r="O165" s="8">
        <f>IF(N165="","",IF(N165="Closed",IF(M165&lt;=L165,"On-Time","Delayed"),"Pending"))</f>
        <v>0</v>
      </c>
    </row>
    <row r="166" spans="15:15">
      <c r="O166" s="8">
        <f>IF(N166="","",IF(N166="Closed",IF(M166&lt;=L166,"On-Time","Delayed"),"Pending"))</f>
        <v>0</v>
      </c>
    </row>
    <row r="167" spans="15:15">
      <c r="O167" s="8">
        <f>IF(N167="","",IF(N167="Closed",IF(M167&lt;=L167,"On-Time","Delayed"),"Pending"))</f>
        <v>0</v>
      </c>
    </row>
    <row r="168" spans="15:15">
      <c r="O168" s="8">
        <f>IF(N168="","",IF(N168="Closed",IF(M168&lt;=L168,"On-Time","Delayed"),"Pending"))</f>
        <v>0</v>
      </c>
    </row>
    <row r="169" spans="15:15">
      <c r="O169" s="8">
        <f>IF(N169="","",IF(N169="Closed",IF(M169&lt;=L169,"On-Time","Delayed"),"Pending"))</f>
        <v>0</v>
      </c>
    </row>
    <row r="170" spans="15:15">
      <c r="O170" s="8">
        <f>IF(N170="","",IF(N170="Closed",IF(M170&lt;=L170,"On-Time","Delayed"),"Pending"))</f>
        <v>0</v>
      </c>
    </row>
    <row r="171" spans="15:15">
      <c r="O171" s="8">
        <f>IF(N171="","",IF(N171="Closed",IF(M171&lt;=L171,"On-Time","Delayed"),"Pending"))</f>
        <v>0</v>
      </c>
    </row>
    <row r="172" spans="15:15">
      <c r="O172" s="8">
        <f>IF(N172="","",IF(N172="Closed",IF(M172&lt;=L172,"On-Time","Delayed"),"Pending"))</f>
        <v>0</v>
      </c>
    </row>
    <row r="173" spans="15:15">
      <c r="O173" s="8">
        <f>IF(N173="","",IF(N173="Closed",IF(M173&lt;=L173,"On-Time","Delayed"),"Pending"))</f>
        <v>0</v>
      </c>
    </row>
    <row r="174" spans="15:15">
      <c r="O174" s="8">
        <f>IF(N174="","",IF(N174="Closed",IF(M174&lt;=L174,"On-Time","Delayed"),"Pending"))</f>
        <v>0</v>
      </c>
    </row>
    <row r="175" spans="15:15">
      <c r="O175" s="8">
        <f>IF(N175="","",IF(N175="Closed",IF(M175&lt;=L175,"On-Time","Delayed"),"Pending"))</f>
        <v>0</v>
      </c>
    </row>
    <row r="176" spans="15:15">
      <c r="O176" s="8">
        <f>IF(N176="","",IF(N176="Closed",IF(M176&lt;=L176,"On-Time","Delayed"),"Pending"))</f>
        <v>0</v>
      </c>
    </row>
    <row r="177" spans="15:15">
      <c r="O177" s="8">
        <f>IF(N177="","",IF(N177="Closed",IF(M177&lt;=L177,"On-Time","Delayed"),"Pending"))</f>
        <v>0</v>
      </c>
    </row>
    <row r="178" spans="15:15">
      <c r="O178" s="8">
        <f>IF(N178="","",IF(N178="Closed",IF(M178&lt;=L178,"On-Time","Delayed"),"Pending"))</f>
        <v>0</v>
      </c>
    </row>
    <row r="179" spans="15:15">
      <c r="O179" s="8">
        <f>IF(N179="","",IF(N179="Closed",IF(M179&lt;=L179,"On-Time","Delayed"),"Pending"))</f>
        <v>0</v>
      </c>
    </row>
    <row r="180" spans="15:15">
      <c r="O180" s="8">
        <f>IF(N180="","",IF(N180="Closed",IF(M180&lt;=L180,"On-Time","Delayed"),"Pending"))</f>
        <v>0</v>
      </c>
    </row>
    <row r="181" spans="15:15">
      <c r="O181" s="8">
        <f>IF(N181="","",IF(N181="Closed",IF(M181&lt;=L181,"On-Time","Delayed"),"Pending"))</f>
        <v>0</v>
      </c>
    </row>
    <row r="182" spans="15:15">
      <c r="O182" s="8">
        <f>IF(N182="","",IF(N182="Closed",IF(M182&lt;=L182,"On-Time","Delayed"),"Pending"))</f>
        <v>0</v>
      </c>
    </row>
    <row r="183" spans="15:15">
      <c r="O183" s="8">
        <f>IF(N183="","",IF(N183="Closed",IF(M183&lt;=L183,"On-Time","Delayed"),"Pending"))</f>
        <v>0</v>
      </c>
    </row>
    <row r="184" spans="15:15">
      <c r="O184" s="8">
        <f>IF(N184="","",IF(N184="Closed",IF(M184&lt;=L184,"On-Time","Delayed"),"Pending"))</f>
        <v>0</v>
      </c>
    </row>
    <row r="185" spans="15:15">
      <c r="O185" s="8">
        <f>IF(N185="","",IF(N185="Closed",IF(M185&lt;=L185,"On-Time","Delayed"),"Pending"))</f>
        <v>0</v>
      </c>
    </row>
    <row r="186" spans="15:15">
      <c r="O186" s="8">
        <f>IF(N186="","",IF(N186="Closed",IF(M186&lt;=L186,"On-Time","Delayed"),"Pending"))</f>
        <v>0</v>
      </c>
    </row>
    <row r="187" spans="15:15">
      <c r="O187" s="8">
        <f>IF(N187="","",IF(N187="Closed",IF(M187&lt;=L187,"On-Time","Delayed"),"Pending"))</f>
        <v>0</v>
      </c>
    </row>
    <row r="188" spans="15:15">
      <c r="O188" s="8">
        <f>IF(N188="","",IF(N188="Closed",IF(M188&lt;=L188,"On-Time","Delayed"),"Pending"))</f>
        <v>0</v>
      </c>
    </row>
    <row r="189" spans="15:15">
      <c r="O189" s="8">
        <f>IF(N189="","",IF(N189="Closed",IF(M189&lt;=L189,"On-Time","Delayed"),"Pending"))</f>
        <v>0</v>
      </c>
    </row>
    <row r="190" spans="15:15">
      <c r="O190" s="8">
        <f>IF(N190="","",IF(N190="Closed",IF(M190&lt;=L190,"On-Time","Delayed"),"Pending"))</f>
        <v>0</v>
      </c>
    </row>
    <row r="191" spans="15:15">
      <c r="O191" s="8">
        <f>IF(N191="","",IF(N191="Closed",IF(M191&lt;=L191,"On-Time","Delayed"),"Pending"))</f>
        <v>0</v>
      </c>
    </row>
    <row r="192" spans="15:15">
      <c r="O192" s="8">
        <f>IF(N192="","",IF(N192="Closed",IF(M192&lt;=L192,"On-Time","Delayed"),"Pending"))</f>
        <v>0</v>
      </c>
    </row>
    <row r="193" spans="15:15">
      <c r="O193" s="8">
        <f>IF(N193="","",IF(N193="Closed",IF(M193&lt;=L193,"On-Time","Delayed"),"Pending"))</f>
        <v>0</v>
      </c>
    </row>
    <row r="194" spans="15:15">
      <c r="O194" s="8">
        <f>IF(N194="","",IF(N194="Closed",IF(M194&lt;=L194,"On-Time","Delayed"),"Pending"))</f>
        <v>0</v>
      </c>
    </row>
    <row r="195" spans="15:15">
      <c r="O195" s="8">
        <f>IF(N195="","",IF(N195="Closed",IF(M195&lt;=L195,"On-Time","Delayed"),"Pending"))</f>
        <v>0</v>
      </c>
    </row>
    <row r="196" spans="15:15">
      <c r="O196" s="8">
        <f>IF(N196="","",IF(N196="Closed",IF(M196&lt;=L196,"On-Time","Delayed"),"Pending"))</f>
        <v>0</v>
      </c>
    </row>
    <row r="197" spans="15:15">
      <c r="O197" s="8">
        <f>IF(N197="","",IF(N197="Closed",IF(M197&lt;=L197,"On-Time","Delayed"),"Pending"))</f>
        <v>0</v>
      </c>
    </row>
    <row r="198" spans="15:15">
      <c r="O198" s="8">
        <f>IF(N198="","",IF(N198="Closed",IF(M198&lt;=L198,"On-Time","Delayed"),"Pending"))</f>
        <v>0</v>
      </c>
    </row>
    <row r="199" spans="15:15">
      <c r="O199" s="8">
        <f>IF(N199="","",IF(N199="Closed",IF(M199&lt;=L199,"On-Time","Delayed"),"Pending"))</f>
        <v>0</v>
      </c>
    </row>
    <row r="200" spans="15:15">
      <c r="O200" s="8">
        <f>IF(N200="","",IF(N200="Closed",IF(M200&lt;=L200,"On-Time","Delayed"),"Pending"))</f>
        <v>0</v>
      </c>
    </row>
    <row r="201" spans="15:15">
      <c r="O201" s="8">
        <f>IF(N201="","",IF(N201="Closed",IF(M201&lt;=L201,"On-Time","Delayed"),"Pending"))</f>
        <v>0</v>
      </c>
    </row>
    <row r="202" spans="15:15">
      <c r="O202" s="8">
        <f>IF(N202="","",IF(N202="Closed",IF(M202&lt;=L202,"On-Time","Delayed"),"Pending"))</f>
        <v>0</v>
      </c>
    </row>
    <row r="203" spans="15:15">
      <c r="O203" s="8">
        <f>IF(N203="","",IF(N203="Closed",IF(M203&lt;=L203,"On-Time","Delayed"),"Pending"))</f>
        <v>0</v>
      </c>
    </row>
    <row r="204" spans="15:15">
      <c r="O204" s="8">
        <f>IF(N204="","",IF(N204="Closed",IF(M204&lt;=L204,"On-Time","Delayed"),"Pending"))</f>
        <v>0</v>
      </c>
    </row>
    <row r="205" spans="15:15">
      <c r="O205" s="8">
        <f>IF(N205="","",IF(N205="Closed",IF(M205&lt;=L205,"On-Time","Delayed"),"Pending"))</f>
        <v>0</v>
      </c>
    </row>
    <row r="206" spans="15:15">
      <c r="O206" s="8">
        <f>IF(N206="","",IF(N206="Closed",IF(M206&lt;=L206,"On-Time","Delayed"),"Pending"))</f>
        <v>0</v>
      </c>
    </row>
    <row r="207" spans="15:15">
      <c r="O207" s="8">
        <f>IF(N207="","",IF(N207="Closed",IF(M207&lt;=L207,"On-Time","Delayed"),"Pending"))</f>
        <v>0</v>
      </c>
    </row>
    <row r="208" spans="15:15">
      <c r="O208" s="8">
        <f>IF(N208="","",IF(N208="Closed",IF(M208&lt;=L208,"On-Time","Delayed"),"Pending"))</f>
        <v>0</v>
      </c>
    </row>
    <row r="209" spans="15:15">
      <c r="O209" s="8">
        <f>IF(N209="","",IF(N209="Closed",IF(M209&lt;=L209,"On-Time","Delayed"),"Pending"))</f>
        <v>0</v>
      </c>
    </row>
    <row r="210" spans="15:15">
      <c r="O210" s="8">
        <f>IF(N210="","",IF(N210="Closed",IF(M210&lt;=L210,"On-Time","Delayed"),"Pending"))</f>
        <v>0</v>
      </c>
    </row>
    <row r="211" spans="15:15">
      <c r="O211" s="8">
        <f>IF(N211="","",IF(N211="Closed",IF(M211&lt;=L211,"On-Time","Delayed"),"Pending"))</f>
        <v>0</v>
      </c>
    </row>
    <row r="212" spans="15:15">
      <c r="O212" s="8">
        <f>IF(N212="","",IF(N212="Closed",IF(M212&lt;=L212,"On-Time","Delayed"),"Pending"))</f>
        <v>0</v>
      </c>
    </row>
    <row r="213" spans="15:15">
      <c r="O213" s="8">
        <f>IF(N213="","",IF(N213="Closed",IF(M213&lt;=L213,"On-Time","Delayed"),"Pending"))</f>
        <v>0</v>
      </c>
    </row>
    <row r="214" spans="15:15">
      <c r="O214" s="8">
        <f>IF(N214="","",IF(N214="Closed",IF(M214&lt;=L214,"On-Time","Delayed"),"Pending"))</f>
        <v>0</v>
      </c>
    </row>
    <row r="215" spans="15:15">
      <c r="O215" s="8">
        <f>IF(N215="","",IF(N215="Closed",IF(M215&lt;=L215,"On-Time","Delayed"),"Pending"))</f>
        <v>0</v>
      </c>
    </row>
    <row r="216" spans="15:15">
      <c r="O216" s="8">
        <f>IF(N216="","",IF(N216="Closed",IF(M216&lt;=L216,"On-Time","Delayed"),"Pending"))</f>
        <v>0</v>
      </c>
    </row>
    <row r="217" spans="15:15">
      <c r="O217" s="8">
        <f>IF(N217="","",IF(N217="Closed",IF(M217&lt;=L217,"On-Time","Delayed"),"Pending"))</f>
        <v>0</v>
      </c>
    </row>
    <row r="218" spans="15:15">
      <c r="O218" s="8">
        <f>IF(N218="","",IF(N218="Closed",IF(M218&lt;=L218,"On-Time","Delayed"),"Pending"))</f>
        <v>0</v>
      </c>
    </row>
    <row r="219" spans="15:15">
      <c r="O219" s="8">
        <f>IF(N219="","",IF(N219="Closed",IF(M219&lt;=L219,"On-Time","Delayed"),"Pending"))</f>
        <v>0</v>
      </c>
    </row>
    <row r="220" spans="15:15">
      <c r="O220" s="8">
        <f>IF(N220="","",IF(N220="Closed",IF(M220&lt;=L220,"On-Time","Delayed"),"Pending"))</f>
        <v>0</v>
      </c>
    </row>
    <row r="221" spans="15:15">
      <c r="O221" s="8">
        <f>IF(N221="","",IF(N221="Closed",IF(M221&lt;=L221,"On-Time","Delayed"),"Pending"))</f>
        <v>0</v>
      </c>
    </row>
    <row r="222" spans="15:15">
      <c r="O222" s="8">
        <f>IF(N222="","",IF(N222="Closed",IF(M222&lt;=L222,"On-Time","Delayed"),"Pending"))</f>
        <v>0</v>
      </c>
    </row>
    <row r="223" spans="15:15">
      <c r="O223" s="8">
        <f>IF(N223="","",IF(N223="Closed",IF(M223&lt;=L223,"On-Time","Delayed"),"Pending"))</f>
        <v>0</v>
      </c>
    </row>
    <row r="224" spans="15:15">
      <c r="O224" s="8">
        <f>IF(N224="","",IF(N224="Closed",IF(M224&lt;=L224,"On-Time","Delayed"),"Pending"))</f>
        <v>0</v>
      </c>
    </row>
    <row r="225" spans="15:15">
      <c r="O225" s="8">
        <f>IF(N225="","",IF(N225="Closed",IF(M225&lt;=L225,"On-Time","Delayed"),"Pending"))</f>
        <v>0</v>
      </c>
    </row>
    <row r="226" spans="15:15">
      <c r="O226" s="8">
        <f>IF(N226="","",IF(N226="Closed",IF(M226&lt;=L226,"On-Time","Delayed"),"Pending"))</f>
        <v>0</v>
      </c>
    </row>
    <row r="227" spans="15:15">
      <c r="O227" s="8">
        <f>IF(N227="","",IF(N227="Closed",IF(M227&lt;=L227,"On-Time","Delayed"),"Pending"))</f>
        <v>0</v>
      </c>
    </row>
    <row r="228" spans="15:15">
      <c r="O228" s="8">
        <f>IF(N228="","",IF(N228="Closed",IF(M228&lt;=L228,"On-Time","Delayed"),"Pending"))</f>
        <v>0</v>
      </c>
    </row>
    <row r="229" spans="15:15">
      <c r="O229" s="8">
        <f>IF(N229="","",IF(N229="Closed",IF(M229&lt;=L229,"On-Time","Delayed"),"Pending"))</f>
        <v>0</v>
      </c>
    </row>
    <row r="230" spans="15:15">
      <c r="O230" s="8">
        <f>IF(N230="","",IF(N230="Closed",IF(M230&lt;=L230,"On-Time","Delayed"),"Pending"))</f>
        <v>0</v>
      </c>
    </row>
    <row r="231" spans="15:15">
      <c r="O231" s="8">
        <f>IF(N231="","",IF(N231="Closed",IF(M231&lt;=L231,"On-Time","Delayed"),"Pending"))</f>
        <v>0</v>
      </c>
    </row>
    <row r="232" spans="15:15">
      <c r="O232" s="8">
        <f>IF(N232="","",IF(N232="Closed",IF(M232&lt;=L232,"On-Time","Delayed"),"Pending"))</f>
        <v>0</v>
      </c>
    </row>
    <row r="233" spans="15:15">
      <c r="O233" s="8">
        <f>IF(N233="","",IF(N233="Closed",IF(M233&lt;=L233,"On-Time","Delayed"),"Pending"))</f>
        <v>0</v>
      </c>
    </row>
    <row r="234" spans="15:15">
      <c r="O234" s="8">
        <f>IF(N234="","",IF(N234="Closed",IF(M234&lt;=L234,"On-Time","Delayed"),"Pending"))</f>
        <v>0</v>
      </c>
    </row>
    <row r="235" spans="15:15">
      <c r="O235" s="8">
        <f>IF(N235="","",IF(N235="Closed",IF(M235&lt;=L235,"On-Time","Delayed"),"Pending"))</f>
        <v>0</v>
      </c>
    </row>
    <row r="236" spans="15:15">
      <c r="O236" s="8">
        <f>IF(N236="","",IF(N236="Closed",IF(M236&lt;=L236,"On-Time","Delayed"),"Pending"))</f>
        <v>0</v>
      </c>
    </row>
    <row r="237" spans="15:15">
      <c r="O237" s="8">
        <f>IF(N237="","",IF(N237="Closed",IF(M237&lt;=L237,"On-Time","Delayed"),"Pending"))</f>
        <v>0</v>
      </c>
    </row>
    <row r="238" spans="15:15">
      <c r="O238" s="8">
        <f>IF(N238="","",IF(N238="Closed",IF(M238&lt;=L238,"On-Time","Delayed"),"Pending"))</f>
        <v>0</v>
      </c>
    </row>
    <row r="239" spans="15:15">
      <c r="O239" s="8">
        <f>IF(N239="","",IF(N239="Closed",IF(M239&lt;=L239,"On-Time","Delayed"),"Pending"))</f>
        <v>0</v>
      </c>
    </row>
    <row r="240" spans="15:15">
      <c r="O240" s="8">
        <f>IF(N240="","",IF(N240="Closed",IF(M240&lt;=L240,"On-Time","Delayed"),"Pending"))</f>
        <v>0</v>
      </c>
    </row>
    <row r="241" spans="15:15">
      <c r="O241" s="8">
        <f>IF(N241="","",IF(N241="Closed",IF(M241&lt;=L241,"On-Time","Delayed"),"Pending"))</f>
        <v>0</v>
      </c>
    </row>
    <row r="242" spans="15:15">
      <c r="O242" s="8">
        <f>IF(N242="","",IF(N242="Closed",IF(M242&lt;=L242,"On-Time","Delayed"),"Pending"))</f>
        <v>0</v>
      </c>
    </row>
    <row r="243" spans="15:15">
      <c r="O243" s="8">
        <f>IF(N243="","",IF(N243="Closed",IF(M243&lt;=L243,"On-Time","Delayed"),"Pending"))</f>
        <v>0</v>
      </c>
    </row>
    <row r="244" spans="15:15">
      <c r="O244" s="8">
        <f>IF(N244="","",IF(N244="Closed",IF(M244&lt;=L244,"On-Time","Delayed"),"Pending"))</f>
        <v>0</v>
      </c>
    </row>
    <row r="245" spans="15:15">
      <c r="O245" s="8">
        <f>IF(N245="","",IF(N245="Closed",IF(M245&lt;=L245,"On-Time","Delayed"),"Pending"))</f>
        <v>0</v>
      </c>
    </row>
    <row r="246" spans="15:15">
      <c r="O246" s="8">
        <f>IF(N246="","",IF(N246="Closed",IF(M246&lt;=L246,"On-Time","Delayed"),"Pending"))</f>
        <v>0</v>
      </c>
    </row>
    <row r="247" spans="15:15">
      <c r="O247" s="8">
        <f>IF(N247="","",IF(N247="Closed",IF(M247&lt;=L247,"On-Time","Delayed"),"Pending"))</f>
        <v>0</v>
      </c>
    </row>
    <row r="248" spans="15:15">
      <c r="O248" s="8">
        <f>IF(N248="","",IF(N248="Closed",IF(M248&lt;=L248,"On-Time","Delayed"),"Pending"))</f>
        <v>0</v>
      </c>
    </row>
    <row r="249" spans="15:15">
      <c r="O249" s="8">
        <f>IF(N249="","",IF(N249="Closed",IF(M249&lt;=L249,"On-Time","Delayed"),"Pending"))</f>
        <v>0</v>
      </c>
    </row>
    <row r="250" spans="15:15">
      <c r="O250" s="8">
        <f>IF(N250="","",IF(N250="Closed",IF(M250&lt;=L250,"On-Time","Delayed"),"Pending"))</f>
        <v>0</v>
      </c>
    </row>
    <row r="251" spans="15:15">
      <c r="O251" s="8">
        <f>IF(N251="","",IF(N251="Closed",IF(M251&lt;=L251,"On-Time","Delayed"),"Pending"))</f>
        <v>0</v>
      </c>
    </row>
    <row r="252" spans="15:15">
      <c r="O252" s="8">
        <f>IF(N252="","",IF(N252="Closed",IF(M252&lt;=L252,"On-Time","Delayed"),"Pending"))</f>
        <v>0</v>
      </c>
    </row>
    <row r="253" spans="15:15">
      <c r="O253" s="8">
        <f>IF(N253="","",IF(N253="Closed",IF(M253&lt;=L253,"On-Time","Delayed"),"Pending"))</f>
        <v>0</v>
      </c>
    </row>
    <row r="254" spans="15:15">
      <c r="O254" s="8">
        <f>IF(N254="","",IF(N254="Closed",IF(M254&lt;=L254,"On-Time","Delayed"),"Pending"))</f>
        <v>0</v>
      </c>
    </row>
    <row r="255" spans="15:15">
      <c r="O255" s="8">
        <f>IF(N255="","",IF(N255="Closed",IF(M255&lt;=L255,"On-Time","Delayed"),"Pending"))</f>
        <v>0</v>
      </c>
    </row>
    <row r="256" spans="15:15">
      <c r="O256" s="8">
        <f>IF(N256="","",IF(N256="Closed",IF(M256&lt;=L256,"On-Time","Delayed"),"Pending"))</f>
        <v>0</v>
      </c>
    </row>
    <row r="257" spans="15:15">
      <c r="O257" s="8">
        <f>IF(N257="","",IF(N257="Closed",IF(M257&lt;=L257,"On-Time","Delayed"),"Pending"))</f>
        <v>0</v>
      </c>
    </row>
    <row r="258" spans="15:15">
      <c r="O258" s="8">
        <f>IF(N258="","",IF(N258="Closed",IF(M258&lt;=L258,"On-Time","Delayed"),"Pending"))</f>
        <v>0</v>
      </c>
    </row>
    <row r="259" spans="15:15">
      <c r="O259" s="8">
        <f>IF(N259="","",IF(N259="Closed",IF(M259&lt;=L259,"On-Time","Delayed"),"Pending"))</f>
        <v>0</v>
      </c>
    </row>
    <row r="260" spans="15:15">
      <c r="O260" s="8">
        <f>IF(N260="","",IF(N260="Closed",IF(M260&lt;=L260,"On-Time","Delayed"),"Pending"))</f>
        <v>0</v>
      </c>
    </row>
    <row r="261" spans="15:15">
      <c r="O261" s="8">
        <f>IF(N261="","",IF(N261="Closed",IF(M261&lt;=L261,"On-Time","Delayed"),"Pending"))</f>
        <v>0</v>
      </c>
    </row>
    <row r="262" spans="15:15">
      <c r="O262" s="8">
        <f>IF(N262="","",IF(N262="Closed",IF(M262&lt;=L262,"On-Time","Delayed"),"Pending"))</f>
        <v>0</v>
      </c>
    </row>
    <row r="263" spans="15:15">
      <c r="O263" s="8">
        <f>IF(N263="","",IF(N263="Closed",IF(M263&lt;=L263,"On-Time","Delayed"),"Pending"))</f>
        <v>0</v>
      </c>
    </row>
    <row r="264" spans="15:15">
      <c r="O264" s="8">
        <f>IF(N264="","",IF(N264="Closed",IF(M264&lt;=L264,"On-Time","Delayed"),"Pending"))</f>
        <v>0</v>
      </c>
    </row>
    <row r="265" spans="15:15">
      <c r="O265" s="8">
        <f>IF(N265="","",IF(N265="Closed",IF(M265&lt;=L265,"On-Time","Delayed"),"Pending"))</f>
        <v>0</v>
      </c>
    </row>
    <row r="266" spans="15:15">
      <c r="O266" s="8">
        <f>IF(N266="","",IF(N266="Closed",IF(M266&lt;=L266,"On-Time","Delayed"),"Pending"))</f>
        <v>0</v>
      </c>
    </row>
    <row r="267" spans="15:15">
      <c r="O267" s="8">
        <f>IF(N267="","",IF(N267="Closed",IF(M267&lt;=L267,"On-Time","Delayed"),"Pending"))</f>
        <v>0</v>
      </c>
    </row>
    <row r="268" spans="15:15">
      <c r="O268" s="8">
        <f>IF(N268="","",IF(N268="Closed",IF(M268&lt;=L268,"On-Time","Delayed"),"Pending"))</f>
        <v>0</v>
      </c>
    </row>
    <row r="269" spans="15:15">
      <c r="O269" s="8">
        <f>IF(N269="","",IF(N269="Closed",IF(M269&lt;=L269,"On-Time","Delayed"),"Pending"))</f>
        <v>0</v>
      </c>
    </row>
    <row r="270" spans="15:15">
      <c r="O270" s="8">
        <f>IF(N270="","",IF(N270="Closed",IF(M270&lt;=L270,"On-Time","Delayed"),"Pending"))</f>
        <v>0</v>
      </c>
    </row>
    <row r="271" spans="15:15">
      <c r="O271" s="8">
        <f>IF(N271="","",IF(N271="Closed",IF(M271&lt;=L271,"On-Time","Delayed"),"Pending"))</f>
        <v>0</v>
      </c>
    </row>
    <row r="272" spans="15:15">
      <c r="O272" s="8">
        <f>IF(N272="","",IF(N272="Closed",IF(M272&lt;=L272,"On-Time","Delayed"),"Pending"))</f>
        <v>0</v>
      </c>
    </row>
    <row r="273" spans="15:15">
      <c r="O273" s="8">
        <f>IF(N273="","",IF(N273="Closed",IF(M273&lt;=L273,"On-Time","Delayed"),"Pending"))</f>
        <v>0</v>
      </c>
    </row>
    <row r="274" spans="15:15">
      <c r="O274" s="8">
        <f>IF(N274="","",IF(N274="Closed",IF(M274&lt;=L274,"On-Time","Delayed"),"Pending"))</f>
        <v>0</v>
      </c>
    </row>
    <row r="275" spans="15:15">
      <c r="O275" s="8">
        <f>IF(N275="","",IF(N275="Closed",IF(M275&lt;=L275,"On-Time","Delayed"),"Pending"))</f>
        <v>0</v>
      </c>
    </row>
    <row r="276" spans="15:15">
      <c r="O276" s="8">
        <f>IF(N276="","",IF(N276="Closed",IF(M276&lt;=L276,"On-Time","Delayed"),"Pending"))</f>
        <v>0</v>
      </c>
    </row>
    <row r="277" spans="15:15">
      <c r="O277" s="8">
        <f>IF(N277="","",IF(N277="Closed",IF(M277&lt;=L277,"On-Time","Delayed"),"Pending"))</f>
        <v>0</v>
      </c>
    </row>
    <row r="278" spans="15:15">
      <c r="O278" s="8">
        <f>IF(N278="","",IF(N278="Closed",IF(M278&lt;=L278,"On-Time","Delayed"),"Pending"))</f>
        <v>0</v>
      </c>
    </row>
    <row r="279" spans="15:15">
      <c r="O279" s="8">
        <f>IF(N279="","",IF(N279="Closed",IF(M279&lt;=L279,"On-Time","Delayed"),"Pending"))</f>
        <v>0</v>
      </c>
    </row>
    <row r="280" spans="15:15">
      <c r="O280" s="8">
        <f>IF(N280="","",IF(N280="Closed",IF(M280&lt;=L280,"On-Time","Delayed"),"Pending"))</f>
        <v>0</v>
      </c>
    </row>
    <row r="281" spans="15:15">
      <c r="O281" s="8">
        <f>IF(N281="","",IF(N281="Closed",IF(M281&lt;=L281,"On-Time","Delayed"),"Pending"))</f>
        <v>0</v>
      </c>
    </row>
    <row r="282" spans="15:15">
      <c r="O282" s="8">
        <f>IF(N282="","",IF(N282="Closed",IF(M282&lt;=L282,"On-Time","Delayed"),"Pending"))</f>
        <v>0</v>
      </c>
    </row>
    <row r="283" spans="15:15">
      <c r="O283" s="8">
        <f>IF(N283="","",IF(N283="Closed",IF(M283&lt;=L283,"On-Time","Delayed"),"Pending"))</f>
        <v>0</v>
      </c>
    </row>
    <row r="284" spans="15:15">
      <c r="O284" s="8">
        <f>IF(N284="","",IF(N284="Closed",IF(M284&lt;=L284,"On-Time","Delayed"),"Pending"))</f>
        <v>0</v>
      </c>
    </row>
    <row r="285" spans="15:15">
      <c r="O285" s="8">
        <f>IF(N285="","",IF(N285="Closed",IF(M285&lt;=L285,"On-Time","Delayed"),"Pending"))</f>
        <v>0</v>
      </c>
    </row>
    <row r="286" spans="15:15">
      <c r="O286" s="8">
        <f>IF(N286="","",IF(N286="Closed",IF(M286&lt;=L286,"On-Time","Delayed"),"Pending"))</f>
        <v>0</v>
      </c>
    </row>
    <row r="287" spans="15:15">
      <c r="O287" s="8">
        <f>IF(N287="","",IF(N287="Closed",IF(M287&lt;=L287,"On-Time","Delayed"),"Pending"))</f>
        <v>0</v>
      </c>
    </row>
    <row r="288" spans="15:15">
      <c r="O288" s="8">
        <f>IF(N288="","",IF(N288="Closed",IF(M288&lt;=L288,"On-Time","Delayed"),"Pending"))</f>
        <v>0</v>
      </c>
    </row>
    <row r="289" spans="15:15">
      <c r="O289" s="8">
        <f>IF(N289="","",IF(N289="Closed",IF(M289&lt;=L289,"On-Time","Delayed"),"Pending"))</f>
        <v>0</v>
      </c>
    </row>
    <row r="290" spans="15:15">
      <c r="O290" s="8">
        <f>IF(N290="","",IF(N290="Closed",IF(M290&lt;=L290,"On-Time","Delayed"),"Pending"))</f>
        <v>0</v>
      </c>
    </row>
    <row r="291" spans="15:15">
      <c r="O291" s="8">
        <f>IF(N291="","",IF(N291="Closed",IF(M291&lt;=L291,"On-Time","Delayed"),"Pending"))</f>
        <v>0</v>
      </c>
    </row>
    <row r="292" spans="15:15">
      <c r="O292" s="8">
        <f>IF(N292="","",IF(N292="Closed",IF(M292&lt;=L292,"On-Time","Delayed"),"Pending"))</f>
        <v>0</v>
      </c>
    </row>
    <row r="293" spans="15:15">
      <c r="O293" s="8">
        <f>IF(N293="","",IF(N293="Closed",IF(M293&lt;=L293,"On-Time","Delayed"),"Pending"))</f>
        <v>0</v>
      </c>
    </row>
    <row r="294" spans="15:15">
      <c r="O294" s="8">
        <f>IF(N294="","",IF(N294="Closed",IF(M294&lt;=L294,"On-Time","Delayed"),"Pending"))</f>
        <v>0</v>
      </c>
    </row>
    <row r="295" spans="15:15">
      <c r="O295" s="8">
        <f>IF(N295="","",IF(N295="Closed",IF(M295&lt;=L295,"On-Time","Delayed"),"Pending"))</f>
        <v>0</v>
      </c>
    </row>
    <row r="296" spans="15:15">
      <c r="O296" s="8">
        <f>IF(N296="","",IF(N296="Closed",IF(M296&lt;=L296,"On-Time","Delayed"),"Pending"))</f>
        <v>0</v>
      </c>
    </row>
    <row r="297" spans="15:15">
      <c r="O297" s="8">
        <f>IF(N297="","",IF(N297="Closed",IF(M297&lt;=L297,"On-Time","Delayed"),"Pending"))</f>
        <v>0</v>
      </c>
    </row>
    <row r="298" spans="15:15">
      <c r="O298" s="8">
        <f>IF(N298="","",IF(N298="Closed",IF(M298&lt;=L298,"On-Time","Delayed"),"Pending"))</f>
        <v>0</v>
      </c>
    </row>
    <row r="299" spans="15:15">
      <c r="O299" s="8">
        <f>IF(N299="","",IF(N299="Closed",IF(M299&lt;=L299,"On-Time","Delayed"),"Pending"))</f>
        <v>0</v>
      </c>
    </row>
    <row r="300" spans="15:15">
      <c r="O300" s="8">
        <f>IF(N300="","",IF(N300="Closed",IF(M300&lt;=L300,"On-Time","Delayed"),"Pending"))</f>
        <v>0</v>
      </c>
    </row>
    <row r="301" spans="15:15">
      <c r="O301" s="8">
        <f>IF(N301="","",IF(N301="Closed",IF(M301&lt;=L301,"On-Time","Delayed"),"Pending"))</f>
        <v>0</v>
      </c>
    </row>
    <row r="302" spans="15:15">
      <c r="O302" s="8">
        <f>IF(N302="","",IF(N302="Closed",IF(M302&lt;=L302,"On-Time","Delayed"),"Pending"))</f>
        <v>0</v>
      </c>
    </row>
    <row r="303" spans="15:15">
      <c r="O303" s="8">
        <f>IF(N303="","",IF(N303="Closed",IF(M303&lt;=L303,"On-Time","Delayed"),"Pending"))</f>
        <v>0</v>
      </c>
    </row>
    <row r="304" spans="15:15">
      <c r="O304" s="8">
        <f>IF(N304="","",IF(N304="Closed",IF(M304&lt;=L304,"On-Time","Delayed"),"Pending"))</f>
        <v>0</v>
      </c>
    </row>
    <row r="305" spans="15:15">
      <c r="O305" s="8">
        <f>IF(N305="","",IF(N305="Closed",IF(M305&lt;=L305,"On-Time","Delayed"),"Pending"))</f>
        <v>0</v>
      </c>
    </row>
    <row r="306" spans="15:15">
      <c r="O306" s="8">
        <f>IF(N306="","",IF(N306="Closed",IF(M306&lt;=L306,"On-Time","Delayed"),"Pending"))</f>
        <v>0</v>
      </c>
    </row>
    <row r="307" spans="15:15">
      <c r="O307" s="8">
        <f>IF(N307="","",IF(N307="Closed",IF(M307&lt;=L307,"On-Time","Delayed"),"Pending"))</f>
        <v>0</v>
      </c>
    </row>
    <row r="308" spans="15:15">
      <c r="O308" s="8">
        <f>IF(N308="","",IF(N308="Closed",IF(M308&lt;=L308,"On-Time","Delayed"),"Pending"))</f>
        <v>0</v>
      </c>
    </row>
    <row r="309" spans="15:15">
      <c r="O309" s="8">
        <f>IF(N309="","",IF(N309="Closed",IF(M309&lt;=L309,"On-Time","Delayed"),"Pending"))</f>
        <v>0</v>
      </c>
    </row>
    <row r="310" spans="15:15">
      <c r="O310" s="8">
        <f>IF(N310="","",IF(N310="Closed",IF(M310&lt;=L310,"On-Time","Delayed"),"Pending"))</f>
        <v>0</v>
      </c>
    </row>
    <row r="311" spans="15:15">
      <c r="O311" s="8">
        <f>IF(N311="","",IF(N311="Closed",IF(M311&lt;=L311,"On-Time","Delayed"),"Pending"))</f>
        <v>0</v>
      </c>
    </row>
    <row r="312" spans="15:15">
      <c r="O312" s="8">
        <f>IF(N312="","",IF(N312="Closed",IF(M312&lt;=L312,"On-Time","Delayed"),"Pending"))</f>
        <v>0</v>
      </c>
    </row>
    <row r="313" spans="15:15">
      <c r="O313" s="8">
        <f>IF(N313="","",IF(N313="Closed",IF(M313&lt;=L313,"On-Time","Delayed"),"Pending"))</f>
        <v>0</v>
      </c>
    </row>
    <row r="314" spans="15:15">
      <c r="O314" s="8">
        <f>IF(N314="","",IF(N314="Closed",IF(M314&lt;=L314,"On-Time","Delayed"),"Pending"))</f>
        <v>0</v>
      </c>
    </row>
    <row r="315" spans="15:15">
      <c r="O315" s="8">
        <f>IF(N315="","",IF(N315="Closed",IF(M315&lt;=L315,"On-Time","Delayed"),"Pending"))</f>
        <v>0</v>
      </c>
    </row>
    <row r="316" spans="15:15">
      <c r="O316" s="8">
        <f>IF(N316="","",IF(N316="Closed",IF(M316&lt;=L316,"On-Time","Delayed"),"Pending"))</f>
        <v>0</v>
      </c>
    </row>
    <row r="317" spans="15:15">
      <c r="O317" s="8">
        <f>IF(N317="","",IF(N317="Closed",IF(M317&lt;=L317,"On-Time","Delayed"),"Pending"))</f>
        <v>0</v>
      </c>
    </row>
    <row r="318" spans="15:15">
      <c r="O318" s="8">
        <f>IF(N318="","",IF(N318="Closed",IF(M318&lt;=L318,"On-Time","Delayed"),"Pending"))</f>
        <v>0</v>
      </c>
    </row>
    <row r="319" spans="15:15">
      <c r="O319" s="8">
        <f>IF(N319="","",IF(N319="Closed",IF(M319&lt;=L319,"On-Time","Delayed"),"Pending"))</f>
        <v>0</v>
      </c>
    </row>
    <row r="320" spans="15:15">
      <c r="O320" s="8">
        <f>IF(N320="","",IF(N320="Closed",IF(M320&lt;=L320,"On-Time","Delayed"),"Pending"))</f>
        <v>0</v>
      </c>
    </row>
    <row r="321" spans="15:15">
      <c r="O321" s="8">
        <f>IF(N321="","",IF(N321="Closed",IF(M321&lt;=L321,"On-Time","Delayed"),"Pending"))</f>
        <v>0</v>
      </c>
    </row>
    <row r="322" spans="15:15">
      <c r="O322" s="8">
        <f>IF(N322="","",IF(N322="Closed",IF(M322&lt;=L322,"On-Time","Delayed"),"Pending"))</f>
        <v>0</v>
      </c>
    </row>
    <row r="323" spans="15:15">
      <c r="O323" s="8">
        <f>IF(N323="","",IF(N323="Closed",IF(M323&lt;=L323,"On-Time","Delayed"),"Pending"))</f>
        <v>0</v>
      </c>
    </row>
    <row r="324" spans="15:15">
      <c r="O324" s="8">
        <f>IF(N324="","",IF(N324="Closed",IF(M324&lt;=L324,"On-Time","Delayed"),"Pending"))</f>
        <v>0</v>
      </c>
    </row>
    <row r="325" spans="15:15">
      <c r="O325" s="8">
        <f>IF(N325="","",IF(N325="Closed",IF(M325&lt;=L325,"On-Time","Delayed"),"Pending"))</f>
        <v>0</v>
      </c>
    </row>
    <row r="326" spans="15:15">
      <c r="O326" s="8">
        <f>IF(N326="","",IF(N326="Closed",IF(M326&lt;=L326,"On-Time","Delayed"),"Pending"))</f>
        <v>0</v>
      </c>
    </row>
    <row r="327" spans="15:15">
      <c r="O327" s="8">
        <f>IF(N327="","",IF(N327="Closed",IF(M327&lt;=L327,"On-Time","Delayed"),"Pending"))</f>
        <v>0</v>
      </c>
    </row>
    <row r="328" spans="15:15">
      <c r="O328" s="8">
        <f>IF(N328="","",IF(N328="Closed",IF(M328&lt;=L328,"On-Time","Delayed"),"Pending"))</f>
        <v>0</v>
      </c>
    </row>
    <row r="329" spans="15:15">
      <c r="O329" s="8">
        <f>IF(N329="","",IF(N329="Closed",IF(M329&lt;=L329,"On-Time","Delayed"),"Pending"))</f>
        <v>0</v>
      </c>
    </row>
    <row r="330" spans="15:15">
      <c r="O330" s="8">
        <f>IF(N330="","",IF(N330="Closed",IF(M330&lt;=L330,"On-Time","Delayed"),"Pending"))</f>
        <v>0</v>
      </c>
    </row>
    <row r="331" spans="15:15">
      <c r="O331" s="8">
        <f>IF(N331="","",IF(N331="Closed",IF(M331&lt;=L331,"On-Time","Delayed"),"Pending"))</f>
        <v>0</v>
      </c>
    </row>
    <row r="332" spans="15:15">
      <c r="O332" s="8">
        <f>IF(N332="","",IF(N332="Closed",IF(M332&lt;=L332,"On-Time","Delayed"),"Pending"))</f>
        <v>0</v>
      </c>
    </row>
    <row r="333" spans="15:15">
      <c r="O333" s="8">
        <f>IF(N333="","",IF(N333="Closed",IF(M333&lt;=L333,"On-Time","Delayed"),"Pending"))</f>
        <v>0</v>
      </c>
    </row>
    <row r="334" spans="15:15">
      <c r="O334" s="8">
        <f>IF(N334="","",IF(N334="Closed",IF(M334&lt;=L334,"On-Time","Delayed"),"Pending"))</f>
        <v>0</v>
      </c>
    </row>
    <row r="335" spans="15:15">
      <c r="O335" s="8">
        <f>IF(N335="","",IF(N335="Closed",IF(M335&lt;=L335,"On-Time","Delayed"),"Pending"))</f>
        <v>0</v>
      </c>
    </row>
    <row r="336" spans="15:15">
      <c r="O336" s="8">
        <f>IF(N336="","",IF(N336="Closed",IF(M336&lt;=L336,"On-Time","Delayed"),"Pending"))</f>
        <v>0</v>
      </c>
    </row>
    <row r="337" spans="15:15">
      <c r="O337" s="8">
        <f>IF(N337="","",IF(N337="Closed",IF(M337&lt;=L337,"On-Time","Delayed"),"Pending"))</f>
        <v>0</v>
      </c>
    </row>
    <row r="338" spans="15:15">
      <c r="O338" s="8">
        <f>IF(N338="","",IF(N338="Closed",IF(M338&lt;=L338,"On-Time","Delayed"),"Pending"))</f>
        <v>0</v>
      </c>
    </row>
    <row r="339" spans="15:15">
      <c r="O339" s="8">
        <f>IF(N339="","",IF(N339="Closed",IF(M339&lt;=L339,"On-Time","Delayed"),"Pending"))</f>
        <v>0</v>
      </c>
    </row>
    <row r="340" spans="15:15">
      <c r="O340" s="8">
        <f>IF(N340="","",IF(N340="Closed",IF(M340&lt;=L340,"On-Time","Delayed"),"Pending"))</f>
        <v>0</v>
      </c>
    </row>
    <row r="341" spans="15:15">
      <c r="O341" s="8">
        <f>IF(N341="","",IF(N341="Closed",IF(M341&lt;=L341,"On-Time","Delayed"),"Pending"))</f>
        <v>0</v>
      </c>
    </row>
    <row r="342" spans="15:15">
      <c r="O342" s="8">
        <f>IF(N342="","",IF(N342="Closed",IF(M342&lt;=L342,"On-Time","Delayed"),"Pending"))</f>
        <v>0</v>
      </c>
    </row>
    <row r="343" spans="15:15">
      <c r="O343" s="8">
        <f>IF(N343="","",IF(N343="Closed",IF(M343&lt;=L343,"On-Time","Delayed"),"Pending"))</f>
        <v>0</v>
      </c>
    </row>
    <row r="344" spans="15:15">
      <c r="O344" s="8">
        <f>IF(N344="","",IF(N344="Closed",IF(M344&lt;=L344,"On-Time","Delayed"),"Pending"))</f>
        <v>0</v>
      </c>
    </row>
    <row r="345" spans="15:15">
      <c r="O345" s="8">
        <f>IF(N345="","",IF(N345="Closed",IF(M345&lt;=L345,"On-Time","Delayed"),"Pending"))</f>
        <v>0</v>
      </c>
    </row>
    <row r="346" spans="15:15">
      <c r="O346" s="8">
        <f>IF(N346="","",IF(N346="Closed",IF(M346&lt;=L346,"On-Time","Delayed"),"Pending"))</f>
        <v>0</v>
      </c>
    </row>
    <row r="347" spans="15:15">
      <c r="O347" s="8">
        <f>IF(N347="","",IF(N347="Closed",IF(M347&lt;=L347,"On-Time","Delayed"),"Pending"))</f>
        <v>0</v>
      </c>
    </row>
    <row r="348" spans="15:15">
      <c r="O348" s="8">
        <f>IF(N348="","",IF(N348="Closed",IF(M348&lt;=L348,"On-Time","Delayed"),"Pending"))</f>
        <v>0</v>
      </c>
    </row>
    <row r="349" spans="15:15">
      <c r="O349" s="8">
        <f>IF(N349="","",IF(N349="Closed",IF(M349&lt;=L349,"On-Time","Delayed"),"Pending"))</f>
        <v>0</v>
      </c>
    </row>
    <row r="350" spans="15:15">
      <c r="O350" s="8">
        <f>IF(N350="","",IF(N350="Closed",IF(M350&lt;=L350,"On-Time","Delayed"),"Pending"))</f>
        <v>0</v>
      </c>
    </row>
    <row r="351" spans="15:15">
      <c r="O351" s="8">
        <f>IF(N351="","",IF(N351="Closed",IF(M351&lt;=L351,"On-Time","Delayed"),"Pending"))</f>
        <v>0</v>
      </c>
    </row>
    <row r="352" spans="15:15">
      <c r="O352" s="8">
        <f>IF(N352="","",IF(N352="Closed",IF(M352&lt;=L352,"On-Time","Delayed"),"Pending"))</f>
        <v>0</v>
      </c>
    </row>
    <row r="353" spans="15:15">
      <c r="O353" s="8">
        <f>IF(N353="","",IF(N353="Closed",IF(M353&lt;=L353,"On-Time","Delayed"),"Pending"))</f>
        <v>0</v>
      </c>
    </row>
    <row r="354" spans="15:15">
      <c r="O354" s="8">
        <f>IF(N354="","",IF(N354="Closed",IF(M354&lt;=L354,"On-Time","Delayed"),"Pending"))</f>
        <v>0</v>
      </c>
    </row>
    <row r="355" spans="15:15">
      <c r="O355" s="8">
        <f>IF(N355="","",IF(N355="Closed",IF(M355&lt;=L355,"On-Time","Delayed"),"Pending"))</f>
        <v>0</v>
      </c>
    </row>
    <row r="356" spans="15:15">
      <c r="O356" s="8">
        <f>IF(N356="","",IF(N356="Closed",IF(M356&lt;=L356,"On-Time","Delayed"),"Pending"))</f>
        <v>0</v>
      </c>
    </row>
    <row r="357" spans="15:15">
      <c r="O357" s="8">
        <f>IF(N357="","",IF(N357="Closed",IF(M357&lt;=L357,"On-Time","Delayed"),"Pending"))</f>
        <v>0</v>
      </c>
    </row>
    <row r="358" spans="15:15">
      <c r="O358" s="8">
        <f>IF(N358="","",IF(N358="Closed",IF(M358&lt;=L358,"On-Time","Delayed"),"Pending"))</f>
        <v>0</v>
      </c>
    </row>
    <row r="359" spans="15:15">
      <c r="O359" s="8">
        <f>IF(N359="","",IF(N359="Closed",IF(M359&lt;=L359,"On-Time","Delayed"),"Pending"))</f>
        <v>0</v>
      </c>
    </row>
    <row r="360" spans="15:15">
      <c r="O360" s="8">
        <f>IF(N360="","",IF(N360="Closed",IF(M360&lt;=L360,"On-Time","Delayed"),"Pending"))</f>
        <v>0</v>
      </c>
    </row>
    <row r="361" spans="15:15">
      <c r="O361" s="8">
        <f>IF(N361="","",IF(N361="Closed",IF(M361&lt;=L361,"On-Time","Delayed"),"Pending"))</f>
        <v>0</v>
      </c>
    </row>
    <row r="362" spans="15:15">
      <c r="O362" s="8">
        <f>IF(N362="","",IF(N362="Closed",IF(M362&lt;=L362,"On-Time","Delayed"),"Pending"))</f>
        <v>0</v>
      </c>
    </row>
    <row r="363" spans="15:15">
      <c r="O363" s="8">
        <f>IF(N363="","",IF(N363="Closed",IF(M363&lt;=L363,"On-Time","Delayed"),"Pending"))</f>
        <v>0</v>
      </c>
    </row>
    <row r="364" spans="15:15">
      <c r="O364" s="8">
        <f>IF(N364="","",IF(N364="Closed",IF(M364&lt;=L364,"On-Time","Delayed"),"Pending"))</f>
        <v>0</v>
      </c>
    </row>
    <row r="365" spans="15:15">
      <c r="O365" s="8">
        <f>IF(N365="","",IF(N365="Closed",IF(M365&lt;=L365,"On-Time","Delayed"),"Pending"))</f>
        <v>0</v>
      </c>
    </row>
    <row r="366" spans="15:15">
      <c r="O366" s="8">
        <f>IF(N366="","",IF(N366="Closed",IF(M366&lt;=L366,"On-Time","Delayed"),"Pending"))</f>
        <v>0</v>
      </c>
    </row>
    <row r="367" spans="15:15">
      <c r="O367" s="8">
        <f>IF(N367="","",IF(N367="Closed",IF(M367&lt;=L367,"On-Time","Delayed"),"Pending"))</f>
        <v>0</v>
      </c>
    </row>
    <row r="368" spans="15:15">
      <c r="O368" s="8">
        <f>IF(N368="","",IF(N368="Closed",IF(M368&lt;=L368,"On-Time","Delayed"),"Pending"))</f>
        <v>0</v>
      </c>
    </row>
    <row r="369" spans="15:15">
      <c r="O369" s="8">
        <f>IF(N369="","",IF(N369="Closed",IF(M369&lt;=L369,"On-Time","Delayed"),"Pending"))</f>
        <v>0</v>
      </c>
    </row>
    <row r="370" spans="15:15">
      <c r="O370" s="8">
        <f>IF(N370="","",IF(N370="Closed",IF(M370&lt;=L370,"On-Time","Delayed"),"Pending"))</f>
        <v>0</v>
      </c>
    </row>
    <row r="371" spans="15:15">
      <c r="O371" s="8">
        <f>IF(N371="","",IF(N371="Closed",IF(M371&lt;=L371,"On-Time","Delayed"),"Pending"))</f>
        <v>0</v>
      </c>
    </row>
    <row r="372" spans="15:15">
      <c r="O372" s="8">
        <f>IF(N372="","",IF(N372="Closed",IF(M372&lt;=L372,"On-Time","Delayed"),"Pending"))</f>
        <v>0</v>
      </c>
    </row>
    <row r="373" spans="15:15">
      <c r="O373" s="8">
        <f>IF(N373="","",IF(N373="Closed",IF(M373&lt;=L373,"On-Time","Delayed"),"Pending"))</f>
        <v>0</v>
      </c>
    </row>
    <row r="374" spans="15:15">
      <c r="O374" s="8">
        <f>IF(N374="","",IF(N374="Closed",IF(M374&lt;=L374,"On-Time","Delayed"),"Pending"))</f>
        <v>0</v>
      </c>
    </row>
    <row r="375" spans="15:15">
      <c r="O375" s="8">
        <f>IF(N375="","",IF(N375="Closed",IF(M375&lt;=L375,"On-Time","Delayed"),"Pending"))</f>
        <v>0</v>
      </c>
    </row>
    <row r="376" spans="15:15">
      <c r="O376" s="8">
        <f>IF(N376="","",IF(N376="Closed",IF(M376&lt;=L376,"On-Time","Delayed"),"Pending"))</f>
        <v>0</v>
      </c>
    </row>
    <row r="377" spans="15:15">
      <c r="O377" s="8">
        <f>IF(N377="","",IF(N377="Closed",IF(M377&lt;=L377,"On-Time","Delayed"),"Pending"))</f>
        <v>0</v>
      </c>
    </row>
    <row r="378" spans="15:15">
      <c r="O378" s="8">
        <f>IF(N378="","",IF(N378="Closed",IF(M378&lt;=L378,"On-Time","Delayed"),"Pending"))</f>
        <v>0</v>
      </c>
    </row>
    <row r="379" spans="15:15">
      <c r="O379" s="8">
        <f>IF(N379="","",IF(N379="Closed",IF(M379&lt;=L379,"On-Time","Delayed"),"Pending"))</f>
        <v>0</v>
      </c>
    </row>
    <row r="380" spans="15:15">
      <c r="O380" s="8">
        <f>IF(N380="","",IF(N380="Closed",IF(M380&lt;=L380,"On-Time","Delayed"),"Pending"))</f>
        <v>0</v>
      </c>
    </row>
    <row r="381" spans="15:15">
      <c r="O381" s="8">
        <f>IF(N381="","",IF(N381="Closed",IF(M381&lt;=L381,"On-Time","Delayed"),"Pending"))</f>
        <v>0</v>
      </c>
    </row>
    <row r="382" spans="15:15">
      <c r="O382" s="8">
        <f>IF(N382="","",IF(N382="Closed",IF(M382&lt;=L382,"On-Time","Delayed"),"Pending"))</f>
        <v>0</v>
      </c>
    </row>
    <row r="383" spans="15:15">
      <c r="O383" s="8">
        <f>IF(N383="","",IF(N383="Closed",IF(M383&lt;=L383,"On-Time","Delayed"),"Pending"))</f>
        <v>0</v>
      </c>
    </row>
    <row r="384" spans="15:15">
      <c r="O384" s="8">
        <f>IF(N384="","",IF(N384="Closed",IF(M384&lt;=L384,"On-Time","Delayed"),"Pending"))</f>
        <v>0</v>
      </c>
    </row>
    <row r="385" spans="15:15">
      <c r="O385" s="8">
        <f>IF(N385="","",IF(N385="Closed",IF(M385&lt;=L385,"On-Time","Delayed"),"Pending"))</f>
        <v>0</v>
      </c>
    </row>
    <row r="386" spans="15:15">
      <c r="O386" s="8">
        <f>IF(N386="","",IF(N386="Closed",IF(M386&lt;=L386,"On-Time","Delayed"),"Pending"))</f>
        <v>0</v>
      </c>
    </row>
    <row r="387" spans="15:15">
      <c r="O387" s="8">
        <f>IF(N387="","",IF(N387="Closed",IF(M387&lt;=L387,"On-Time","Delayed"),"Pending"))</f>
        <v>0</v>
      </c>
    </row>
    <row r="388" spans="15:15">
      <c r="O388" s="8">
        <f>IF(N388="","",IF(N388="Closed",IF(M388&lt;=L388,"On-Time","Delayed"),"Pending"))</f>
        <v>0</v>
      </c>
    </row>
    <row r="389" spans="15:15">
      <c r="O389" s="8">
        <f>IF(N389="","",IF(N389="Closed",IF(M389&lt;=L389,"On-Time","Delayed"),"Pending"))</f>
        <v>0</v>
      </c>
    </row>
    <row r="390" spans="15:15">
      <c r="O390" s="8">
        <f>IF(N390="","",IF(N390="Closed",IF(M390&lt;=L390,"On-Time","Delayed"),"Pending"))</f>
        <v>0</v>
      </c>
    </row>
    <row r="391" spans="15:15">
      <c r="O391" s="8">
        <f>IF(N391="","",IF(N391="Closed",IF(M391&lt;=L391,"On-Time","Delayed"),"Pending"))</f>
        <v>0</v>
      </c>
    </row>
    <row r="392" spans="15:15">
      <c r="O392" s="8">
        <f>IF(N392="","",IF(N392="Closed",IF(M392&lt;=L392,"On-Time","Delayed"),"Pending"))</f>
        <v>0</v>
      </c>
    </row>
    <row r="393" spans="15:15">
      <c r="O393" s="8">
        <f>IF(N393="","",IF(N393="Closed",IF(M393&lt;=L393,"On-Time","Delayed"),"Pending"))</f>
        <v>0</v>
      </c>
    </row>
    <row r="394" spans="15:15">
      <c r="O394" s="8">
        <f>IF(N394="","",IF(N394="Closed",IF(M394&lt;=L394,"On-Time","Delayed"),"Pending"))</f>
        <v>0</v>
      </c>
    </row>
    <row r="395" spans="15:15">
      <c r="O395" s="8">
        <f>IF(N395="","",IF(N395="Closed",IF(M395&lt;=L395,"On-Time","Delayed"),"Pending"))</f>
        <v>0</v>
      </c>
    </row>
    <row r="396" spans="15:15">
      <c r="O396" s="8">
        <f>IF(N396="","",IF(N396="Closed",IF(M396&lt;=L396,"On-Time","Delayed"),"Pending"))</f>
        <v>0</v>
      </c>
    </row>
    <row r="397" spans="15:15">
      <c r="O397" s="8">
        <f>IF(N397="","",IF(N397="Closed",IF(M397&lt;=L397,"On-Time","Delayed"),"Pending"))</f>
        <v>0</v>
      </c>
    </row>
    <row r="398" spans="15:15">
      <c r="O398" s="8">
        <f>IF(N398="","",IF(N398="Closed",IF(M398&lt;=L398,"On-Time","Delayed"),"Pending"))</f>
        <v>0</v>
      </c>
    </row>
    <row r="399" spans="15:15">
      <c r="O399" s="8">
        <f>IF(N399="","",IF(N399="Closed",IF(M399&lt;=L399,"On-Time","Delayed"),"Pending"))</f>
        <v>0</v>
      </c>
    </row>
    <row r="400" spans="15:15">
      <c r="O400" s="8">
        <f>IF(N400="","",IF(N400="Closed",IF(M400&lt;=L400,"On-Time","Delayed"),"Pending"))</f>
        <v>0</v>
      </c>
    </row>
    <row r="401" spans="15:15">
      <c r="O401" s="8">
        <f>IF(N401="","",IF(N401="Closed",IF(M401&lt;=L401,"On-Time","Delayed"),"Pending"))</f>
        <v>0</v>
      </c>
    </row>
    <row r="402" spans="15:15">
      <c r="O402" s="8">
        <f>IF(N402="","",IF(N402="Closed",IF(M402&lt;=L402,"On-Time","Delayed"),"Pending"))</f>
        <v>0</v>
      </c>
    </row>
    <row r="403" spans="15:15">
      <c r="O403" s="8">
        <f>IF(N403="","",IF(N403="Closed",IF(M403&lt;=L403,"On-Time","Delayed"),"Pending"))</f>
        <v>0</v>
      </c>
    </row>
    <row r="404" spans="15:15">
      <c r="O404" s="8">
        <f>IF(N404="","",IF(N404="Closed",IF(M404&lt;=L404,"On-Time","Delayed"),"Pending"))</f>
        <v>0</v>
      </c>
    </row>
    <row r="405" spans="15:15">
      <c r="O405" s="8">
        <f>IF(N405="","",IF(N405="Closed",IF(M405&lt;=L405,"On-Time","Delayed"),"Pending"))</f>
        <v>0</v>
      </c>
    </row>
    <row r="406" spans="15:15">
      <c r="O406" s="8">
        <f>IF(N406="","",IF(N406="Closed",IF(M406&lt;=L406,"On-Time","Delayed"),"Pending"))</f>
        <v>0</v>
      </c>
    </row>
    <row r="407" spans="15:15">
      <c r="O407" s="8">
        <f>IF(N407="","",IF(N407="Closed",IF(M407&lt;=L407,"On-Time","Delayed"),"Pending"))</f>
        <v>0</v>
      </c>
    </row>
    <row r="408" spans="15:15">
      <c r="O408" s="8">
        <f>IF(N408="","",IF(N408="Closed",IF(M408&lt;=L408,"On-Time","Delayed"),"Pending"))</f>
        <v>0</v>
      </c>
    </row>
    <row r="409" spans="15:15">
      <c r="O409" s="8">
        <f>IF(N409="","",IF(N409="Closed",IF(M409&lt;=L409,"On-Time","Delayed"),"Pending"))</f>
        <v>0</v>
      </c>
    </row>
    <row r="410" spans="15:15">
      <c r="O410" s="8">
        <f>IF(N410="","",IF(N410="Closed",IF(M410&lt;=L410,"On-Time","Delayed"),"Pending"))</f>
        <v>0</v>
      </c>
    </row>
    <row r="411" spans="15:15">
      <c r="O411" s="8">
        <f>IF(N411="","",IF(N411="Closed",IF(M411&lt;=L411,"On-Time","Delayed"),"Pending"))</f>
        <v>0</v>
      </c>
    </row>
    <row r="412" spans="15:15">
      <c r="O412" s="8">
        <f>IF(N412="","",IF(N412="Closed",IF(M412&lt;=L412,"On-Time","Delayed"),"Pending"))</f>
        <v>0</v>
      </c>
    </row>
    <row r="413" spans="15:15">
      <c r="O413" s="8">
        <f>IF(N413="","",IF(N413="Closed",IF(M413&lt;=L413,"On-Time","Delayed"),"Pending"))</f>
        <v>0</v>
      </c>
    </row>
    <row r="414" spans="15:15">
      <c r="O414" s="8">
        <f>IF(N414="","",IF(N414="Closed",IF(M414&lt;=L414,"On-Time","Delayed"),"Pending"))</f>
        <v>0</v>
      </c>
    </row>
    <row r="415" spans="15:15">
      <c r="O415" s="8">
        <f>IF(N415="","",IF(N415="Closed",IF(M415&lt;=L415,"On-Time","Delayed"),"Pending"))</f>
        <v>0</v>
      </c>
    </row>
    <row r="416" spans="15:15">
      <c r="O416" s="8">
        <f>IF(N416="","",IF(N416="Closed",IF(M416&lt;=L416,"On-Time","Delayed"),"Pending"))</f>
        <v>0</v>
      </c>
    </row>
    <row r="417" spans="15:15">
      <c r="O417" s="8">
        <f>IF(N417="","",IF(N417="Closed",IF(M417&lt;=L417,"On-Time","Delayed"),"Pending"))</f>
        <v>0</v>
      </c>
    </row>
    <row r="418" spans="15:15">
      <c r="O418" s="8">
        <f>IF(N418="","",IF(N418="Closed",IF(M418&lt;=L418,"On-Time","Delayed"),"Pending"))</f>
        <v>0</v>
      </c>
    </row>
    <row r="419" spans="15:15">
      <c r="O419" s="8">
        <f>IF(N419="","",IF(N419="Closed",IF(M419&lt;=L419,"On-Time","Delayed"),"Pending"))</f>
        <v>0</v>
      </c>
    </row>
    <row r="420" spans="15:15">
      <c r="O420" s="8">
        <f>IF(N420="","",IF(N420="Closed",IF(M420&lt;=L420,"On-Time","Delayed"),"Pending"))</f>
        <v>0</v>
      </c>
    </row>
    <row r="421" spans="15:15">
      <c r="O421" s="8">
        <f>IF(N421="","",IF(N421="Closed",IF(M421&lt;=L421,"On-Time","Delayed"),"Pending"))</f>
        <v>0</v>
      </c>
    </row>
    <row r="422" spans="15:15">
      <c r="O422" s="8">
        <f>IF(N422="","",IF(N422="Closed",IF(M422&lt;=L422,"On-Time","Delayed"),"Pending"))</f>
        <v>0</v>
      </c>
    </row>
    <row r="423" spans="15:15">
      <c r="O423" s="8">
        <f>IF(N423="","",IF(N423="Closed",IF(M423&lt;=L423,"On-Time","Delayed"),"Pending"))</f>
        <v>0</v>
      </c>
    </row>
    <row r="424" spans="15:15">
      <c r="O424" s="8">
        <f>IF(N424="","",IF(N424="Closed",IF(M424&lt;=L424,"On-Time","Delayed"),"Pending"))</f>
        <v>0</v>
      </c>
    </row>
    <row r="425" spans="15:15">
      <c r="O425" s="8">
        <f>IF(N425="","",IF(N425="Closed",IF(M425&lt;=L425,"On-Time","Delayed"),"Pending"))</f>
        <v>0</v>
      </c>
    </row>
    <row r="426" spans="15:15">
      <c r="O426" s="8">
        <f>IF(N426="","",IF(N426="Closed",IF(M426&lt;=L426,"On-Time","Delayed"),"Pending"))</f>
        <v>0</v>
      </c>
    </row>
    <row r="427" spans="15:15">
      <c r="O427" s="8">
        <f>IF(N427="","",IF(N427="Closed",IF(M427&lt;=L427,"On-Time","Delayed"),"Pending"))</f>
        <v>0</v>
      </c>
    </row>
    <row r="428" spans="15:15">
      <c r="O428" s="8">
        <f>IF(N428="","",IF(N428="Closed",IF(M428&lt;=L428,"On-Time","Delayed"),"Pending"))</f>
        <v>0</v>
      </c>
    </row>
    <row r="429" spans="15:15">
      <c r="O429" s="8">
        <f>IF(N429="","",IF(N429="Closed",IF(M429&lt;=L429,"On-Time","Delayed"),"Pending"))</f>
        <v>0</v>
      </c>
    </row>
    <row r="430" spans="15:15">
      <c r="O430" s="8">
        <f>IF(N430="","",IF(N430="Closed",IF(M430&lt;=L430,"On-Time","Delayed"),"Pending"))</f>
        <v>0</v>
      </c>
    </row>
    <row r="431" spans="15:15">
      <c r="O431" s="8">
        <f>IF(N431="","",IF(N431="Closed",IF(M431&lt;=L431,"On-Time","Delayed"),"Pending"))</f>
        <v>0</v>
      </c>
    </row>
    <row r="432" spans="15:15">
      <c r="O432" s="8">
        <f>IF(N432="","",IF(N432="Closed",IF(M432&lt;=L432,"On-Time","Delayed"),"Pending"))</f>
        <v>0</v>
      </c>
    </row>
    <row r="433" spans="15:15">
      <c r="O433" s="8">
        <f>IF(N433="","",IF(N433="Closed",IF(M433&lt;=L433,"On-Time","Delayed"),"Pending"))</f>
        <v>0</v>
      </c>
    </row>
    <row r="434" spans="15:15">
      <c r="O434" s="8">
        <f>IF(N434="","",IF(N434="Closed",IF(M434&lt;=L434,"On-Time","Delayed"),"Pending"))</f>
        <v>0</v>
      </c>
    </row>
    <row r="435" spans="15:15">
      <c r="O435" s="8">
        <f>IF(N435="","",IF(N435="Closed",IF(M435&lt;=L435,"On-Time","Delayed"),"Pending"))</f>
        <v>0</v>
      </c>
    </row>
    <row r="436" spans="15:15">
      <c r="O436" s="8">
        <f>IF(N436="","",IF(N436="Closed",IF(M436&lt;=L436,"On-Time","Delayed"),"Pending"))</f>
        <v>0</v>
      </c>
    </row>
    <row r="437" spans="15:15">
      <c r="O437" s="8">
        <f>IF(N437="","",IF(N437="Closed",IF(M437&lt;=L437,"On-Time","Delayed"),"Pending"))</f>
        <v>0</v>
      </c>
    </row>
    <row r="438" spans="15:15">
      <c r="O438" s="8">
        <f>IF(N438="","",IF(N438="Closed",IF(M438&lt;=L438,"On-Time","Delayed"),"Pending"))</f>
        <v>0</v>
      </c>
    </row>
    <row r="439" spans="15:15">
      <c r="O439" s="8">
        <f>IF(N439="","",IF(N439="Closed",IF(M439&lt;=L439,"On-Time","Delayed"),"Pending"))</f>
        <v>0</v>
      </c>
    </row>
    <row r="440" spans="15:15">
      <c r="O440" s="8">
        <f>IF(N440="","",IF(N440="Closed",IF(M440&lt;=L440,"On-Time","Delayed"),"Pending"))</f>
        <v>0</v>
      </c>
    </row>
    <row r="441" spans="15:15">
      <c r="O441" s="8">
        <f>IF(N441="","",IF(N441="Closed",IF(M441&lt;=L441,"On-Time","Delayed"),"Pending"))</f>
        <v>0</v>
      </c>
    </row>
    <row r="442" spans="15:15">
      <c r="O442" s="8">
        <f>IF(N442="","",IF(N442="Closed",IF(M442&lt;=L442,"On-Time","Delayed"),"Pending"))</f>
        <v>0</v>
      </c>
    </row>
    <row r="443" spans="15:15">
      <c r="O443" s="8">
        <f>IF(N443="","",IF(N443="Closed",IF(M443&lt;=L443,"On-Time","Delayed"),"Pending"))</f>
        <v>0</v>
      </c>
    </row>
    <row r="444" spans="15:15">
      <c r="O444" s="8">
        <f>IF(N444="","",IF(N444="Closed",IF(M444&lt;=L444,"On-Time","Delayed"),"Pending"))</f>
        <v>0</v>
      </c>
    </row>
    <row r="445" spans="15:15">
      <c r="O445" s="8">
        <f>IF(N445="","",IF(N445="Closed",IF(M445&lt;=L445,"On-Time","Delayed"),"Pending"))</f>
        <v>0</v>
      </c>
    </row>
    <row r="446" spans="15:15">
      <c r="O446" s="8">
        <f>IF(N446="","",IF(N446="Closed",IF(M446&lt;=L446,"On-Time","Delayed"),"Pending"))</f>
        <v>0</v>
      </c>
    </row>
    <row r="447" spans="15:15">
      <c r="O447" s="8">
        <f>IF(N447="","",IF(N447="Closed",IF(M447&lt;=L447,"On-Time","Delayed"),"Pending"))</f>
        <v>0</v>
      </c>
    </row>
    <row r="448" spans="15:15">
      <c r="O448" s="8">
        <f>IF(N448="","",IF(N448="Closed",IF(M448&lt;=L448,"On-Time","Delayed"),"Pending"))</f>
        <v>0</v>
      </c>
    </row>
    <row r="449" spans="15:15">
      <c r="O449" s="8">
        <f>IF(N449="","",IF(N449="Closed",IF(M449&lt;=L449,"On-Time","Delayed"),"Pending"))</f>
        <v>0</v>
      </c>
    </row>
    <row r="450" spans="15:15">
      <c r="O450" s="8">
        <f>IF(N450="","",IF(N450="Closed",IF(M450&lt;=L450,"On-Time","Delayed"),"Pending"))</f>
        <v>0</v>
      </c>
    </row>
    <row r="451" spans="15:15">
      <c r="O451" s="8">
        <f>IF(N451="","",IF(N451="Closed",IF(M451&lt;=L451,"On-Time","Delayed"),"Pending"))</f>
        <v>0</v>
      </c>
    </row>
    <row r="452" spans="15:15">
      <c r="O452" s="8">
        <f>IF(N452="","",IF(N452="Closed",IF(M452&lt;=L452,"On-Time","Delayed"),"Pending"))</f>
        <v>0</v>
      </c>
    </row>
    <row r="453" spans="15:15">
      <c r="O453" s="8">
        <f>IF(N453="","",IF(N453="Closed",IF(M453&lt;=L453,"On-Time","Delayed"),"Pending"))</f>
        <v>0</v>
      </c>
    </row>
    <row r="454" spans="15:15">
      <c r="O454" s="8">
        <f>IF(N454="","",IF(N454="Closed",IF(M454&lt;=L454,"On-Time","Delayed"),"Pending"))</f>
        <v>0</v>
      </c>
    </row>
    <row r="455" spans="15:15">
      <c r="O455" s="8">
        <f>IF(N455="","",IF(N455="Closed",IF(M455&lt;=L455,"On-Time","Delayed"),"Pending"))</f>
        <v>0</v>
      </c>
    </row>
    <row r="456" spans="15:15">
      <c r="O456" s="8">
        <f>IF(N456="","",IF(N456="Closed",IF(M456&lt;=L456,"On-Time","Delayed"),"Pending"))</f>
        <v>0</v>
      </c>
    </row>
    <row r="457" spans="15:15">
      <c r="O457" s="8">
        <f>IF(N457="","",IF(N457="Closed",IF(M457&lt;=L457,"On-Time","Delayed"),"Pending"))</f>
        <v>0</v>
      </c>
    </row>
    <row r="458" spans="15:15">
      <c r="O458" s="8">
        <f>IF(N458="","",IF(N458="Closed",IF(M458&lt;=L458,"On-Time","Delayed"),"Pending"))</f>
        <v>0</v>
      </c>
    </row>
    <row r="459" spans="15:15">
      <c r="O459" s="8">
        <f>IF(N459="","",IF(N459="Closed",IF(M459&lt;=L459,"On-Time","Delayed"),"Pending"))</f>
        <v>0</v>
      </c>
    </row>
    <row r="460" spans="15:15">
      <c r="O460" s="8">
        <f>IF(N460="","",IF(N460="Closed",IF(M460&lt;=L460,"On-Time","Delayed"),"Pending"))</f>
        <v>0</v>
      </c>
    </row>
    <row r="461" spans="15:15">
      <c r="O461" s="8">
        <f>IF(N461="","",IF(N461="Closed",IF(M461&lt;=L461,"On-Time","Delayed"),"Pending"))</f>
        <v>0</v>
      </c>
    </row>
    <row r="462" spans="15:15">
      <c r="O462" s="8">
        <f>IF(N462="","",IF(N462="Closed",IF(M462&lt;=L462,"On-Time","Delayed"),"Pending"))</f>
        <v>0</v>
      </c>
    </row>
    <row r="463" spans="15:15">
      <c r="O463" s="8">
        <f>IF(N463="","",IF(N463="Closed",IF(M463&lt;=L463,"On-Time","Delayed"),"Pending"))</f>
        <v>0</v>
      </c>
    </row>
    <row r="464" spans="15:15">
      <c r="O464" s="8">
        <f>IF(N464="","",IF(N464="Closed",IF(M464&lt;=L464,"On-Time","Delayed"),"Pending"))</f>
        <v>0</v>
      </c>
    </row>
    <row r="465" spans="15:15">
      <c r="O465" s="8">
        <f>IF(N465="","",IF(N465="Closed",IF(M465&lt;=L465,"On-Time","Delayed"),"Pending"))</f>
        <v>0</v>
      </c>
    </row>
    <row r="466" spans="15:15">
      <c r="O466" s="8">
        <f>IF(N466="","",IF(N466="Closed",IF(M466&lt;=L466,"On-Time","Delayed"),"Pending"))</f>
        <v>0</v>
      </c>
    </row>
    <row r="467" spans="15:15">
      <c r="O467" s="8">
        <f>IF(N467="","",IF(N467="Closed",IF(M467&lt;=L467,"On-Time","Delayed"),"Pending"))</f>
        <v>0</v>
      </c>
    </row>
    <row r="468" spans="15:15">
      <c r="O468" s="8">
        <f>IF(N468="","",IF(N468="Closed",IF(M468&lt;=L468,"On-Time","Delayed"),"Pending"))</f>
        <v>0</v>
      </c>
    </row>
    <row r="469" spans="15:15">
      <c r="O469" s="8">
        <f>IF(N469="","",IF(N469="Closed",IF(M469&lt;=L469,"On-Time","Delayed"),"Pending"))</f>
        <v>0</v>
      </c>
    </row>
    <row r="470" spans="15:15">
      <c r="O470" s="8">
        <f>IF(N470="","",IF(N470="Closed",IF(M470&lt;=L470,"On-Time","Delayed"),"Pending"))</f>
        <v>0</v>
      </c>
    </row>
    <row r="471" spans="15:15">
      <c r="O471" s="8">
        <f>IF(N471="","",IF(N471="Closed",IF(M471&lt;=L471,"On-Time","Delayed"),"Pending"))</f>
        <v>0</v>
      </c>
    </row>
    <row r="472" spans="15:15">
      <c r="O472" s="8">
        <f>IF(N472="","",IF(N472="Closed",IF(M472&lt;=L472,"On-Time","Delayed"),"Pending"))</f>
        <v>0</v>
      </c>
    </row>
    <row r="473" spans="15:15">
      <c r="O473" s="8">
        <f>IF(N473="","",IF(N473="Closed",IF(M473&lt;=L473,"On-Time","Delayed"),"Pending"))</f>
        <v>0</v>
      </c>
    </row>
    <row r="474" spans="15:15">
      <c r="O474" s="8">
        <f>IF(N474="","",IF(N474="Closed",IF(M474&lt;=L474,"On-Time","Delayed"),"Pending"))</f>
        <v>0</v>
      </c>
    </row>
    <row r="475" spans="15:15">
      <c r="O475" s="8">
        <f>IF(N475="","",IF(N475="Closed",IF(M475&lt;=L475,"On-Time","Delayed"),"Pending"))</f>
        <v>0</v>
      </c>
    </row>
    <row r="476" spans="15:15">
      <c r="O476" s="8">
        <f>IF(N476="","",IF(N476="Closed",IF(M476&lt;=L476,"On-Time","Delayed"),"Pending"))</f>
        <v>0</v>
      </c>
    </row>
    <row r="477" spans="15:15">
      <c r="O477" s="8">
        <f>IF(N477="","",IF(N477="Closed",IF(M477&lt;=L477,"On-Time","Delayed"),"Pending"))</f>
        <v>0</v>
      </c>
    </row>
    <row r="478" spans="15:15">
      <c r="O478" s="8">
        <f>IF(N478="","",IF(N478="Closed",IF(M478&lt;=L478,"On-Time","Delayed"),"Pending"))</f>
        <v>0</v>
      </c>
    </row>
    <row r="479" spans="15:15">
      <c r="O479" s="8">
        <f>IF(N479="","",IF(N479="Closed",IF(M479&lt;=L479,"On-Time","Delayed"),"Pending"))</f>
        <v>0</v>
      </c>
    </row>
    <row r="480" spans="15:15">
      <c r="O480" s="8">
        <f>IF(N480="","",IF(N480="Closed",IF(M480&lt;=L480,"On-Time","Delayed"),"Pending"))</f>
        <v>0</v>
      </c>
    </row>
    <row r="481" spans="15:15">
      <c r="O481" s="8">
        <f>IF(N481="","",IF(N481="Closed",IF(M481&lt;=L481,"On-Time","Delayed"),"Pending"))</f>
        <v>0</v>
      </c>
    </row>
    <row r="482" spans="15:15">
      <c r="O482" s="8">
        <f>IF(N482="","",IF(N482="Closed",IF(M482&lt;=L482,"On-Time","Delayed"),"Pending"))</f>
        <v>0</v>
      </c>
    </row>
    <row r="483" spans="15:15">
      <c r="O483" s="8">
        <f>IF(N483="","",IF(N483="Closed",IF(M483&lt;=L483,"On-Time","Delayed"),"Pending"))</f>
        <v>0</v>
      </c>
    </row>
    <row r="484" spans="15:15">
      <c r="O484" s="8">
        <f>IF(N484="","",IF(N484="Closed",IF(M484&lt;=L484,"On-Time","Delayed"),"Pending"))</f>
        <v>0</v>
      </c>
    </row>
    <row r="485" spans="15:15">
      <c r="O485" s="8">
        <f>IF(N485="","",IF(N485="Closed",IF(M485&lt;=L485,"On-Time","Delayed"),"Pending"))</f>
        <v>0</v>
      </c>
    </row>
    <row r="486" spans="15:15">
      <c r="O486" s="8">
        <f>IF(N486="","",IF(N486="Closed",IF(M486&lt;=L486,"On-Time","Delayed"),"Pending"))</f>
        <v>0</v>
      </c>
    </row>
    <row r="487" spans="15:15">
      <c r="O487" s="8">
        <f>IF(N487="","",IF(N487="Closed",IF(M487&lt;=L487,"On-Time","Delayed"),"Pending"))</f>
        <v>0</v>
      </c>
    </row>
    <row r="488" spans="15:15">
      <c r="O488" s="8">
        <f>IF(N488="","",IF(N488="Closed",IF(M488&lt;=L488,"On-Time","Delayed"),"Pending"))</f>
        <v>0</v>
      </c>
    </row>
    <row r="489" spans="15:15">
      <c r="O489" s="8">
        <f>IF(N489="","",IF(N489="Closed",IF(M489&lt;=L489,"On-Time","Delayed"),"Pending"))</f>
        <v>0</v>
      </c>
    </row>
    <row r="490" spans="15:15">
      <c r="O490" s="8">
        <f>IF(N490="","",IF(N490="Closed",IF(M490&lt;=L490,"On-Time","Delayed"),"Pending"))</f>
        <v>0</v>
      </c>
    </row>
    <row r="491" spans="15:15">
      <c r="O491" s="8">
        <f>IF(N491="","",IF(N491="Closed",IF(M491&lt;=L491,"On-Time","Delayed"),"Pending"))</f>
        <v>0</v>
      </c>
    </row>
    <row r="492" spans="15:15">
      <c r="O492" s="8">
        <f>IF(N492="","",IF(N492="Closed",IF(M492&lt;=L492,"On-Time","Delayed"),"Pending"))</f>
        <v>0</v>
      </c>
    </row>
    <row r="493" spans="15:15">
      <c r="O493" s="8">
        <f>IF(N493="","",IF(N493="Closed",IF(M493&lt;=L493,"On-Time","Delayed"),"Pending"))</f>
        <v>0</v>
      </c>
    </row>
    <row r="494" spans="15:15">
      <c r="O494" s="8">
        <f>IF(N494="","",IF(N494="Closed",IF(M494&lt;=L494,"On-Time","Delayed"),"Pending"))</f>
        <v>0</v>
      </c>
    </row>
    <row r="495" spans="15:15">
      <c r="O495" s="8">
        <f>IF(N495="","",IF(N495="Closed",IF(M495&lt;=L495,"On-Time","Delayed"),"Pending"))</f>
        <v>0</v>
      </c>
    </row>
    <row r="496" spans="15:15">
      <c r="O496" s="8">
        <f>IF(N496="","",IF(N496="Closed",IF(M496&lt;=L496,"On-Time","Delayed"),"Pending"))</f>
        <v>0</v>
      </c>
    </row>
    <row r="497" spans="15:15">
      <c r="O497" s="8">
        <f>IF(N497="","",IF(N497="Closed",IF(M497&lt;=L497,"On-Time","Delayed"),"Pending"))</f>
        <v>0</v>
      </c>
    </row>
    <row r="498" spans="15:15">
      <c r="O498" s="8">
        <f>IF(N498="","",IF(N498="Closed",IF(M498&lt;=L498,"On-Time","Delayed"),"Pending"))</f>
        <v>0</v>
      </c>
    </row>
    <row r="499" spans="15:15">
      <c r="O499" s="8">
        <f>IF(N499="","",IF(N499="Closed",IF(M499&lt;=L499,"On-Time","Delayed"),"Pending"))</f>
        <v>0</v>
      </c>
    </row>
    <row r="500" spans="15:15">
      <c r="O500" s="8">
        <f>IF(N500="","",IF(N500="Closed",IF(M500&lt;=L500,"On-Time","Delayed"),"Pending"))</f>
        <v>0</v>
      </c>
    </row>
    <row r="501" spans="15:15">
      <c r="O501" s="8">
        <f>IF(N501="","",IF(N501="Closed",IF(M501&lt;=L501,"On-Time","Delayed"),"Pending"))</f>
        <v>0</v>
      </c>
    </row>
    <row r="502" spans="15:15">
      <c r="O502" s="8">
        <f>IF(N502="","",IF(N502="Closed",IF(M502&lt;=L502,"On-Time","Delayed"),"Pending"))</f>
        <v>0</v>
      </c>
    </row>
    <row r="503" spans="15:15">
      <c r="O503" s="8">
        <f>IF(N503="","",IF(N503="Closed",IF(M503&lt;=L503,"On-Time","Delayed"),"Pending"))</f>
        <v>0</v>
      </c>
    </row>
    <row r="504" spans="15:15">
      <c r="O504" s="8">
        <f>IF(N504="","",IF(N504="Closed",IF(M504&lt;=L504,"On-Time","Delayed"),"Pending"))</f>
        <v>0</v>
      </c>
    </row>
    <row r="505" spans="15:15">
      <c r="O505" s="8">
        <f>IF(N505="","",IF(N505="Closed",IF(M505&lt;=L505,"On-Time","Delayed"),"Pending"))</f>
        <v>0</v>
      </c>
    </row>
    <row r="506" spans="15:15">
      <c r="O506" s="8">
        <f>IF(N506="","",IF(N506="Closed",IF(M506&lt;=L506,"On-Time","Delayed"),"Pending"))</f>
        <v>0</v>
      </c>
    </row>
    <row r="507" spans="15:15">
      <c r="O507" s="8">
        <f>IF(N507="","",IF(N507="Closed",IF(M507&lt;=L507,"On-Time","Delayed"),"Pending"))</f>
        <v>0</v>
      </c>
    </row>
    <row r="508" spans="15:15">
      <c r="O508" s="8">
        <f>IF(N508="","",IF(N508="Closed",IF(M508&lt;=L508,"On-Time","Delayed"),"Pending"))</f>
        <v>0</v>
      </c>
    </row>
    <row r="509" spans="15:15">
      <c r="O509" s="8">
        <f>IF(N509="","",IF(N509="Closed",IF(M509&lt;=L509,"On-Time","Delayed"),"Pending"))</f>
        <v>0</v>
      </c>
    </row>
    <row r="510" spans="15:15">
      <c r="O510" s="8">
        <f>IF(N510="","",IF(N510="Closed",IF(M510&lt;=L510,"On-Time","Delayed"),"Pending"))</f>
        <v>0</v>
      </c>
    </row>
    <row r="511" spans="15:15">
      <c r="O511" s="8">
        <f>IF(N511="","",IF(N511="Closed",IF(M511&lt;=L511,"On-Time","Delayed"),"Pending"))</f>
        <v>0</v>
      </c>
    </row>
    <row r="512" spans="15:15">
      <c r="O512" s="8">
        <f>IF(N512="","",IF(N512="Closed",IF(M512&lt;=L512,"On-Time","Delayed"),"Pending"))</f>
        <v>0</v>
      </c>
    </row>
    <row r="513" spans="15:15">
      <c r="O513" s="8">
        <f>IF(N513="","",IF(N513="Closed",IF(M513&lt;=L513,"On-Time","Delayed"),"Pending"))</f>
        <v>0</v>
      </c>
    </row>
    <row r="514" spans="15:15">
      <c r="O514" s="8">
        <f>IF(N514="","",IF(N514="Closed",IF(M514&lt;=L514,"On-Time","Delayed"),"Pending"))</f>
        <v>0</v>
      </c>
    </row>
    <row r="515" spans="15:15">
      <c r="O515" s="8">
        <f>IF(N515="","",IF(N515="Closed",IF(M515&lt;=L515,"On-Time","Delayed"),"Pending"))</f>
        <v>0</v>
      </c>
    </row>
    <row r="516" spans="15:15">
      <c r="O516" s="8">
        <f>IF(N516="","",IF(N516="Closed",IF(M516&lt;=L516,"On-Time","Delayed"),"Pending"))</f>
        <v>0</v>
      </c>
    </row>
    <row r="517" spans="15:15">
      <c r="O517" s="8">
        <f>IF(N517="","",IF(N517="Closed",IF(M517&lt;=L517,"On-Time","Delayed"),"Pending"))</f>
        <v>0</v>
      </c>
    </row>
    <row r="518" spans="15:15">
      <c r="O518" s="8">
        <f>IF(N518="","",IF(N518="Closed",IF(M518&lt;=L518,"On-Time","Delayed"),"Pending"))</f>
        <v>0</v>
      </c>
    </row>
    <row r="519" spans="15:15">
      <c r="O519" s="8">
        <f>IF(N519="","",IF(N519="Closed",IF(M519&lt;=L519,"On-Time","Delayed"),"Pending"))</f>
        <v>0</v>
      </c>
    </row>
    <row r="520" spans="15:15">
      <c r="O520" s="8">
        <f>IF(N520="","",IF(N520="Closed",IF(M520&lt;=L520,"On-Time","Delayed"),"Pending"))</f>
        <v>0</v>
      </c>
    </row>
    <row r="521" spans="15:15">
      <c r="O521" s="8">
        <f>IF(N521="","",IF(N521="Closed",IF(M521&lt;=L521,"On-Time","Delayed"),"Pending"))</f>
        <v>0</v>
      </c>
    </row>
    <row r="522" spans="15:15">
      <c r="O522" s="8">
        <f>IF(N522="","",IF(N522="Closed",IF(M522&lt;=L522,"On-Time","Delayed"),"Pending"))</f>
        <v>0</v>
      </c>
    </row>
    <row r="523" spans="15:15">
      <c r="O523" s="8">
        <f>IF(N523="","",IF(N523="Closed",IF(M523&lt;=L523,"On-Time","Delayed"),"Pending"))</f>
        <v>0</v>
      </c>
    </row>
    <row r="524" spans="15:15">
      <c r="O524" s="8">
        <f>IF(N524="","",IF(N524="Closed",IF(M524&lt;=L524,"On-Time","Delayed"),"Pending"))</f>
        <v>0</v>
      </c>
    </row>
    <row r="525" spans="15:15">
      <c r="O525" s="8">
        <f>IF(N525="","",IF(N525="Closed",IF(M525&lt;=L525,"On-Time","Delayed"),"Pending"))</f>
        <v>0</v>
      </c>
    </row>
    <row r="526" spans="15:15">
      <c r="O526" s="8">
        <f>IF(N526="","",IF(N526="Closed",IF(M526&lt;=L526,"On-Time","Delayed"),"Pending"))</f>
        <v>0</v>
      </c>
    </row>
    <row r="527" spans="15:15">
      <c r="O527" s="8">
        <f>IF(N527="","",IF(N527="Closed",IF(M527&lt;=L527,"On-Time","Delayed"),"Pending"))</f>
        <v>0</v>
      </c>
    </row>
    <row r="528" spans="15:15">
      <c r="O528" s="8">
        <f>IF(N528="","",IF(N528="Closed",IF(M528&lt;=L528,"On-Time","Delayed"),"Pending"))</f>
        <v>0</v>
      </c>
    </row>
    <row r="529" spans="15:15">
      <c r="O529" s="8">
        <f>IF(N529="","",IF(N529="Closed",IF(M529&lt;=L529,"On-Time","Delayed"),"Pending"))</f>
        <v>0</v>
      </c>
    </row>
    <row r="530" spans="15:15">
      <c r="O530" s="8">
        <f>IF(N530="","",IF(N530="Closed",IF(M530&lt;=L530,"On-Time","Delayed"),"Pending"))</f>
        <v>0</v>
      </c>
    </row>
    <row r="531" spans="15:15">
      <c r="O531" s="8">
        <f>IF(N531="","",IF(N531="Closed",IF(M531&lt;=L531,"On-Time","Delayed"),"Pending"))</f>
        <v>0</v>
      </c>
    </row>
    <row r="532" spans="15:15">
      <c r="O532" s="8">
        <f>IF(N532="","",IF(N532="Closed",IF(M532&lt;=L532,"On-Time","Delayed"),"Pending"))</f>
        <v>0</v>
      </c>
    </row>
    <row r="533" spans="15:15">
      <c r="O533" s="8">
        <f>IF(N533="","",IF(N533="Closed",IF(M533&lt;=L533,"On-Time","Delayed"),"Pending"))</f>
        <v>0</v>
      </c>
    </row>
    <row r="534" spans="15:15">
      <c r="O534" s="8">
        <f>IF(N534="","",IF(N534="Closed",IF(M534&lt;=L534,"On-Time","Delayed"),"Pending"))</f>
        <v>0</v>
      </c>
    </row>
    <row r="535" spans="15:15">
      <c r="O535" s="8">
        <f>IF(N535="","",IF(N535="Closed",IF(M535&lt;=L535,"On-Time","Delayed"),"Pending"))</f>
        <v>0</v>
      </c>
    </row>
    <row r="536" spans="15:15">
      <c r="O536" s="8">
        <f>IF(N536="","",IF(N536="Closed",IF(M536&lt;=L536,"On-Time","Delayed"),"Pending"))</f>
        <v>0</v>
      </c>
    </row>
    <row r="537" spans="15:15">
      <c r="O537" s="8">
        <f>IF(N537="","",IF(N537="Closed",IF(M537&lt;=L537,"On-Time","Delayed"),"Pending"))</f>
        <v>0</v>
      </c>
    </row>
    <row r="538" spans="15:15">
      <c r="O538" s="8">
        <f>IF(N538="","",IF(N538="Closed",IF(M538&lt;=L538,"On-Time","Delayed"),"Pending"))</f>
        <v>0</v>
      </c>
    </row>
    <row r="539" spans="15:15">
      <c r="O539" s="8">
        <f>IF(N539="","",IF(N539="Closed",IF(M539&lt;=L539,"On-Time","Delayed"),"Pending"))</f>
        <v>0</v>
      </c>
    </row>
    <row r="540" spans="15:15">
      <c r="O540" s="8">
        <f>IF(N540="","",IF(N540="Closed",IF(M540&lt;=L540,"On-Time","Delayed"),"Pending"))</f>
        <v>0</v>
      </c>
    </row>
    <row r="541" spans="15:15">
      <c r="O541" s="8">
        <f>IF(N541="","",IF(N541="Closed",IF(M541&lt;=L541,"On-Time","Delayed"),"Pending"))</f>
        <v>0</v>
      </c>
    </row>
    <row r="542" spans="15:15">
      <c r="O542" s="8">
        <f>IF(N542="","",IF(N542="Closed",IF(M542&lt;=L542,"On-Time","Delayed"),"Pending"))</f>
        <v>0</v>
      </c>
    </row>
    <row r="543" spans="15:15">
      <c r="O543" s="8">
        <f>IF(N543="","",IF(N543="Closed",IF(M543&lt;=L543,"On-Time","Delayed"),"Pending"))</f>
        <v>0</v>
      </c>
    </row>
    <row r="544" spans="15:15">
      <c r="O544" s="8">
        <f>IF(N544="","",IF(N544="Closed",IF(M544&lt;=L544,"On-Time","Delayed"),"Pending"))</f>
        <v>0</v>
      </c>
    </row>
    <row r="545" spans="15:15">
      <c r="O545" s="8">
        <f>IF(N545="","",IF(N545="Closed",IF(M545&lt;=L545,"On-Time","Delayed"),"Pending"))</f>
        <v>0</v>
      </c>
    </row>
    <row r="546" spans="15:15">
      <c r="O546" s="8">
        <f>IF(N546="","",IF(N546="Closed",IF(M546&lt;=L546,"On-Time","Delayed"),"Pending"))</f>
        <v>0</v>
      </c>
    </row>
    <row r="547" spans="15:15">
      <c r="O547" s="8">
        <f>IF(N547="","",IF(N547="Closed",IF(M547&lt;=L547,"On-Time","Delayed"),"Pending"))</f>
        <v>0</v>
      </c>
    </row>
    <row r="548" spans="15:15">
      <c r="O548" s="8">
        <f>IF(N548="","",IF(N548="Closed",IF(M548&lt;=L548,"On-Time","Delayed"),"Pending"))</f>
        <v>0</v>
      </c>
    </row>
    <row r="549" spans="15:15">
      <c r="O549" s="8">
        <f>IF(N549="","",IF(N549="Closed",IF(M549&lt;=L549,"On-Time","Delayed"),"Pending"))</f>
        <v>0</v>
      </c>
    </row>
    <row r="550" spans="15:15">
      <c r="O550" s="8">
        <f>IF(N550="","",IF(N550="Closed",IF(M550&lt;=L550,"On-Time","Delayed"),"Pending"))</f>
        <v>0</v>
      </c>
    </row>
    <row r="551" spans="15:15">
      <c r="O551" s="8">
        <f>IF(N551="","",IF(N551="Closed",IF(M551&lt;=L551,"On-Time","Delayed"),"Pending"))</f>
        <v>0</v>
      </c>
    </row>
    <row r="552" spans="15:15">
      <c r="O552" s="8">
        <f>IF(N552="","",IF(N552="Closed",IF(M552&lt;=L552,"On-Time","Delayed"),"Pending"))</f>
        <v>0</v>
      </c>
    </row>
    <row r="553" spans="15:15">
      <c r="O553" s="8">
        <f>IF(N553="","",IF(N553="Closed",IF(M553&lt;=L553,"On-Time","Delayed"),"Pending"))</f>
        <v>0</v>
      </c>
    </row>
    <row r="554" spans="15:15">
      <c r="O554" s="8">
        <f>IF(N554="","",IF(N554="Closed",IF(M554&lt;=L554,"On-Time","Delayed"),"Pending"))</f>
        <v>0</v>
      </c>
    </row>
    <row r="555" spans="15:15">
      <c r="O555" s="8">
        <f>IF(N555="","",IF(N555="Closed",IF(M555&lt;=L555,"On-Time","Delayed"),"Pending"))</f>
        <v>0</v>
      </c>
    </row>
    <row r="556" spans="15:15">
      <c r="O556" s="8">
        <f>IF(N556="","",IF(N556="Closed",IF(M556&lt;=L556,"On-Time","Delayed"),"Pending"))</f>
        <v>0</v>
      </c>
    </row>
    <row r="557" spans="15:15">
      <c r="O557" s="8">
        <f>IF(N557="","",IF(N557="Closed",IF(M557&lt;=L557,"On-Time","Delayed"),"Pending"))</f>
        <v>0</v>
      </c>
    </row>
    <row r="558" spans="15:15">
      <c r="O558" s="8">
        <f>IF(N558="","",IF(N558="Closed",IF(M558&lt;=L558,"On-Time","Delayed"),"Pending"))</f>
        <v>0</v>
      </c>
    </row>
    <row r="559" spans="15:15">
      <c r="O559" s="8">
        <f>IF(N559="","",IF(N559="Closed",IF(M559&lt;=L559,"On-Time","Delayed"),"Pending"))</f>
        <v>0</v>
      </c>
    </row>
    <row r="560" spans="15:15">
      <c r="O560" s="8">
        <f>IF(N560="","",IF(N560="Closed",IF(M560&lt;=L560,"On-Time","Delayed"),"Pending"))</f>
        <v>0</v>
      </c>
    </row>
    <row r="561" spans="15:15">
      <c r="O561" s="8">
        <f>IF(N561="","",IF(N561="Closed",IF(M561&lt;=L561,"On-Time","Delayed"),"Pending"))</f>
        <v>0</v>
      </c>
    </row>
    <row r="562" spans="15:15">
      <c r="O562" s="8">
        <f>IF(N562="","",IF(N562="Closed",IF(M562&lt;=L562,"On-Time","Delayed"),"Pending"))</f>
        <v>0</v>
      </c>
    </row>
    <row r="563" spans="15:15">
      <c r="O563" s="8">
        <f>IF(N563="","",IF(N563="Closed",IF(M563&lt;=L563,"On-Time","Delayed"),"Pending"))</f>
        <v>0</v>
      </c>
    </row>
    <row r="564" spans="15:15">
      <c r="O564" s="8">
        <f>IF(N564="","",IF(N564="Closed",IF(M564&lt;=L564,"On-Time","Delayed"),"Pending"))</f>
        <v>0</v>
      </c>
    </row>
    <row r="565" spans="15:15">
      <c r="O565" s="8">
        <f>IF(N565="","",IF(N565="Closed",IF(M565&lt;=L565,"On-Time","Delayed"),"Pending"))</f>
        <v>0</v>
      </c>
    </row>
    <row r="566" spans="15:15">
      <c r="O566" s="8">
        <f>IF(N566="","",IF(N566="Closed",IF(M566&lt;=L566,"On-Time","Delayed"),"Pending"))</f>
        <v>0</v>
      </c>
    </row>
    <row r="567" spans="15:15">
      <c r="O567" s="8">
        <f>IF(N567="","",IF(N567="Closed",IF(M567&lt;=L567,"On-Time","Delayed"),"Pending"))</f>
        <v>0</v>
      </c>
    </row>
    <row r="568" spans="15:15">
      <c r="O568" s="8">
        <f>IF(N568="","",IF(N568="Closed",IF(M568&lt;=L568,"On-Time","Delayed"),"Pending"))</f>
        <v>0</v>
      </c>
    </row>
    <row r="569" spans="15:15">
      <c r="O569" s="8">
        <f>IF(N569="","",IF(N569="Closed",IF(M569&lt;=L569,"On-Time","Delayed"),"Pending"))</f>
        <v>0</v>
      </c>
    </row>
    <row r="570" spans="15:15">
      <c r="O570" s="8">
        <f>IF(N570="","",IF(N570="Closed",IF(M570&lt;=L570,"On-Time","Delayed"),"Pending"))</f>
        <v>0</v>
      </c>
    </row>
    <row r="571" spans="15:15">
      <c r="O571" s="8">
        <f>IF(N571="","",IF(N571="Closed",IF(M571&lt;=L571,"On-Time","Delayed"),"Pending"))</f>
        <v>0</v>
      </c>
    </row>
    <row r="572" spans="15:15">
      <c r="O572" s="8">
        <f>IF(N572="","",IF(N572="Closed",IF(M572&lt;=L572,"On-Time","Delayed"),"Pending"))</f>
        <v>0</v>
      </c>
    </row>
    <row r="573" spans="15:15">
      <c r="O573" s="8">
        <f>IF(N573="","",IF(N573="Closed",IF(M573&lt;=L573,"On-Time","Delayed"),"Pending"))</f>
        <v>0</v>
      </c>
    </row>
    <row r="574" spans="15:15">
      <c r="O574" s="8">
        <f>IF(N574="","",IF(N574="Closed",IF(M574&lt;=L574,"On-Time","Delayed"),"Pending"))</f>
        <v>0</v>
      </c>
    </row>
    <row r="575" spans="15:15">
      <c r="O575" s="8">
        <f>IF(N575="","",IF(N575="Closed",IF(M575&lt;=L575,"On-Time","Delayed"),"Pending"))</f>
        <v>0</v>
      </c>
    </row>
    <row r="576" spans="15:15">
      <c r="O576" s="8">
        <f>IF(N576="","",IF(N576="Closed",IF(M576&lt;=L576,"On-Time","Delayed"),"Pending"))</f>
        <v>0</v>
      </c>
    </row>
    <row r="577" spans="15:15">
      <c r="O577" s="8">
        <f>IF(N577="","",IF(N577="Closed",IF(M577&lt;=L577,"On-Time","Delayed"),"Pending"))</f>
        <v>0</v>
      </c>
    </row>
    <row r="578" spans="15:15">
      <c r="O578" s="8">
        <f>IF(N578="","",IF(N578="Closed",IF(M578&lt;=L578,"On-Time","Delayed"),"Pending"))</f>
        <v>0</v>
      </c>
    </row>
    <row r="579" spans="15:15">
      <c r="O579" s="8">
        <f>IF(N579="","",IF(N579="Closed",IF(M579&lt;=L579,"On-Time","Delayed"),"Pending"))</f>
        <v>0</v>
      </c>
    </row>
    <row r="580" spans="15:15">
      <c r="O580" s="8">
        <f>IF(N580="","",IF(N580="Closed",IF(M580&lt;=L580,"On-Time","Delayed"),"Pending"))</f>
        <v>0</v>
      </c>
    </row>
    <row r="581" spans="15:15">
      <c r="O581" s="8">
        <f>IF(N581="","",IF(N581="Closed",IF(M581&lt;=L581,"On-Time","Delayed"),"Pending"))</f>
        <v>0</v>
      </c>
    </row>
    <row r="582" spans="15:15">
      <c r="O582" s="8">
        <f>IF(N582="","",IF(N582="Closed",IF(M582&lt;=L582,"On-Time","Delayed"),"Pending"))</f>
        <v>0</v>
      </c>
    </row>
    <row r="583" spans="15:15">
      <c r="O583" s="8">
        <f>IF(N583="","",IF(N583="Closed",IF(M583&lt;=L583,"On-Time","Delayed"),"Pending"))</f>
        <v>0</v>
      </c>
    </row>
    <row r="584" spans="15:15">
      <c r="O584" s="8">
        <f>IF(N584="","",IF(N584="Closed",IF(M584&lt;=L584,"On-Time","Delayed"),"Pending"))</f>
        <v>0</v>
      </c>
    </row>
    <row r="585" spans="15:15">
      <c r="O585" s="8">
        <f>IF(N585="","",IF(N585="Closed",IF(M585&lt;=L585,"On-Time","Delayed"),"Pending"))</f>
        <v>0</v>
      </c>
    </row>
    <row r="586" spans="15:15">
      <c r="O586" s="8">
        <f>IF(N586="","",IF(N586="Closed",IF(M586&lt;=L586,"On-Time","Delayed"),"Pending"))</f>
        <v>0</v>
      </c>
    </row>
    <row r="587" spans="15:15">
      <c r="O587" s="8">
        <f>IF(N587="","",IF(N587="Closed",IF(M587&lt;=L587,"On-Time","Delayed"),"Pending"))</f>
        <v>0</v>
      </c>
    </row>
    <row r="588" spans="15:15">
      <c r="O588" s="8">
        <f>IF(N588="","",IF(N588="Closed",IF(M588&lt;=L588,"On-Time","Delayed"),"Pending"))</f>
        <v>0</v>
      </c>
    </row>
    <row r="589" spans="15:15">
      <c r="O589" s="8">
        <f>IF(N589="","",IF(N589="Closed",IF(M589&lt;=L589,"On-Time","Delayed"),"Pending"))</f>
        <v>0</v>
      </c>
    </row>
    <row r="590" spans="15:15">
      <c r="O590" s="8">
        <f>IF(N590="","",IF(N590="Closed",IF(M590&lt;=L590,"On-Time","Delayed"),"Pending"))</f>
        <v>0</v>
      </c>
    </row>
    <row r="591" spans="15:15">
      <c r="O591" s="8">
        <f>IF(N591="","",IF(N591="Closed",IF(M591&lt;=L591,"On-Time","Delayed"),"Pending"))</f>
        <v>0</v>
      </c>
    </row>
    <row r="592" spans="15:15">
      <c r="O592" s="8">
        <f>IF(N592="","",IF(N592="Closed",IF(M592&lt;=L592,"On-Time","Delayed"),"Pending"))</f>
        <v>0</v>
      </c>
    </row>
    <row r="593" spans="15:15">
      <c r="O593" s="8">
        <f>IF(N593="","",IF(N593="Closed",IF(M593&lt;=L593,"On-Time","Delayed"),"Pending"))</f>
        <v>0</v>
      </c>
    </row>
    <row r="594" spans="15:15">
      <c r="O594" s="8">
        <f>IF(N594="","",IF(N594="Closed",IF(M594&lt;=L594,"On-Time","Delayed"),"Pending"))</f>
        <v>0</v>
      </c>
    </row>
    <row r="595" spans="15:15">
      <c r="O595" s="8">
        <f>IF(N595="","",IF(N595="Closed",IF(M595&lt;=L595,"On-Time","Delayed"),"Pending"))</f>
        <v>0</v>
      </c>
    </row>
    <row r="596" spans="15:15">
      <c r="O596" s="8">
        <f>IF(N596="","",IF(N596="Closed",IF(M596&lt;=L596,"On-Time","Delayed"),"Pending"))</f>
        <v>0</v>
      </c>
    </row>
    <row r="597" spans="15:15">
      <c r="O597" s="8">
        <f>IF(N597="","",IF(N597="Closed",IF(M597&lt;=L597,"On-Time","Delayed"),"Pending"))</f>
        <v>0</v>
      </c>
    </row>
    <row r="598" spans="15:15">
      <c r="O598" s="8">
        <f>IF(N598="","",IF(N598="Closed",IF(M598&lt;=L598,"On-Time","Delayed"),"Pending"))</f>
        <v>0</v>
      </c>
    </row>
    <row r="599" spans="15:15">
      <c r="O599" s="8">
        <f>IF(N599="","",IF(N599="Closed",IF(M599&lt;=L599,"On-Time","Delayed"),"Pending"))</f>
        <v>0</v>
      </c>
    </row>
    <row r="600" spans="15:15">
      <c r="O600" s="8">
        <f>IF(N600="","",IF(N600="Closed",IF(M600&lt;=L600,"On-Time","Delayed"),"Pending"))</f>
        <v>0</v>
      </c>
    </row>
    <row r="601" spans="15:15">
      <c r="O601" s="8">
        <f>IF(N601="","",IF(N601="Closed",IF(M601&lt;=L601,"On-Time","Delayed"),"Pending"))</f>
        <v>0</v>
      </c>
    </row>
    <row r="602" spans="15:15">
      <c r="O602" s="8">
        <f>IF(N602="","",IF(N602="Closed",IF(M602&lt;=L602,"On-Time","Delayed"),"Pending"))</f>
        <v>0</v>
      </c>
    </row>
    <row r="603" spans="15:15">
      <c r="O603" s="8">
        <f>IF(N603="","",IF(N603="Closed",IF(M603&lt;=L603,"On-Time","Delayed"),"Pending"))</f>
        <v>0</v>
      </c>
    </row>
    <row r="604" spans="15:15">
      <c r="O604" s="8">
        <f>IF(N604="","",IF(N604="Closed",IF(M604&lt;=L604,"On-Time","Delayed"),"Pending"))</f>
        <v>0</v>
      </c>
    </row>
    <row r="605" spans="15:15">
      <c r="O605" s="8">
        <f>IF(N605="","",IF(N605="Closed",IF(M605&lt;=L605,"On-Time","Delayed"),"Pending"))</f>
        <v>0</v>
      </c>
    </row>
    <row r="606" spans="15:15">
      <c r="O606" s="8">
        <f>IF(N606="","",IF(N606="Closed",IF(M606&lt;=L606,"On-Time","Delayed"),"Pending"))</f>
        <v>0</v>
      </c>
    </row>
    <row r="607" spans="15:15">
      <c r="O607" s="8">
        <f>IF(N607="","",IF(N607="Closed",IF(M607&lt;=L607,"On-Time","Delayed"),"Pending"))</f>
        <v>0</v>
      </c>
    </row>
    <row r="608" spans="15:15">
      <c r="O608" s="8">
        <f>IF(N608="","",IF(N608="Closed",IF(M608&lt;=L608,"On-Time","Delayed"),"Pending"))</f>
        <v>0</v>
      </c>
    </row>
    <row r="609" spans="15:15">
      <c r="O609" s="8">
        <f>IF(N609="","",IF(N609="Closed",IF(M609&lt;=L609,"On-Time","Delayed"),"Pending"))</f>
        <v>0</v>
      </c>
    </row>
    <row r="610" spans="15:15">
      <c r="O610" s="8">
        <f>IF(N610="","",IF(N610="Closed",IF(M610&lt;=L610,"On-Time","Delayed"),"Pending"))</f>
        <v>0</v>
      </c>
    </row>
    <row r="611" spans="15:15">
      <c r="O611" s="8">
        <f>IF(N611="","",IF(N611="Closed",IF(M611&lt;=L611,"On-Time","Delayed"),"Pending"))</f>
        <v>0</v>
      </c>
    </row>
    <row r="612" spans="15:15">
      <c r="O612" s="8">
        <f>IF(N612="","",IF(N612="Closed",IF(M612&lt;=L612,"On-Time","Delayed"),"Pending"))</f>
        <v>0</v>
      </c>
    </row>
    <row r="613" spans="15:15">
      <c r="O613" s="8">
        <f>IF(N613="","",IF(N613="Closed",IF(M613&lt;=L613,"On-Time","Delayed"),"Pending"))</f>
        <v>0</v>
      </c>
    </row>
    <row r="614" spans="15:15">
      <c r="O614" s="8">
        <f>IF(N614="","",IF(N614="Closed",IF(M614&lt;=L614,"On-Time","Delayed"),"Pending"))</f>
        <v>0</v>
      </c>
    </row>
    <row r="615" spans="15:15">
      <c r="O615" s="8">
        <f>IF(N615="","",IF(N615="Closed",IF(M615&lt;=L615,"On-Time","Delayed"),"Pending"))</f>
        <v>0</v>
      </c>
    </row>
    <row r="616" spans="15:15">
      <c r="O616" s="8">
        <f>IF(N616="","",IF(N616="Closed",IF(M616&lt;=L616,"On-Time","Delayed"),"Pending"))</f>
        <v>0</v>
      </c>
    </row>
    <row r="617" spans="15:15">
      <c r="O617" s="8">
        <f>IF(N617="","",IF(N617="Closed",IF(M617&lt;=L617,"On-Time","Delayed"),"Pending"))</f>
        <v>0</v>
      </c>
    </row>
    <row r="618" spans="15:15">
      <c r="O618" s="8">
        <f>IF(N618="","",IF(N618="Closed",IF(M618&lt;=L618,"On-Time","Delayed"),"Pending"))</f>
        <v>0</v>
      </c>
    </row>
    <row r="619" spans="15:15">
      <c r="O619" s="8">
        <f>IF(N619="","",IF(N619="Closed",IF(M619&lt;=L619,"On-Time","Delayed"),"Pending"))</f>
        <v>0</v>
      </c>
    </row>
    <row r="620" spans="15:15">
      <c r="O620" s="8">
        <f>IF(N620="","",IF(N620="Closed",IF(M620&lt;=L620,"On-Time","Delayed"),"Pending"))</f>
        <v>0</v>
      </c>
    </row>
    <row r="621" spans="15:15">
      <c r="O621" s="8">
        <f>IF(N621="","",IF(N621="Closed",IF(M621&lt;=L621,"On-Time","Delayed"),"Pending"))</f>
        <v>0</v>
      </c>
    </row>
    <row r="622" spans="15:15">
      <c r="O622" s="8">
        <f>IF(N622="","",IF(N622="Closed",IF(M622&lt;=L622,"On-Time","Delayed"),"Pending"))</f>
        <v>0</v>
      </c>
    </row>
    <row r="623" spans="15:15">
      <c r="O623" s="8">
        <f>IF(N623="","",IF(N623="Closed",IF(M623&lt;=L623,"On-Time","Delayed"),"Pending"))</f>
        <v>0</v>
      </c>
    </row>
    <row r="624" spans="15:15">
      <c r="O624" s="8">
        <f>IF(N624="","",IF(N624="Closed",IF(M624&lt;=L624,"On-Time","Delayed"),"Pending"))</f>
        <v>0</v>
      </c>
    </row>
    <row r="625" spans="15:15">
      <c r="O625" s="8">
        <f>IF(N625="","",IF(N625="Closed",IF(M625&lt;=L625,"On-Time","Delayed"),"Pending"))</f>
        <v>0</v>
      </c>
    </row>
    <row r="626" spans="15:15">
      <c r="O626" s="8">
        <f>IF(N626="","",IF(N626="Closed",IF(M626&lt;=L626,"On-Time","Delayed"),"Pending"))</f>
        <v>0</v>
      </c>
    </row>
    <row r="627" spans="15:15">
      <c r="O627" s="8">
        <f>IF(N627="","",IF(N627="Closed",IF(M627&lt;=L627,"On-Time","Delayed"),"Pending"))</f>
        <v>0</v>
      </c>
    </row>
    <row r="628" spans="15:15">
      <c r="O628" s="8">
        <f>IF(N628="","",IF(N628="Closed",IF(M628&lt;=L628,"On-Time","Delayed"),"Pending"))</f>
        <v>0</v>
      </c>
    </row>
    <row r="629" spans="15:15">
      <c r="O629" s="8">
        <f>IF(N629="","",IF(N629="Closed",IF(M629&lt;=L629,"On-Time","Delayed"),"Pending"))</f>
        <v>0</v>
      </c>
    </row>
    <row r="630" spans="15:15">
      <c r="O630" s="8">
        <f>IF(N630="","",IF(N630="Closed",IF(M630&lt;=L630,"On-Time","Delayed"),"Pending"))</f>
        <v>0</v>
      </c>
    </row>
    <row r="631" spans="15:15">
      <c r="O631" s="8">
        <f>IF(N631="","",IF(N631="Closed",IF(M631&lt;=L631,"On-Time","Delayed"),"Pending"))</f>
        <v>0</v>
      </c>
    </row>
    <row r="632" spans="15:15">
      <c r="O632" s="8">
        <f>IF(N632="","",IF(N632="Closed",IF(M632&lt;=L632,"On-Time","Delayed"),"Pending"))</f>
        <v>0</v>
      </c>
    </row>
    <row r="633" spans="15:15">
      <c r="O633" s="8">
        <f>IF(N633="","",IF(N633="Closed",IF(M633&lt;=L633,"On-Time","Delayed"),"Pending"))</f>
        <v>0</v>
      </c>
    </row>
    <row r="634" spans="15:15">
      <c r="O634" s="8">
        <f>IF(N634="","",IF(N634="Closed",IF(M634&lt;=L634,"On-Time","Delayed"),"Pending"))</f>
        <v>0</v>
      </c>
    </row>
    <row r="635" spans="15:15">
      <c r="O635" s="8">
        <f>IF(N635="","",IF(N635="Closed",IF(M635&lt;=L635,"On-Time","Delayed"),"Pending"))</f>
        <v>0</v>
      </c>
    </row>
    <row r="636" spans="15:15">
      <c r="O636" s="8">
        <f>IF(N636="","",IF(N636="Closed",IF(M636&lt;=L636,"On-Time","Delayed"),"Pending"))</f>
        <v>0</v>
      </c>
    </row>
    <row r="637" spans="15:15">
      <c r="O637" s="8">
        <f>IF(N637="","",IF(N637="Closed",IF(M637&lt;=L637,"On-Time","Delayed"),"Pending"))</f>
        <v>0</v>
      </c>
    </row>
    <row r="638" spans="15:15">
      <c r="O638" s="8">
        <f>IF(N638="","",IF(N638="Closed",IF(M638&lt;=L638,"On-Time","Delayed"),"Pending"))</f>
        <v>0</v>
      </c>
    </row>
    <row r="639" spans="15:15">
      <c r="O639" s="8">
        <f>IF(N639="","",IF(N639="Closed",IF(M639&lt;=L639,"On-Time","Delayed"),"Pending"))</f>
        <v>0</v>
      </c>
    </row>
    <row r="640" spans="15:15">
      <c r="O640" s="8">
        <f>IF(N640="","",IF(N640="Closed",IF(M640&lt;=L640,"On-Time","Delayed"),"Pending"))</f>
        <v>0</v>
      </c>
    </row>
    <row r="641" spans="15:15">
      <c r="O641" s="8">
        <f>IF(N641="","",IF(N641="Closed",IF(M641&lt;=L641,"On-Time","Delayed"),"Pending"))</f>
        <v>0</v>
      </c>
    </row>
    <row r="642" spans="15:15">
      <c r="O642" s="8">
        <f>IF(N642="","",IF(N642="Closed",IF(M642&lt;=L642,"On-Time","Delayed"),"Pending"))</f>
        <v>0</v>
      </c>
    </row>
    <row r="643" spans="15:15">
      <c r="O643" s="8">
        <f>IF(N643="","",IF(N643="Closed",IF(M643&lt;=L643,"On-Time","Delayed"),"Pending"))</f>
        <v>0</v>
      </c>
    </row>
    <row r="644" spans="15:15">
      <c r="O644" s="8">
        <f>IF(N644="","",IF(N644="Closed",IF(M644&lt;=L644,"On-Time","Delayed"),"Pending"))</f>
        <v>0</v>
      </c>
    </row>
    <row r="645" spans="15:15">
      <c r="O645" s="8">
        <f>IF(N645="","",IF(N645="Closed",IF(M645&lt;=L645,"On-Time","Delayed"),"Pending"))</f>
        <v>0</v>
      </c>
    </row>
    <row r="646" spans="15:15">
      <c r="O646" s="8">
        <f>IF(N646="","",IF(N646="Closed",IF(M646&lt;=L646,"On-Time","Delayed"),"Pending"))</f>
        <v>0</v>
      </c>
    </row>
    <row r="647" spans="15:15">
      <c r="O647" s="8">
        <f>IF(N647="","",IF(N647="Closed",IF(M647&lt;=L647,"On-Time","Delayed"),"Pending"))</f>
        <v>0</v>
      </c>
    </row>
    <row r="648" spans="15:15">
      <c r="O648" s="8">
        <f>IF(N648="","",IF(N648="Closed",IF(M648&lt;=L648,"On-Time","Delayed"),"Pending"))</f>
        <v>0</v>
      </c>
    </row>
    <row r="649" spans="15:15">
      <c r="O649" s="8">
        <f>IF(N649="","",IF(N649="Closed",IF(M649&lt;=L649,"On-Time","Delayed"),"Pending"))</f>
        <v>0</v>
      </c>
    </row>
    <row r="650" spans="15:15">
      <c r="O650" s="8">
        <f>IF(N650="","",IF(N650="Closed",IF(M650&lt;=L650,"On-Time","Delayed"),"Pending"))</f>
        <v>0</v>
      </c>
    </row>
    <row r="651" spans="15:15">
      <c r="O651" s="8">
        <f>IF(N651="","",IF(N651="Closed",IF(M651&lt;=L651,"On-Time","Delayed"),"Pending"))</f>
        <v>0</v>
      </c>
    </row>
    <row r="652" spans="15:15">
      <c r="O652" s="8">
        <f>IF(N652="","",IF(N652="Closed",IF(M652&lt;=L652,"On-Time","Delayed"),"Pending"))</f>
        <v>0</v>
      </c>
    </row>
    <row r="653" spans="15:15">
      <c r="O653" s="8">
        <f>IF(N653="","",IF(N653="Closed",IF(M653&lt;=L653,"On-Time","Delayed"),"Pending"))</f>
        <v>0</v>
      </c>
    </row>
    <row r="654" spans="15:15">
      <c r="O654" s="8">
        <f>IF(N654="","",IF(N654="Closed",IF(M654&lt;=L654,"On-Time","Delayed"),"Pending"))</f>
        <v>0</v>
      </c>
    </row>
    <row r="655" spans="15:15">
      <c r="O655" s="8">
        <f>IF(N655="","",IF(N655="Closed",IF(M655&lt;=L655,"On-Time","Delayed"),"Pending"))</f>
        <v>0</v>
      </c>
    </row>
    <row r="656" spans="15:15">
      <c r="O656" s="8">
        <f>IF(N656="","",IF(N656="Closed",IF(M656&lt;=L656,"On-Time","Delayed"),"Pending"))</f>
        <v>0</v>
      </c>
    </row>
    <row r="657" spans="15:15">
      <c r="O657" s="8">
        <f>IF(N657="","",IF(N657="Closed",IF(M657&lt;=L657,"On-Time","Delayed"),"Pending"))</f>
        <v>0</v>
      </c>
    </row>
    <row r="658" spans="15:15">
      <c r="O658" s="8">
        <f>IF(N658="","",IF(N658="Closed",IF(M658&lt;=L658,"On-Time","Delayed"),"Pending"))</f>
        <v>0</v>
      </c>
    </row>
    <row r="659" spans="15:15">
      <c r="O659" s="8">
        <f>IF(N659="","",IF(N659="Closed",IF(M659&lt;=L659,"On-Time","Delayed"),"Pending"))</f>
        <v>0</v>
      </c>
    </row>
    <row r="660" spans="15:15">
      <c r="O660" s="8">
        <f>IF(N660="","",IF(N660="Closed",IF(M660&lt;=L660,"On-Time","Delayed"),"Pending"))</f>
        <v>0</v>
      </c>
    </row>
    <row r="661" spans="15:15">
      <c r="O661" s="8">
        <f>IF(N661="","",IF(N661="Closed",IF(M661&lt;=L661,"On-Time","Delayed"),"Pending"))</f>
        <v>0</v>
      </c>
    </row>
    <row r="662" spans="15:15">
      <c r="O662" s="8">
        <f>IF(N662="","",IF(N662="Closed",IF(M662&lt;=L662,"On-Time","Delayed"),"Pending"))</f>
        <v>0</v>
      </c>
    </row>
    <row r="663" spans="15:15">
      <c r="O663" s="8">
        <f>IF(N663="","",IF(N663="Closed",IF(M663&lt;=L663,"On-Time","Delayed"),"Pending"))</f>
        <v>0</v>
      </c>
    </row>
    <row r="664" spans="15:15">
      <c r="O664" s="8">
        <f>IF(N664="","",IF(N664="Closed",IF(M664&lt;=L664,"On-Time","Delayed"),"Pending"))</f>
        <v>0</v>
      </c>
    </row>
    <row r="665" spans="15:15">
      <c r="O665" s="8">
        <f>IF(N665="","",IF(N665="Closed",IF(M665&lt;=L665,"On-Time","Delayed"),"Pending"))</f>
        <v>0</v>
      </c>
    </row>
    <row r="666" spans="15:15">
      <c r="O666" s="8">
        <f>IF(N666="","",IF(N666="Closed",IF(M666&lt;=L666,"On-Time","Delayed"),"Pending"))</f>
        <v>0</v>
      </c>
    </row>
    <row r="667" spans="15:15">
      <c r="O667" s="8">
        <f>IF(N667="","",IF(N667="Closed",IF(M667&lt;=L667,"On-Time","Delayed"),"Pending"))</f>
        <v>0</v>
      </c>
    </row>
    <row r="668" spans="15:15">
      <c r="O668" s="8">
        <f>IF(N668="","",IF(N668="Closed",IF(M668&lt;=L668,"On-Time","Delayed"),"Pending"))</f>
        <v>0</v>
      </c>
    </row>
    <row r="669" spans="15:15">
      <c r="O669" s="8">
        <f>IF(N669="","",IF(N669="Closed",IF(M669&lt;=L669,"On-Time","Delayed"),"Pending"))</f>
        <v>0</v>
      </c>
    </row>
    <row r="670" spans="15:15">
      <c r="O670" s="8">
        <f>IF(N670="","",IF(N670="Closed",IF(M670&lt;=L670,"On-Time","Delayed"),"Pending"))</f>
        <v>0</v>
      </c>
    </row>
    <row r="671" spans="15:15">
      <c r="O671" s="8">
        <f>IF(N671="","",IF(N671="Closed",IF(M671&lt;=L671,"On-Time","Delayed"),"Pending"))</f>
        <v>0</v>
      </c>
    </row>
    <row r="672" spans="15:15">
      <c r="O672" s="8">
        <f>IF(N672="","",IF(N672="Closed",IF(M672&lt;=L672,"On-Time","Delayed"),"Pending"))</f>
        <v>0</v>
      </c>
    </row>
    <row r="673" spans="15:15">
      <c r="O673" s="8">
        <f>IF(N673="","",IF(N673="Closed",IF(M673&lt;=L673,"On-Time","Delayed"),"Pending"))</f>
        <v>0</v>
      </c>
    </row>
    <row r="674" spans="15:15">
      <c r="O674" s="8">
        <f>IF(N674="","",IF(N674="Closed",IF(M674&lt;=L674,"On-Time","Delayed"),"Pending"))</f>
        <v>0</v>
      </c>
    </row>
    <row r="675" spans="15:15">
      <c r="O675" s="8">
        <f>IF(N675="","",IF(N675="Closed",IF(M675&lt;=L675,"On-Time","Delayed"),"Pending"))</f>
        <v>0</v>
      </c>
    </row>
    <row r="676" spans="15:15">
      <c r="O676" s="8">
        <f>IF(N676="","",IF(N676="Closed",IF(M676&lt;=L676,"On-Time","Delayed"),"Pending"))</f>
        <v>0</v>
      </c>
    </row>
    <row r="677" spans="15:15">
      <c r="O677" s="8">
        <f>IF(N677="","",IF(N677="Closed",IF(M677&lt;=L677,"On-Time","Delayed"),"Pending"))</f>
        <v>0</v>
      </c>
    </row>
    <row r="678" spans="15:15">
      <c r="O678" s="8">
        <f>IF(N678="","",IF(N678="Closed",IF(M678&lt;=L678,"On-Time","Delayed"),"Pending"))</f>
        <v>0</v>
      </c>
    </row>
    <row r="679" spans="15:15">
      <c r="O679" s="8">
        <f>IF(N679="","",IF(N679="Closed",IF(M679&lt;=L679,"On-Time","Delayed"),"Pending"))</f>
        <v>0</v>
      </c>
    </row>
    <row r="680" spans="15:15">
      <c r="O680" s="8">
        <f>IF(N680="","",IF(N680="Closed",IF(M680&lt;=L680,"On-Time","Delayed"),"Pending"))</f>
        <v>0</v>
      </c>
    </row>
    <row r="681" spans="15:15">
      <c r="O681" s="8">
        <f>IF(N681="","",IF(N681="Closed",IF(M681&lt;=L681,"On-Time","Delayed"),"Pending"))</f>
        <v>0</v>
      </c>
    </row>
    <row r="682" spans="15:15">
      <c r="O682" s="8">
        <f>IF(N682="","",IF(N682="Closed",IF(M682&lt;=L682,"On-Time","Delayed"),"Pending"))</f>
        <v>0</v>
      </c>
    </row>
    <row r="683" spans="15:15">
      <c r="O683" s="8">
        <f>IF(N683="","",IF(N683="Closed",IF(M683&lt;=L683,"On-Time","Delayed"),"Pending"))</f>
        <v>0</v>
      </c>
    </row>
    <row r="684" spans="15:15">
      <c r="O684" s="8">
        <f>IF(N684="","",IF(N684="Closed",IF(M684&lt;=L684,"On-Time","Delayed"),"Pending"))</f>
        <v>0</v>
      </c>
    </row>
    <row r="685" spans="15:15">
      <c r="O685" s="8">
        <f>IF(N685="","",IF(N685="Closed",IF(M685&lt;=L685,"On-Time","Delayed"),"Pending"))</f>
        <v>0</v>
      </c>
    </row>
    <row r="686" spans="15:15">
      <c r="O686" s="8">
        <f>IF(N686="","",IF(N686="Closed",IF(M686&lt;=L686,"On-Time","Delayed"),"Pending"))</f>
        <v>0</v>
      </c>
    </row>
    <row r="687" spans="15:15">
      <c r="O687" s="8">
        <f>IF(N687="","",IF(N687="Closed",IF(M687&lt;=L687,"On-Time","Delayed"),"Pending"))</f>
        <v>0</v>
      </c>
    </row>
    <row r="688" spans="15:15">
      <c r="O688" s="8">
        <f>IF(N688="","",IF(N688="Closed",IF(M688&lt;=L688,"On-Time","Delayed"),"Pending"))</f>
        <v>0</v>
      </c>
    </row>
    <row r="689" spans="15:15">
      <c r="O689" s="8">
        <f>IF(N689="","",IF(N689="Closed",IF(M689&lt;=L689,"On-Time","Delayed"),"Pending"))</f>
        <v>0</v>
      </c>
    </row>
    <row r="690" spans="15:15">
      <c r="O690" s="8">
        <f>IF(N690="","",IF(N690="Closed",IF(M690&lt;=L690,"On-Time","Delayed"),"Pending"))</f>
        <v>0</v>
      </c>
    </row>
    <row r="691" spans="15:15">
      <c r="O691" s="8">
        <f>IF(N691="","",IF(N691="Closed",IF(M691&lt;=L691,"On-Time","Delayed"),"Pending"))</f>
        <v>0</v>
      </c>
    </row>
    <row r="692" spans="15:15">
      <c r="O692" s="8">
        <f>IF(N692="","",IF(N692="Closed",IF(M692&lt;=L692,"On-Time","Delayed"),"Pending"))</f>
        <v>0</v>
      </c>
    </row>
    <row r="693" spans="15:15">
      <c r="O693" s="8">
        <f>IF(N693="","",IF(N693="Closed",IF(M693&lt;=L693,"On-Time","Delayed"),"Pending"))</f>
        <v>0</v>
      </c>
    </row>
    <row r="694" spans="15:15">
      <c r="O694" s="8">
        <f>IF(N694="","",IF(N694="Closed",IF(M694&lt;=L694,"On-Time","Delayed"),"Pending"))</f>
        <v>0</v>
      </c>
    </row>
    <row r="695" spans="15:15">
      <c r="O695" s="8">
        <f>IF(N695="","",IF(N695="Closed",IF(M695&lt;=L695,"On-Time","Delayed"),"Pending"))</f>
        <v>0</v>
      </c>
    </row>
    <row r="696" spans="15:15">
      <c r="O696" s="8">
        <f>IF(N696="","",IF(N696="Closed",IF(M696&lt;=L696,"On-Time","Delayed"),"Pending"))</f>
        <v>0</v>
      </c>
    </row>
    <row r="697" spans="15:15">
      <c r="O697" s="8">
        <f>IF(N697="","",IF(N697="Closed",IF(M697&lt;=L697,"On-Time","Delayed"),"Pending"))</f>
        <v>0</v>
      </c>
    </row>
    <row r="698" spans="15:15">
      <c r="O698" s="8">
        <f>IF(N698="","",IF(N698="Closed",IF(M698&lt;=L698,"On-Time","Delayed"),"Pending"))</f>
        <v>0</v>
      </c>
    </row>
    <row r="699" spans="15:15">
      <c r="O699" s="8">
        <f>IF(N699="","",IF(N699="Closed",IF(M699&lt;=L699,"On-Time","Delayed"),"Pending"))</f>
        <v>0</v>
      </c>
    </row>
    <row r="700" spans="15:15">
      <c r="O700" s="8">
        <f>IF(N700="","",IF(N700="Closed",IF(M700&lt;=L700,"On-Time","Delayed"),"Pending"))</f>
        <v>0</v>
      </c>
    </row>
    <row r="701" spans="15:15">
      <c r="O701" s="8">
        <f>IF(N701="","",IF(N701="Closed",IF(M701&lt;=L701,"On-Time","Delayed"),"Pending"))</f>
        <v>0</v>
      </c>
    </row>
    <row r="702" spans="15:15">
      <c r="O702" s="8">
        <f>IF(N702="","",IF(N702="Closed",IF(M702&lt;=L702,"On-Time","Delayed"),"Pending"))</f>
        <v>0</v>
      </c>
    </row>
    <row r="703" spans="15:15">
      <c r="O703" s="8">
        <f>IF(N703="","",IF(N703="Closed",IF(M703&lt;=L703,"On-Time","Delayed"),"Pending"))</f>
        <v>0</v>
      </c>
    </row>
    <row r="704" spans="15:15">
      <c r="O704" s="8">
        <f>IF(N704="","",IF(N704="Closed",IF(M704&lt;=L704,"On-Time","Delayed"),"Pending"))</f>
        <v>0</v>
      </c>
    </row>
    <row r="705" spans="15:15">
      <c r="O705" s="8">
        <f>IF(N705="","",IF(N705="Closed",IF(M705&lt;=L705,"On-Time","Delayed"),"Pending"))</f>
        <v>0</v>
      </c>
    </row>
    <row r="706" spans="15:15">
      <c r="O706" s="8">
        <f>IF(N706="","",IF(N706="Closed",IF(M706&lt;=L706,"On-Time","Delayed"),"Pending"))</f>
        <v>0</v>
      </c>
    </row>
    <row r="707" spans="15:15">
      <c r="O707" s="8">
        <f>IF(N707="","",IF(N707="Closed",IF(M707&lt;=L707,"On-Time","Delayed"),"Pending"))</f>
        <v>0</v>
      </c>
    </row>
    <row r="708" spans="15:15">
      <c r="O708" s="8">
        <f>IF(N708="","",IF(N708="Closed",IF(M708&lt;=L708,"On-Time","Delayed"),"Pending"))</f>
        <v>0</v>
      </c>
    </row>
    <row r="709" spans="15:15">
      <c r="O709" s="8">
        <f>IF(N709="","",IF(N709="Closed",IF(M709&lt;=L709,"On-Time","Delayed"),"Pending"))</f>
        <v>0</v>
      </c>
    </row>
    <row r="710" spans="15:15">
      <c r="O710" s="8">
        <f>IF(N710="","",IF(N710="Closed",IF(M710&lt;=L710,"On-Time","Delayed"),"Pending"))</f>
        <v>0</v>
      </c>
    </row>
    <row r="711" spans="15:15">
      <c r="O711" s="8">
        <f>IF(N711="","",IF(N711="Closed",IF(M711&lt;=L711,"On-Time","Delayed"),"Pending"))</f>
        <v>0</v>
      </c>
    </row>
    <row r="712" spans="15:15">
      <c r="O712" s="8">
        <f>IF(N712="","",IF(N712="Closed",IF(M712&lt;=L712,"On-Time","Delayed"),"Pending"))</f>
        <v>0</v>
      </c>
    </row>
    <row r="713" spans="15:15">
      <c r="O713" s="8">
        <f>IF(N713="","",IF(N713="Closed",IF(M713&lt;=L713,"On-Time","Delayed"),"Pending"))</f>
        <v>0</v>
      </c>
    </row>
    <row r="714" spans="15:15">
      <c r="O714" s="8">
        <f>IF(N714="","",IF(N714="Closed",IF(M714&lt;=L714,"On-Time","Delayed"),"Pending"))</f>
        <v>0</v>
      </c>
    </row>
    <row r="715" spans="15:15">
      <c r="O715" s="8">
        <f>IF(N715="","",IF(N715="Closed",IF(M715&lt;=L715,"On-Time","Delayed"),"Pending"))</f>
        <v>0</v>
      </c>
    </row>
    <row r="716" spans="15:15">
      <c r="O716" s="8">
        <f>IF(N716="","",IF(N716="Closed",IF(M716&lt;=L716,"On-Time","Delayed"),"Pending"))</f>
        <v>0</v>
      </c>
    </row>
    <row r="717" spans="15:15">
      <c r="O717" s="8">
        <f>IF(N717="","",IF(N717="Closed",IF(M717&lt;=L717,"On-Time","Delayed"),"Pending"))</f>
        <v>0</v>
      </c>
    </row>
    <row r="718" spans="15:15">
      <c r="O718" s="8">
        <f>IF(N718="","",IF(N718="Closed",IF(M718&lt;=L718,"On-Time","Delayed"),"Pending"))</f>
        <v>0</v>
      </c>
    </row>
    <row r="719" spans="15:15">
      <c r="O719" s="8">
        <f>IF(N719="","",IF(N719="Closed",IF(M719&lt;=L719,"On-Time","Delayed"),"Pending"))</f>
        <v>0</v>
      </c>
    </row>
    <row r="720" spans="15:15">
      <c r="O720" s="8">
        <f>IF(N720="","",IF(N720="Closed",IF(M720&lt;=L720,"On-Time","Delayed"),"Pending"))</f>
        <v>0</v>
      </c>
    </row>
    <row r="721" spans="15:15">
      <c r="O721" s="8">
        <f>IF(N721="","",IF(N721="Closed",IF(M721&lt;=L721,"On-Time","Delayed"),"Pending"))</f>
        <v>0</v>
      </c>
    </row>
    <row r="722" spans="15:15">
      <c r="O722" s="8">
        <f>IF(N722="","",IF(N722="Closed",IF(M722&lt;=L722,"On-Time","Delayed"),"Pending"))</f>
        <v>0</v>
      </c>
    </row>
    <row r="723" spans="15:15">
      <c r="O723" s="8">
        <f>IF(N723="","",IF(N723="Closed",IF(M723&lt;=L723,"On-Time","Delayed"),"Pending"))</f>
        <v>0</v>
      </c>
    </row>
    <row r="724" spans="15:15">
      <c r="O724" s="8">
        <f>IF(N724="","",IF(N724="Closed",IF(M724&lt;=L724,"On-Time","Delayed"),"Pending"))</f>
        <v>0</v>
      </c>
    </row>
    <row r="725" spans="15:15">
      <c r="O725" s="8">
        <f>IF(N725="","",IF(N725="Closed",IF(M725&lt;=L725,"On-Time","Delayed"),"Pending"))</f>
        <v>0</v>
      </c>
    </row>
    <row r="726" spans="15:15">
      <c r="O726" s="8">
        <f>IF(N726="","",IF(N726="Closed",IF(M726&lt;=L726,"On-Time","Delayed"),"Pending"))</f>
        <v>0</v>
      </c>
    </row>
    <row r="727" spans="15:15">
      <c r="O727" s="8">
        <f>IF(N727="","",IF(N727="Closed",IF(M727&lt;=L727,"On-Time","Delayed"),"Pending"))</f>
        <v>0</v>
      </c>
    </row>
    <row r="728" spans="15:15">
      <c r="O728" s="8">
        <f>IF(N728="","",IF(N728="Closed",IF(M728&lt;=L728,"On-Time","Delayed"),"Pending"))</f>
        <v>0</v>
      </c>
    </row>
    <row r="729" spans="15:15">
      <c r="O729" s="8">
        <f>IF(N729="","",IF(N729="Closed",IF(M729&lt;=L729,"On-Time","Delayed"),"Pending"))</f>
        <v>0</v>
      </c>
    </row>
    <row r="730" spans="15:15">
      <c r="O730" s="8">
        <f>IF(N730="","",IF(N730="Closed",IF(M730&lt;=L730,"On-Time","Delayed"),"Pending"))</f>
        <v>0</v>
      </c>
    </row>
    <row r="731" spans="15:15">
      <c r="O731" s="8">
        <f>IF(N731="","",IF(N731="Closed",IF(M731&lt;=L731,"On-Time","Delayed"),"Pending"))</f>
        <v>0</v>
      </c>
    </row>
    <row r="732" spans="15:15">
      <c r="O732" s="8">
        <f>IF(N732="","",IF(N732="Closed",IF(M732&lt;=L732,"On-Time","Delayed"),"Pending"))</f>
        <v>0</v>
      </c>
    </row>
    <row r="733" spans="15:15">
      <c r="O733" s="8">
        <f>IF(N733="","",IF(N733="Closed",IF(M733&lt;=L733,"On-Time","Delayed"),"Pending"))</f>
        <v>0</v>
      </c>
    </row>
    <row r="734" spans="15:15">
      <c r="O734" s="8">
        <f>IF(N734="","",IF(N734="Closed",IF(M734&lt;=L734,"On-Time","Delayed"),"Pending"))</f>
        <v>0</v>
      </c>
    </row>
    <row r="735" spans="15:15">
      <c r="O735" s="8">
        <f>IF(N735="","",IF(N735="Closed",IF(M735&lt;=L735,"On-Time","Delayed"),"Pending"))</f>
        <v>0</v>
      </c>
    </row>
    <row r="736" spans="15:15">
      <c r="O736" s="8">
        <f>IF(N736="","",IF(N736="Closed",IF(M736&lt;=L736,"On-Time","Delayed"),"Pending"))</f>
        <v>0</v>
      </c>
    </row>
    <row r="737" spans="15:15">
      <c r="O737" s="8">
        <f>IF(N737="","",IF(N737="Closed",IF(M737&lt;=L737,"On-Time","Delayed"),"Pending"))</f>
        <v>0</v>
      </c>
    </row>
    <row r="738" spans="15:15">
      <c r="O738" s="8">
        <f>IF(N738="","",IF(N738="Closed",IF(M738&lt;=L738,"On-Time","Delayed"),"Pending"))</f>
        <v>0</v>
      </c>
    </row>
    <row r="739" spans="15:15">
      <c r="O739" s="8">
        <f>IF(N739="","",IF(N739="Closed",IF(M739&lt;=L739,"On-Time","Delayed"),"Pending"))</f>
        <v>0</v>
      </c>
    </row>
    <row r="740" spans="15:15">
      <c r="O740" s="8">
        <f>IF(N740="","",IF(N740="Closed",IF(M740&lt;=L740,"On-Time","Delayed"),"Pending"))</f>
        <v>0</v>
      </c>
    </row>
    <row r="741" spans="15:15">
      <c r="O741" s="8">
        <f>IF(N741="","",IF(N741="Closed",IF(M741&lt;=L741,"On-Time","Delayed"),"Pending"))</f>
        <v>0</v>
      </c>
    </row>
    <row r="742" spans="15:15">
      <c r="O742" s="8">
        <f>IF(N742="","",IF(N742="Closed",IF(M742&lt;=L742,"On-Time","Delayed"),"Pending"))</f>
        <v>0</v>
      </c>
    </row>
    <row r="743" spans="15:15">
      <c r="O743" s="8">
        <f>IF(N743="","",IF(N743="Closed",IF(M743&lt;=L743,"On-Time","Delayed"),"Pending"))</f>
        <v>0</v>
      </c>
    </row>
    <row r="744" spans="15:15">
      <c r="O744" s="8">
        <f>IF(N744="","",IF(N744="Closed",IF(M744&lt;=L744,"On-Time","Delayed"),"Pending"))</f>
        <v>0</v>
      </c>
    </row>
    <row r="745" spans="15:15">
      <c r="O745" s="8">
        <f>IF(N745="","",IF(N745="Closed",IF(M745&lt;=L745,"On-Time","Delayed"),"Pending"))</f>
        <v>0</v>
      </c>
    </row>
    <row r="746" spans="15:15">
      <c r="O746" s="8">
        <f>IF(N746="","",IF(N746="Closed",IF(M746&lt;=L746,"On-Time","Delayed"),"Pending"))</f>
        <v>0</v>
      </c>
    </row>
    <row r="747" spans="15:15">
      <c r="O747" s="8">
        <f>IF(N747="","",IF(N747="Closed",IF(M747&lt;=L747,"On-Time","Delayed"),"Pending"))</f>
        <v>0</v>
      </c>
    </row>
    <row r="748" spans="15:15">
      <c r="O748" s="8">
        <f>IF(N748="","",IF(N748="Closed",IF(M748&lt;=L748,"On-Time","Delayed"),"Pending"))</f>
        <v>0</v>
      </c>
    </row>
    <row r="749" spans="15:15">
      <c r="O749" s="8">
        <f>IF(N749="","",IF(N749="Closed",IF(M749&lt;=L749,"On-Time","Delayed"),"Pending"))</f>
        <v>0</v>
      </c>
    </row>
    <row r="750" spans="15:15">
      <c r="O750" s="8">
        <f>IF(N750="","",IF(N750="Closed",IF(M750&lt;=L750,"On-Time","Delayed"),"Pending"))</f>
        <v>0</v>
      </c>
    </row>
    <row r="751" spans="15:15">
      <c r="O751" s="8">
        <f>IF(N751="","",IF(N751="Closed",IF(M751&lt;=L751,"On-Time","Delayed"),"Pending"))</f>
        <v>0</v>
      </c>
    </row>
    <row r="752" spans="15:15">
      <c r="O752" s="8">
        <f>IF(N752="","",IF(N752="Closed",IF(M752&lt;=L752,"On-Time","Delayed"),"Pending"))</f>
        <v>0</v>
      </c>
    </row>
    <row r="753" spans="15:15">
      <c r="O753" s="8">
        <f>IF(N753="","",IF(N753="Closed",IF(M753&lt;=L753,"On-Time","Delayed"),"Pending"))</f>
        <v>0</v>
      </c>
    </row>
    <row r="754" spans="15:15">
      <c r="O754" s="8">
        <f>IF(N754="","",IF(N754="Closed",IF(M754&lt;=L754,"On-Time","Delayed"),"Pending"))</f>
        <v>0</v>
      </c>
    </row>
    <row r="755" spans="15:15">
      <c r="O755" s="8">
        <f>IF(N755="","",IF(N755="Closed",IF(M755&lt;=L755,"On-Time","Delayed"),"Pending"))</f>
        <v>0</v>
      </c>
    </row>
    <row r="756" spans="15:15">
      <c r="O756" s="8">
        <f>IF(N756="","",IF(N756="Closed",IF(M756&lt;=L756,"On-Time","Delayed"),"Pending"))</f>
        <v>0</v>
      </c>
    </row>
    <row r="757" spans="15:15">
      <c r="O757" s="8">
        <f>IF(N757="","",IF(N757="Closed",IF(M757&lt;=L757,"On-Time","Delayed"),"Pending"))</f>
        <v>0</v>
      </c>
    </row>
    <row r="758" spans="15:15">
      <c r="O758" s="8">
        <f>IF(N758="","",IF(N758="Closed",IF(M758&lt;=L758,"On-Time","Delayed"),"Pending"))</f>
        <v>0</v>
      </c>
    </row>
    <row r="759" spans="15:15">
      <c r="O759" s="8">
        <f>IF(N759="","",IF(N759="Closed",IF(M759&lt;=L759,"On-Time","Delayed"),"Pending"))</f>
        <v>0</v>
      </c>
    </row>
    <row r="760" spans="15:15">
      <c r="O760" s="8">
        <f>IF(N760="","",IF(N760="Closed",IF(M760&lt;=L760,"On-Time","Delayed"),"Pending"))</f>
        <v>0</v>
      </c>
    </row>
    <row r="761" spans="15:15">
      <c r="O761" s="8">
        <f>IF(N761="","",IF(N761="Closed",IF(M761&lt;=L761,"On-Time","Delayed"),"Pending"))</f>
        <v>0</v>
      </c>
    </row>
    <row r="762" spans="15:15">
      <c r="O762" s="8">
        <f>IF(N762="","",IF(N762="Closed",IF(M762&lt;=L762,"On-Time","Delayed"),"Pending"))</f>
        <v>0</v>
      </c>
    </row>
    <row r="763" spans="15:15">
      <c r="O763" s="8">
        <f>IF(N763="","",IF(N763="Closed",IF(M763&lt;=L763,"On-Time","Delayed"),"Pending"))</f>
        <v>0</v>
      </c>
    </row>
    <row r="764" spans="15:15">
      <c r="O764" s="8">
        <f>IF(N764="","",IF(N764="Closed",IF(M764&lt;=L764,"On-Time","Delayed"),"Pending"))</f>
        <v>0</v>
      </c>
    </row>
    <row r="765" spans="15:15">
      <c r="O765" s="8">
        <f>IF(N765="","",IF(N765="Closed",IF(M765&lt;=L765,"On-Time","Delayed"),"Pending"))</f>
        <v>0</v>
      </c>
    </row>
    <row r="766" spans="15:15">
      <c r="O766" s="8">
        <f>IF(N766="","",IF(N766="Closed",IF(M766&lt;=L766,"On-Time","Delayed"),"Pending"))</f>
        <v>0</v>
      </c>
    </row>
    <row r="767" spans="15:15">
      <c r="O767" s="8">
        <f>IF(N767="","",IF(N767="Closed",IF(M767&lt;=L767,"On-Time","Delayed"),"Pending"))</f>
        <v>0</v>
      </c>
    </row>
    <row r="768" spans="15:15">
      <c r="O768" s="8">
        <f>IF(N768="","",IF(N768="Closed",IF(M768&lt;=L768,"On-Time","Delayed"),"Pending"))</f>
        <v>0</v>
      </c>
    </row>
    <row r="769" spans="15:15">
      <c r="O769" s="8">
        <f>IF(N769="","",IF(N769="Closed",IF(M769&lt;=L769,"On-Time","Delayed"),"Pending"))</f>
        <v>0</v>
      </c>
    </row>
    <row r="770" spans="15:15">
      <c r="O770" s="8">
        <f>IF(N770="","",IF(N770="Closed",IF(M770&lt;=L770,"On-Time","Delayed"),"Pending"))</f>
        <v>0</v>
      </c>
    </row>
    <row r="771" spans="15:15">
      <c r="O771" s="8">
        <f>IF(N771="","",IF(N771="Closed",IF(M771&lt;=L771,"On-Time","Delayed"),"Pending"))</f>
        <v>0</v>
      </c>
    </row>
    <row r="772" spans="15:15">
      <c r="O772" s="8">
        <f>IF(N772="","",IF(N772="Closed",IF(M772&lt;=L772,"On-Time","Delayed"),"Pending"))</f>
        <v>0</v>
      </c>
    </row>
    <row r="773" spans="15:15">
      <c r="O773" s="8">
        <f>IF(N773="","",IF(N773="Closed",IF(M773&lt;=L773,"On-Time","Delayed"),"Pending"))</f>
        <v>0</v>
      </c>
    </row>
    <row r="774" spans="15:15">
      <c r="O774" s="8">
        <f>IF(N774="","",IF(N774="Closed",IF(M774&lt;=L774,"On-Time","Delayed"),"Pending"))</f>
        <v>0</v>
      </c>
    </row>
    <row r="775" spans="15:15">
      <c r="O775" s="8">
        <f>IF(N775="","",IF(N775="Closed",IF(M775&lt;=L775,"On-Time","Delayed"),"Pending"))</f>
        <v>0</v>
      </c>
    </row>
    <row r="776" spans="15:15">
      <c r="O776" s="8">
        <f>IF(N776="","",IF(N776="Closed",IF(M776&lt;=L776,"On-Time","Delayed"),"Pending"))</f>
        <v>0</v>
      </c>
    </row>
    <row r="777" spans="15:15">
      <c r="O777" s="8">
        <f>IF(N777="","",IF(N777="Closed",IF(M777&lt;=L777,"On-Time","Delayed"),"Pending"))</f>
        <v>0</v>
      </c>
    </row>
    <row r="778" spans="15:15">
      <c r="O778" s="8">
        <f>IF(N778="","",IF(N778="Closed",IF(M778&lt;=L778,"On-Time","Delayed"),"Pending"))</f>
        <v>0</v>
      </c>
    </row>
    <row r="779" spans="15:15">
      <c r="O779" s="8">
        <f>IF(N779="","",IF(N779="Closed",IF(M779&lt;=L779,"On-Time","Delayed"),"Pending"))</f>
        <v>0</v>
      </c>
    </row>
    <row r="780" spans="15:15">
      <c r="O780" s="8">
        <f>IF(N780="","",IF(N780="Closed",IF(M780&lt;=L780,"On-Time","Delayed"),"Pending"))</f>
        <v>0</v>
      </c>
    </row>
    <row r="781" spans="15:15">
      <c r="O781" s="8">
        <f>IF(N781="","",IF(N781="Closed",IF(M781&lt;=L781,"On-Time","Delayed"),"Pending"))</f>
        <v>0</v>
      </c>
    </row>
    <row r="782" spans="15:15">
      <c r="O782" s="8">
        <f>IF(N782="","",IF(N782="Closed",IF(M782&lt;=L782,"On-Time","Delayed"),"Pending"))</f>
        <v>0</v>
      </c>
    </row>
    <row r="783" spans="15:15">
      <c r="O783" s="8">
        <f>IF(N783="","",IF(N783="Closed",IF(M783&lt;=L783,"On-Time","Delayed"),"Pending"))</f>
        <v>0</v>
      </c>
    </row>
    <row r="784" spans="15:15">
      <c r="O784" s="8">
        <f>IF(N784="","",IF(N784="Closed",IF(M784&lt;=L784,"On-Time","Delayed"),"Pending"))</f>
        <v>0</v>
      </c>
    </row>
    <row r="785" spans="15:15">
      <c r="O785" s="8">
        <f>IF(N785="","",IF(N785="Closed",IF(M785&lt;=L785,"On-Time","Delayed"),"Pending"))</f>
        <v>0</v>
      </c>
    </row>
    <row r="786" spans="15:15">
      <c r="O786" s="8">
        <f>IF(N786="","",IF(N786="Closed",IF(M786&lt;=L786,"On-Time","Delayed"),"Pending"))</f>
        <v>0</v>
      </c>
    </row>
    <row r="787" spans="15:15">
      <c r="O787" s="8">
        <f>IF(N787="","",IF(N787="Closed",IF(M787&lt;=L787,"On-Time","Delayed"),"Pending"))</f>
        <v>0</v>
      </c>
    </row>
    <row r="788" spans="15:15">
      <c r="O788" s="8">
        <f>IF(N788="","",IF(N788="Closed",IF(M788&lt;=L788,"On-Time","Delayed"),"Pending"))</f>
        <v>0</v>
      </c>
    </row>
    <row r="789" spans="15:15">
      <c r="O789" s="8">
        <f>IF(N789="","",IF(N789="Closed",IF(M789&lt;=L789,"On-Time","Delayed"),"Pending"))</f>
        <v>0</v>
      </c>
    </row>
    <row r="790" spans="15:15">
      <c r="O790" s="8">
        <f>IF(N790="","",IF(N790="Closed",IF(M790&lt;=L790,"On-Time","Delayed"),"Pending"))</f>
        <v>0</v>
      </c>
    </row>
    <row r="791" spans="15:15">
      <c r="O791" s="8">
        <f>IF(N791="","",IF(N791="Closed",IF(M791&lt;=L791,"On-Time","Delayed"),"Pending"))</f>
        <v>0</v>
      </c>
    </row>
    <row r="792" spans="15:15">
      <c r="O792" s="8">
        <f>IF(N792="","",IF(N792="Closed",IF(M792&lt;=L792,"On-Time","Delayed"),"Pending"))</f>
        <v>0</v>
      </c>
    </row>
    <row r="793" spans="15:15">
      <c r="O793" s="8">
        <f>IF(N793="","",IF(N793="Closed",IF(M793&lt;=L793,"On-Time","Delayed"),"Pending"))</f>
        <v>0</v>
      </c>
    </row>
    <row r="794" spans="15:15">
      <c r="O794" s="8">
        <f>IF(N794="","",IF(N794="Closed",IF(M794&lt;=L794,"On-Time","Delayed"),"Pending"))</f>
        <v>0</v>
      </c>
    </row>
    <row r="795" spans="15:15">
      <c r="O795" s="8">
        <f>IF(N795="","",IF(N795="Closed",IF(M795&lt;=L795,"On-Time","Delayed"),"Pending"))</f>
        <v>0</v>
      </c>
    </row>
    <row r="796" spans="15:15">
      <c r="O796" s="8">
        <f>IF(N796="","",IF(N796="Closed",IF(M796&lt;=L796,"On-Time","Delayed"),"Pending"))</f>
        <v>0</v>
      </c>
    </row>
    <row r="797" spans="15:15">
      <c r="O797" s="8">
        <f>IF(N797="","",IF(N797="Closed",IF(M797&lt;=L797,"On-Time","Delayed"),"Pending"))</f>
        <v>0</v>
      </c>
    </row>
    <row r="798" spans="15:15">
      <c r="O798" s="8">
        <f>IF(N798="","",IF(N798="Closed",IF(M798&lt;=L798,"On-Time","Delayed"),"Pending"))</f>
        <v>0</v>
      </c>
    </row>
    <row r="799" spans="15:15">
      <c r="O799" s="8">
        <f>IF(N799="","",IF(N799="Closed",IF(M799&lt;=L799,"On-Time","Delayed"),"Pending"))</f>
        <v>0</v>
      </c>
    </row>
    <row r="800" spans="15:15">
      <c r="O800" s="8">
        <f>IF(N800="","",IF(N800="Closed",IF(M800&lt;=L800,"On-Time","Delayed"),"Pending"))</f>
        <v>0</v>
      </c>
    </row>
    <row r="801" spans="15:15">
      <c r="O801" s="8">
        <f>IF(N801="","",IF(N801="Closed",IF(M801&lt;=L801,"On-Time","Delayed"),"Pending"))</f>
        <v>0</v>
      </c>
    </row>
    <row r="802" spans="15:15">
      <c r="O802" s="8">
        <f>IF(N802="","",IF(N802="Closed",IF(M802&lt;=L802,"On-Time","Delayed"),"Pending"))</f>
        <v>0</v>
      </c>
    </row>
    <row r="803" spans="15:15">
      <c r="O803" s="8">
        <f>IF(N803="","",IF(N803="Closed",IF(M803&lt;=L803,"On-Time","Delayed"),"Pending"))</f>
        <v>0</v>
      </c>
    </row>
    <row r="804" spans="15:15">
      <c r="O804" s="8">
        <f>IF(N804="","",IF(N804="Closed",IF(M804&lt;=L804,"On-Time","Delayed"),"Pending"))</f>
        <v>0</v>
      </c>
    </row>
    <row r="805" spans="15:15">
      <c r="O805" s="8">
        <f>IF(N805="","",IF(N805="Closed",IF(M805&lt;=L805,"On-Time","Delayed"),"Pending"))</f>
        <v>0</v>
      </c>
    </row>
    <row r="806" spans="15:15">
      <c r="O806" s="8">
        <f>IF(N806="","",IF(N806="Closed",IF(M806&lt;=L806,"On-Time","Delayed"),"Pending"))</f>
        <v>0</v>
      </c>
    </row>
    <row r="807" spans="15:15">
      <c r="O807" s="8">
        <f>IF(N807="","",IF(N807="Closed",IF(M807&lt;=L807,"On-Time","Delayed"),"Pending"))</f>
        <v>0</v>
      </c>
    </row>
    <row r="808" spans="15:15">
      <c r="O808" s="8">
        <f>IF(N808="","",IF(N808="Closed",IF(M808&lt;=L808,"On-Time","Delayed"),"Pending"))</f>
        <v>0</v>
      </c>
    </row>
    <row r="809" spans="15:15">
      <c r="O809" s="8">
        <f>IF(N809="","",IF(N809="Closed",IF(M809&lt;=L809,"On-Time","Delayed"),"Pending"))</f>
        <v>0</v>
      </c>
    </row>
    <row r="810" spans="15:15">
      <c r="O810" s="8">
        <f>IF(N810="","",IF(N810="Closed",IF(M810&lt;=L810,"On-Time","Delayed"),"Pending"))</f>
        <v>0</v>
      </c>
    </row>
    <row r="811" spans="15:15">
      <c r="O811" s="8">
        <f>IF(N811="","",IF(N811="Closed",IF(M811&lt;=L811,"On-Time","Delayed"),"Pending"))</f>
        <v>0</v>
      </c>
    </row>
    <row r="812" spans="15:15">
      <c r="O812" s="8">
        <f>IF(N812="","",IF(N812="Closed",IF(M812&lt;=L812,"On-Time","Delayed"),"Pending"))</f>
        <v>0</v>
      </c>
    </row>
    <row r="813" spans="15:15">
      <c r="O813" s="8">
        <f>IF(N813="","",IF(N813="Closed",IF(M813&lt;=L813,"On-Time","Delayed"),"Pending"))</f>
        <v>0</v>
      </c>
    </row>
    <row r="814" spans="15:15">
      <c r="O814" s="8">
        <f>IF(N814="","",IF(N814="Closed",IF(M814&lt;=L814,"On-Time","Delayed"),"Pending"))</f>
        <v>0</v>
      </c>
    </row>
    <row r="815" spans="15:15">
      <c r="O815" s="8">
        <f>IF(N815="","",IF(N815="Closed",IF(M815&lt;=L815,"On-Time","Delayed"),"Pending"))</f>
        <v>0</v>
      </c>
    </row>
    <row r="816" spans="15:15">
      <c r="O816" s="8">
        <f>IF(N816="","",IF(N816="Closed",IF(M816&lt;=L816,"On-Time","Delayed"),"Pending"))</f>
        <v>0</v>
      </c>
    </row>
    <row r="817" spans="15:15">
      <c r="O817" s="8">
        <f>IF(N817="","",IF(N817="Closed",IF(M817&lt;=L817,"On-Time","Delayed"),"Pending"))</f>
        <v>0</v>
      </c>
    </row>
    <row r="818" spans="15:15">
      <c r="O818" s="8">
        <f>IF(N818="","",IF(N818="Closed",IF(M818&lt;=L818,"On-Time","Delayed"),"Pending"))</f>
        <v>0</v>
      </c>
    </row>
    <row r="819" spans="15:15">
      <c r="O819" s="8">
        <f>IF(N819="","",IF(N819="Closed",IF(M819&lt;=L819,"On-Time","Delayed"),"Pending"))</f>
        <v>0</v>
      </c>
    </row>
    <row r="820" spans="15:15">
      <c r="O820" s="8">
        <f>IF(N820="","",IF(N820="Closed",IF(M820&lt;=L820,"On-Time","Delayed"),"Pending"))</f>
        <v>0</v>
      </c>
    </row>
    <row r="821" spans="15:15">
      <c r="O821" s="8">
        <f>IF(N821="","",IF(N821="Closed",IF(M821&lt;=L821,"On-Time","Delayed"),"Pending"))</f>
        <v>0</v>
      </c>
    </row>
    <row r="822" spans="15:15">
      <c r="O822" s="8">
        <f>IF(N822="","",IF(N822="Closed",IF(M822&lt;=L822,"On-Time","Delayed"),"Pending"))</f>
        <v>0</v>
      </c>
    </row>
    <row r="823" spans="15:15">
      <c r="O823" s="8">
        <f>IF(N823="","",IF(N823="Closed",IF(M823&lt;=L823,"On-Time","Delayed"),"Pending"))</f>
        <v>0</v>
      </c>
    </row>
    <row r="824" spans="15:15">
      <c r="O824" s="8">
        <f>IF(N824="","",IF(N824="Closed",IF(M824&lt;=L824,"On-Time","Delayed"),"Pending"))</f>
        <v>0</v>
      </c>
    </row>
    <row r="825" spans="15:15">
      <c r="O825" s="8">
        <f>IF(N825="","",IF(N825="Closed",IF(M825&lt;=L825,"On-Time","Delayed"),"Pending"))</f>
        <v>0</v>
      </c>
    </row>
    <row r="826" spans="15:15">
      <c r="O826" s="8">
        <f>IF(N826="","",IF(N826="Closed",IF(M826&lt;=L826,"On-Time","Delayed"),"Pending"))</f>
        <v>0</v>
      </c>
    </row>
    <row r="827" spans="15:15">
      <c r="O827" s="8">
        <f>IF(N827="","",IF(N827="Closed",IF(M827&lt;=L827,"On-Time","Delayed"),"Pending"))</f>
        <v>0</v>
      </c>
    </row>
    <row r="828" spans="15:15">
      <c r="O828" s="8">
        <f>IF(N828="","",IF(N828="Closed",IF(M828&lt;=L828,"On-Time","Delayed"),"Pending"))</f>
        <v>0</v>
      </c>
    </row>
    <row r="829" spans="15:15">
      <c r="O829" s="8">
        <f>IF(N829="","",IF(N829="Closed",IF(M829&lt;=L829,"On-Time","Delayed"),"Pending"))</f>
        <v>0</v>
      </c>
    </row>
    <row r="830" spans="15:15">
      <c r="O830" s="8">
        <f>IF(N830="","",IF(N830="Closed",IF(M830&lt;=L830,"On-Time","Delayed"),"Pending"))</f>
        <v>0</v>
      </c>
    </row>
    <row r="831" spans="15:15">
      <c r="O831" s="8">
        <f>IF(N831="","",IF(N831="Closed",IF(M831&lt;=L831,"On-Time","Delayed"),"Pending"))</f>
        <v>0</v>
      </c>
    </row>
    <row r="832" spans="15:15">
      <c r="O832" s="8">
        <f>IF(N832="","",IF(N832="Closed",IF(M832&lt;=L832,"On-Time","Delayed"),"Pending"))</f>
        <v>0</v>
      </c>
    </row>
    <row r="833" spans="15:15">
      <c r="O833" s="8">
        <f>IF(N833="","",IF(N833="Closed",IF(M833&lt;=L833,"On-Time","Delayed"),"Pending"))</f>
        <v>0</v>
      </c>
    </row>
    <row r="834" spans="15:15">
      <c r="O834" s="8">
        <f>IF(N834="","",IF(N834="Closed",IF(M834&lt;=L834,"On-Time","Delayed"),"Pending"))</f>
        <v>0</v>
      </c>
    </row>
    <row r="835" spans="15:15">
      <c r="O835" s="8">
        <f>IF(N835="","",IF(N835="Closed",IF(M835&lt;=L835,"On-Time","Delayed"),"Pending"))</f>
        <v>0</v>
      </c>
    </row>
    <row r="836" spans="15:15">
      <c r="O836" s="8">
        <f>IF(N836="","",IF(N836="Closed",IF(M836&lt;=L836,"On-Time","Delayed"),"Pending"))</f>
        <v>0</v>
      </c>
    </row>
    <row r="837" spans="15:15">
      <c r="O837" s="8">
        <f>IF(N837="","",IF(N837="Closed",IF(M837&lt;=L837,"On-Time","Delayed"),"Pending"))</f>
        <v>0</v>
      </c>
    </row>
    <row r="838" spans="15:15">
      <c r="O838" s="8">
        <f>IF(N838="","",IF(N838="Closed",IF(M838&lt;=L838,"On-Time","Delayed"),"Pending"))</f>
        <v>0</v>
      </c>
    </row>
    <row r="839" spans="15:15">
      <c r="O839" s="8">
        <f>IF(N839="","",IF(N839="Closed",IF(M839&lt;=L839,"On-Time","Delayed"),"Pending"))</f>
        <v>0</v>
      </c>
    </row>
    <row r="840" spans="15:15">
      <c r="O840" s="8">
        <f>IF(N840="","",IF(N840="Closed",IF(M840&lt;=L840,"On-Time","Delayed"),"Pending"))</f>
        <v>0</v>
      </c>
    </row>
    <row r="841" spans="15:15">
      <c r="O841" s="8">
        <f>IF(N841="","",IF(N841="Closed",IF(M841&lt;=L841,"On-Time","Delayed"),"Pending"))</f>
        <v>0</v>
      </c>
    </row>
    <row r="842" spans="15:15">
      <c r="O842" s="8">
        <f>IF(N842="","",IF(N842="Closed",IF(M842&lt;=L842,"On-Time","Delayed"),"Pending"))</f>
        <v>0</v>
      </c>
    </row>
    <row r="843" spans="15:15">
      <c r="O843" s="8">
        <f>IF(N843="","",IF(N843="Closed",IF(M843&lt;=L843,"On-Time","Delayed"),"Pending"))</f>
        <v>0</v>
      </c>
    </row>
    <row r="844" spans="15:15">
      <c r="O844" s="8">
        <f>IF(N844="","",IF(N844="Closed",IF(M844&lt;=L844,"On-Time","Delayed"),"Pending"))</f>
        <v>0</v>
      </c>
    </row>
    <row r="845" spans="15:15">
      <c r="O845" s="8">
        <f>IF(N845="","",IF(N845="Closed",IF(M845&lt;=L845,"On-Time","Delayed"),"Pending"))</f>
        <v>0</v>
      </c>
    </row>
    <row r="846" spans="15:15">
      <c r="O846" s="8">
        <f>IF(N846="","",IF(N846="Closed",IF(M846&lt;=L846,"On-Time","Delayed"),"Pending"))</f>
        <v>0</v>
      </c>
    </row>
    <row r="847" spans="15:15">
      <c r="O847" s="8">
        <f>IF(N847="","",IF(N847="Closed",IF(M847&lt;=L847,"On-Time","Delayed"),"Pending"))</f>
        <v>0</v>
      </c>
    </row>
    <row r="848" spans="15:15">
      <c r="O848" s="8">
        <f>IF(N848="","",IF(N848="Closed",IF(M848&lt;=L848,"On-Time","Delayed"),"Pending"))</f>
        <v>0</v>
      </c>
    </row>
    <row r="849" spans="15:15">
      <c r="O849" s="8">
        <f>IF(N849="","",IF(N849="Closed",IF(M849&lt;=L849,"On-Time","Delayed"),"Pending"))</f>
        <v>0</v>
      </c>
    </row>
    <row r="850" spans="15:15">
      <c r="O850" s="8">
        <f>IF(N850="","",IF(N850="Closed",IF(M850&lt;=L850,"On-Time","Delayed"),"Pending"))</f>
        <v>0</v>
      </c>
    </row>
    <row r="851" spans="15:15">
      <c r="O851" s="8">
        <f>IF(N851="","",IF(N851="Closed",IF(M851&lt;=L851,"On-Time","Delayed"),"Pending"))</f>
        <v>0</v>
      </c>
    </row>
    <row r="852" spans="15:15">
      <c r="O852" s="8">
        <f>IF(N852="","",IF(N852="Closed",IF(M852&lt;=L852,"On-Time","Delayed"),"Pending"))</f>
        <v>0</v>
      </c>
    </row>
    <row r="853" spans="15:15">
      <c r="O853" s="8">
        <f>IF(N853="","",IF(N853="Closed",IF(M853&lt;=L853,"On-Time","Delayed"),"Pending"))</f>
        <v>0</v>
      </c>
    </row>
    <row r="854" spans="15:15">
      <c r="O854" s="8">
        <f>IF(N854="","",IF(N854="Closed",IF(M854&lt;=L854,"On-Time","Delayed"),"Pending"))</f>
        <v>0</v>
      </c>
    </row>
    <row r="855" spans="15:15">
      <c r="O855" s="8">
        <f>IF(N855="","",IF(N855="Closed",IF(M855&lt;=L855,"On-Time","Delayed"),"Pending"))</f>
        <v>0</v>
      </c>
    </row>
    <row r="856" spans="15:15">
      <c r="O856" s="8">
        <f>IF(N856="","",IF(N856="Closed",IF(M856&lt;=L856,"On-Time","Delayed"),"Pending"))</f>
        <v>0</v>
      </c>
    </row>
    <row r="857" spans="15:15">
      <c r="O857" s="8">
        <f>IF(N857="","",IF(N857="Closed",IF(M857&lt;=L857,"On-Time","Delayed"),"Pending"))</f>
        <v>0</v>
      </c>
    </row>
    <row r="858" spans="15:15">
      <c r="O858" s="8">
        <f>IF(N858="","",IF(N858="Closed",IF(M858&lt;=L858,"On-Time","Delayed"),"Pending"))</f>
        <v>0</v>
      </c>
    </row>
    <row r="859" spans="15:15">
      <c r="O859" s="8">
        <f>IF(N859="","",IF(N859="Closed",IF(M859&lt;=L859,"On-Time","Delayed"),"Pending"))</f>
        <v>0</v>
      </c>
    </row>
    <row r="860" spans="15:15">
      <c r="O860" s="8">
        <f>IF(N860="","",IF(N860="Closed",IF(M860&lt;=L860,"On-Time","Delayed"),"Pending"))</f>
        <v>0</v>
      </c>
    </row>
    <row r="861" spans="15:15">
      <c r="O861" s="8">
        <f>IF(N861="","",IF(N861="Closed",IF(M861&lt;=L861,"On-Time","Delayed"),"Pending"))</f>
        <v>0</v>
      </c>
    </row>
    <row r="862" spans="15:15">
      <c r="O862" s="8">
        <f>IF(N862="","",IF(N862="Closed",IF(M862&lt;=L862,"On-Time","Delayed"),"Pending"))</f>
        <v>0</v>
      </c>
    </row>
    <row r="863" spans="15:15">
      <c r="O863" s="8">
        <f>IF(N863="","",IF(N863="Closed",IF(M863&lt;=L863,"On-Time","Delayed"),"Pending"))</f>
        <v>0</v>
      </c>
    </row>
    <row r="864" spans="15:15">
      <c r="O864" s="8">
        <f>IF(N864="","",IF(N864="Closed",IF(M864&lt;=L864,"On-Time","Delayed"),"Pending"))</f>
        <v>0</v>
      </c>
    </row>
    <row r="865" spans="15:15">
      <c r="O865" s="8">
        <f>IF(N865="","",IF(N865="Closed",IF(M865&lt;=L865,"On-Time","Delayed"),"Pending"))</f>
        <v>0</v>
      </c>
    </row>
    <row r="866" spans="15:15">
      <c r="O866" s="8">
        <f>IF(N866="","",IF(N866="Closed",IF(M866&lt;=L866,"On-Time","Delayed"),"Pending"))</f>
        <v>0</v>
      </c>
    </row>
    <row r="867" spans="15:15">
      <c r="O867" s="8">
        <f>IF(N867="","",IF(N867="Closed",IF(M867&lt;=L867,"On-Time","Delayed"),"Pending"))</f>
        <v>0</v>
      </c>
    </row>
    <row r="868" spans="15:15">
      <c r="O868" s="8">
        <f>IF(N868="","",IF(N868="Closed",IF(M868&lt;=L868,"On-Time","Delayed"),"Pending"))</f>
        <v>0</v>
      </c>
    </row>
    <row r="869" spans="15:15">
      <c r="O869" s="8">
        <f>IF(N869="","",IF(N869="Closed",IF(M869&lt;=L869,"On-Time","Delayed"),"Pending"))</f>
        <v>0</v>
      </c>
    </row>
    <row r="870" spans="15:15">
      <c r="O870" s="8">
        <f>IF(N870="","",IF(N870="Closed",IF(M870&lt;=L870,"On-Time","Delayed"),"Pending"))</f>
        <v>0</v>
      </c>
    </row>
    <row r="871" spans="15:15">
      <c r="O871" s="8">
        <f>IF(N871="","",IF(N871="Closed",IF(M871&lt;=L871,"On-Time","Delayed"),"Pending"))</f>
        <v>0</v>
      </c>
    </row>
    <row r="872" spans="15:15">
      <c r="O872" s="8">
        <f>IF(N872="","",IF(N872="Closed",IF(M872&lt;=L872,"On-Time","Delayed"),"Pending"))</f>
        <v>0</v>
      </c>
    </row>
    <row r="873" spans="15:15">
      <c r="O873" s="8">
        <f>IF(N873="","",IF(N873="Closed",IF(M873&lt;=L873,"On-Time","Delayed"),"Pending"))</f>
        <v>0</v>
      </c>
    </row>
    <row r="874" spans="15:15">
      <c r="O874" s="8">
        <f>IF(N874="","",IF(N874="Closed",IF(M874&lt;=L874,"On-Time","Delayed"),"Pending"))</f>
        <v>0</v>
      </c>
    </row>
    <row r="875" spans="15:15">
      <c r="O875" s="8">
        <f>IF(N875="","",IF(N875="Closed",IF(M875&lt;=L875,"On-Time","Delayed"),"Pending"))</f>
        <v>0</v>
      </c>
    </row>
    <row r="876" spans="15:15">
      <c r="O876" s="8">
        <f>IF(N876="","",IF(N876="Closed",IF(M876&lt;=L876,"On-Time","Delayed"),"Pending"))</f>
        <v>0</v>
      </c>
    </row>
    <row r="877" spans="15:15">
      <c r="O877" s="8">
        <f>IF(N877="","",IF(N877="Closed",IF(M877&lt;=L877,"On-Time","Delayed"),"Pending"))</f>
        <v>0</v>
      </c>
    </row>
    <row r="878" spans="15:15">
      <c r="O878" s="8">
        <f>IF(N878="","",IF(N878="Closed",IF(M878&lt;=L878,"On-Time","Delayed"),"Pending"))</f>
        <v>0</v>
      </c>
    </row>
    <row r="879" spans="15:15">
      <c r="O879" s="8">
        <f>IF(N879="","",IF(N879="Closed",IF(M879&lt;=L879,"On-Time","Delayed"),"Pending"))</f>
        <v>0</v>
      </c>
    </row>
    <row r="880" spans="15:15">
      <c r="O880" s="8">
        <f>IF(N880="","",IF(N880="Closed",IF(M880&lt;=L880,"On-Time","Delayed"),"Pending"))</f>
        <v>0</v>
      </c>
    </row>
    <row r="881" spans="15:15">
      <c r="O881" s="8">
        <f>IF(N881="","",IF(N881="Closed",IF(M881&lt;=L881,"On-Time","Delayed"),"Pending"))</f>
        <v>0</v>
      </c>
    </row>
    <row r="882" spans="15:15">
      <c r="O882" s="8">
        <f>IF(N882="","",IF(N882="Closed",IF(M882&lt;=L882,"On-Time","Delayed"),"Pending"))</f>
        <v>0</v>
      </c>
    </row>
    <row r="883" spans="15:15">
      <c r="O883" s="8">
        <f>IF(N883="","",IF(N883="Closed",IF(M883&lt;=L883,"On-Time","Delayed"),"Pending"))</f>
        <v>0</v>
      </c>
    </row>
    <row r="884" spans="15:15">
      <c r="O884" s="8">
        <f>IF(N884="","",IF(N884="Closed",IF(M884&lt;=L884,"On-Time","Delayed"),"Pending"))</f>
        <v>0</v>
      </c>
    </row>
    <row r="885" spans="15:15">
      <c r="O885" s="8">
        <f>IF(N885="","",IF(N885="Closed",IF(M885&lt;=L885,"On-Time","Delayed"),"Pending"))</f>
        <v>0</v>
      </c>
    </row>
    <row r="886" spans="15:15">
      <c r="O886" s="8">
        <f>IF(N886="","",IF(N886="Closed",IF(M886&lt;=L886,"On-Time","Delayed"),"Pending"))</f>
        <v>0</v>
      </c>
    </row>
    <row r="887" spans="15:15">
      <c r="O887" s="8">
        <f>IF(N887="","",IF(N887="Closed",IF(M887&lt;=L887,"On-Time","Delayed"),"Pending"))</f>
        <v>0</v>
      </c>
    </row>
    <row r="888" spans="15:15">
      <c r="O888" s="8">
        <f>IF(N888="","",IF(N888="Closed",IF(M888&lt;=L888,"On-Time","Delayed"),"Pending"))</f>
        <v>0</v>
      </c>
    </row>
    <row r="889" spans="15:15">
      <c r="O889" s="8">
        <f>IF(N889="","",IF(N889="Closed",IF(M889&lt;=L889,"On-Time","Delayed"),"Pending"))</f>
        <v>0</v>
      </c>
    </row>
    <row r="890" spans="15:15">
      <c r="O890" s="8">
        <f>IF(N890="","",IF(N890="Closed",IF(M890&lt;=L890,"On-Time","Delayed"),"Pending"))</f>
        <v>0</v>
      </c>
    </row>
    <row r="891" spans="15:15">
      <c r="O891" s="8">
        <f>IF(N891="","",IF(N891="Closed",IF(M891&lt;=L891,"On-Time","Delayed"),"Pending"))</f>
        <v>0</v>
      </c>
    </row>
    <row r="892" spans="15:15">
      <c r="O892" s="8">
        <f>IF(N892="","",IF(N892="Closed",IF(M892&lt;=L892,"On-Time","Delayed"),"Pending"))</f>
        <v>0</v>
      </c>
    </row>
    <row r="893" spans="15:15">
      <c r="O893" s="8">
        <f>IF(N893="","",IF(N893="Closed",IF(M893&lt;=L893,"On-Time","Delayed"),"Pending"))</f>
        <v>0</v>
      </c>
    </row>
    <row r="894" spans="15:15">
      <c r="O894" s="8">
        <f>IF(N894="","",IF(N894="Closed",IF(M894&lt;=L894,"On-Time","Delayed"),"Pending"))</f>
        <v>0</v>
      </c>
    </row>
    <row r="895" spans="15:15">
      <c r="O895" s="8">
        <f>IF(N895="","",IF(N895="Closed",IF(M895&lt;=L895,"On-Time","Delayed"),"Pending"))</f>
        <v>0</v>
      </c>
    </row>
    <row r="896" spans="15:15">
      <c r="O896" s="8">
        <f>IF(N896="","",IF(N896="Closed",IF(M896&lt;=L896,"On-Time","Delayed"),"Pending"))</f>
        <v>0</v>
      </c>
    </row>
    <row r="897" spans="15:15">
      <c r="O897" s="8">
        <f>IF(N897="","",IF(N897="Closed",IF(M897&lt;=L897,"On-Time","Delayed"),"Pending"))</f>
        <v>0</v>
      </c>
    </row>
    <row r="898" spans="15:15">
      <c r="O898" s="8">
        <f>IF(N898="","",IF(N898="Closed",IF(M898&lt;=L898,"On-Time","Delayed"),"Pending"))</f>
        <v>0</v>
      </c>
    </row>
    <row r="899" spans="15:15">
      <c r="O899" s="8">
        <f>IF(N899="","",IF(N899="Closed",IF(M899&lt;=L899,"On-Time","Delayed"),"Pending"))</f>
        <v>0</v>
      </c>
    </row>
    <row r="900" spans="15:15">
      <c r="O900" s="8">
        <f>IF(N900="","",IF(N900="Closed",IF(M900&lt;=L900,"On-Time","Delayed"),"Pending"))</f>
        <v>0</v>
      </c>
    </row>
    <row r="901" spans="15:15">
      <c r="O901" s="8">
        <f>IF(N901="","",IF(N901="Closed",IF(M901&lt;=L901,"On-Time","Delayed"),"Pending"))</f>
        <v>0</v>
      </c>
    </row>
    <row r="902" spans="15:15">
      <c r="O902" s="8">
        <f>IF(N902="","",IF(N902="Closed",IF(M902&lt;=L902,"On-Time","Delayed"),"Pending"))</f>
        <v>0</v>
      </c>
    </row>
    <row r="903" spans="15:15">
      <c r="O903" s="8">
        <f>IF(N903="","",IF(N903="Closed",IF(M903&lt;=L903,"On-Time","Delayed"),"Pending"))</f>
        <v>0</v>
      </c>
    </row>
    <row r="904" spans="15:15">
      <c r="O904" s="8">
        <f>IF(N904="","",IF(N904="Closed",IF(M904&lt;=L904,"On-Time","Delayed"),"Pending"))</f>
        <v>0</v>
      </c>
    </row>
    <row r="905" spans="15:15">
      <c r="O905" s="8">
        <f>IF(N905="","",IF(N905="Closed",IF(M905&lt;=L905,"On-Time","Delayed"),"Pending"))</f>
        <v>0</v>
      </c>
    </row>
    <row r="906" spans="15:15">
      <c r="O906" s="8">
        <f>IF(N906="","",IF(N906="Closed",IF(M906&lt;=L906,"On-Time","Delayed"),"Pending"))</f>
        <v>0</v>
      </c>
    </row>
    <row r="907" spans="15:15">
      <c r="O907" s="8">
        <f>IF(N907="","",IF(N907="Closed",IF(M907&lt;=L907,"On-Time","Delayed"),"Pending"))</f>
        <v>0</v>
      </c>
    </row>
    <row r="908" spans="15:15">
      <c r="O908" s="8">
        <f>IF(N908="","",IF(N908="Closed",IF(M908&lt;=L908,"On-Time","Delayed"),"Pending"))</f>
        <v>0</v>
      </c>
    </row>
    <row r="909" spans="15:15">
      <c r="O909" s="8">
        <f>IF(N909="","",IF(N909="Closed",IF(M909&lt;=L909,"On-Time","Delayed"),"Pending"))</f>
        <v>0</v>
      </c>
    </row>
    <row r="910" spans="15:15">
      <c r="O910" s="8">
        <f>IF(N910="","",IF(N910="Closed",IF(M910&lt;=L910,"On-Time","Delayed"),"Pending"))</f>
        <v>0</v>
      </c>
    </row>
    <row r="911" spans="15:15">
      <c r="O911" s="8">
        <f>IF(N911="","",IF(N911="Closed",IF(M911&lt;=L911,"On-Time","Delayed"),"Pending"))</f>
        <v>0</v>
      </c>
    </row>
    <row r="912" spans="15:15">
      <c r="O912" s="8">
        <f>IF(N912="","",IF(N912="Closed",IF(M912&lt;=L912,"On-Time","Delayed"),"Pending"))</f>
        <v>0</v>
      </c>
    </row>
    <row r="913" spans="15:15">
      <c r="O913" s="8">
        <f>IF(N913="","",IF(N913="Closed",IF(M913&lt;=L913,"On-Time","Delayed"),"Pending"))</f>
        <v>0</v>
      </c>
    </row>
    <row r="914" spans="15:15">
      <c r="O914" s="8">
        <f>IF(N914="","",IF(N914="Closed",IF(M914&lt;=L914,"On-Time","Delayed"),"Pending"))</f>
        <v>0</v>
      </c>
    </row>
    <row r="915" spans="15:15">
      <c r="O915" s="8">
        <f>IF(N915="","",IF(N915="Closed",IF(M915&lt;=L915,"On-Time","Delayed"),"Pending"))</f>
        <v>0</v>
      </c>
    </row>
    <row r="916" spans="15:15">
      <c r="O916" s="8">
        <f>IF(N916="","",IF(N916="Closed",IF(M916&lt;=L916,"On-Time","Delayed"),"Pending"))</f>
        <v>0</v>
      </c>
    </row>
    <row r="917" spans="15:15">
      <c r="O917" s="8">
        <f>IF(N917="","",IF(N917="Closed",IF(M917&lt;=L917,"On-Time","Delayed"),"Pending"))</f>
        <v>0</v>
      </c>
    </row>
    <row r="918" spans="15:15">
      <c r="O918" s="8">
        <f>IF(N918="","",IF(N918="Closed",IF(M918&lt;=L918,"On-Time","Delayed"),"Pending"))</f>
        <v>0</v>
      </c>
    </row>
    <row r="919" spans="15:15">
      <c r="O919" s="8">
        <f>IF(N919="","",IF(N919="Closed",IF(M919&lt;=L919,"On-Time","Delayed"),"Pending"))</f>
        <v>0</v>
      </c>
    </row>
    <row r="920" spans="15:15">
      <c r="O920" s="8">
        <f>IF(N920="","",IF(N920="Closed",IF(M920&lt;=L920,"On-Time","Delayed"),"Pending"))</f>
        <v>0</v>
      </c>
    </row>
    <row r="921" spans="15:15">
      <c r="O921" s="8">
        <f>IF(N921="","",IF(N921="Closed",IF(M921&lt;=L921,"On-Time","Delayed"),"Pending"))</f>
        <v>0</v>
      </c>
    </row>
    <row r="922" spans="15:15">
      <c r="O922" s="8">
        <f>IF(N922="","",IF(N922="Closed",IF(M922&lt;=L922,"On-Time","Delayed"),"Pending"))</f>
        <v>0</v>
      </c>
    </row>
    <row r="923" spans="15:15">
      <c r="O923" s="8">
        <f>IF(N923="","",IF(N923="Closed",IF(M923&lt;=L923,"On-Time","Delayed"),"Pending"))</f>
        <v>0</v>
      </c>
    </row>
    <row r="924" spans="15:15">
      <c r="O924" s="8">
        <f>IF(N924="","",IF(N924="Closed",IF(M924&lt;=L924,"On-Time","Delayed"),"Pending"))</f>
        <v>0</v>
      </c>
    </row>
    <row r="925" spans="15:15">
      <c r="O925" s="8">
        <f>IF(N925="","",IF(N925="Closed",IF(M925&lt;=L925,"On-Time","Delayed"),"Pending"))</f>
        <v>0</v>
      </c>
    </row>
    <row r="926" spans="15:15">
      <c r="O926" s="8">
        <f>IF(N926="","",IF(N926="Closed",IF(M926&lt;=L926,"On-Time","Delayed"),"Pending"))</f>
        <v>0</v>
      </c>
    </row>
    <row r="927" spans="15:15">
      <c r="O927" s="8">
        <f>IF(N927="","",IF(N927="Closed",IF(M927&lt;=L927,"On-Time","Delayed"),"Pending"))</f>
        <v>0</v>
      </c>
    </row>
    <row r="928" spans="15:15">
      <c r="O928" s="8">
        <f>IF(N928="","",IF(N928="Closed",IF(M928&lt;=L928,"On-Time","Delayed"),"Pending"))</f>
        <v>0</v>
      </c>
    </row>
    <row r="929" spans="15:15">
      <c r="O929" s="8">
        <f>IF(N929="","",IF(N929="Closed",IF(M929&lt;=L929,"On-Time","Delayed"),"Pending"))</f>
        <v>0</v>
      </c>
    </row>
    <row r="930" spans="15:15">
      <c r="O930" s="8">
        <f>IF(N930="","",IF(N930="Closed",IF(M930&lt;=L930,"On-Time","Delayed"),"Pending"))</f>
        <v>0</v>
      </c>
    </row>
    <row r="931" spans="15:15">
      <c r="O931" s="8">
        <f>IF(N931="","",IF(N931="Closed",IF(M931&lt;=L931,"On-Time","Delayed"),"Pending"))</f>
        <v>0</v>
      </c>
    </row>
    <row r="932" spans="15:15">
      <c r="O932" s="8">
        <f>IF(N932="","",IF(N932="Closed",IF(M932&lt;=L932,"On-Time","Delayed"),"Pending"))</f>
        <v>0</v>
      </c>
    </row>
    <row r="933" spans="15:15">
      <c r="O933" s="8">
        <f>IF(N933="","",IF(N933="Closed",IF(M933&lt;=L933,"On-Time","Delayed"),"Pending"))</f>
        <v>0</v>
      </c>
    </row>
    <row r="934" spans="15:15">
      <c r="O934" s="8">
        <f>IF(N934="","",IF(N934="Closed",IF(M934&lt;=L934,"On-Time","Delayed"),"Pending"))</f>
        <v>0</v>
      </c>
    </row>
    <row r="935" spans="15:15">
      <c r="O935" s="8">
        <f>IF(N935="","",IF(N935="Closed",IF(M935&lt;=L935,"On-Time","Delayed"),"Pending"))</f>
        <v>0</v>
      </c>
    </row>
    <row r="936" spans="15:15">
      <c r="O936" s="8">
        <f>IF(N936="","",IF(N936="Closed",IF(M936&lt;=L936,"On-Time","Delayed"),"Pending"))</f>
        <v>0</v>
      </c>
    </row>
    <row r="937" spans="15:15">
      <c r="O937" s="8">
        <f>IF(N937="","",IF(N937="Closed",IF(M937&lt;=L937,"On-Time","Delayed"),"Pending"))</f>
        <v>0</v>
      </c>
    </row>
    <row r="938" spans="15:15">
      <c r="O938" s="8">
        <f>IF(N938="","",IF(N938="Closed",IF(M938&lt;=L938,"On-Time","Delayed"),"Pending"))</f>
        <v>0</v>
      </c>
    </row>
    <row r="939" spans="15:15">
      <c r="O939" s="8">
        <f>IF(N939="","",IF(N939="Closed",IF(M939&lt;=L939,"On-Time","Delayed"),"Pending"))</f>
        <v>0</v>
      </c>
    </row>
    <row r="940" spans="15:15">
      <c r="O940" s="8">
        <f>IF(N940="","",IF(N940="Closed",IF(M940&lt;=L940,"On-Time","Delayed"),"Pending"))</f>
        <v>0</v>
      </c>
    </row>
    <row r="941" spans="15:15">
      <c r="O941" s="8">
        <f>IF(N941="","",IF(N941="Closed",IF(M941&lt;=L941,"On-Time","Delayed"),"Pending"))</f>
        <v>0</v>
      </c>
    </row>
    <row r="942" spans="15:15">
      <c r="O942" s="8">
        <f>IF(N942="","",IF(N942="Closed",IF(M942&lt;=L942,"On-Time","Delayed"),"Pending"))</f>
        <v>0</v>
      </c>
    </row>
    <row r="943" spans="15:15">
      <c r="O943" s="8">
        <f>IF(N943="","",IF(N943="Closed",IF(M943&lt;=L943,"On-Time","Delayed"),"Pending"))</f>
        <v>0</v>
      </c>
    </row>
    <row r="944" spans="15:15">
      <c r="O944" s="8">
        <f>IF(N944="","",IF(N944="Closed",IF(M944&lt;=L944,"On-Time","Delayed"),"Pending"))</f>
        <v>0</v>
      </c>
    </row>
    <row r="945" spans="15:15">
      <c r="O945" s="8">
        <f>IF(N945="","",IF(N945="Closed",IF(M945&lt;=L945,"On-Time","Delayed"),"Pending"))</f>
        <v>0</v>
      </c>
    </row>
    <row r="946" spans="15:15">
      <c r="O946" s="8">
        <f>IF(N946="","",IF(N946="Closed",IF(M946&lt;=L946,"On-Time","Delayed"),"Pending"))</f>
        <v>0</v>
      </c>
    </row>
    <row r="947" spans="15:15">
      <c r="O947" s="8">
        <f>IF(N947="","",IF(N947="Closed",IF(M947&lt;=L947,"On-Time","Delayed"),"Pending"))</f>
        <v>0</v>
      </c>
    </row>
    <row r="948" spans="15:15">
      <c r="O948" s="8">
        <f>IF(N948="","",IF(N948="Closed",IF(M948&lt;=L948,"On-Time","Delayed"),"Pending"))</f>
        <v>0</v>
      </c>
    </row>
    <row r="949" spans="15:15">
      <c r="O949" s="8">
        <f>IF(N949="","",IF(N949="Closed",IF(M949&lt;=L949,"On-Time","Delayed"),"Pending"))</f>
        <v>0</v>
      </c>
    </row>
    <row r="950" spans="15:15">
      <c r="O950" s="8">
        <f>IF(N950="","",IF(N950="Closed",IF(M950&lt;=L950,"On-Time","Delayed"),"Pending"))</f>
        <v>0</v>
      </c>
    </row>
    <row r="951" spans="15:15">
      <c r="O951" s="8">
        <f>IF(N951="","",IF(N951="Closed",IF(M951&lt;=L951,"On-Time","Delayed"),"Pending"))</f>
        <v>0</v>
      </c>
    </row>
    <row r="952" spans="15:15">
      <c r="O952" s="8">
        <f>IF(N952="","",IF(N952="Closed",IF(M952&lt;=L952,"On-Time","Delayed"),"Pending"))</f>
        <v>0</v>
      </c>
    </row>
    <row r="953" spans="15:15">
      <c r="O953" s="8">
        <f>IF(N953="","",IF(N953="Closed",IF(M953&lt;=L953,"On-Time","Delayed"),"Pending"))</f>
        <v>0</v>
      </c>
    </row>
    <row r="954" spans="15:15">
      <c r="O954" s="8">
        <f>IF(N954="","",IF(N954="Closed",IF(M954&lt;=L954,"On-Time","Delayed"),"Pending"))</f>
        <v>0</v>
      </c>
    </row>
    <row r="955" spans="15:15">
      <c r="O955" s="8">
        <f>IF(N955="","",IF(N955="Closed",IF(M955&lt;=L955,"On-Time","Delayed"),"Pending"))</f>
        <v>0</v>
      </c>
    </row>
    <row r="956" spans="15:15">
      <c r="O956" s="8">
        <f>IF(N956="","",IF(N956="Closed",IF(M956&lt;=L956,"On-Time","Delayed"),"Pending"))</f>
        <v>0</v>
      </c>
    </row>
    <row r="957" spans="15:15">
      <c r="O957" s="8">
        <f>IF(N957="","",IF(N957="Closed",IF(M957&lt;=L957,"On-Time","Delayed"),"Pending"))</f>
        <v>0</v>
      </c>
    </row>
    <row r="958" spans="15:15">
      <c r="O958" s="8">
        <f>IF(N958="","",IF(N958="Closed",IF(M958&lt;=L958,"On-Time","Delayed"),"Pending"))</f>
        <v>0</v>
      </c>
    </row>
    <row r="959" spans="15:15">
      <c r="O959" s="8">
        <f>IF(N959="","",IF(N959="Closed",IF(M959&lt;=L959,"On-Time","Delayed"),"Pending"))</f>
        <v>0</v>
      </c>
    </row>
    <row r="960" spans="15:15">
      <c r="O960" s="8">
        <f>IF(N960="","",IF(N960="Closed",IF(M960&lt;=L960,"On-Time","Delayed"),"Pending"))</f>
        <v>0</v>
      </c>
    </row>
    <row r="961" spans="15:15">
      <c r="O961" s="8">
        <f>IF(N961="","",IF(N961="Closed",IF(M961&lt;=L961,"On-Time","Delayed"),"Pending"))</f>
        <v>0</v>
      </c>
    </row>
    <row r="962" spans="15:15">
      <c r="O962" s="8">
        <f>IF(N962="","",IF(N962="Closed",IF(M962&lt;=L962,"On-Time","Delayed"),"Pending"))</f>
        <v>0</v>
      </c>
    </row>
    <row r="963" spans="15:15">
      <c r="O963" s="8">
        <f>IF(N963="","",IF(N963="Closed",IF(M963&lt;=L963,"On-Time","Delayed"),"Pending"))</f>
        <v>0</v>
      </c>
    </row>
    <row r="964" spans="15:15">
      <c r="O964" s="8">
        <f>IF(N964="","",IF(N964="Closed",IF(M964&lt;=L964,"On-Time","Delayed"),"Pending"))</f>
        <v>0</v>
      </c>
    </row>
    <row r="965" spans="15:15">
      <c r="O965" s="8">
        <f>IF(N965="","",IF(N965="Closed",IF(M965&lt;=L965,"On-Time","Delayed"),"Pending"))</f>
        <v>0</v>
      </c>
    </row>
    <row r="966" spans="15:15">
      <c r="O966" s="8">
        <f>IF(N966="","",IF(N966="Closed",IF(M966&lt;=L966,"On-Time","Delayed"),"Pending"))</f>
        <v>0</v>
      </c>
    </row>
    <row r="967" spans="15:15">
      <c r="O967" s="8">
        <f>IF(N967="","",IF(N967="Closed",IF(M967&lt;=L967,"On-Time","Delayed"),"Pending"))</f>
        <v>0</v>
      </c>
    </row>
    <row r="968" spans="15:15">
      <c r="O968" s="8">
        <f>IF(N968="","",IF(N968="Closed",IF(M968&lt;=L968,"On-Time","Delayed"),"Pending"))</f>
        <v>0</v>
      </c>
    </row>
    <row r="969" spans="15:15">
      <c r="O969" s="8">
        <f>IF(N969="","",IF(N969="Closed",IF(M969&lt;=L969,"On-Time","Delayed"),"Pending"))</f>
        <v>0</v>
      </c>
    </row>
    <row r="970" spans="15:15">
      <c r="O970" s="8">
        <f>IF(N970="","",IF(N970="Closed",IF(M970&lt;=L970,"On-Time","Delayed"),"Pending"))</f>
        <v>0</v>
      </c>
    </row>
    <row r="971" spans="15:15">
      <c r="O971" s="8">
        <f>IF(N971="","",IF(N971="Closed",IF(M971&lt;=L971,"On-Time","Delayed"),"Pending"))</f>
        <v>0</v>
      </c>
    </row>
    <row r="972" spans="15:15">
      <c r="O972" s="8">
        <f>IF(N972="","",IF(N972="Closed",IF(M972&lt;=L972,"On-Time","Delayed"),"Pending"))</f>
        <v>0</v>
      </c>
    </row>
    <row r="973" spans="15:15">
      <c r="O973" s="8">
        <f>IF(N973="","",IF(N973="Closed",IF(M973&lt;=L973,"On-Time","Delayed"),"Pending"))</f>
        <v>0</v>
      </c>
    </row>
    <row r="974" spans="15:15">
      <c r="O974" s="8">
        <f>IF(N974="","",IF(N974="Closed",IF(M974&lt;=L974,"On-Time","Delayed"),"Pending"))</f>
        <v>0</v>
      </c>
    </row>
    <row r="975" spans="15:15">
      <c r="O975" s="8">
        <f>IF(N975="","",IF(N975="Closed",IF(M975&lt;=L975,"On-Time","Delayed"),"Pending"))</f>
        <v>0</v>
      </c>
    </row>
    <row r="976" spans="15:15">
      <c r="O976" s="8">
        <f>IF(N976="","",IF(N976="Closed",IF(M976&lt;=L976,"On-Time","Delayed"),"Pending"))</f>
        <v>0</v>
      </c>
    </row>
    <row r="977" spans="15:15">
      <c r="O977" s="8">
        <f>IF(N977="","",IF(N977="Closed",IF(M977&lt;=L977,"On-Time","Delayed"),"Pending"))</f>
        <v>0</v>
      </c>
    </row>
    <row r="978" spans="15:15">
      <c r="O978" s="8">
        <f>IF(N978="","",IF(N978="Closed",IF(M978&lt;=L978,"On-Time","Delayed"),"Pending"))</f>
        <v>0</v>
      </c>
    </row>
    <row r="979" spans="15:15">
      <c r="O979" s="8">
        <f>IF(N979="","",IF(N979="Closed",IF(M979&lt;=L979,"On-Time","Delayed"),"Pending"))</f>
        <v>0</v>
      </c>
    </row>
    <row r="980" spans="15:15">
      <c r="O980" s="8">
        <f>IF(N980="","",IF(N980="Closed",IF(M980&lt;=L980,"On-Time","Delayed"),"Pending"))</f>
        <v>0</v>
      </c>
    </row>
    <row r="981" spans="15:15">
      <c r="O981" s="8">
        <f>IF(N981="","",IF(N981="Closed",IF(M981&lt;=L981,"On-Time","Delayed"),"Pending"))</f>
        <v>0</v>
      </c>
    </row>
    <row r="982" spans="15:15">
      <c r="O982" s="8">
        <f>IF(N982="","",IF(N982="Closed",IF(M982&lt;=L982,"On-Time","Delayed"),"Pending"))</f>
        <v>0</v>
      </c>
    </row>
    <row r="983" spans="15:15">
      <c r="O983" s="8">
        <f>IF(N983="","",IF(N983="Closed",IF(M983&lt;=L983,"On-Time","Delayed"),"Pending"))</f>
        <v>0</v>
      </c>
    </row>
    <row r="984" spans="15:15">
      <c r="O984" s="8">
        <f>IF(N984="","",IF(N984="Closed",IF(M984&lt;=L984,"On-Time","Delayed"),"Pending"))</f>
        <v>0</v>
      </c>
    </row>
    <row r="985" spans="15:15">
      <c r="O985" s="8">
        <f>IF(N985="","",IF(N985="Closed",IF(M985&lt;=L985,"On-Time","Delayed"),"Pending"))</f>
        <v>0</v>
      </c>
    </row>
    <row r="986" spans="15:15">
      <c r="O986" s="8">
        <f>IF(N986="","",IF(N986="Closed",IF(M986&lt;=L986,"On-Time","Delayed"),"Pending"))</f>
        <v>0</v>
      </c>
    </row>
    <row r="987" spans="15:15">
      <c r="O987" s="8">
        <f>IF(N987="","",IF(N987="Closed",IF(M987&lt;=L987,"On-Time","Delayed"),"Pending"))</f>
        <v>0</v>
      </c>
    </row>
    <row r="988" spans="15:15">
      <c r="O988" s="8">
        <f>IF(N988="","",IF(N988="Closed",IF(M988&lt;=L988,"On-Time","Delayed"),"Pending"))</f>
        <v>0</v>
      </c>
    </row>
    <row r="989" spans="15:15">
      <c r="O989" s="8">
        <f>IF(N989="","",IF(N989="Closed",IF(M989&lt;=L989,"On-Time","Delayed"),"Pending"))</f>
        <v>0</v>
      </c>
    </row>
    <row r="990" spans="15:15">
      <c r="O990" s="8">
        <f>IF(N990="","",IF(N990="Closed",IF(M990&lt;=L990,"On-Time","Delayed"),"Pending"))</f>
        <v>0</v>
      </c>
    </row>
    <row r="991" spans="15:15">
      <c r="O991" s="8">
        <f>IF(N991="","",IF(N991="Closed",IF(M991&lt;=L991,"On-Time","Delayed"),"Pending"))</f>
        <v>0</v>
      </c>
    </row>
    <row r="992" spans="15:15">
      <c r="O992" s="8">
        <f>IF(N992="","",IF(N992="Closed",IF(M992&lt;=L992,"On-Time","Delayed"),"Pending"))</f>
        <v>0</v>
      </c>
    </row>
    <row r="993" spans="15:15">
      <c r="O993" s="8">
        <f>IF(N993="","",IF(N993="Closed",IF(M993&lt;=L993,"On-Time","Delayed"),"Pending"))</f>
        <v>0</v>
      </c>
    </row>
    <row r="994" spans="15:15">
      <c r="O994" s="8">
        <f>IF(N994="","",IF(N994="Closed",IF(M994&lt;=L994,"On-Time","Delayed"),"Pending"))</f>
        <v>0</v>
      </c>
    </row>
    <row r="995" spans="15:15">
      <c r="O995" s="8">
        <f>IF(N995="","",IF(N995="Closed",IF(M995&lt;=L995,"On-Time","Delayed"),"Pending"))</f>
        <v>0</v>
      </c>
    </row>
    <row r="996" spans="15:15">
      <c r="O996" s="8">
        <f>IF(N996="","",IF(N996="Closed",IF(M996&lt;=L996,"On-Time","Delayed"),"Pending"))</f>
        <v>0</v>
      </c>
    </row>
    <row r="997" spans="15:15">
      <c r="O997" s="8">
        <f>IF(N997="","",IF(N997="Closed",IF(M997&lt;=L997,"On-Time","Delayed"),"Pending"))</f>
        <v>0</v>
      </c>
    </row>
    <row r="998" spans="15:15">
      <c r="O998" s="8">
        <f>IF(N998="","",IF(N998="Closed",IF(M998&lt;=L998,"On-Time","Delayed"),"Pending"))</f>
        <v>0</v>
      </c>
    </row>
    <row r="999" spans="15:15">
      <c r="O999" s="8">
        <f>IF(N999="","",IF(N999="Closed",IF(M999&lt;=L999,"On-Time","Delayed"),"Pending"))</f>
        <v>0</v>
      </c>
    </row>
    <row r="1000" spans="15:15">
      <c r="O1000" s="8">
        <f>IF(N1000="","",IF(N1000="Closed",IF(M1000&lt;=L1000,"On-Time","Delayed"),"Pending"))</f>
        <v>0</v>
      </c>
    </row>
    <row r="1001" spans="15:15">
      <c r="O1001" s="8">
        <f>IF(N1001="","",IF(N1001="Closed",IF(M1001&lt;=L1001,"On-Time","Delayed"),"Pending"))</f>
        <v>0</v>
      </c>
    </row>
    <row r="1002" spans="15:15">
      <c r="O1002" s="8">
        <f>IF(N1002="","",IF(N1002="Closed",IF(M1002&lt;=L1002,"On-Time","Delayed"),"Pending"))</f>
        <v>0</v>
      </c>
    </row>
    <row r="1003" spans="15:15">
      <c r="O1003" s="8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1320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1377</v>
      </c>
      <c r="C3" s="1" t="s">
        <v>1314</v>
      </c>
      <c r="D3" s="1" t="s">
        <v>127</v>
      </c>
      <c r="E3" s="1" t="s">
        <v>1315</v>
      </c>
      <c r="F3" s="1" t="s">
        <v>1132</v>
      </c>
      <c r="G3" s="1" t="s">
        <v>129</v>
      </c>
      <c r="H3" s="1" t="s">
        <v>1378</v>
      </c>
      <c r="I3" s="1" t="s">
        <v>1316</v>
      </c>
      <c r="J3" s="1" t="s">
        <v>209</v>
      </c>
      <c r="K3" s="1" t="s">
        <v>1379</v>
      </c>
      <c r="L3" s="1" t="s">
        <v>1380</v>
      </c>
      <c r="M3" s="1" t="s">
        <v>286</v>
      </c>
      <c r="N3" s="1" t="s">
        <v>1381</v>
      </c>
    </row>
    <row r="4" spans="1:16">
      <c r="A4" s="1">
        <v>1</v>
      </c>
      <c r="B4" s="1" t="s">
        <v>1321</v>
      </c>
      <c r="C4" s="5">
        <v>46028</v>
      </c>
      <c r="D4" s="1" t="s">
        <v>3</v>
      </c>
      <c r="E4" s="6" t="s">
        <v>1261</v>
      </c>
      <c r="F4" s="6" t="s">
        <v>1322</v>
      </c>
      <c r="G4" s="1" t="s">
        <v>58</v>
      </c>
      <c r="H4" s="1" t="s">
        <v>61</v>
      </c>
      <c r="I4" s="1" t="s">
        <v>78</v>
      </c>
      <c r="J4" s="1" t="s">
        <v>62</v>
      </c>
      <c r="K4" s="5">
        <v>46068</v>
      </c>
      <c r="L4" s="5">
        <v>46048</v>
      </c>
      <c r="M4" s="1" t="s">
        <v>580</v>
      </c>
      <c r="N4" s="1" t="s">
        <v>305</v>
      </c>
    </row>
    <row r="5" spans="1:16">
      <c r="A5" s="1">
        <v>2</v>
      </c>
      <c r="B5" s="1" t="s">
        <v>1323</v>
      </c>
      <c r="C5" s="5">
        <v>46029</v>
      </c>
      <c r="D5" s="1" t="s">
        <v>3</v>
      </c>
      <c r="E5" s="6" t="s">
        <v>1274</v>
      </c>
      <c r="F5" s="6" t="s">
        <v>1322</v>
      </c>
      <c r="G5" s="1" t="s">
        <v>58</v>
      </c>
      <c r="H5" s="1" t="s">
        <v>49</v>
      </c>
      <c r="I5" s="1" t="s">
        <v>66</v>
      </c>
      <c r="J5" s="1" t="s">
        <v>70</v>
      </c>
      <c r="K5" s="5">
        <v>46071</v>
      </c>
      <c r="L5" s="5">
        <v>46049</v>
      </c>
      <c r="M5" s="1" t="s">
        <v>580</v>
      </c>
      <c r="N5" s="1" t="s">
        <v>305</v>
      </c>
    </row>
    <row r="6" spans="1:16">
      <c r="A6" s="1">
        <v>3</v>
      </c>
      <c r="B6" s="1" t="s">
        <v>1324</v>
      </c>
      <c r="C6" s="5">
        <v>46032</v>
      </c>
      <c r="D6" s="1" t="s">
        <v>3</v>
      </c>
      <c r="E6" s="6" t="s">
        <v>1259</v>
      </c>
      <c r="F6" s="6" t="s">
        <v>1274</v>
      </c>
      <c r="G6" s="1" t="s">
        <v>39</v>
      </c>
      <c r="H6" s="1" t="s">
        <v>26</v>
      </c>
      <c r="I6" s="1" t="s">
        <v>104</v>
      </c>
      <c r="J6" s="1" t="s">
        <v>28</v>
      </c>
      <c r="K6" s="5">
        <v>46052</v>
      </c>
      <c r="L6" s="5">
        <v>46039</v>
      </c>
      <c r="M6" s="1" t="s">
        <v>580</v>
      </c>
      <c r="N6" s="1" t="s">
        <v>1325</v>
      </c>
    </row>
    <row r="7" spans="1:16">
      <c r="A7" s="1">
        <v>4</v>
      </c>
      <c r="B7" s="1" t="s">
        <v>1326</v>
      </c>
      <c r="C7" s="5">
        <v>46064</v>
      </c>
      <c r="D7" s="1" t="s">
        <v>19</v>
      </c>
      <c r="E7" s="6" t="s">
        <v>1265</v>
      </c>
      <c r="F7" s="6" t="s">
        <v>1322</v>
      </c>
      <c r="G7" s="1" t="s">
        <v>89</v>
      </c>
      <c r="H7" s="1" t="s">
        <v>91</v>
      </c>
      <c r="I7" s="1" t="s">
        <v>93</v>
      </c>
      <c r="J7" s="1" t="s">
        <v>70</v>
      </c>
      <c r="K7" s="5">
        <v>46095</v>
      </c>
      <c r="L7" s="5">
        <v>46082</v>
      </c>
      <c r="M7" s="1" t="s">
        <v>580</v>
      </c>
      <c r="N7" s="1" t="s">
        <v>1327</v>
      </c>
    </row>
    <row r="8" spans="1:16">
      <c r="A8" s="1">
        <v>5</v>
      </c>
      <c r="B8" s="1" t="s">
        <v>1328</v>
      </c>
      <c r="C8" s="5">
        <v>46062</v>
      </c>
      <c r="D8" s="1" t="s">
        <v>19</v>
      </c>
      <c r="E8" s="6" t="s">
        <v>1261</v>
      </c>
      <c r="F8" s="6" t="s">
        <v>1322</v>
      </c>
      <c r="G8" s="1" t="s">
        <v>89</v>
      </c>
      <c r="H8" s="1" t="s">
        <v>91</v>
      </c>
      <c r="I8" s="1" t="s">
        <v>15</v>
      </c>
      <c r="J8" s="1" t="s">
        <v>15</v>
      </c>
      <c r="K8" s="5">
        <v>46078</v>
      </c>
      <c r="L8" s="5">
        <v>46080</v>
      </c>
      <c r="M8" s="1" t="s">
        <v>580</v>
      </c>
      <c r="N8" s="1" t="s">
        <v>1329</v>
      </c>
    </row>
    <row r="9" spans="1:16">
      <c r="A9" s="1">
        <v>6</v>
      </c>
      <c r="B9" s="1" t="s">
        <v>1330</v>
      </c>
      <c r="C9" s="5">
        <v>46076</v>
      </c>
      <c r="D9" s="1" t="s">
        <v>19</v>
      </c>
      <c r="E9" s="6" t="s">
        <v>1274</v>
      </c>
      <c r="F9" s="6" t="s">
        <v>1322</v>
      </c>
      <c r="G9" s="1" t="s">
        <v>46</v>
      </c>
      <c r="H9" s="1" t="s">
        <v>91</v>
      </c>
      <c r="I9" s="1" t="s">
        <v>78</v>
      </c>
      <c r="J9" s="1" t="s">
        <v>36</v>
      </c>
      <c r="K9" s="5">
        <v>46094</v>
      </c>
      <c r="L9" s="5">
        <v>46101</v>
      </c>
      <c r="M9" s="1" t="s">
        <v>1149</v>
      </c>
      <c r="N9" s="1" t="s">
        <v>1327</v>
      </c>
    </row>
    <row r="10" spans="1:16">
      <c r="A10" s="1">
        <v>7</v>
      </c>
      <c r="B10" s="1" t="s">
        <v>1331</v>
      </c>
      <c r="C10" s="5">
        <v>46088</v>
      </c>
      <c r="D10" s="1" t="s">
        <v>44</v>
      </c>
      <c r="E10" s="6" t="s">
        <v>1259</v>
      </c>
      <c r="F10" s="6" t="s">
        <v>1332</v>
      </c>
      <c r="G10" s="1" t="s">
        <v>13</v>
      </c>
      <c r="H10" s="1" t="s">
        <v>61</v>
      </c>
      <c r="I10" s="1" t="s">
        <v>70</v>
      </c>
      <c r="J10" s="1" t="s">
        <v>70</v>
      </c>
      <c r="K10" s="5">
        <v>46129</v>
      </c>
      <c r="L10" s="5">
        <v>46128</v>
      </c>
      <c r="M10" s="1" t="s">
        <v>953</v>
      </c>
      <c r="N10" s="1" t="s">
        <v>1333</v>
      </c>
    </row>
    <row r="11" spans="1:16">
      <c r="A11" s="1">
        <v>8</v>
      </c>
      <c r="B11" s="1" t="s">
        <v>1334</v>
      </c>
      <c r="C11" s="5">
        <v>46082</v>
      </c>
      <c r="D11" s="1" t="s">
        <v>44</v>
      </c>
      <c r="E11" s="6" t="s">
        <v>1267</v>
      </c>
      <c r="F11" s="6" t="s">
        <v>1274</v>
      </c>
      <c r="G11" s="1" t="s">
        <v>46</v>
      </c>
      <c r="H11" s="1" t="s">
        <v>4</v>
      </c>
      <c r="I11" s="1" t="s">
        <v>62</v>
      </c>
      <c r="J11" s="1" t="s">
        <v>70</v>
      </c>
      <c r="K11" s="5">
        <v>46113</v>
      </c>
      <c r="L11" s="5">
        <v>46098</v>
      </c>
      <c r="M11" s="1" t="s">
        <v>953</v>
      </c>
      <c r="N11" s="1" t="s">
        <v>297</v>
      </c>
    </row>
    <row r="12" spans="1:16">
      <c r="A12" s="1">
        <v>9</v>
      </c>
      <c r="B12" s="1" t="s">
        <v>1335</v>
      </c>
      <c r="C12" s="5">
        <v>46107</v>
      </c>
      <c r="D12" s="1" t="s">
        <v>44</v>
      </c>
      <c r="E12" s="6" t="s">
        <v>1265</v>
      </c>
      <c r="F12" s="6" t="s">
        <v>1322</v>
      </c>
      <c r="G12" s="1" t="s">
        <v>92</v>
      </c>
      <c r="H12" s="1" t="s">
        <v>61</v>
      </c>
      <c r="I12" s="1" t="s">
        <v>62</v>
      </c>
      <c r="J12" s="1" t="s">
        <v>93</v>
      </c>
      <c r="K12" s="5">
        <v>46147</v>
      </c>
      <c r="L12" s="5">
        <v>46123</v>
      </c>
      <c r="M12" s="1" t="s">
        <v>580</v>
      </c>
      <c r="N12" s="1" t="s">
        <v>1325</v>
      </c>
    </row>
    <row r="13" spans="1:16">
      <c r="A13" s="1">
        <v>10</v>
      </c>
      <c r="B13" s="1" t="s">
        <v>1336</v>
      </c>
      <c r="C13" s="5">
        <v>46114</v>
      </c>
      <c r="D13" s="1" t="s">
        <v>53</v>
      </c>
      <c r="E13" s="6" t="s">
        <v>1269</v>
      </c>
      <c r="F13" s="6" t="s">
        <v>1332</v>
      </c>
      <c r="G13" s="1" t="s">
        <v>13</v>
      </c>
      <c r="H13" s="1" t="s">
        <v>26</v>
      </c>
      <c r="I13" s="1" t="s">
        <v>32</v>
      </c>
      <c r="J13" s="1" t="s">
        <v>62</v>
      </c>
      <c r="K13" s="5">
        <v>46139</v>
      </c>
      <c r="L13" s="5">
        <v>46123</v>
      </c>
      <c r="M13" s="1" t="s">
        <v>580</v>
      </c>
      <c r="N13" s="1" t="s">
        <v>1333</v>
      </c>
    </row>
    <row r="14" spans="1:16">
      <c r="A14" s="1">
        <v>11</v>
      </c>
      <c r="B14" s="1" t="s">
        <v>1337</v>
      </c>
      <c r="C14" s="5">
        <v>46117</v>
      </c>
      <c r="D14" s="1" t="s">
        <v>53</v>
      </c>
      <c r="E14" s="6" t="s">
        <v>1269</v>
      </c>
      <c r="F14" s="6" t="s">
        <v>1322</v>
      </c>
      <c r="G14" s="1" t="s">
        <v>13</v>
      </c>
      <c r="H14" s="1" t="s">
        <v>91</v>
      </c>
      <c r="I14" s="1" t="s">
        <v>66</v>
      </c>
      <c r="J14" s="1" t="s">
        <v>28</v>
      </c>
      <c r="K14" s="5">
        <v>46138</v>
      </c>
      <c r="L14" s="5">
        <v>46149</v>
      </c>
      <c r="M14" s="1" t="s">
        <v>580</v>
      </c>
      <c r="N14" s="1" t="s">
        <v>297</v>
      </c>
    </row>
    <row r="15" spans="1:16">
      <c r="A15" s="1">
        <v>12</v>
      </c>
      <c r="B15" s="1" t="s">
        <v>1338</v>
      </c>
      <c r="C15" s="5">
        <v>46135</v>
      </c>
      <c r="D15" s="1" t="s">
        <v>53</v>
      </c>
      <c r="E15" s="6" t="s">
        <v>1269</v>
      </c>
      <c r="F15" s="6" t="s">
        <v>1322</v>
      </c>
      <c r="G15" s="1" t="s">
        <v>13</v>
      </c>
      <c r="H15" s="1" t="s">
        <v>20</v>
      </c>
      <c r="I15" s="1" t="s">
        <v>41</v>
      </c>
      <c r="J15" s="1" t="s">
        <v>62</v>
      </c>
      <c r="K15" s="5">
        <v>46156</v>
      </c>
      <c r="L15" s="5">
        <v>46156</v>
      </c>
      <c r="M15" s="1" t="s">
        <v>1149</v>
      </c>
      <c r="N15" s="1" t="s">
        <v>1327</v>
      </c>
    </row>
    <row r="16" spans="1:16">
      <c r="A16" s="1">
        <v>13</v>
      </c>
      <c r="B16" s="1" t="s">
        <v>1339</v>
      </c>
      <c r="C16" s="5">
        <v>46125</v>
      </c>
      <c r="D16" s="1" t="s">
        <v>53</v>
      </c>
      <c r="E16" s="6" t="s">
        <v>1259</v>
      </c>
      <c r="F16" s="6" t="s">
        <v>1332</v>
      </c>
      <c r="G16" s="1" t="s">
        <v>39</v>
      </c>
      <c r="H16" s="1" t="s">
        <v>49</v>
      </c>
      <c r="I16" s="1" t="s">
        <v>62</v>
      </c>
      <c r="J16" s="1" t="s">
        <v>22</v>
      </c>
      <c r="K16" s="5">
        <v>46160</v>
      </c>
      <c r="L16" s="5">
        <v>46156</v>
      </c>
      <c r="M16" s="1" t="s">
        <v>953</v>
      </c>
      <c r="N16" s="1" t="s">
        <v>1329</v>
      </c>
    </row>
    <row r="17" spans="1:14">
      <c r="A17" s="1">
        <v>14</v>
      </c>
      <c r="B17" s="1" t="s">
        <v>1340</v>
      </c>
      <c r="C17" s="5">
        <v>46124</v>
      </c>
      <c r="D17" s="1" t="s">
        <v>53</v>
      </c>
      <c r="E17" s="6" t="s">
        <v>1269</v>
      </c>
      <c r="F17" s="6" t="s">
        <v>1332</v>
      </c>
      <c r="G17" s="1" t="s">
        <v>50</v>
      </c>
      <c r="H17" s="1" t="s">
        <v>64</v>
      </c>
      <c r="I17" s="1" t="s">
        <v>28</v>
      </c>
      <c r="J17" s="1" t="s">
        <v>15</v>
      </c>
      <c r="K17" s="5">
        <v>46158</v>
      </c>
      <c r="L17" s="5">
        <v>46148</v>
      </c>
      <c r="M17" s="1" t="s">
        <v>1149</v>
      </c>
      <c r="N17" s="1" t="s">
        <v>305</v>
      </c>
    </row>
    <row r="18" spans="1:14">
      <c r="A18" s="1">
        <v>15</v>
      </c>
      <c r="B18" s="1" t="s">
        <v>1341</v>
      </c>
      <c r="C18" s="5">
        <v>46136</v>
      </c>
      <c r="D18" s="1" t="s">
        <v>53</v>
      </c>
      <c r="E18" s="6" t="s">
        <v>1267</v>
      </c>
      <c r="F18" s="6" t="s">
        <v>1332</v>
      </c>
      <c r="G18" s="1" t="s">
        <v>65</v>
      </c>
      <c r="H18" s="1" t="s">
        <v>38</v>
      </c>
      <c r="I18" s="1" t="s">
        <v>93</v>
      </c>
      <c r="J18" s="1" t="s">
        <v>70</v>
      </c>
      <c r="K18" s="5">
        <v>46176</v>
      </c>
      <c r="L18" s="5">
        <v>46153</v>
      </c>
      <c r="M18" s="1" t="s">
        <v>326</v>
      </c>
      <c r="N18" s="1" t="s">
        <v>1333</v>
      </c>
    </row>
    <row r="19" spans="1:14">
      <c r="A19" s="1">
        <v>16</v>
      </c>
      <c r="B19" s="1" t="s">
        <v>1342</v>
      </c>
      <c r="C19" s="5">
        <v>46166</v>
      </c>
      <c r="D19" s="1" t="s">
        <v>60</v>
      </c>
      <c r="E19" s="6" t="s">
        <v>1259</v>
      </c>
      <c r="F19" s="6" t="s">
        <v>1322</v>
      </c>
      <c r="G19" s="1" t="s">
        <v>5</v>
      </c>
      <c r="H19" s="1" t="s">
        <v>38</v>
      </c>
      <c r="I19" s="1" t="s">
        <v>70</v>
      </c>
      <c r="J19" s="1" t="s">
        <v>68</v>
      </c>
      <c r="K19" s="5">
        <v>46179</v>
      </c>
      <c r="L19" s="5">
        <v>46194</v>
      </c>
      <c r="M19" s="1" t="s">
        <v>1149</v>
      </c>
      <c r="N19" s="1" t="s">
        <v>1327</v>
      </c>
    </row>
    <row r="20" spans="1:14">
      <c r="A20" s="1">
        <v>17</v>
      </c>
      <c r="B20" s="1" t="s">
        <v>1343</v>
      </c>
      <c r="C20" s="5">
        <v>46157</v>
      </c>
      <c r="D20" s="1" t="s">
        <v>60</v>
      </c>
      <c r="E20" s="6" t="s">
        <v>1259</v>
      </c>
      <c r="F20" s="6" t="s">
        <v>1274</v>
      </c>
      <c r="G20" s="1" t="s">
        <v>5</v>
      </c>
      <c r="H20" s="1" t="s">
        <v>30</v>
      </c>
      <c r="I20" s="1" t="s">
        <v>104</v>
      </c>
      <c r="J20" s="1" t="s">
        <v>22</v>
      </c>
      <c r="K20" s="5">
        <v>46201</v>
      </c>
      <c r="L20" s="5">
        <v>46164</v>
      </c>
      <c r="M20" s="1" t="s">
        <v>953</v>
      </c>
      <c r="N20" s="1" t="s">
        <v>1344</v>
      </c>
    </row>
    <row r="21" spans="1:14">
      <c r="A21" s="1">
        <v>18</v>
      </c>
      <c r="B21" s="1" t="s">
        <v>1345</v>
      </c>
      <c r="C21" s="5">
        <v>46195</v>
      </c>
      <c r="D21" s="1" t="s">
        <v>73</v>
      </c>
      <c r="E21" s="6" t="s">
        <v>1261</v>
      </c>
      <c r="F21" s="6" t="s">
        <v>1274</v>
      </c>
      <c r="G21" s="1" t="s">
        <v>92</v>
      </c>
      <c r="H21" s="1" t="s">
        <v>16</v>
      </c>
      <c r="I21" s="1" t="s">
        <v>28</v>
      </c>
      <c r="J21" s="1" t="s">
        <v>41</v>
      </c>
      <c r="K21" s="5">
        <v>46233</v>
      </c>
      <c r="L21" s="5">
        <v>46240</v>
      </c>
      <c r="M21" s="1" t="s">
        <v>953</v>
      </c>
      <c r="N21" s="1" t="s">
        <v>305</v>
      </c>
    </row>
    <row r="22" spans="1:14">
      <c r="A22" s="1">
        <v>19</v>
      </c>
      <c r="B22" s="1" t="s">
        <v>1346</v>
      </c>
      <c r="C22" s="5">
        <v>46201</v>
      </c>
      <c r="D22" s="1" t="s">
        <v>73</v>
      </c>
      <c r="E22" s="6" t="s">
        <v>1261</v>
      </c>
      <c r="F22" s="6" t="s">
        <v>1322</v>
      </c>
      <c r="G22" s="1" t="s">
        <v>58</v>
      </c>
      <c r="H22" s="1" t="s">
        <v>61</v>
      </c>
      <c r="I22" s="1" t="s">
        <v>36</v>
      </c>
      <c r="J22" s="1" t="s">
        <v>32</v>
      </c>
      <c r="K22" s="5">
        <v>46224</v>
      </c>
      <c r="L22" s="5">
        <v>46238</v>
      </c>
      <c r="M22" s="1" t="s">
        <v>580</v>
      </c>
      <c r="N22" s="1" t="s">
        <v>1333</v>
      </c>
    </row>
    <row r="23" spans="1:14">
      <c r="A23" s="1">
        <v>20</v>
      </c>
      <c r="B23" s="1" t="s">
        <v>1347</v>
      </c>
      <c r="C23" s="5">
        <v>46200</v>
      </c>
      <c r="D23" s="1" t="s">
        <v>73</v>
      </c>
      <c r="E23" s="6" t="s">
        <v>1259</v>
      </c>
      <c r="F23" s="6" t="s">
        <v>1274</v>
      </c>
      <c r="G23" s="1" t="s">
        <v>50</v>
      </c>
      <c r="H23" s="1" t="s">
        <v>57</v>
      </c>
      <c r="I23" s="1" t="s">
        <v>104</v>
      </c>
      <c r="J23" s="1" t="s">
        <v>66</v>
      </c>
      <c r="K23" s="5">
        <v>46237</v>
      </c>
      <c r="L23" s="5">
        <v>46226</v>
      </c>
      <c r="M23" s="1" t="s">
        <v>580</v>
      </c>
      <c r="N23" s="1" t="s">
        <v>1327</v>
      </c>
    </row>
    <row r="24" spans="1:14">
      <c r="A24" s="1">
        <v>21</v>
      </c>
      <c r="B24" s="1" t="s">
        <v>1348</v>
      </c>
      <c r="C24" s="5">
        <v>46179</v>
      </c>
      <c r="D24" s="1" t="s">
        <v>73</v>
      </c>
      <c r="E24" s="6" t="s">
        <v>1261</v>
      </c>
      <c r="F24" s="6" t="s">
        <v>1332</v>
      </c>
      <c r="G24" s="1" t="s">
        <v>65</v>
      </c>
      <c r="H24" s="1" t="s">
        <v>4</v>
      </c>
      <c r="I24" s="1" t="s">
        <v>104</v>
      </c>
      <c r="J24" s="1" t="s">
        <v>36</v>
      </c>
      <c r="K24" s="5">
        <v>46188</v>
      </c>
      <c r="L24" s="5">
        <v>46186</v>
      </c>
      <c r="M24" s="1" t="s">
        <v>326</v>
      </c>
      <c r="N24" s="1" t="s">
        <v>297</v>
      </c>
    </row>
    <row r="25" spans="1:14">
      <c r="A25" s="1">
        <v>22</v>
      </c>
      <c r="B25" s="1" t="s">
        <v>1349</v>
      </c>
      <c r="C25" s="5">
        <v>46230</v>
      </c>
      <c r="D25" s="1" t="s">
        <v>76</v>
      </c>
      <c r="E25" s="6" t="s">
        <v>1261</v>
      </c>
      <c r="F25" s="6" t="s">
        <v>1274</v>
      </c>
      <c r="G25" s="1" t="s">
        <v>50</v>
      </c>
      <c r="H25" s="1" t="s">
        <v>20</v>
      </c>
      <c r="I25" s="1" t="s">
        <v>104</v>
      </c>
      <c r="J25" s="1" t="s">
        <v>36</v>
      </c>
      <c r="K25" s="5">
        <v>46267</v>
      </c>
      <c r="L25" s="5">
        <v>46240</v>
      </c>
      <c r="M25" s="1" t="s">
        <v>953</v>
      </c>
      <c r="N25" s="1" t="s">
        <v>1350</v>
      </c>
    </row>
    <row r="26" spans="1:14">
      <c r="A26" s="1">
        <v>23</v>
      </c>
      <c r="B26" s="1" t="s">
        <v>1351</v>
      </c>
      <c r="C26" s="5">
        <v>46221</v>
      </c>
      <c r="D26" s="1" t="s">
        <v>76</v>
      </c>
      <c r="E26" s="6" t="s">
        <v>1265</v>
      </c>
      <c r="F26" s="6" t="s">
        <v>1332</v>
      </c>
      <c r="G26" s="1" t="s">
        <v>13</v>
      </c>
      <c r="H26" s="1" t="s">
        <v>45</v>
      </c>
      <c r="I26" s="1" t="s">
        <v>78</v>
      </c>
      <c r="J26" s="1" t="s">
        <v>28</v>
      </c>
      <c r="K26" s="5">
        <v>46245</v>
      </c>
      <c r="L26" s="5">
        <v>46237</v>
      </c>
      <c r="M26" s="1" t="s">
        <v>580</v>
      </c>
      <c r="N26" s="1" t="s">
        <v>305</v>
      </c>
    </row>
    <row r="27" spans="1:14">
      <c r="A27" s="1">
        <v>24</v>
      </c>
      <c r="B27" s="1" t="s">
        <v>1352</v>
      </c>
      <c r="C27" s="5">
        <v>46228</v>
      </c>
      <c r="D27" s="1" t="s">
        <v>76</v>
      </c>
      <c r="E27" s="6" t="s">
        <v>1269</v>
      </c>
      <c r="F27" s="6" t="s">
        <v>1274</v>
      </c>
      <c r="G27" s="1" t="s">
        <v>13</v>
      </c>
      <c r="H27" s="1" t="s">
        <v>12</v>
      </c>
      <c r="I27" s="1" t="s">
        <v>93</v>
      </c>
      <c r="J27" s="1" t="s">
        <v>22</v>
      </c>
      <c r="K27" s="5">
        <v>46237</v>
      </c>
      <c r="L27" s="5">
        <v>46256</v>
      </c>
      <c r="M27" s="1" t="s">
        <v>953</v>
      </c>
      <c r="N27" s="1" t="s">
        <v>1344</v>
      </c>
    </row>
    <row r="28" spans="1:14">
      <c r="A28" s="1">
        <v>25</v>
      </c>
      <c r="B28" s="1" t="s">
        <v>1353</v>
      </c>
      <c r="C28" s="5">
        <v>46228</v>
      </c>
      <c r="D28" s="1" t="s">
        <v>76</v>
      </c>
      <c r="E28" s="6" t="s">
        <v>1267</v>
      </c>
      <c r="F28" s="6" t="s">
        <v>1274</v>
      </c>
      <c r="G28" s="1" t="s">
        <v>46</v>
      </c>
      <c r="H28" s="1" t="s">
        <v>45</v>
      </c>
      <c r="I28" s="1" t="s">
        <v>41</v>
      </c>
      <c r="J28" s="1" t="s">
        <v>70</v>
      </c>
      <c r="K28" s="5">
        <v>46258</v>
      </c>
      <c r="L28" s="5">
        <v>46236</v>
      </c>
      <c r="M28" s="1" t="s">
        <v>953</v>
      </c>
      <c r="N28" s="1" t="s">
        <v>1350</v>
      </c>
    </row>
    <row r="29" spans="1:14">
      <c r="A29" s="1">
        <v>26</v>
      </c>
      <c r="B29" s="1" t="s">
        <v>1354</v>
      </c>
      <c r="C29" s="5">
        <v>46227</v>
      </c>
      <c r="D29" s="1" t="s">
        <v>76</v>
      </c>
      <c r="E29" s="6" t="s">
        <v>1265</v>
      </c>
      <c r="F29" s="6" t="s">
        <v>1322</v>
      </c>
      <c r="G29" s="1" t="s">
        <v>89</v>
      </c>
      <c r="H29" s="1" t="s">
        <v>49</v>
      </c>
      <c r="I29" s="1" t="s">
        <v>62</v>
      </c>
      <c r="J29" s="1" t="s">
        <v>28</v>
      </c>
      <c r="K29" s="5">
        <v>46245</v>
      </c>
      <c r="L29" s="5">
        <v>46270</v>
      </c>
      <c r="M29" s="1" t="s">
        <v>580</v>
      </c>
      <c r="N29" s="1" t="s">
        <v>1329</v>
      </c>
    </row>
    <row r="30" spans="1:14">
      <c r="A30" s="1">
        <v>27</v>
      </c>
      <c r="B30" s="1" t="s">
        <v>1355</v>
      </c>
      <c r="C30" s="5">
        <v>46209</v>
      </c>
      <c r="D30" s="1" t="s">
        <v>76</v>
      </c>
      <c r="E30" s="6" t="s">
        <v>1274</v>
      </c>
      <c r="F30" s="6" t="s">
        <v>1322</v>
      </c>
      <c r="G30" s="1" t="s">
        <v>92</v>
      </c>
      <c r="H30" s="1" t="s">
        <v>91</v>
      </c>
      <c r="I30" s="1" t="s">
        <v>28</v>
      </c>
      <c r="J30" s="1" t="s">
        <v>68</v>
      </c>
      <c r="K30" s="5">
        <v>46216</v>
      </c>
      <c r="L30" s="5">
        <v>46240</v>
      </c>
      <c r="M30" s="1" t="s">
        <v>953</v>
      </c>
      <c r="N30" s="1" t="s">
        <v>297</v>
      </c>
    </row>
    <row r="31" spans="1:14">
      <c r="A31" s="1">
        <v>28</v>
      </c>
      <c r="B31" s="1" t="s">
        <v>1356</v>
      </c>
      <c r="C31" s="5">
        <v>46235</v>
      </c>
      <c r="D31" s="1" t="s">
        <v>86</v>
      </c>
      <c r="E31" s="6" t="s">
        <v>1274</v>
      </c>
      <c r="F31" s="6" t="s">
        <v>1332</v>
      </c>
      <c r="G31" s="1" t="s">
        <v>46</v>
      </c>
      <c r="H31" s="1" t="s">
        <v>30</v>
      </c>
      <c r="I31" s="1" t="s">
        <v>15</v>
      </c>
      <c r="J31" s="1" t="s">
        <v>36</v>
      </c>
      <c r="K31" s="5">
        <v>46240</v>
      </c>
      <c r="L31" s="5">
        <v>46250</v>
      </c>
      <c r="M31" s="1" t="s">
        <v>580</v>
      </c>
      <c r="N31" s="1" t="s">
        <v>305</v>
      </c>
    </row>
    <row r="32" spans="1:14">
      <c r="A32" s="1">
        <v>29</v>
      </c>
      <c r="B32" s="1" t="s">
        <v>1357</v>
      </c>
      <c r="C32" s="5">
        <v>46251</v>
      </c>
      <c r="D32" s="1" t="s">
        <v>86</v>
      </c>
      <c r="E32" s="6" t="s">
        <v>1274</v>
      </c>
      <c r="F32" s="6" t="s">
        <v>1332</v>
      </c>
      <c r="G32" s="1" t="s">
        <v>50</v>
      </c>
      <c r="H32" s="1" t="s">
        <v>61</v>
      </c>
      <c r="I32" s="1" t="s">
        <v>93</v>
      </c>
      <c r="J32" s="1" t="s">
        <v>62</v>
      </c>
      <c r="K32" s="5">
        <v>46288</v>
      </c>
      <c r="L32" s="5">
        <v>46268</v>
      </c>
      <c r="M32" s="1" t="s">
        <v>326</v>
      </c>
      <c r="N32" s="1" t="s">
        <v>1329</v>
      </c>
    </row>
    <row r="33" spans="1:14">
      <c r="A33" s="1">
        <v>30</v>
      </c>
      <c r="B33" s="1" t="s">
        <v>1358</v>
      </c>
      <c r="C33" s="5">
        <v>46246</v>
      </c>
      <c r="D33" s="1" t="s">
        <v>86</v>
      </c>
      <c r="E33" s="6" t="s">
        <v>1274</v>
      </c>
      <c r="F33" s="6" t="s">
        <v>1332</v>
      </c>
      <c r="G33" s="1" t="s">
        <v>58</v>
      </c>
      <c r="H33" s="1" t="s">
        <v>57</v>
      </c>
      <c r="I33" s="1" t="s">
        <v>41</v>
      </c>
      <c r="J33" s="1" t="s">
        <v>68</v>
      </c>
      <c r="K33" s="5">
        <v>46283</v>
      </c>
      <c r="L33" s="5">
        <v>46254</v>
      </c>
      <c r="M33" s="1" t="s">
        <v>953</v>
      </c>
      <c r="N33" s="1" t="s">
        <v>1344</v>
      </c>
    </row>
    <row r="34" spans="1:14">
      <c r="A34" s="1">
        <v>31</v>
      </c>
      <c r="B34" s="1" t="s">
        <v>1359</v>
      </c>
      <c r="C34" s="5">
        <v>46262</v>
      </c>
      <c r="D34" s="1" t="s">
        <v>86</v>
      </c>
      <c r="E34" s="6" t="s">
        <v>1259</v>
      </c>
      <c r="F34" s="6" t="s">
        <v>1322</v>
      </c>
      <c r="G34" s="1" t="s">
        <v>39</v>
      </c>
      <c r="H34" s="1" t="s">
        <v>64</v>
      </c>
      <c r="I34" s="1" t="s">
        <v>32</v>
      </c>
      <c r="J34" s="1" t="s">
        <v>62</v>
      </c>
      <c r="K34" s="5">
        <v>46293</v>
      </c>
      <c r="L34" s="5">
        <v>46267</v>
      </c>
      <c r="M34" s="1" t="s">
        <v>580</v>
      </c>
      <c r="N34" s="1" t="s">
        <v>1325</v>
      </c>
    </row>
    <row r="35" spans="1:14">
      <c r="A35" s="1">
        <v>32</v>
      </c>
      <c r="B35" s="1" t="s">
        <v>1360</v>
      </c>
      <c r="C35" s="5">
        <v>46293</v>
      </c>
      <c r="D35" s="1" t="s">
        <v>102</v>
      </c>
      <c r="E35" s="6" t="s">
        <v>1261</v>
      </c>
      <c r="F35" s="6" t="s">
        <v>1274</v>
      </c>
      <c r="G35" s="1" t="s">
        <v>27</v>
      </c>
      <c r="H35" s="1" t="s">
        <v>20</v>
      </c>
      <c r="I35" s="1" t="s">
        <v>36</v>
      </c>
      <c r="J35" s="1" t="s">
        <v>22</v>
      </c>
      <c r="K35" s="5">
        <v>46320</v>
      </c>
      <c r="L35" s="5">
        <v>46311</v>
      </c>
      <c r="M35" s="1" t="s">
        <v>1149</v>
      </c>
      <c r="N35" s="1" t="s">
        <v>1350</v>
      </c>
    </row>
    <row r="36" spans="1:14">
      <c r="A36" s="1">
        <v>33</v>
      </c>
      <c r="B36" s="1" t="s">
        <v>1361</v>
      </c>
      <c r="C36" s="5">
        <v>46293</v>
      </c>
      <c r="D36" s="1" t="s">
        <v>102</v>
      </c>
      <c r="E36" s="6" t="s">
        <v>1267</v>
      </c>
      <c r="F36" s="6" t="s">
        <v>1274</v>
      </c>
      <c r="G36" s="1" t="s">
        <v>46</v>
      </c>
      <c r="H36" s="1" t="s">
        <v>30</v>
      </c>
      <c r="I36" s="1" t="s">
        <v>36</v>
      </c>
      <c r="J36" s="1" t="s">
        <v>78</v>
      </c>
      <c r="K36" s="5">
        <v>46309</v>
      </c>
      <c r="L36" s="5">
        <v>46315</v>
      </c>
      <c r="M36" s="1" t="s">
        <v>580</v>
      </c>
      <c r="N36" s="1" t="s">
        <v>1350</v>
      </c>
    </row>
    <row r="37" spans="1:14">
      <c r="A37" s="1">
        <v>34</v>
      </c>
      <c r="B37" s="1" t="s">
        <v>1362</v>
      </c>
      <c r="C37" s="5">
        <v>46283</v>
      </c>
      <c r="D37" s="1" t="s">
        <v>102</v>
      </c>
      <c r="E37" s="6" t="s">
        <v>1274</v>
      </c>
      <c r="F37" s="6" t="s">
        <v>1332</v>
      </c>
      <c r="G37" s="1" t="s">
        <v>50</v>
      </c>
      <c r="H37" s="1" t="s">
        <v>20</v>
      </c>
      <c r="I37" s="1" t="s">
        <v>104</v>
      </c>
      <c r="J37" s="1" t="s">
        <v>15</v>
      </c>
      <c r="K37" s="5">
        <v>46309</v>
      </c>
      <c r="L37" s="5">
        <v>46293</v>
      </c>
      <c r="M37" s="1" t="s">
        <v>953</v>
      </c>
      <c r="N37" s="1" t="s">
        <v>1327</v>
      </c>
    </row>
    <row r="38" spans="1:14">
      <c r="A38" s="1">
        <v>35</v>
      </c>
      <c r="B38" s="1" t="s">
        <v>1363</v>
      </c>
      <c r="C38" s="5">
        <v>46269</v>
      </c>
      <c r="D38" s="1" t="s">
        <v>102</v>
      </c>
      <c r="E38" s="6" t="s">
        <v>1269</v>
      </c>
      <c r="F38" s="6" t="s">
        <v>1322</v>
      </c>
      <c r="G38" s="1" t="s">
        <v>50</v>
      </c>
      <c r="H38" s="1" t="s">
        <v>64</v>
      </c>
      <c r="I38" s="1" t="s">
        <v>36</v>
      </c>
      <c r="J38" s="1" t="s">
        <v>41</v>
      </c>
      <c r="K38" s="5">
        <v>46296</v>
      </c>
      <c r="L38" s="5">
        <v>46296</v>
      </c>
      <c r="M38" s="1" t="s">
        <v>1149</v>
      </c>
      <c r="N38" s="1" t="s">
        <v>1333</v>
      </c>
    </row>
    <row r="39" spans="1:14">
      <c r="A39" s="1">
        <v>36</v>
      </c>
      <c r="B39" s="1" t="s">
        <v>1364</v>
      </c>
      <c r="C39" s="5">
        <v>46280</v>
      </c>
      <c r="D39" s="1" t="s">
        <v>102</v>
      </c>
      <c r="E39" s="6" t="s">
        <v>1269</v>
      </c>
      <c r="F39" s="6" t="s">
        <v>1322</v>
      </c>
      <c r="G39" s="1" t="s">
        <v>27</v>
      </c>
      <c r="H39" s="1" t="s">
        <v>38</v>
      </c>
      <c r="I39" s="1" t="s">
        <v>28</v>
      </c>
      <c r="J39" s="1" t="s">
        <v>41</v>
      </c>
      <c r="K39" s="5">
        <v>46312</v>
      </c>
      <c r="L39" s="5">
        <v>46298</v>
      </c>
      <c r="M39" s="1" t="s">
        <v>580</v>
      </c>
      <c r="N39" s="1" t="s">
        <v>1327</v>
      </c>
    </row>
    <row r="40" spans="1:14">
      <c r="A40" s="1">
        <v>37</v>
      </c>
      <c r="B40" s="1" t="s">
        <v>1365</v>
      </c>
      <c r="C40" s="5">
        <v>46322</v>
      </c>
      <c r="D40" s="1" t="s">
        <v>106</v>
      </c>
      <c r="E40" s="6" t="s">
        <v>1259</v>
      </c>
      <c r="F40" s="6" t="s">
        <v>1274</v>
      </c>
      <c r="G40" s="1" t="s">
        <v>46</v>
      </c>
      <c r="H40" s="1" t="s">
        <v>4</v>
      </c>
      <c r="I40" s="1" t="s">
        <v>36</v>
      </c>
      <c r="J40" s="1" t="s">
        <v>62</v>
      </c>
      <c r="K40" s="5">
        <v>46330</v>
      </c>
      <c r="L40" s="5">
        <v>46348</v>
      </c>
      <c r="M40" s="1" t="s">
        <v>1149</v>
      </c>
      <c r="N40" s="1" t="s">
        <v>1329</v>
      </c>
    </row>
    <row r="41" spans="1:14">
      <c r="A41" s="1">
        <v>38</v>
      </c>
      <c r="B41" s="1" t="s">
        <v>1366</v>
      </c>
      <c r="C41" s="5">
        <v>46303</v>
      </c>
      <c r="D41" s="1" t="s">
        <v>106</v>
      </c>
      <c r="E41" s="6" t="s">
        <v>1261</v>
      </c>
      <c r="F41" s="6" t="s">
        <v>1274</v>
      </c>
      <c r="G41" s="1" t="s">
        <v>46</v>
      </c>
      <c r="H41" s="1" t="s">
        <v>57</v>
      </c>
      <c r="I41" s="1" t="s">
        <v>66</v>
      </c>
      <c r="J41" s="1" t="s">
        <v>22</v>
      </c>
      <c r="K41" s="5">
        <v>46329</v>
      </c>
      <c r="L41" s="5">
        <v>46343</v>
      </c>
      <c r="M41" s="1" t="s">
        <v>1149</v>
      </c>
      <c r="N41" s="1" t="s">
        <v>1333</v>
      </c>
    </row>
    <row r="42" spans="1:14">
      <c r="A42" s="1">
        <v>39</v>
      </c>
      <c r="B42" s="1" t="s">
        <v>1367</v>
      </c>
      <c r="C42" s="5">
        <v>46303</v>
      </c>
      <c r="D42" s="1" t="s">
        <v>106</v>
      </c>
      <c r="E42" s="6" t="s">
        <v>1274</v>
      </c>
      <c r="F42" s="6" t="s">
        <v>1274</v>
      </c>
      <c r="G42" s="1" t="s">
        <v>65</v>
      </c>
      <c r="H42" s="1" t="s">
        <v>20</v>
      </c>
      <c r="I42" s="1" t="s">
        <v>104</v>
      </c>
      <c r="J42" s="1" t="s">
        <v>32</v>
      </c>
      <c r="K42" s="5">
        <v>46320</v>
      </c>
      <c r="L42" s="5">
        <v>46309</v>
      </c>
      <c r="M42" s="1" t="s">
        <v>580</v>
      </c>
      <c r="N42" s="1" t="s">
        <v>297</v>
      </c>
    </row>
    <row r="43" spans="1:14">
      <c r="A43" s="1">
        <v>40</v>
      </c>
      <c r="B43" s="1" t="s">
        <v>1368</v>
      </c>
      <c r="C43" s="5">
        <v>46323</v>
      </c>
      <c r="D43" s="1" t="s">
        <v>106</v>
      </c>
      <c r="E43" s="6" t="s">
        <v>1261</v>
      </c>
      <c r="F43" s="6" t="s">
        <v>1322</v>
      </c>
      <c r="G43" s="1" t="s">
        <v>92</v>
      </c>
      <c r="H43" s="1" t="s">
        <v>57</v>
      </c>
      <c r="I43" s="1" t="s">
        <v>104</v>
      </c>
      <c r="J43" s="1" t="s">
        <v>41</v>
      </c>
      <c r="K43" s="5">
        <v>46345</v>
      </c>
      <c r="L43" s="5">
        <v>46338</v>
      </c>
      <c r="M43" s="1" t="s">
        <v>326</v>
      </c>
      <c r="N43" s="1" t="s">
        <v>305</v>
      </c>
    </row>
    <row r="44" spans="1:14">
      <c r="A44" s="1">
        <v>41</v>
      </c>
      <c r="B44" s="1" t="s">
        <v>1369</v>
      </c>
      <c r="C44" s="5">
        <v>46320</v>
      </c>
      <c r="D44" s="1" t="s">
        <v>106</v>
      </c>
      <c r="E44" s="6" t="s">
        <v>1265</v>
      </c>
      <c r="F44" s="6" t="s">
        <v>1332</v>
      </c>
      <c r="G44" s="1" t="s">
        <v>13</v>
      </c>
      <c r="H44" s="1" t="s">
        <v>16</v>
      </c>
      <c r="I44" s="1" t="s">
        <v>32</v>
      </c>
      <c r="J44" s="1" t="s">
        <v>22</v>
      </c>
      <c r="K44" s="5">
        <v>46355</v>
      </c>
      <c r="L44" s="5">
        <v>46364</v>
      </c>
      <c r="M44" s="1" t="s">
        <v>580</v>
      </c>
      <c r="N44" s="1" t="s">
        <v>1333</v>
      </c>
    </row>
    <row r="45" spans="1:14">
      <c r="A45" s="1">
        <v>42</v>
      </c>
      <c r="B45" s="1" t="s">
        <v>1370</v>
      </c>
      <c r="C45" s="5">
        <v>46343</v>
      </c>
      <c r="D45" s="1" t="s">
        <v>111</v>
      </c>
      <c r="E45" s="6" t="s">
        <v>1267</v>
      </c>
      <c r="F45" s="6" t="s">
        <v>1322</v>
      </c>
      <c r="G45" s="1" t="s">
        <v>65</v>
      </c>
      <c r="H45" s="1" t="s">
        <v>61</v>
      </c>
      <c r="I45" s="1" t="s">
        <v>7</v>
      </c>
      <c r="J45" s="1" t="s">
        <v>62</v>
      </c>
      <c r="K45" s="5">
        <v>46359</v>
      </c>
      <c r="L45" s="5">
        <v>46348</v>
      </c>
      <c r="M45" s="1" t="s">
        <v>1149</v>
      </c>
      <c r="N45" s="1" t="s">
        <v>297</v>
      </c>
    </row>
    <row r="46" spans="1:14">
      <c r="A46" s="1">
        <v>43</v>
      </c>
      <c r="B46" s="1" t="s">
        <v>1371</v>
      </c>
      <c r="C46" s="5">
        <v>46352</v>
      </c>
      <c r="D46" s="1" t="s">
        <v>111</v>
      </c>
      <c r="E46" s="6" t="s">
        <v>1259</v>
      </c>
      <c r="F46" s="6" t="s">
        <v>1332</v>
      </c>
      <c r="G46" s="1" t="s">
        <v>39</v>
      </c>
      <c r="H46" s="1" t="s">
        <v>16</v>
      </c>
      <c r="I46" s="1" t="s">
        <v>104</v>
      </c>
      <c r="J46" s="1" t="s">
        <v>93</v>
      </c>
      <c r="K46" s="5">
        <v>46389</v>
      </c>
      <c r="L46" s="5">
        <v>46396</v>
      </c>
      <c r="M46" s="1" t="s">
        <v>580</v>
      </c>
      <c r="N46" s="1" t="s">
        <v>1333</v>
      </c>
    </row>
    <row r="47" spans="1:14">
      <c r="A47" s="1">
        <v>44</v>
      </c>
      <c r="B47" s="1" t="s">
        <v>1372</v>
      </c>
      <c r="C47" s="5">
        <v>46336</v>
      </c>
      <c r="D47" s="1" t="s">
        <v>111</v>
      </c>
      <c r="E47" s="6" t="s">
        <v>1267</v>
      </c>
      <c r="F47" s="6" t="s">
        <v>1274</v>
      </c>
      <c r="G47" s="1" t="s">
        <v>5</v>
      </c>
      <c r="H47" s="1" t="s">
        <v>57</v>
      </c>
      <c r="I47" s="1" t="s">
        <v>68</v>
      </c>
      <c r="J47" s="1" t="s">
        <v>104</v>
      </c>
      <c r="K47" s="5">
        <v>46342</v>
      </c>
      <c r="L47" s="5">
        <v>46351</v>
      </c>
      <c r="M47" s="1" t="s">
        <v>1149</v>
      </c>
      <c r="N47" s="1" t="s">
        <v>297</v>
      </c>
    </row>
    <row r="48" spans="1:14">
      <c r="A48" s="1">
        <v>45</v>
      </c>
      <c r="B48" s="1" t="s">
        <v>1373</v>
      </c>
      <c r="C48" s="5">
        <v>46360</v>
      </c>
      <c r="D48" s="1" t="s">
        <v>122</v>
      </c>
      <c r="E48" s="6" t="s">
        <v>1267</v>
      </c>
      <c r="F48" s="6" t="s">
        <v>1322</v>
      </c>
      <c r="G48" s="1" t="s">
        <v>39</v>
      </c>
      <c r="H48" s="1" t="s">
        <v>45</v>
      </c>
      <c r="I48" s="1" t="s">
        <v>62</v>
      </c>
      <c r="J48" s="1" t="s">
        <v>28</v>
      </c>
      <c r="K48" s="5">
        <v>46372</v>
      </c>
      <c r="L48" s="5">
        <v>46404</v>
      </c>
      <c r="M48" s="1" t="s">
        <v>580</v>
      </c>
      <c r="N48" s="1" t="s">
        <v>305</v>
      </c>
    </row>
    <row r="49" spans="1:14">
      <c r="A49" s="1">
        <v>46</v>
      </c>
      <c r="B49" s="1" t="s">
        <v>1374</v>
      </c>
      <c r="C49" s="5">
        <v>46363</v>
      </c>
      <c r="D49" s="1" t="s">
        <v>122</v>
      </c>
      <c r="E49" s="6" t="s">
        <v>1269</v>
      </c>
      <c r="F49" s="6" t="s">
        <v>1332</v>
      </c>
      <c r="G49" s="1" t="s">
        <v>65</v>
      </c>
      <c r="H49" s="1" t="s">
        <v>91</v>
      </c>
      <c r="I49" s="1" t="s">
        <v>68</v>
      </c>
      <c r="J49" s="1" t="s">
        <v>28</v>
      </c>
      <c r="K49" s="5">
        <v>46384</v>
      </c>
      <c r="L49" s="5">
        <v>46394</v>
      </c>
      <c r="M49" s="1" t="s">
        <v>580</v>
      </c>
      <c r="N49" s="1" t="s">
        <v>305</v>
      </c>
    </row>
    <row r="50" spans="1:14">
      <c r="A50" s="1">
        <v>47</v>
      </c>
      <c r="B50" s="1" t="s">
        <v>1375</v>
      </c>
      <c r="C50" s="5">
        <v>46365</v>
      </c>
      <c r="D50" s="1" t="s">
        <v>122</v>
      </c>
      <c r="E50" s="6" t="s">
        <v>1267</v>
      </c>
      <c r="F50" s="6" t="s">
        <v>1322</v>
      </c>
      <c r="G50" s="1" t="s">
        <v>65</v>
      </c>
      <c r="H50" s="1" t="s">
        <v>64</v>
      </c>
      <c r="I50" s="1" t="s">
        <v>22</v>
      </c>
      <c r="J50" s="1" t="s">
        <v>104</v>
      </c>
      <c r="K50" s="5">
        <v>46370</v>
      </c>
      <c r="L50" s="5">
        <v>46373</v>
      </c>
      <c r="M50" s="1" t="s">
        <v>953</v>
      </c>
      <c r="N50" s="1" t="s">
        <v>297</v>
      </c>
    </row>
    <row r="51" spans="1:14">
      <c r="A51" s="1">
        <v>48</v>
      </c>
      <c r="B51" s="1" t="s">
        <v>1376</v>
      </c>
      <c r="C51" s="5">
        <v>46380</v>
      </c>
      <c r="D51" s="1" t="s">
        <v>122</v>
      </c>
      <c r="E51" s="6" t="s">
        <v>1274</v>
      </c>
      <c r="F51" s="6" t="s">
        <v>1274</v>
      </c>
      <c r="G51" s="1" t="s">
        <v>58</v>
      </c>
      <c r="H51" s="1" t="s">
        <v>12</v>
      </c>
      <c r="I51" s="1" t="s">
        <v>22</v>
      </c>
      <c r="J51" s="1" t="s">
        <v>28</v>
      </c>
      <c r="K51" s="5">
        <v>46419</v>
      </c>
      <c r="L51" s="5">
        <v>46425</v>
      </c>
      <c r="M51" s="1" t="s">
        <v>1149</v>
      </c>
      <c r="N51" s="1" t="s">
        <v>1325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1382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1441</v>
      </c>
      <c r="C3" s="1" t="s">
        <v>126</v>
      </c>
      <c r="D3" s="1" t="s">
        <v>127</v>
      </c>
      <c r="E3" s="1" t="s">
        <v>353</v>
      </c>
      <c r="F3" s="1" t="s">
        <v>129</v>
      </c>
      <c r="G3" s="1" t="s">
        <v>130</v>
      </c>
      <c r="H3" s="1" t="s">
        <v>1442</v>
      </c>
      <c r="I3" s="1" t="s">
        <v>210</v>
      </c>
      <c r="J3" s="1" t="s">
        <v>1443</v>
      </c>
      <c r="K3" s="1" t="s">
        <v>414</v>
      </c>
      <c r="L3" s="1" t="s">
        <v>358</v>
      </c>
      <c r="M3" s="1" t="s">
        <v>286</v>
      </c>
    </row>
    <row r="4" spans="1:15">
      <c r="A4" s="1">
        <v>1</v>
      </c>
      <c r="B4" s="1" t="s">
        <v>1383</v>
      </c>
      <c r="C4" s="5">
        <v>46037</v>
      </c>
      <c r="D4" s="1" t="s">
        <v>3</v>
      </c>
      <c r="E4" s="6" t="s">
        <v>1384</v>
      </c>
      <c r="F4" s="6" t="s">
        <v>92</v>
      </c>
      <c r="G4" s="1" t="s">
        <v>21</v>
      </c>
      <c r="H4" s="1" t="s">
        <v>15</v>
      </c>
      <c r="I4" s="1" t="s">
        <v>151</v>
      </c>
      <c r="J4" s="1" t="s">
        <v>45</v>
      </c>
      <c r="K4" s="1" t="s">
        <v>16</v>
      </c>
      <c r="L4" s="5">
        <v>46044</v>
      </c>
      <c r="M4" s="1" t="s">
        <v>326</v>
      </c>
    </row>
    <row r="5" spans="1:15">
      <c r="A5" s="1">
        <v>2</v>
      </c>
      <c r="B5" s="1" t="s">
        <v>1385</v>
      </c>
      <c r="C5" s="5">
        <v>46027</v>
      </c>
      <c r="D5" s="1" t="s">
        <v>3</v>
      </c>
      <c r="E5" s="6" t="s">
        <v>1386</v>
      </c>
      <c r="F5" s="6" t="s">
        <v>5</v>
      </c>
      <c r="G5" s="1" t="s">
        <v>6</v>
      </c>
      <c r="H5" s="1" t="s">
        <v>22</v>
      </c>
      <c r="I5" s="1" t="s">
        <v>161</v>
      </c>
      <c r="J5" s="1" t="s">
        <v>12</v>
      </c>
      <c r="K5" s="1" t="s">
        <v>45</v>
      </c>
      <c r="L5" s="5">
        <v>46037</v>
      </c>
      <c r="M5" s="1" t="s">
        <v>302</v>
      </c>
    </row>
    <row r="6" spans="1:15">
      <c r="A6" s="1">
        <v>3</v>
      </c>
      <c r="B6" s="1" t="s">
        <v>1387</v>
      </c>
      <c r="C6" s="5">
        <v>46049</v>
      </c>
      <c r="D6" s="1" t="s">
        <v>3</v>
      </c>
      <c r="E6" s="6" t="s">
        <v>1388</v>
      </c>
      <c r="F6" s="6" t="s">
        <v>5</v>
      </c>
      <c r="G6" s="1" t="s">
        <v>51</v>
      </c>
      <c r="H6" s="1" t="s">
        <v>68</v>
      </c>
      <c r="I6" s="1" t="s">
        <v>142</v>
      </c>
      <c r="J6" s="1" t="s">
        <v>54</v>
      </c>
      <c r="K6" s="1" t="s">
        <v>20</v>
      </c>
      <c r="L6" s="5">
        <v>46080</v>
      </c>
      <c r="M6" s="1" t="s">
        <v>224</v>
      </c>
    </row>
    <row r="7" spans="1:15">
      <c r="A7" s="1">
        <v>4</v>
      </c>
      <c r="B7" s="1" t="s">
        <v>1389</v>
      </c>
      <c r="C7" s="5">
        <v>46064</v>
      </c>
      <c r="D7" s="1" t="s">
        <v>19</v>
      </c>
      <c r="E7" s="6" t="s">
        <v>1390</v>
      </c>
      <c r="F7" s="6" t="s">
        <v>46</v>
      </c>
      <c r="G7" s="1" t="s">
        <v>40</v>
      </c>
      <c r="H7" s="1" t="s">
        <v>93</v>
      </c>
      <c r="I7" s="1" t="s">
        <v>151</v>
      </c>
      <c r="J7" s="1" t="s">
        <v>16</v>
      </c>
      <c r="K7" s="1" t="s">
        <v>16</v>
      </c>
      <c r="L7" s="5">
        <v>46104</v>
      </c>
      <c r="M7" s="1" t="s">
        <v>302</v>
      </c>
    </row>
    <row r="8" spans="1:15">
      <c r="A8" s="1">
        <v>5</v>
      </c>
      <c r="B8" s="1" t="s">
        <v>1391</v>
      </c>
      <c r="C8" s="5">
        <v>46056</v>
      </c>
      <c r="D8" s="1" t="s">
        <v>19</v>
      </c>
      <c r="E8" s="6" t="s">
        <v>1392</v>
      </c>
      <c r="F8" s="6" t="s">
        <v>89</v>
      </c>
      <c r="G8" s="1" t="s">
        <v>51</v>
      </c>
      <c r="H8" s="1" t="s">
        <v>15</v>
      </c>
      <c r="I8" s="1" t="s">
        <v>161</v>
      </c>
      <c r="J8" s="1" t="s">
        <v>26</v>
      </c>
      <c r="K8" s="1" t="s">
        <v>38</v>
      </c>
      <c r="L8" s="5">
        <v>46081</v>
      </c>
      <c r="M8" s="1" t="s">
        <v>224</v>
      </c>
    </row>
    <row r="9" spans="1:15">
      <c r="A9" s="1">
        <v>6</v>
      </c>
      <c r="B9" s="1" t="s">
        <v>1393</v>
      </c>
      <c r="C9" s="5">
        <v>46074</v>
      </c>
      <c r="D9" s="1" t="s">
        <v>19</v>
      </c>
      <c r="E9" s="6" t="s">
        <v>1394</v>
      </c>
      <c r="F9" s="6" t="s">
        <v>39</v>
      </c>
      <c r="G9" s="1" t="s">
        <v>35</v>
      </c>
      <c r="H9" s="1" t="s">
        <v>22</v>
      </c>
      <c r="I9" s="1" t="s">
        <v>161</v>
      </c>
      <c r="J9" s="1" t="s">
        <v>49</v>
      </c>
      <c r="K9" s="1" t="s">
        <v>26</v>
      </c>
      <c r="L9" s="5">
        <v>46094</v>
      </c>
      <c r="M9" s="1" t="s">
        <v>220</v>
      </c>
    </row>
    <row r="10" spans="1:15">
      <c r="A10" s="1">
        <v>7</v>
      </c>
      <c r="B10" s="1" t="s">
        <v>1395</v>
      </c>
      <c r="C10" s="5">
        <v>46068</v>
      </c>
      <c r="D10" s="1" t="s">
        <v>19</v>
      </c>
      <c r="E10" s="6" t="s">
        <v>1388</v>
      </c>
      <c r="F10" s="6" t="s">
        <v>89</v>
      </c>
      <c r="G10" s="1" t="s">
        <v>35</v>
      </c>
      <c r="H10" s="1" t="s">
        <v>41</v>
      </c>
      <c r="I10" s="1" t="s">
        <v>142</v>
      </c>
      <c r="J10" s="1" t="s">
        <v>38</v>
      </c>
      <c r="K10" s="1" t="s">
        <v>38</v>
      </c>
      <c r="L10" s="5">
        <v>46112</v>
      </c>
      <c r="M10" s="1" t="s">
        <v>220</v>
      </c>
    </row>
    <row r="11" spans="1:15">
      <c r="A11" s="1">
        <v>8</v>
      </c>
      <c r="B11" s="1" t="s">
        <v>1396</v>
      </c>
      <c r="C11" s="5">
        <v>46087</v>
      </c>
      <c r="D11" s="1" t="s">
        <v>44</v>
      </c>
      <c r="E11" s="6" t="s">
        <v>1388</v>
      </c>
      <c r="F11" s="6" t="s">
        <v>46</v>
      </c>
      <c r="G11" s="1" t="s">
        <v>95</v>
      </c>
      <c r="H11" s="1" t="s">
        <v>93</v>
      </c>
      <c r="I11" s="1" t="s">
        <v>142</v>
      </c>
      <c r="J11" s="1" t="s">
        <v>12</v>
      </c>
      <c r="K11" s="1" t="s">
        <v>16</v>
      </c>
      <c r="L11" s="5">
        <v>46112</v>
      </c>
      <c r="M11" s="1" t="s">
        <v>224</v>
      </c>
    </row>
    <row r="12" spans="1:15">
      <c r="A12" s="1">
        <v>9</v>
      </c>
      <c r="B12" s="1" t="s">
        <v>1397</v>
      </c>
      <c r="C12" s="5">
        <v>46084</v>
      </c>
      <c r="D12" s="1" t="s">
        <v>44</v>
      </c>
      <c r="E12" s="6" t="s">
        <v>1386</v>
      </c>
      <c r="F12" s="6" t="s">
        <v>39</v>
      </c>
      <c r="G12" s="1" t="s">
        <v>87</v>
      </c>
      <c r="H12" s="1" t="s">
        <v>15</v>
      </c>
      <c r="I12" s="1" t="s">
        <v>151</v>
      </c>
      <c r="J12" s="1" t="s">
        <v>91</v>
      </c>
      <c r="K12" s="1" t="s">
        <v>26</v>
      </c>
      <c r="L12" s="5">
        <v>46090</v>
      </c>
      <c r="M12" s="1" t="s">
        <v>220</v>
      </c>
    </row>
    <row r="13" spans="1:15">
      <c r="A13" s="1">
        <v>10</v>
      </c>
      <c r="B13" s="1" t="s">
        <v>1398</v>
      </c>
      <c r="C13" s="5">
        <v>46108</v>
      </c>
      <c r="D13" s="1" t="s">
        <v>44</v>
      </c>
      <c r="E13" s="6" t="s">
        <v>1388</v>
      </c>
      <c r="F13" s="6" t="s">
        <v>89</v>
      </c>
      <c r="G13" s="1" t="s">
        <v>82</v>
      </c>
      <c r="H13" s="1" t="s">
        <v>41</v>
      </c>
      <c r="I13" s="1" t="s">
        <v>161</v>
      </c>
      <c r="J13" s="1" t="s">
        <v>91</v>
      </c>
      <c r="K13" s="1" t="s">
        <v>49</v>
      </c>
      <c r="L13" s="5">
        <v>46126</v>
      </c>
      <c r="M13" s="1" t="s">
        <v>220</v>
      </c>
    </row>
    <row r="14" spans="1:15">
      <c r="A14" s="1">
        <v>11</v>
      </c>
      <c r="B14" s="1" t="s">
        <v>1399</v>
      </c>
      <c r="C14" s="5">
        <v>46085</v>
      </c>
      <c r="D14" s="1" t="s">
        <v>44</v>
      </c>
      <c r="E14" s="6" t="s">
        <v>1386</v>
      </c>
      <c r="F14" s="6" t="s">
        <v>46</v>
      </c>
      <c r="G14" s="1" t="s">
        <v>82</v>
      </c>
      <c r="H14" s="1" t="s">
        <v>66</v>
      </c>
      <c r="I14" s="1" t="s">
        <v>161</v>
      </c>
      <c r="J14" s="1" t="s">
        <v>26</v>
      </c>
      <c r="K14" s="1" t="s">
        <v>4</v>
      </c>
      <c r="L14" s="5">
        <v>46130</v>
      </c>
      <c r="M14" s="1" t="s">
        <v>220</v>
      </c>
    </row>
    <row r="15" spans="1:15">
      <c r="A15" s="1">
        <v>12</v>
      </c>
      <c r="B15" s="1" t="s">
        <v>1400</v>
      </c>
      <c r="C15" s="5">
        <v>46102</v>
      </c>
      <c r="D15" s="1" t="s">
        <v>44</v>
      </c>
      <c r="E15" s="6" t="s">
        <v>1401</v>
      </c>
      <c r="F15" s="6" t="s">
        <v>50</v>
      </c>
      <c r="G15" s="1" t="s">
        <v>87</v>
      </c>
      <c r="H15" s="1" t="s">
        <v>7</v>
      </c>
      <c r="I15" s="1" t="s">
        <v>151</v>
      </c>
      <c r="J15" s="1" t="s">
        <v>16</v>
      </c>
      <c r="K15" s="1" t="s">
        <v>30</v>
      </c>
      <c r="L15" s="5">
        <v>46119</v>
      </c>
      <c r="M15" s="1" t="s">
        <v>220</v>
      </c>
    </row>
    <row r="16" spans="1:15">
      <c r="A16" s="1">
        <v>13</v>
      </c>
      <c r="B16" s="1" t="s">
        <v>1402</v>
      </c>
      <c r="C16" s="5">
        <v>46129</v>
      </c>
      <c r="D16" s="1" t="s">
        <v>53</v>
      </c>
      <c r="E16" s="6" t="s">
        <v>1401</v>
      </c>
      <c r="F16" s="6" t="s">
        <v>46</v>
      </c>
      <c r="G16" s="1" t="s">
        <v>82</v>
      </c>
      <c r="H16" s="1" t="s">
        <v>15</v>
      </c>
      <c r="I16" s="1" t="s">
        <v>157</v>
      </c>
      <c r="J16" s="1" t="s">
        <v>57</v>
      </c>
      <c r="K16" s="1" t="s">
        <v>38</v>
      </c>
      <c r="L16" s="5">
        <v>46136</v>
      </c>
      <c r="M16" s="1" t="s">
        <v>302</v>
      </c>
    </row>
    <row r="17" spans="1:13">
      <c r="A17" s="1">
        <v>14</v>
      </c>
      <c r="B17" s="1" t="s">
        <v>1403</v>
      </c>
      <c r="C17" s="5">
        <v>46132</v>
      </c>
      <c r="D17" s="1" t="s">
        <v>53</v>
      </c>
      <c r="E17" s="6" t="s">
        <v>1392</v>
      </c>
      <c r="F17" s="6" t="s">
        <v>5</v>
      </c>
      <c r="G17" s="1" t="s">
        <v>80</v>
      </c>
      <c r="H17" s="1" t="s">
        <v>104</v>
      </c>
      <c r="I17" s="1" t="s">
        <v>142</v>
      </c>
      <c r="J17" s="1" t="s">
        <v>38</v>
      </c>
      <c r="K17" s="1" t="s">
        <v>54</v>
      </c>
      <c r="L17" s="5">
        <v>46175</v>
      </c>
      <c r="M17" s="1" t="s">
        <v>224</v>
      </c>
    </row>
    <row r="18" spans="1:13">
      <c r="A18" s="1">
        <v>15</v>
      </c>
      <c r="B18" s="1" t="s">
        <v>1404</v>
      </c>
      <c r="C18" s="5">
        <v>46138</v>
      </c>
      <c r="D18" s="1" t="s">
        <v>53</v>
      </c>
      <c r="E18" s="6" t="s">
        <v>1388</v>
      </c>
      <c r="F18" s="6" t="s">
        <v>5</v>
      </c>
      <c r="G18" s="1" t="s">
        <v>40</v>
      </c>
      <c r="H18" s="1" t="s">
        <v>104</v>
      </c>
      <c r="I18" s="1" t="s">
        <v>142</v>
      </c>
      <c r="J18" s="1" t="s">
        <v>12</v>
      </c>
      <c r="K18" s="1" t="s">
        <v>57</v>
      </c>
      <c r="L18" s="5">
        <v>46144</v>
      </c>
      <c r="M18" s="1" t="s">
        <v>220</v>
      </c>
    </row>
    <row r="19" spans="1:13">
      <c r="A19" s="1">
        <v>16</v>
      </c>
      <c r="B19" s="1" t="s">
        <v>1405</v>
      </c>
      <c r="C19" s="5">
        <v>46140</v>
      </c>
      <c r="D19" s="1" t="s">
        <v>53</v>
      </c>
      <c r="E19" s="6" t="s">
        <v>1390</v>
      </c>
      <c r="F19" s="6" t="s">
        <v>50</v>
      </c>
      <c r="G19" s="1" t="s">
        <v>51</v>
      </c>
      <c r="H19" s="1" t="s">
        <v>104</v>
      </c>
      <c r="I19" s="1" t="s">
        <v>161</v>
      </c>
      <c r="J19" s="1" t="s">
        <v>4</v>
      </c>
      <c r="K19" s="1" t="s">
        <v>12</v>
      </c>
      <c r="L19" s="5">
        <v>46154</v>
      </c>
      <c r="M19" s="1" t="s">
        <v>220</v>
      </c>
    </row>
    <row r="20" spans="1:13">
      <c r="A20" s="1">
        <v>17</v>
      </c>
      <c r="B20" s="1" t="s">
        <v>1406</v>
      </c>
      <c r="C20" s="5">
        <v>46120</v>
      </c>
      <c r="D20" s="1" t="s">
        <v>53</v>
      </c>
      <c r="E20" s="6" t="s">
        <v>1384</v>
      </c>
      <c r="F20" s="6" t="s">
        <v>13</v>
      </c>
      <c r="G20" s="1" t="s">
        <v>77</v>
      </c>
      <c r="H20" s="1" t="s">
        <v>15</v>
      </c>
      <c r="I20" s="1" t="s">
        <v>142</v>
      </c>
      <c r="J20" s="1" t="s">
        <v>20</v>
      </c>
      <c r="K20" s="1" t="s">
        <v>4</v>
      </c>
      <c r="L20" s="5">
        <v>46163</v>
      </c>
      <c r="M20" s="1" t="s">
        <v>302</v>
      </c>
    </row>
    <row r="21" spans="1:13">
      <c r="A21" s="1">
        <v>18</v>
      </c>
      <c r="B21" s="1" t="s">
        <v>1407</v>
      </c>
      <c r="C21" s="5">
        <v>46121</v>
      </c>
      <c r="D21" s="1" t="s">
        <v>53</v>
      </c>
      <c r="E21" s="6" t="s">
        <v>1394</v>
      </c>
      <c r="F21" s="6" t="s">
        <v>39</v>
      </c>
      <c r="G21" s="1" t="s">
        <v>95</v>
      </c>
      <c r="H21" s="1" t="s">
        <v>15</v>
      </c>
      <c r="I21" s="1" t="s">
        <v>151</v>
      </c>
      <c r="J21" s="1" t="s">
        <v>38</v>
      </c>
      <c r="K21" s="1" t="s">
        <v>38</v>
      </c>
      <c r="L21" s="5">
        <v>46137</v>
      </c>
      <c r="M21" s="1" t="s">
        <v>220</v>
      </c>
    </row>
    <row r="22" spans="1:13">
      <c r="A22" s="1">
        <v>19</v>
      </c>
      <c r="B22" s="1" t="s">
        <v>1408</v>
      </c>
      <c r="C22" s="5">
        <v>46129</v>
      </c>
      <c r="D22" s="1" t="s">
        <v>53</v>
      </c>
      <c r="E22" s="6" t="s">
        <v>1384</v>
      </c>
      <c r="F22" s="6" t="s">
        <v>13</v>
      </c>
      <c r="G22" s="1" t="s">
        <v>40</v>
      </c>
      <c r="H22" s="1" t="s">
        <v>70</v>
      </c>
      <c r="I22" s="1" t="s">
        <v>142</v>
      </c>
      <c r="J22" s="1" t="s">
        <v>38</v>
      </c>
      <c r="K22" s="1" t="s">
        <v>54</v>
      </c>
      <c r="L22" s="5">
        <v>46154</v>
      </c>
      <c r="M22" s="1" t="s">
        <v>326</v>
      </c>
    </row>
    <row r="23" spans="1:13">
      <c r="A23" s="1">
        <v>20</v>
      </c>
      <c r="B23" s="1" t="s">
        <v>1409</v>
      </c>
      <c r="C23" s="5">
        <v>46146</v>
      </c>
      <c r="D23" s="1" t="s">
        <v>60</v>
      </c>
      <c r="E23" s="6" t="s">
        <v>1394</v>
      </c>
      <c r="F23" s="6" t="s">
        <v>39</v>
      </c>
      <c r="G23" s="1" t="s">
        <v>95</v>
      </c>
      <c r="H23" s="1" t="s">
        <v>22</v>
      </c>
      <c r="I23" s="1" t="s">
        <v>161</v>
      </c>
      <c r="J23" s="1" t="s">
        <v>4</v>
      </c>
      <c r="K23" s="1" t="s">
        <v>91</v>
      </c>
      <c r="L23" s="5">
        <v>46156</v>
      </c>
      <c r="M23" s="1" t="s">
        <v>220</v>
      </c>
    </row>
    <row r="24" spans="1:13">
      <c r="A24" s="1">
        <v>21</v>
      </c>
      <c r="B24" s="1" t="s">
        <v>1410</v>
      </c>
      <c r="C24" s="5">
        <v>46153</v>
      </c>
      <c r="D24" s="1" t="s">
        <v>60</v>
      </c>
      <c r="E24" s="6" t="s">
        <v>1411</v>
      </c>
      <c r="F24" s="6" t="s">
        <v>89</v>
      </c>
      <c r="G24" s="1" t="s">
        <v>95</v>
      </c>
      <c r="H24" s="1" t="s">
        <v>28</v>
      </c>
      <c r="I24" s="1" t="s">
        <v>142</v>
      </c>
      <c r="J24" s="1" t="s">
        <v>26</v>
      </c>
      <c r="K24" s="1" t="s">
        <v>64</v>
      </c>
      <c r="L24" s="5">
        <v>46176</v>
      </c>
      <c r="M24" s="1" t="s">
        <v>220</v>
      </c>
    </row>
    <row r="25" spans="1:13">
      <c r="A25" s="1">
        <v>22</v>
      </c>
      <c r="B25" s="1" t="s">
        <v>1412</v>
      </c>
      <c r="C25" s="5">
        <v>46178</v>
      </c>
      <c r="D25" s="1" t="s">
        <v>73</v>
      </c>
      <c r="E25" s="6" t="s">
        <v>1401</v>
      </c>
      <c r="F25" s="6" t="s">
        <v>58</v>
      </c>
      <c r="G25" s="1" t="s">
        <v>82</v>
      </c>
      <c r="H25" s="1" t="s">
        <v>15</v>
      </c>
      <c r="I25" s="1" t="s">
        <v>161</v>
      </c>
      <c r="J25" s="1" t="s">
        <v>26</v>
      </c>
      <c r="K25" s="1" t="s">
        <v>4</v>
      </c>
      <c r="L25" s="5">
        <v>46223</v>
      </c>
      <c r="M25" s="1" t="s">
        <v>302</v>
      </c>
    </row>
    <row r="26" spans="1:13">
      <c r="A26" s="1">
        <v>23</v>
      </c>
      <c r="B26" s="1" t="s">
        <v>1413</v>
      </c>
      <c r="C26" s="5">
        <v>46198</v>
      </c>
      <c r="D26" s="1" t="s">
        <v>73</v>
      </c>
      <c r="E26" s="6" t="s">
        <v>1414</v>
      </c>
      <c r="F26" s="6" t="s">
        <v>89</v>
      </c>
      <c r="G26" s="1" t="s">
        <v>40</v>
      </c>
      <c r="H26" s="1" t="s">
        <v>28</v>
      </c>
      <c r="I26" s="1" t="s">
        <v>142</v>
      </c>
      <c r="J26" s="1" t="s">
        <v>38</v>
      </c>
      <c r="K26" s="1" t="s">
        <v>26</v>
      </c>
      <c r="L26" s="5">
        <v>46218</v>
      </c>
      <c r="M26" s="1" t="s">
        <v>224</v>
      </c>
    </row>
    <row r="27" spans="1:13">
      <c r="A27" s="1">
        <v>24</v>
      </c>
      <c r="B27" s="1" t="s">
        <v>1415</v>
      </c>
      <c r="C27" s="5">
        <v>46208</v>
      </c>
      <c r="D27" s="1" t="s">
        <v>76</v>
      </c>
      <c r="E27" s="6" t="s">
        <v>1411</v>
      </c>
      <c r="F27" s="6" t="s">
        <v>65</v>
      </c>
      <c r="G27" s="1" t="s">
        <v>51</v>
      </c>
      <c r="H27" s="1" t="s">
        <v>41</v>
      </c>
      <c r="I27" s="1" t="s">
        <v>142</v>
      </c>
      <c r="J27" s="1" t="s">
        <v>91</v>
      </c>
      <c r="K27" s="1" t="s">
        <v>54</v>
      </c>
      <c r="L27" s="5">
        <v>46224</v>
      </c>
      <c r="M27" s="1" t="s">
        <v>326</v>
      </c>
    </row>
    <row r="28" spans="1:13">
      <c r="A28" s="1">
        <v>25</v>
      </c>
      <c r="B28" s="1" t="s">
        <v>1416</v>
      </c>
      <c r="C28" s="5">
        <v>46207</v>
      </c>
      <c r="D28" s="1" t="s">
        <v>76</v>
      </c>
      <c r="E28" s="6" t="s">
        <v>1392</v>
      </c>
      <c r="F28" s="6" t="s">
        <v>65</v>
      </c>
      <c r="G28" s="1" t="s">
        <v>87</v>
      </c>
      <c r="H28" s="1" t="s">
        <v>15</v>
      </c>
      <c r="I28" s="1" t="s">
        <v>151</v>
      </c>
      <c r="J28" s="1" t="s">
        <v>61</v>
      </c>
      <c r="K28" s="1" t="s">
        <v>4</v>
      </c>
      <c r="L28" s="5">
        <v>46252</v>
      </c>
      <c r="M28" s="1" t="s">
        <v>220</v>
      </c>
    </row>
    <row r="29" spans="1:13">
      <c r="A29" s="1">
        <v>26</v>
      </c>
      <c r="B29" s="1" t="s">
        <v>1417</v>
      </c>
      <c r="C29" s="5">
        <v>46205</v>
      </c>
      <c r="D29" s="1" t="s">
        <v>76</v>
      </c>
      <c r="E29" s="6" t="s">
        <v>1401</v>
      </c>
      <c r="F29" s="6" t="s">
        <v>13</v>
      </c>
      <c r="G29" s="1" t="s">
        <v>6</v>
      </c>
      <c r="H29" s="1" t="s">
        <v>93</v>
      </c>
      <c r="I29" s="1" t="s">
        <v>151</v>
      </c>
      <c r="J29" s="1" t="s">
        <v>38</v>
      </c>
      <c r="K29" s="1" t="s">
        <v>30</v>
      </c>
      <c r="L29" s="5">
        <v>46213</v>
      </c>
      <c r="M29" s="1" t="s">
        <v>224</v>
      </c>
    </row>
    <row r="30" spans="1:13">
      <c r="A30" s="1">
        <v>27</v>
      </c>
      <c r="B30" s="1" t="s">
        <v>1418</v>
      </c>
      <c r="C30" s="5">
        <v>46220</v>
      </c>
      <c r="D30" s="1" t="s">
        <v>76</v>
      </c>
      <c r="E30" s="6" t="s">
        <v>1394</v>
      </c>
      <c r="F30" s="6" t="s">
        <v>13</v>
      </c>
      <c r="G30" s="1" t="s">
        <v>82</v>
      </c>
      <c r="H30" s="1" t="s">
        <v>22</v>
      </c>
      <c r="I30" s="1" t="s">
        <v>151</v>
      </c>
      <c r="J30" s="1" t="s">
        <v>16</v>
      </c>
      <c r="K30" s="1" t="s">
        <v>61</v>
      </c>
      <c r="L30" s="5">
        <v>46245</v>
      </c>
      <c r="M30" s="1" t="s">
        <v>220</v>
      </c>
    </row>
    <row r="31" spans="1:13">
      <c r="A31" s="1">
        <v>28</v>
      </c>
      <c r="B31" s="1" t="s">
        <v>1419</v>
      </c>
      <c r="C31" s="5">
        <v>46253</v>
      </c>
      <c r="D31" s="1" t="s">
        <v>86</v>
      </c>
      <c r="E31" s="6" t="s">
        <v>1390</v>
      </c>
      <c r="F31" s="6" t="s">
        <v>13</v>
      </c>
      <c r="G31" s="1" t="s">
        <v>6</v>
      </c>
      <c r="H31" s="1" t="s">
        <v>32</v>
      </c>
      <c r="I31" s="1" t="s">
        <v>151</v>
      </c>
      <c r="J31" s="1" t="s">
        <v>26</v>
      </c>
      <c r="K31" s="1" t="s">
        <v>91</v>
      </c>
      <c r="L31" s="5">
        <v>46290</v>
      </c>
      <c r="M31" s="1" t="s">
        <v>220</v>
      </c>
    </row>
    <row r="32" spans="1:13">
      <c r="A32" s="1">
        <v>29</v>
      </c>
      <c r="B32" s="1" t="s">
        <v>1420</v>
      </c>
      <c r="C32" s="5">
        <v>46242</v>
      </c>
      <c r="D32" s="1" t="s">
        <v>86</v>
      </c>
      <c r="E32" s="6" t="s">
        <v>1421</v>
      </c>
      <c r="F32" s="6" t="s">
        <v>5</v>
      </c>
      <c r="G32" s="1" t="s">
        <v>6</v>
      </c>
      <c r="H32" s="1" t="s">
        <v>32</v>
      </c>
      <c r="I32" s="1" t="s">
        <v>157</v>
      </c>
      <c r="J32" s="1" t="s">
        <v>26</v>
      </c>
      <c r="K32" s="1" t="s">
        <v>91</v>
      </c>
      <c r="L32" s="5">
        <v>46260</v>
      </c>
      <c r="M32" s="1" t="s">
        <v>224</v>
      </c>
    </row>
    <row r="33" spans="1:13">
      <c r="A33" s="1">
        <v>30</v>
      </c>
      <c r="B33" s="1" t="s">
        <v>1422</v>
      </c>
      <c r="C33" s="5">
        <v>46259</v>
      </c>
      <c r="D33" s="1" t="s">
        <v>86</v>
      </c>
      <c r="E33" s="6" t="s">
        <v>1390</v>
      </c>
      <c r="F33" s="6" t="s">
        <v>5</v>
      </c>
      <c r="G33" s="1" t="s">
        <v>40</v>
      </c>
      <c r="H33" s="1" t="s">
        <v>93</v>
      </c>
      <c r="I33" s="1" t="s">
        <v>142</v>
      </c>
      <c r="J33" s="1" t="s">
        <v>64</v>
      </c>
      <c r="K33" s="1" t="s">
        <v>26</v>
      </c>
      <c r="L33" s="5">
        <v>46271</v>
      </c>
      <c r="M33" s="1" t="s">
        <v>224</v>
      </c>
    </row>
    <row r="34" spans="1:13">
      <c r="A34" s="1">
        <v>31</v>
      </c>
      <c r="B34" s="1" t="s">
        <v>1423</v>
      </c>
      <c r="C34" s="5">
        <v>46256</v>
      </c>
      <c r="D34" s="1" t="s">
        <v>86</v>
      </c>
      <c r="E34" s="6" t="s">
        <v>1394</v>
      </c>
      <c r="F34" s="6" t="s">
        <v>89</v>
      </c>
      <c r="G34" s="1" t="s">
        <v>14</v>
      </c>
      <c r="H34" s="1" t="s">
        <v>36</v>
      </c>
      <c r="I34" s="1" t="s">
        <v>142</v>
      </c>
      <c r="J34" s="1" t="s">
        <v>12</v>
      </c>
      <c r="K34" s="1" t="s">
        <v>57</v>
      </c>
      <c r="L34" s="5">
        <v>46288</v>
      </c>
      <c r="M34" s="1" t="s">
        <v>224</v>
      </c>
    </row>
    <row r="35" spans="1:13">
      <c r="A35" s="1">
        <v>32</v>
      </c>
      <c r="B35" s="1" t="s">
        <v>1424</v>
      </c>
      <c r="C35" s="5">
        <v>46249</v>
      </c>
      <c r="D35" s="1" t="s">
        <v>86</v>
      </c>
      <c r="E35" s="6" t="s">
        <v>1384</v>
      </c>
      <c r="F35" s="6" t="s">
        <v>5</v>
      </c>
      <c r="G35" s="1" t="s">
        <v>6</v>
      </c>
      <c r="H35" s="1" t="s">
        <v>66</v>
      </c>
      <c r="I35" s="1" t="s">
        <v>151</v>
      </c>
      <c r="J35" s="1" t="s">
        <v>30</v>
      </c>
      <c r="K35" s="1" t="s">
        <v>30</v>
      </c>
      <c r="L35" s="5">
        <v>46273</v>
      </c>
      <c r="M35" s="1" t="s">
        <v>326</v>
      </c>
    </row>
    <row r="36" spans="1:13">
      <c r="A36" s="1">
        <v>33</v>
      </c>
      <c r="B36" s="1" t="s">
        <v>1425</v>
      </c>
      <c r="C36" s="5">
        <v>46266</v>
      </c>
      <c r="D36" s="1" t="s">
        <v>102</v>
      </c>
      <c r="E36" s="6" t="s">
        <v>1411</v>
      </c>
      <c r="F36" s="6" t="s">
        <v>39</v>
      </c>
      <c r="G36" s="1" t="s">
        <v>87</v>
      </c>
      <c r="H36" s="1" t="s">
        <v>93</v>
      </c>
      <c r="I36" s="1" t="s">
        <v>157</v>
      </c>
      <c r="J36" s="1" t="s">
        <v>57</v>
      </c>
      <c r="K36" s="1" t="s">
        <v>54</v>
      </c>
      <c r="L36" s="5">
        <v>46310</v>
      </c>
      <c r="M36" s="1" t="s">
        <v>224</v>
      </c>
    </row>
    <row r="37" spans="1:13">
      <c r="A37" s="1">
        <v>34</v>
      </c>
      <c r="B37" s="1" t="s">
        <v>1426</v>
      </c>
      <c r="C37" s="5">
        <v>46281</v>
      </c>
      <c r="D37" s="1" t="s">
        <v>102</v>
      </c>
      <c r="E37" s="6" t="s">
        <v>1401</v>
      </c>
      <c r="F37" s="6" t="s">
        <v>89</v>
      </c>
      <c r="G37" s="1" t="s">
        <v>31</v>
      </c>
      <c r="H37" s="1" t="s">
        <v>7</v>
      </c>
      <c r="I37" s="1" t="s">
        <v>151</v>
      </c>
      <c r="J37" s="1" t="s">
        <v>20</v>
      </c>
      <c r="K37" s="1" t="s">
        <v>61</v>
      </c>
      <c r="L37" s="5">
        <v>46294</v>
      </c>
      <c r="M37" s="1" t="s">
        <v>220</v>
      </c>
    </row>
    <row r="38" spans="1:13">
      <c r="A38" s="1">
        <v>35</v>
      </c>
      <c r="B38" s="1" t="s">
        <v>1427</v>
      </c>
      <c r="C38" s="5">
        <v>46278</v>
      </c>
      <c r="D38" s="1" t="s">
        <v>102</v>
      </c>
      <c r="E38" s="6" t="s">
        <v>1390</v>
      </c>
      <c r="F38" s="6" t="s">
        <v>65</v>
      </c>
      <c r="G38" s="1" t="s">
        <v>82</v>
      </c>
      <c r="H38" s="1" t="s">
        <v>93</v>
      </c>
      <c r="I38" s="1" t="s">
        <v>161</v>
      </c>
      <c r="J38" s="1" t="s">
        <v>4</v>
      </c>
      <c r="K38" s="1" t="s">
        <v>38</v>
      </c>
      <c r="L38" s="5">
        <v>46287</v>
      </c>
      <c r="M38" s="1" t="s">
        <v>220</v>
      </c>
    </row>
    <row r="39" spans="1:13">
      <c r="A39" s="1">
        <v>36</v>
      </c>
      <c r="B39" s="1" t="s">
        <v>1428</v>
      </c>
      <c r="C39" s="5">
        <v>46283</v>
      </c>
      <c r="D39" s="1" t="s">
        <v>102</v>
      </c>
      <c r="E39" s="6" t="s">
        <v>1414</v>
      </c>
      <c r="F39" s="6" t="s">
        <v>92</v>
      </c>
      <c r="G39" s="1" t="s">
        <v>82</v>
      </c>
      <c r="H39" s="1" t="s">
        <v>68</v>
      </c>
      <c r="I39" s="1" t="s">
        <v>142</v>
      </c>
      <c r="J39" s="1" t="s">
        <v>20</v>
      </c>
      <c r="K39" s="1" t="s">
        <v>45</v>
      </c>
      <c r="L39" s="5">
        <v>46292</v>
      </c>
      <c r="M39" s="1" t="s">
        <v>220</v>
      </c>
    </row>
    <row r="40" spans="1:13">
      <c r="A40" s="1">
        <v>37</v>
      </c>
      <c r="B40" s="1" t="s">
        <v>1429</v>
      </c>
      <c r="C40" s="5">
        <v>46296</v>
      </c>
      <c r="D40" s="1" t="s">
        <v>106</v>
      </c>
      <c r="E40" s="6" t="s">
        <v>1411</v>
      </c>
      <c r="F40" s="6" t="s">
        <v>46</v>
      </c>
      <c r="G40" s="1" t="s">
        <v>35</v>
      </c>
      <c r="H40" s="1" t="s">
        <v>66</v>
      </c>
      <c r="I40" s="1" t="s">
        <v>161</v>
      </c>
      <c r="J40" s="1" t="s">
        <v>45</v>
      </c>
      <c r="K40" s="1" t="s">
        <v>26</v>
      </c>
      <c r="L40" s="5">
        <v>46338</v>
      </c>
      <c r="M40" s="1" t="s">
        <v>326</v>
      </c>
    </row>
    <row r="41" spans="1:13">
      <c r="A41" s="1">
        <v>38</v>
      </c>
      <c r="B41" s="1" t="s">
        <v>1430</v>
      </c>
      <c r="C41" s="5">
        <v>46316</v>
      </c>
      <c r="D41" s="1" t="s">
        <v>106</v>
      </c>
      <c r="E41" s="6" t="s">
        <v>1392</v>
      </c>
      <c r="F41" s="6" t="s">
        <v>50</v>
      </c>
      <c r="G41" s="1" t="s">
        <v>95</v>
      </c>
      <c r="H41" s="1" t="s">
        <v>22</v>
      </c>
      <c r="I41" s="1" t="s">
        <v>151</v>
      </c>
      <c r="J41" s="1" t="s">
        <v>54</v>
      </c>
      <c r="K41" s="1" t="s">
        <v>38</v>
      </c>
      <c r="L41" s="5">
        <v>46347</v>
      </c>
      <c r="M41" s="1" t="s">
        <v>220</v>
      </c>
    </row>
    <row r="42" spans="1:13">
      <c r="A42" s="1">
        <v>39</v>
      </c>
      <c r="B42" s="1" t="s">
        <v>1431</v>
      </c>
      <c r="C42" s="5">
        <v>46302</v>
      </c>
      <c r="D42" s="1" t="s">
        <v>106</v>
      </c>
      <c r="E42" s="6" t="s">
        <v>1421</v>
      </c>
      <c r="F42" s="6" t="s">
        <v>46</v>
      </c>
      <c r="G42" s="1" t="s">
        <v>21</v>
      </c>
      <c r="H42" s="1" t="s">
        <v>22</v>
      </c>
      <c r="I42" s="1" t="s">
        <v>142</v>
      </c>
      <c r="J42" s="1" t="s">
        <v>54</v>
      </c>
      <c r="K42" s="1" t="s">
        <v>30</v>
      </c>
      <c r="L42" s="5">
        <v>46346</v>
      </c>
      <c r="M42" s="1" t="s">
        <v>302</v>
      </c>
    </row>
    <row r="43" spans="1:13">
      <c r="A43" s="1">
        <v>40</v>
      </c>
      <c r="B43" s="1" t="s">
        <v>1432</v>
      </c>
      <c r="C43" s="5">
        <v>46323</v>
      </c>
      <c r="D43" s="1" t="s">
        <v>106</v>
      </c>
      <c r="E43" s="6" t="s">
        <v>1388</v>
      </c>
      <c r="F43" s="6" t="s">
        <v>13</v>
      </c>
      <c r="G43" s="1" t="s">
        <v>77</v>
      </c>
      <c r="H43" s="1" t="s">
        <v>70</v>
      </c>
      <c r="I43" s="1" t="s">
        <v>151</v>
      </c>
      <c r="J43" s="1" t="s">
        <v>64</v>
      </c>
      <c r="K43" s="1" t="s">
        <v>49</v>
      </c>
      <c r="L43" s="5">
        <v>46347</v>
      </c>
      <c r="M43" s="1" t="s">
        <v>326</v>
      </c>
    </row>
    <row r="44" spans="1:13">
      <c r="A44" s="1">
        <v>41</v>
      </c>
      <c r="B44" s="1" t="s">
        <v>1433</v>
      </c>
      <c r="C44" s="5">
        <v>46317</v>
      </c>
      <c r="D44" s="1" t="s">
        <v>106</v>
      </c>
      <c r="E44" s="6" t="s">
        <v>1411</v>
      </c>
      <c r="F44" s="6" t="s">
        <v>39</v>
      </c>
      <c r="G44" s="1" t="s">
        <v>95</v>
      </c>
      <c r="H44" s="1" t="s">
        <v>32</v>
      </c>
      <c r="I44" s="1" t="s">
        <v>161</v>
      </c>
      <c r="J44" s="1" t="s">
        <v>16</v>
      </c>
      <c r="K44" s="1" t="s">
        <v>30</v>
      </c>
      <c r="L44" s="5">
        <v>46360</v>
      </c>
      <c r="M44" s="1" t="s">
        <v>220</v>
      </c>
    </row>
    <row r="45" spans="1:13">
      <c r="A45" s="1">
        <v>42</v>
      </c>
      <c r="B45" s="1" t="s">
        <v>1434</v>
      </c>
      <c r="C45" s="5">
        <v>46342</v>
      </c>
      <c r="D45" s="1" t="s">
        <v>111</v>
      </c>
      <c r="E45" s="6" t="s">
        <v>1384</v>
      </c>
      <c r="F45" s="6" t="s">
        <v>27</v>
      </c>
      <c r="G45" s="1" t="s">
        <v>95</v>
      </c>
      <c r="H45" s="1" t="s">
        <v>32</v>
      </c>
      <c r="I45" s="1" t="s">
        <v>151</v>
      </c>
      <c r="J45" s="1" t="s">
        <v>4</v>
      </c>
      <c r="K45" s="1" t="s">
        <v>38</v>
      </c>
      <c r="L45" s="5">
        <v>46364</v>
      </c>
      <c r="M45" s="1" t="s">
        <v>302</v>
      </c>
    </row>
    <row r="46" spans="1:13">
      <c r="A46" s="1">
        <v>43</v>
      </c>
      <c r="B46" s="1" t="s">
        <v>1435</v>
      </c>
      <c r="C46" s="5">
        <v>46342</v>
      </c>
      <c r="D46" s="1" t="s">
        <v>111</v>
      </c>
      <c r="E46" s="6" t="s">
        <v>1394</v>
      </c>
      <c r="F46" s="6" t="s">
        <v>13</v>
      </c>
      <c r="G46" s="1" t="s">
        <v>31</v>
      </c>
      <c r="H46" s="1" t="s">
        <v>22</v>
      </c>
      <c r="I46" s="1" t="s">
        <v>161</v>
      </c>
      <c r="J46" s="1" t="s">
        <v>49</v>
      </c>
      <c r="K46" s="1" t="s">
        <v>30</v>
      </c>
      <c r="L46" s="5">
        <v>46360</v>
      </c>
      <c r="M46" s="1" t="s">
        <v>302</v>
      </c>
    </row>
    <row r="47" spans="1:13">
      <c r="A47" s="1">
        <v>44</v>
      </c>
      <c r="B47" s="1" t="s">
        <v>1436</v>
      </c>
      <c r="C47" s="5">
        <v>46347</v>
      </c>
      <c r="D47" s="1" t="s">
        <v>111</v>
      </c>
      <c r="E47" s="6" t="s">
        <v>1411</v>
      </c>
      <c r="F47" s="6" t="s">
        <v>5</v>
      </c>
      <c r="G47" s="1" t="s">
        <v>40</v>
      </c>
      <c r="H47" s="1" t="s">
        <v>28</v>
      </c>
      <c r="I47" s="1" t="s">
        <v>161</v>
      </c>
      <c r="J47" s="1" t="s">
        <v>26</v>
      </c>
      <c r="K47" s="1" t="s">
        <v>12</v>
      </c>
      <c r="L47" s="5">
        <v>46386</v>
      </c>
      <c r="M47" s="1" t="s">
        <v>220</v>
      </c>
    </row>
    <row r="48" spans="1:13">
      <c r="A48" s="1">
        <v>45</v>
      </c>
      <c r="B48" s="1" t="s">
        <v>1437</v>
      </c>
      <c r="C48" s="5">
        <v>46350</v>
      </c>
      <c r="D48" s="1" t="s">
        <v>111</v>
      </c>
      <c r="E48" s="6" t="s">
        <v>1390</v>
      </c>
      <c r="F48" s="6" t="s">
        <v>13</v>
      </c>
      <c r="G48" s="1" t="s">
        <v>14</v>
      </c>
      <c r="H48" s="1" t="s">
        <v>70</v>
      </c>
      <c r="I48" s="1" t="s">
        <v>142</v>
      </c>
      <c r="J48" s="1" t="s">
        <v>61</v>
      </c>
      <c r="K48" s="1" t="s">
        <v>49</v>
      </c>
      <c r="L48" s="5">
        <v>46380</v>
      </c>
      <c r="M48" s="1" t="s">
        <v>220</v>
      </c>
    </row>
    <row r="49" spans="1:13">
      <c r="A49" s="1">
        <v>46</v>
      </c>
      <c r="B49" s="1" t="s">
        <v>1438</v>
      </c>
      <c r="C49" s="5">
        <v>46374</v>
      </c>
      <c r="D49" s="1" t="s">
        <v>122</v>
      </c>
      <c r="E49" s="6" t="s">
        <v>1421</v>
      </c>
      <c r="F49" s="6" t="s">
        <v>50</v>
      </c>
      <c r="G49" s="1" t="s">
        <v>14</v>
      </c>
      <c r="H49" s="1" t="s">
        <v>78</v>
      </c>
      <c r="I49" s="1" t="s">
        <v>142</v>
      </c>
      <c r="J49" s="1" t="s">
        <v>30</v>
      </c>
      <c r="K49" s="1" t="s">
        <v>57</v>
      </c>
      <c r="L49" s="5">
        <v>46407</v>
      </c>
      <c r="M49" s="1" t="s">
        <v>220</v>
      </c>
    </row>
    <row r="50" spans="1:13">
      <c r="A50" s="1">
        <v>47</v>
      </c>
      <c r="B50" s="1" t="s">
        <v>1439</v>
      </c>
      <c r="C50" s="5">
        <v>46372</v>
      </c>
      <c r="D50" s="1" t="s">
        <v>122</v>
      </c>
      <c r="E50" s="6" t="s">
        <v>1384</v>
      </c>
      <c r="F50" s="6" t="s">
        <v>5</v>
      </c>
      <c r="G50" s="1" t="s">
        <v>35</v>
      </c>
      <c r="H50" s="1" t="s">
        <v>104</v>
      </c>
      <c r="I50" s="1" t="s">
        <v>142</v>
      </c>
      <c r="J50" s="1" t="s">
        <v>61</v>
      </c>
      <c r="K50" s="1" t="s">
        <v>57</v>
      </c>
      <c r="L50" s="5">
        <v>46396</v>
      </c>
      <c r="M50" s="1" t="s">
        <v>326</v>
      </c>
    </row>
    <row r="51" spans="1:13">
      <c r="A51" s="1">
        <v>48</v>
      </c>
      <c r="B51" s="1" t="s">
        <v>1440</v>
      </c>
      <c r="C51" s="5">
        <v>46377</v>
      </c>
      <c r="D51" s="1" t="s">
        <v>122</v>
      </c>
      <c r="E51" s="6" t="s">
        <v>1388</v>
      </c>
      <c r="F51" s="6" t="s">
        <v>27</v>
      </c>
      <c r="G51" s="1" t="s">
        <v>40</v>
      </c>
      <c r="H51" s="1" t="s">
        <v>93</v>
      </c>
      <c r="I51" s="1" t="s">
        <v>142</v>
      </c>
      <c r="J51" s="1" t="s">
        <v>4</v>
      </c>
      <c r="K51" s="1" t="s">
        <v>45</v>
      </c>
      <c r="L51" s="5">
        <v>46386</v>
      </c>
      <c r="M51" s="1" t="s">
        <v>302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1441</v>
      </c>
      <c r="C3" s="1" t="s">
        <v>126</v>
      </c>
      <c r="D3" s="1" t="s">
        <v>127</v>
      </c>
      <c r="E3" s="1" t="s">
        <v>353</v>
      </c>
      <c r="F3" s="1" t="s">
        <v>129</v>
      </c>
      <c r="G3" s="1" t="s">
        <v>130</v>
      </c>
      <c r="H3" s="1" t="s">
        <v>1442</v>
      </c>
      <c r="I3" s="1" t="s">
        <v>210</v>
      </c>
      <c r="J3" s="1" t="s">
        <v>1443</v>
      </c>
      <c r="K3" s="1" t="s">
        <v>414</v>
      </c>
      <c r="L3" s="1" t="s">
        <v>358</v>
      </c>
      <c r="M3" s="1" t="s">
        <v>286</v>
      </c>
    </row>
    <row r="4" spans="1:15">
      <c r="A4" s="1">
        <v>1</v>
      </c>
      <c r="B4" s="1" t="s">
        <v>1445</v>
      </c>
      <c r="C4" s="5">
        <v>46046</v>
      </c>
      <c r="D4" s="1" t="s">
        <v>3</v>
      </c>
      <c r="E4" s="6" t="s">
        <v>1446</v>
      </c>
      <c r="F4" s="6" t="s">
        <v>46</v>
      </c>
      <c r="G4" s="1" t="s">
        <v>80</v>
      </c>
      <c r="H4" s="1" t="s">
        <v>104</v>
      </c>
      <c r="I4" s="1" t="s">
        <v>151</v>
      </c>
      <c r="J4" s="1" t="s">
        <v>20</v>
      </c>
      <c r="K4" s="1" t="s">
        <v>91</v>
      </c>
      <c r="L4" s="5">
        <v>46086</v>
      </c>
      <c r="M4" s="1" t="s">
        <v>220</v>
      </c>
    </row>
    <row r="5" spans="1:15">
      <c r="A5" s="1">
        <v>2</v>
      </c>
      <c r="B5" s="1" t="s">
        <v>1447</v>
      </c>
      <c r="C5" s="5">
        <v>46031</v>
      </c>
      <c r="D5" s="1" t="s">
        <v>3</v>
      </c>
      <c r="E5" s="6" t="s">
        <v>1448</v>
      </c>
      <c r="F5" s="6" t="s">
        <v>13</v>
      </c>
      <c r="G5" s="1" t="s">
        <v>14</v>
      </c>
      <c r="H5" s="1" t="s">
        <v>22</v>
      </c>
      <c r="I5" s="1" t="s">
        <v>161</v>
      </c>
      <c r="J5" s="1" t="s">
        <v>20</v>
      </c>
      <c r="K5" s="1" t="s">
        <v>20</v>
      </c>
      <c r="L5" s="5">
        <v>46043</v>
      </c>
      <c r="M5" s="1" t="s">
        <v>220</v>
      </c>
    </row>
    <row r="6" spans="1:15">
      <c r="A6" s="1">
        <v>3</v>
      </c>
      <c r="B6" s="1" t="s">
        <v>1449</v>
      </c>
      <c r="C6" s="5">
        <v>46060</v>
      </c>
      <c r="D6" s="1" t="s">
        <v>19</v>
      </c>
      <c r="E6" s="6" t="s">
        <v>1450</v>
      </c>
      <c r="F6" s="6" t="s">
        <v>46</v>
      </c>
      <c r="G6" s="1" t="s">
        <v>40</v>
      </c>
      <c r="H6" s="1" t="s">
        <v>78</v>
      </c>
      <c r="I6" s="1" t="s">
        <v>151</v>
      </c>
      <c r="J6" s="1" t="s">
        <v>26</v>
      </c>
      <c r="K6" s="1" t="s">
        <v>64</v>
      </c>
      <c r="L6" s="5">
        <v>46072</v>
      </c>
      <c r="M6" s="1" t="s">
        <v>224</v>
      </c>
    </row>
    <row r="7" spans="1:15">
      <c r="A7" s="1">
        <v>4</v>
      </c>
      <c r="B7" s="1" t="s">
        <v>1451</v>
      </c>
      <c r="C7" s="5">
        <v>46067</v>
      </c>
      <c r="D7" s="1" t="s">
        <v>19</v>
      </c>
      <c r="E7" s="6" t="s">
        <v>1452</v>
      </c>
      <c r="F7" s="6" t="s">
        <v>89</v>
      </c>
      <c r="G7" s="1" t="s">
        <v>21</v>
      </c>
      <c r="H7" s="1" t="s">
        <v>93</v>
      </c>
      <c r="I7" s="1" t="s">
        <v>157</v>
      </c>
      <c r="J7" s="1" t="s">
        <v>64</v>
      </c>
      <c r="K7" s="1" t="s">
        <v>64</v>
      </c>
      <c r="L7" s="5">
        <v>46109</v>
      </c>
      <c r="M7" s="1" t="s">
        <v>220</v>
      </c>
    </row>
    <row r="8" spans="1:15">
      <c r="A8" s="1">
        <v>5</v>
      </c>
      <c r="B8" s="1" t="s">
        <v>1453</v>
      </c>
      <c r="C8" s="5">
        <v>46054</v>
      </c>
      <c r="D8" s="1" t="s">
        <v>19</v>
      </c>
      <c r="E8" s="6" t="s">
        <v>1454</v>
      </c>
      <c r="F8" s="6" t="s">
        <v>13</v>
      </c>
      <c r="G8" s="1" t="s">
        <v>35</v>
      </c>
      <c r="H8" s="1" t="s">
        <v>104</v>
      </c>
      <c r="I8" s="1" t="s">
        <v>151</v>
      </c>
      <c r="J8" s="1" t="s">
        <v>30</v>
      </c>
      <c r="K8" s="1" t="s">
        <v>4</v>
      </c>
      <c r="L8" s="5">
        <v>46091</v>
      </c>
      <c r="M8" s="1" t="s">
        <v>220</v>
      </c>
    </row>
    <row r="9" spans="1:15">
      <c r="A9" s="1">
        <v>6</v>
      </c>
      <c r="B9" s="1" t="s">
        <v>1455</v>
      </c>
      <c r="C9" s="5">
        <v>46100</v>
      </c>
      <c r="D9" s="1" t="s">
        <v>44</v>
      </c>
      <c r="E9" s="6" t="s">
        <v>1329</v>
      </c>
      <c r="F9" s="6" t="s">
        <v>58</v>
      </c>
      <c r="G9" s="1" t="s">
        <v>21</v>
      </c>
      <c r="H9" s="1" t="s">
        <v>104</v>
      </c>
      <c r="I9" s="1" t="s">
        <v>142</v>
      </c>
      <c r="J9" s="1" t="s">
        <v>57</v>
      </c>
      <c r="K9" s="1" t="s">
        <v>4</v>
      </c>
      <c r="L9" s="5">
        <v>46135</v>
      </c>
      <c r="M9" s="1" t="s">
        <v>224</v>
      </c>
    </row>
    <row r="10" spans="1:15">
      <c r="A10" s="1">
        <v>7</v>
      </c>
      <c r="B10" s="1" t="s">
        <v>1456</v>
      </c>
      <c r="C10" s="5">
        <v>46098</v>
      </c>
      <c r="D10" s="1" t="s">
        <v>44</v>
      </c>
      <c r="E10" s="6" t="s">
        <v>1454</v>
      </c>
      <c r="F10" s="6" t="s">
        <v>5</v>
      </c>
      <c r="G10" s="1" t="s">
        <v>87</v>
      </c>
      <c r="H10" s="1" t="s">
        <v>70</v>
      </c>
      <c r="I10" s="1" t="s">
        <v>161</v>
      </c>
      <c r="J10" s="1" t="s">
        <v>91</v>
      </c>
      <c r="K10" s="1" t="s">
        <v>12</v>
      </c>
      <c r="L10" s="5">
        <v>46130</v>
      </c>
      <c r="M10" s="1" t="s">
        <v>220</v>
      </c>
    </row>
    <row r="11" spans="1:15">
      <c r="A11" s="1">
        <v>8</v>
      </c>
      <c r="B11" s="1" t="s">
        <v>1457</v>
      </c>
      <c r="C11" s="5">
        <v>46083</v>
      </c>
      <c r="D11" s="1" t="s">
        <v>44</v>
      </c>
      <c r="E11" s="6" t="s">
        <v>1448</v>
      </c>
      <c r="F11" s="6" t="s">
        <v>39</v>
      </c>
      <c r="G11" s="1" t="s">
        <v>31</v>
      </c>
      <c r="H11" s="1" t="s">
        <v>62</v>
      </c>
      <c r="I11" s="1" t="s">
        <v>151</v>
      </c>
      <c r="J11" s="1" t="s">
        <v>20</v>
      </c>
      <c r="K11" s="1" t="s">
        <v>30</v>
      </c>
      <c r="L11" s="5">
        <v>46094</v>
      </c>
      <c r="M11" s="1" t="s">
        <v>224</v>
      </c>
    </row>
    <row r="12" spans="1:15">
      <c r="A12" s="1">
        <v>9</v>
      </c>
      <c r="B12" s="1" t="s">
        <v>1458</v>
      </c>
      <c r="C12" s="5">
        <v>46087</v>
      </c>
      <c r="D12" s="1" t="s">
        <v>44</v>
      </c>
      <c r="E12" s="6" t="s">
        <v>1446</v>
      </c>
      <c r="F12" s="6" t="s">
        <v>27</v>
      </c>
      <c r="G12" s="1" t="s">
        <v>31</v>
      </c>
      <c r="H12" s="1" t="s">
        <v>36</v>
      </c>
      <c r="I12" s="1" t="s">
        <v>161</v>
      </c>
      <c r="J12" s="1" t="s">
        <v>4</v>
      </c>
      <c r="K12" s="1" t="s">
        <v>91</v>
      </c>
      <c r="L12" s="5">
        <v>46108</v>
      </c>
      <c r="M12" s="1" t="s">
        <v>224</v>
      </c>
    </row>
    <row r="13" spans="1:15">
      <c r="A13" s="1">
        <v>10</v>
      </c>
      <c r="B13" s="1" t="s">
        <v>1459</v>
      </c>
      <c r="C13" s="5">
        <v>46109</v>
      </c>
      <c r="D13" s="1" t="s">
        <v>44</v>
      </c>
      <c r="E13" s="6" t="s">
        <v>1329</v>
      </c>
      <c r="F13" s="6" t="s">
        <v>39</v>
      </c>
      <c r="G13" s="1" t="s">
        <v>6</v>
      </c>
      <c r="H13" s="1" t="s">
        <v>41</v>
      </c>
      <c r="I13" s="1" t="s">
        <v>142</v>
      </c>
      <c r="J13" s="1" t="s">
        <v>12</v>
      </c>
      <c r="K13" s="1" t="s">
        <v>91</v>
      </c>
      <c r="L13" s="5">
        <v>46138</v>
      </c>
      <c r="M13" s="1" t="s">
        <v>220</v>
      </c>
    </row>
    <row r="14" spans="1:15">
      <c r="A14" s="1">
        <v>11</v>
      </c>
      <c r="B14" s="1" t="s">
        <v>1460</v>
      </c>
      <c r="C14" s="5">
        <v>46097</v>
      </c>
      <c r="D14" s="1" t="s">
        <v>44</v>
      </c>
      <c r="E14" s="6" t="s">
        <v>1450</v>
      </c>
      <c r="F14" s="6" t="s">
        <v>58</v>
      </c>
      <c r="G14" s="1" t="s">
        <v>40</v>
      </c>
      <c r="H14" s="1" t="s">
        <v>62</v>
      </c>
      <c r="I14" s="1" t="s">
        <v>161</v>
      </c>
      <c r="J14" s="1" t="s">
        <v>26</v>
      </c>
      <c r="K14" s="1" t="s">
        <v>20</v>
      </c>
      <c r="L14" s="5">
        <v>46107</v>
      </c>
      <c r="M14" s="1" t="s">
        <v>220</v>
      </c>
    </row>
    <row r="15" spans="1:15">
      <c r="A15" s="1">
        <v>12</v>
      </c>
      <c r="B15" s="1" t="s">
        <v>1461</v>
      </c>
      <c r="C15" s="5">
        <v>46117</v>
      </c>
      <c r="D15" s="1" t="s">
        <v>53</v>
      </c>
      <c r="E15" s="6" t="s">
        <v>1462</v>
      </c>
      <c r="F15" s="6" t="s">
        <v>46</v>
      </c>
      <c r="G15" s="1" t="s">
        <v>14</v>
      </c>
      <c r="H15" s="1" t="s">
        <v>78</v>
      </c>
      <c r="I15" s="1" t="s">
        <v>142</v>
      </c>
      <c r="J15" s="1" t="s">
        <v>16</v>
      </c>
      <c r="K15" s="1" t="s">
        <v>12</v>
      </c>
      <c r="L15" s="5">
        <v>46127</v>
      </c>
      <c r="M15" s="1" t="s">
        <v>220</v>
      </c>
    </row>
    <row r="16" spans="1:15">
      <c r="A16" s="1">
        <v>13</v>
      </c>
      <c r="B16" s="1" t="s">
        <v>1463</v>
      </c>
      <c r="C16" s="5">
        <v>46132</v>
      </c>
      <c r="D16" s="1" t="s">
        <v>53</v>
      </c>
      <c r="E16" s="6" t="s">
        <v>1464</v>
      </c>
      <c r="F16" s="6" t="s">
        <v>46</v>
      </c>
      <c r="G16" s="1" t="s">
        <v>95</v>
      </c>
      <c r="H16" s="1" t="s">
        <v>15</v>
      </c>
      <c r="I16" s="1" t="s">
        <v>157</v>
      </c>
      <c r="J16" s="1" t="s">
        <v>4</v>
      </c>
      <c r="K16" s="1" t="s">
        <v>16</v>
      </c>
      <c r="L16" s="5">
        <v>46145</v>
      </c>
      <c r="M16" s="1" t="s">
        <v>220</v>
      </c>
    </row>
    <row r="17" spans="1:13">
      <c r="A17" s="1">
        <v>14</v>
      </c>
      <c r="B17" s="1" t="s">
        <v>1465</v>
      </c>
      <c r="C17" s="5">
        <v>46115</v>
      </c>
      <c r="D17" s="1" t="s">
        <v>53</v>
      </c>
      <c r="E17" s="6" t="s">
        <v>1466</v>
      </c>
      <c r="F17" s="6" t="s">
        <v>50</v>
      </c>
      <c r="G17" s="1" t="s">
        <v>82</v>
      </c>
      <c r="H17" s="1" t="s">
        <v>15</v>
      </c>
      <c r="I17" s="1" t="s">
        <v>142</v>
      </c>
      <c r="J17" s="1" t="s">
        <v>57</v>
      </c>
      <c r="K17" s="1" t="s">
        <v>26</v>
      </c>
      <c r="L17" s="5">
        <v>46131</v>
      </c>
      <c r="M17" s="1" t="s">
        <v>224</v>
      </c>
    </row>
    <row r="18" spans="1:13">
      <c r="A18" s="1">
        <v>15</v>
      </c>
      <c r="B18" s="1" t="s">
        <v>1467</v>
      </c>
      <c r="C18" s="5">
        <v>46161</v>
      </c>
      <c r="D18" s="1" t="s">
        <v>60</v>
      </c>
      <c r="E18" s="6" t="s">
        <v>1466</v>
      </c>
      <c r="F18" s="6" t="s">
        <v>50</v>
      </c>
      <c r="G18" s="1" t="s">
        <v>51</v>
      </c>
      <c r="H18" s="1" t="s">
        <v>7</v>
      </c>
      <c r="I18" s="1" t="s">
        <v>142</v>
      </c>
      <c r="J18" s="1" t="s">
        <v>49</v>
      </c>
      <c r="K18" s="1" t="s">
        <v>38</v>
      </c>
      <c r="L18" s="5">
        <v>46188</v>
      </c>
      <c r="M18" s="1" t="s">
        <v>224</v>
      </c>
    </row>
    <row r="19" spans="1:13">
      <c r="A19" s="1">
        <v>16</v>
      </c>
      <c r="B19" s="1" t="s">
        <v>1468</v>
      </c>
      <c r="C19" s="5">
        <v>46158</v>
      </c>
      <c r="D19" s="1" t="s">
        <v>60</v>
      </c>
      <c r="E19" s="6" t="s">
        <v>1464</v>
      </c>
      <c r="F19" s="6" t="s">
        <v>89</v>
      </c>
      <c r="G19" s="1" t="s">
        <v>80</v>
      </c>
      <c r="H19" s="1" t="s">
        <v>93</v>
      </c>
      <c r="I19" s="1" t="s">
        <v>161</v>
      </c>
      <c r="J19" s="1" t="s">
        <v>91</v>
      </c>
      <c r="K19" s="1" t="s">
        <v>64</v>
      </c>
      <c r="L19" s="5">
        <v>46188</v>
      </c>
      <c r="M19" s="1" t="s">
        <v>220</v>
      </c>
    </row>
    <row r="20" spans="1:13">
      <c r="A20" s="1">
        <v>17</v>
      </c>
      <c r="B20" s="1" t="s">
        <v>1469</v>
      </c>
      <c r="C20" s="5">
        <v>46145</v>
      </c>
      <c r="D20" s="1" t="s">
        <v>60</v>
      </c>
      <c r="E20" s="6" t="s">
        <v>1450</v>
      </c>
      <c r="F20" s="6" t="s">
        <v>50</v>
      </c>
      <c r="G20" s="1" t="s">
        <v>95</v>
      </c>
      <c r="H20" s="1" t="s">
        <v>93</v>
      </c>
      <c r="I20" s="1" t="s">
        <v>151</v>
      </c>
      <c r="J20" s="1" t="s">
        <v>54</v>
      </c>
      <c r="K20" s="1" t="s">
        <v>49</v>
      </c>
      <c r="L20" s="5">
        <v>46166</v>
      </c>
      <c r="M20" s="1" t="s">
        <v>220</v>
      </c>
    </row>
    <row r="21" spans="1:13">
      <c r="A21" s="1">
        <v>18</v>
      </c>
      <c r="B21" s="1" t="s">
        <v>1470</v>
      </c>
      <c r="C21" s="5">
        <v>46156</v>
      </c>
      <c r="D21" s="1" t="s">
        <v>60</v>
      </c>
      <c r="E21" s="6" t="s">
        <v>1452</v>
      </c>
      <c r="F21" s="6" t="s">
        <v>13</v>
      </c>
      <c r="G21" s="1" t="s">
        <v>51</v>
      </c>
      <c r="H21" s="1" t="s">
        <v>41</v>
      </c>
      <c r="I21" s="1" t="s">
        <v>151</v>
      </c>
      <c r="J21" s="1" t="s">
        <v>4</v>
      </c>
      <c r="K21" s="1" t="s">
        <v>26</v>
      </c>
      <c r="L21" s="5">
        <v>46180</v>
      </c>
      <c r="M21" s="1" t="s">
        <v>302</v>
      </c>
    </row>
    <row r="22" spans="1:13">
      <c r="A22" s="1">
        <v>19</v>
      </c>
      <c r="B22" s="1" t="s">
        <v>1471</v>
      </c>
      <c r="C22" s="5">
        <v>46163</v>
      </c>
      <c r="D22" s="1" t="s">
        <v>60</v>
      </c>
      <c r="E22" s="6" t="s">
        <v>1446</v>
      </c>
      <c r="F22" s="6" t="s">
        <v>92</v>
      </c>
      <c r="G22" s="1" t="s">
        <v>14</v>
      </c>
      <c r="H22" s="1" t="s">
        <v>70</v>
      </c>
      <c r="I22" s="1" t="s">
        <v>157</v>
      </c>
      <c r="J22" s="1" t="s">
        <v>16</v>
      </c>
      <c r="K22" s="1" t="s">
        <v>4</v>
      </c>
      <c r="L22" s="5">
        <v>46200</v>
      </c>
      <c r="M22" s="1" t="s">
        <v>220</v>
      </c>
    </row>
    <row r="23" spans="1:13">
      <c r="A23" s="1">
        <v>20</v>
      </c>
      <c r="B23" s="1" t="s">
        <v>1472</v>
      </c>
      <c r="C23" s="5">
        <v>46197</v>
      </c>
      <c r="D23" s="1" t="s">
        <v>73</v>
      </c>
      <c r="E23" s="6" t="s">
        <v>1466</v>
      </c>
      <c r="F23" s="6" t="s">
        <v>89</v>
      </c>
      <c r="G23" s="1" t="s">
        <v>77</v>
      </c>
      <c r="H23" s="1" t="s">
        <v>62</v>
      </c>
      <c r="I23" s="1" t="s">
        <v>142</v>
      </c>
      <c r="J23" s="1" t="s">
        <v>91</v>
      </c>
      <c r="K23" s="1" t="s">
        <v>64</v>
      </c>
      <c r="L23" s="5">
        <v>46219</v>
      </c>
      <c r="M23" s="1" t="s">
        <v>220</v>
      </c>
    </row>
    <row r="24" spans="1:13">
      <c r="A24" s="1">
        <v>21</v>
      </c>
      <c r="B24" s="1" t="s">
        <v>1473</v>
      </c>
      <c r="C24" s="5">
        <v>46193</v>
      </c>
      <c r="D24" s="1" t="s">
        <v>73</v>
      </c>
      <c r="E24" s="6" t="s">
        <v>1448</v>
      </c>
      <c r="F24" s="6" t="s">
        <v>65</v>
      </c>
      <c r="G24" s="1" t="s">
        <v>40</v>
      </c>
      <c r="H24" s="1" t="s">
        <v>41</v>
      </c>
      <c r="I24" s="1" t="s">
        <v>161</v>
      </c>
      <c r="J24" s="1" t="s">
        <v>64</v>
      </c>
      <c r="K24" s="1" t="s">
        <v>64</v>
      </c>
      <c r="L24" s="5">
        <v>46221</v>
      </c>
      <c r="M24" s="1" t="s">
        <v>224</v>
      </c>
    </row>
    <row r="25" spans="1:13">
      <c r="A25" s="1">
        <v>22</v>
      </c>
      <c r="B25" s="1" t="s">
        <v>1474</v>
      </c>
      <c r="C25" s="5">
        <v>46180</v>
      </c>
      <c r="D25" s="1" t="s">
        <v>73</v>
      </c>
      <c r="E25" s="6" t="s">
        <v>1450</v>
      </c>
      <c r="F25" s="6" t="s">
        <v>92</v>
      </c>
      <c r="G25" s="1" t="s">
        <v>95</v>
      </c>
      <c r="H25" s="1" t="s">
        <v>93</v>
      </c>
      <c r="I25" s="1" t="s">
        <v>157</v>
      </c>
      <c r="J25" s="1" t="s">
        <v>45</v>
      </c>
      <c r="K25" s="1" t="s">
        <v>4</v>
      </c>
      <c r="L25" s="5">
        <v>46224</v>
      </c>
      <c r="M25" s="1" t="s">
        <v>224</v>
      </c>
    </row>
    <row r="26" spans="1:13">
      <c r="A26" s="1">
        <v>23</v>
      </c>
      <c r="B26" s="1" t="s">
        <v>1475</v>
      </c>
      <c r="C26" s="5">
        <v>46224</v>
      </c>
      <c r="D26" s="1" t="s">
        <v>76</v>
      </c>
      <c r="E26" s="6" t="s">
        <v>1462</v>
      </c>
      <c r="F26" s="6" t="s">
        <v>65</v>
      </c>
      <c r="G26" s="1" t="s">
        <v>51</v>
      </c>
      <c r="H26" s="1" t="s">
        <v>62</v>
      </c>
      <c r="I26" s="1" t="s">
        <v>161</v>
      </c>
      <c r="J26" s="1" t="s">
        <v>16</v>
      </c>
      <c r="K26" s="1" t="s">
        <v>4</v>
      </c>
      <c r="L26" s="5">
        <v>46256</v>
      </c>
      <c r="M26" s="1" t="s">
        <v>302</v>
      </c>
    </row>
    <row r="27" spans="1:13">
      <c r="A27" s="1">
        <v>24</v>
      </c>
      <c r="B27" s="1" t="s">
        <v>1476</v>
      </c>
      <c r="C27" s="5">
        <v>46230</v>
      </c>
      <c r="D27" s="1" t="s">
        <v>76</v>
      </c>
      <c r="E27" s="6" t="s">
        <v>1477</v>
      </c>
      <c r="F27" s="6" t="s">
        <v>58</v>
      </c>
      <c r="G27" s="1" t="s">
        <v>6</v>
      </c>
      <c r="H27" s="1" t="s">
        <v>15</v>
      </c>
      <c r="I27" s="1" t="s">
        <v>142</v>
      </c>
      <c r="J27" s="1" t="s">
        <v>30</v>
      </c>
      <c r="K27" s="1" t="s">
        <v>61</v>
      </c>
      <c r="L27" s="5">
        <v>46258</v>
      </c>
      <c r="M27" s="1" t="s">
        <v>302</v>
      </c>
    </row>
    <row r="28" spans="1:13">
      <c r="A28" s="1">
        <v>25</v>
      </c>
      <c r="B28" s="1" t="s">
        <v>1478</v>
      </c>
      <c r="C28" s="5">
        <v>46216</v>
      </c>
      <c r="D28" s="1" t="s">
        <v>76</v>
      </c>
      <c r="E28" s="6" t="s">
        <v>1466</v>
      </c>
      <c r="F28" s="6" t="s">
        <v>65</v>
      </c>
      <c r="G28" s="1" t="s">
        <v>14</v>
      </c>
      <c r="H28" s="1" t="s">
        <v>15</v>
      </c>
      <c r="I28" s="1" t="s">
        <v>161</v>
      </c>
      <c r="J28" s="1" t="s">
        <v>26</v>
      </c>
      <c r="K28" s="1" t="s">
        <v>26</v>
      </c>
      <c r="L28" s="5">
        <v>46256</v>
      </c>
      <c r="M28" s="1" t="s">
        <v>302</v>
      </c>
    </row>
    <row r="29" spans="1:13">
      <c r="A29" s="1">
        <v>26</v>
      </c>
      <c r="B29" s="1" t="s">
        <v>1479</v>
      </c>
      <c r="C29" s="5">
        <v>46231</v>
      </c>
      <c r="D29" s="1" t="s">
        <v>76</v>
      </c>
      <c r="E29" s="6" t="s">
        <v>1446</v>
      </c>
      <c r="F29" s="6" t="s">
        <v>13</v>
      </c>
      <c r="G29" s="1" t="s">
        <v>35</v>
      </c>
      <c r="H29" s="1" t="s">
        <v>7</v>
      </c>
      <c r="I29" s="1" t="s">
        <v>151</v>
      </c>
      <c r="J29" s="1" t="s">
        <v>26</v>
      </c>
      <c r="K29" s="1" t="s">
        <v>16</v>
      </c>
      <c r="L29" s="5">
        <v>46255</v>
      </c>
      <c r="M29" s="1" t="s">
        <v>224</v>
      </c>
    </row>
    <row r="30" spans="1:13">
      <c r="A30" s="1">
        <v>27</v>
      </c>
      <c r="B30" s="1" t="s">
        <v>1480</v>
      </c>
      <c r="C30" s="5">
        <v>46228</v>
      </c>
      <c r="D30" s="1" t="s">
        <v>76</v>
      </c>
      <c r="E30" s="6" t="s">
        <v>1448</v>
      </c>
      <c r="F30" s="6" t="s">
        <v>46</v>
      </c>
      <c r="G30" s="1" t="s">
        <v>6</v>
      </c>
      <c r="H30" s="1" t="s">
        <v>36</v>
      </c>
      <c r="I30" s="1" t="s">
        <v>142</v>
      </c>
      <c r="J30" s="1" t="s">
        <v>26</v>
      </c>
      <c r="K30" s="1" t="s">
        <v>61</v>
      </c>
      <c r="L30" s="5">
        <v>46261</v>
      </c>
      <c r="M30" s="1" t="s">
        <v>224</v>
      </c>
    </row>
    <row r="31" spans="1:13">
      <c r="A31" s="1">
        <v>28</v>
      </c>
      <c r="B31" s="1" t="s">
        <v>1481</v>
      </c>
      <c r="C31" s="5">
        <v>46227</v>
      </c>
      <c r="D31" s="1" t="s">
        <v>76</v>
      </c>
      <c r="E31" s="6" t="s">
        <v>1466</v>
      </c>
      <c r="F31" s="6" t="s">
        <v>46</v>
      </c>
      <c r="G31" s="1" t="s">
        <v>35</v>
      </c>
      <c r="H31" s="1" t="s">
        <v>7</v>
      </c>
      <c r="I31" s="1" t="s">
        <v>151</v>
      </c>
      <c r="J31" s="1" t="s">
        <v>16</v>
      </c>
      <c r="K31" s="1" t="s">
        <v>4</v>
      </c>
      <c r="L31" s="5">
        <v>46258</v>
      </c>
      <c r="M31" s="1" t="s">
        <v>302</v>
      </c>
    </row>
    <row r="32" spans="1:13">
      <c r="A32" s="1">
        <v>29</v>
      </c>
      <c r="B32" s="1" t="s">
        <v>1482</v>
      </c>
      <c r="C32" s="5">
        <v>46221</v>
      </c>
      <c r="D32" s="1" t="s">
        <v>76</v>
      </c>
      <c r="E32" s="6" t="s">
        <v>1477</v>
      </c>
      <c r="F32" s="6" t="s">
        <v>92</v>
      </c>
      <c r="G32" s="1" t="s">
        <v>80</v>
      </c>
      <c r="H32" s="1" t="s">
        <v>32</v>
      </c>
      <c r="I32" s="1" t="s">
        <v>161</v>
      </c>
      <c r="J32" s="1" t="s">
        <v>12</v>
      </c>
      <c r="K32" s="1" t="s">
        <v>64</v>
      </c>
      <c r="L32" s="5">
        <v>46249</v>
      </c>
      <c r="M32" s="1" t="s">
        <v>224</v>
      </c>
    </row>
    <row r="33" spans="1:13">
      <c r="A33" s="1">
        <v>30</v>
      </c>
      <c r="B33" s="1" t="s">
        <v>1483</v>
      </c>
      <c r="C33" s="5">
        <v>46257</v>
      </c>
      <c r="D33" s="1" t="s">
        <v>86</v>
      </c>
      <c r="E33" s="6" t="s">
        <v>1446</v>
      </c>
      <c r="F33" s="6" t="s">
        <v>50</v>
      </c>
      <c r="G33" s="1" t="s">
        <v>87</v>
      </c>
      <c r="H33" s="1" t="s">
        <v>22</v>
      </c>
      <c r="I33" s="1" t="s">
        <v>142</v>
      </c>
      <c r="J33" s="1" t="s">
        <v>26</v>
      </c>
      <c r="K33" s="1" t="s">
        <v>91</v>
      </c>
      <c r="L33" s="5">
        <v>46297</v>
      </c>
      <c r="M33" s="1" t="s">
        <v>220</v>
      </c>
    </row>
    <row r="34" spans="1:13">
      <c r="A34" s="1">
        <v>31</v>
      </c>
      <c r="B34" s="1" t="s">
        <v>1484</v>
      </c>
      <c r="C34" s="5">
        <v>46252</v>
      </c>
      <c r="D34" s="1" t="s">
        <v>86</v>
      </c>
      <c r="E34" s="6" t="s">
        <v>1448</v>
      </c>
      <c r="F34" s="6" t="s">
        <v>89</v>
      </c>
      <c r="G34" s="1" t="s">
        <v>80</v>
      </c>
      <c r="H34" s="1" t="s">
        <v>93</v>
      </c>
      <c r="I34" s="1" t="s">
        <v>161</v>
      </c>
      <c r="J34" s="1" t="s">
        <v>12</v>
      </c>
      <c r="K34" s="1" t="s">
        <v>12</v>
      </c>
      <c r="L34" s="5">
        <v>46294</v>
      </c>
      <c r="M34" s="1" t="s">
        <v>220</v>
      </c>
    </row>
    <row r="35" spans="1:13">
      <c r="A35" s="1">
        <v>32</v>
      </c>
      <c r="B35" s="1" t="s">
        <v>1485</v>
      </c>
      <c r="C35" s="5">
        <v>46240</v>
      </c>
      <c r="D35" s="1" t="s">
        <v>86</v>
      </c>
      <c r="E35" s="6" t="s">
        <v>1462</v>
      </c>
      <c r="F35" s="6" t="s">
        <v>50</v>
      </c>
      <c r="G35" s="1" t="s">
        <v>21</v>
      </c>
      <c r="H35" s="1" t="s">
        <v>78</v>
      </c>
      <c r="I35" s="1" t="s">
        <v>142</v>
      </c>
      <c r="J35" s="1" t="s">
        <v>38</v>
      </c>
      <c r="K35" s="1" t="s">
        <v>20</v>
      </c>
      <c r="L35" s="5">
        <v>46277</v>
      </c>
      <c r="M35" s="1" t="s">
        <v>220</v>
      </c>
    </row>
    <row r="36" spans="1:13">
      <c r="A36" s="1">
        <v>33</v>
      </c>
      <c r="B36" s="1" t="s">
        <v>1486</v>
      </c>
      <c r="C36" s="5">
        <v>46247</v>
      </c>
      <c r="D36" s="1" t="s">
        <v>86</v>
      </c>
      <c r="E36" s="6" t="s">
        <v>1462</v>
      </c>
      <c r="F36" s="6" t="s">
        <v>46</v>
      </c>
      <c r="G36" s="1" t="s">
        <v>35</v>
      </c>
      <c r="H36" s="1" t="s">
        <v>93</v>
      </c>
      <c r="I36" s="1" t="s">
        <v>161</v>
      </c>
      <c r="J36" s="1" t="s">
        <v>16</v>
      </c>
      <c r="K36" s="1" t="s">
        <v>20</v>
      </c>
      <c r="L36" s="5">
        <v>46268</v>
      </c>
      <c r="M36" s="1" t="s">
        <v>220</v>
      </c>
    </row>
    <row r="37" spans="1:13">
      <c r="A37" s="1">
        <v>34</v>
      </c>
      <c r="B37" s="1" t="s">
        <v>1487</v>
      </c>
      <c r="C37" s="5">
        <v>46260</v>
      </c>
      <c r="D37" s="1" t="s">
        <v>86</v>
      </c>
      <c r="E37" s="6" t="s">
        <v>1462</v>
      </c>
      <c r="F37" s="6" t="s">
        <v>5</v>
      </c>
      <c r="G37" s="1" t="s">
        <v>35</v>
      </c>
      <c r="H37" s="1" t="s">
        <v>36</v>
      </c>
      <c r="I37" s="1" t="s">
        <v>151</v>
      </c>
      <c r="J37" s="1" t="s">
        <v>30</v>
      </c>
      <c r="K37" s="1" t="s">
        <v>26</v>
      </c>
      <c r="L37" s="5">
        <v>46295</v>
      </c>
      <c r="M37" s="1" t="s">
        <v>302</v>
      </c>
    </row>
    <row r="38" spans="1:13">
      <c r="A38" s="1">
        <v>35</v>
      </c>
      <c r="B38" s="1" t="s">
        <v>1488</v>
      </c>
      <c r="C38" s="5">
        <v>46261</v>
      </c>
      <c r="D38" s="1" t="s">
        <v>86</v>
      </c>
      <c r="E38" s="6" t="s">
        <v>1462</v>
      </c>
      <c r="F38" s="6" t="s">
        <v>50</v>
      </c>
      <c r="G38" s="1" t="s">
        <v>95</v>
      </c>
      <c r="H38" s="1" t="s">
        <v>22</v>
      </c>
      <c r="I38" s="1" t="s">
        <v>157</v>
      </c>
      <c r="J38" s="1" t="s">
        <v>49</v>
      </c>
      <c r="K38" s="1" t="s">
        <v>4</v>
      </c>
      <c r="L38" s="5">
        <v>46285</v>
      </c>
      <c r="M38" s="1" t="s">
        <v>220</v>
      </c>
    </row>
    <row r="39" spans="1:13">
      <c r="A39" s="1">
        <v>36</v>
      </c>
      <c r="B39" s="1" t="s">
        <v>1489</v>
      </c>
      <c r="C39" s="5">
        <v>46253</v>
      </c>
      <c r="D39" s="1" t="s">
        <v>86</v>
      </c>
      <c r="E39" s="6" t="s">
        <v>1452</v>
      </c>
      <c r="F39" s="6" t="s">
        <v>50</v>
      </c>
      <c r="G39" s="1" t="s">
        <v>87</v>
      </c>
      <c r="H39" s="1" t="s">
        <v>22</v>
      </c>
      <c r="I39" s="1" t="s">
        <v>157</v>
      </c>
      <c r="J39" s="1" t="s">
        <v>4</v>
      </c>
      <c r="K39" s="1" t="s">
        <v>30</v>
      </c>
      <c r="L39" s="5">
        <v>46271</v>
      </c>
      <c r="M39" s="1" t="s">
        <v>220</v>
      </c>
    </row>
    <row r="40" spans="1:13">
      <c r="A40" s="1">
        <v>37</v>
      </c>
      <c r="B40" s="1" t="s">
        <v>1490</v>
      </c>
      <c r="C40" s="5">
        <v>46291</v>
      </c>
      <c r="D40" s="1" t="s">
        <v>102</v>
      </c>
      <c r="E40" s="6" t="s">
        <v>1466</v>
      </c>
      <c r="F40" s="6" t="s">
        <v>65</v>
      </c>
      <c r="G40" s="1" t="s">
        <v>95</v>
      </c>
      <c r="H40" s="1" t="s">
        <v>93</v>
      </c>
      <c r="I40" s="1" t="s">
        <v>142</v>
      </c>
      <c r="J40" s="1" t="s">
        <v>54</v>
      </c>
      <c r="K40" s="1" t="s">
        <v>54</v>
      </c>
      <c r="L40" s="5">
        <v>46334</v>
      </c>
      <c r="M40" s="1" t="s">
        <v>224</v>
      </c>
    </row>
    <row r="41" spans="1:13">
      <c r="A41" s="1">
        <v>38</v>
      </c>
      <c r="B41" s="1" t="s">
        <v>1491</v>
      </c>
      <c r="C41" s="5">
        <v>46273</v>
      </c>
      <c r="D41" s="1" t="s">
        <v>102</v>
      </c>
      <c r="E41" s="6" t="s">
        <v>1466</v>
      </c>
      <c r="F41" s="6" t="s">
        <v>50</v>
      </c>
      <c r="G41" s="1" t="s">
        <v>77</v>
      </c>
      <c r="H41" s="1" t="s">
        <v>28</v>
      </c>
      <c r="I41" s="1" t="s">
        <v>142</v>
      </c>
      <c r="J41" s="1" t="s">
        <v>4</v>
      </c>
      <c r="K41" s="1" t="s">
        <v>38</v>
      </c>
      <c r="L41" s="5">
        <v>46318</v>
      </c>
      <c r="M41" s="1" t="s">
        <v>220</v>
      </c>
    </row>
    <row r="42" spans="1:13">
      <c r="A42" s="1">
        <v>39</v>
      </c>
      <c r="B42" s="1" t="s">
        <v>1492</v>
      </c>
      <c r="C42" s="5">
        <v>46290</v>
      </c>
      <c r="D42" s="1" t="s">
        <v>102</v>
      </c>
      <c r="E42" s="6" t="s">
        <v>1477</v>
      </c>
      <c r="F42" s="6" t="s">
        <v>5</v>
      </c>
      <c r="G42" s="1" t="s">
        <v>51</v>
      </c>
      <c r="H42" s="1" t="s">
        <v>28</v>
      </c>
      <c r="I42" s="1" t="s">
        <v>142</v>
      </c>
      <c r="J42" s="1" t="s">
        <v>38</v>
      </c>
      <c r="K42" s="1" t="s">
        <v>49</v>
      </c>
      <c r="L42" s="5">
        <v>46313</v>
      </c>
      <c r="M42" s="1" t="s">
        <v>302</v>
      </c>
    </row>
    <row r="43" spans="1:13">
      <c r="A43" s="1">
        <v>40</v>
      </c>
      <c r="B43" s="1" t="s">
        <v>1493</v>
      </c>
      <c r="C43" s="5">
        <v>46301</v>
      </c>
      <c r="D43" s="1" t="s">
        <v>106</v>
      </c>
      <c r="E43" s="6" t="s">
        <v>1452</v>
      </c>
      <c r="F43" s="6" t="s">
        <v>5</v>
      </c>
      <c r="G43" s="1" t="s">
        <v>40</v>
      </c>
      <c r="H43" s="1" t="s">
        <v>41</v>
      </c>
      <c r="I43" s="1" t="s">
        <v>161</v>
      </c>
      <c r="J43" s="1" t="s">
        <v>38</v>
      </c>
      <c r="K43" s="1" t="s">
        <v>38</v>
      </c>
      <c r="L43" s="5">
        <v>46331</v>
      </c>
      <c r="M43" s="1" t="s">
        <v>302</v>
      </c>
    </row>
    <row r="44" spans="1:13">
      <c r="A44" s="1">
        <v>41</v>
      </c>
      <c r="B44" s="1" t="s">
        <v>1494</v>
      </c>
      <c r="C44" s="5">
        <v>46300</v>
      </c>
      <c r="D44" s="1" t="s">
        <v>106</v>
      </c>
      <c r="E44" s="6" t="s">
        <v>1462</v>
      </c>
      <c r="F44" s="6" t="s">
        <v>5</v>
      </c>
      <c r="G44" s="1" t="s">
        <v>51</v>
      </c>
      <c r="H44" s="1" t="s">
        <v>70</v>
      </c>
      <c r="I44" s="1" t="s">
        <v>161</v>
      </c>
      <c r="J44" s="1" t="s">
        <v>91</v>
      </c>
      <c r="K44" s="1" t="s">
        <v>91</v>
      </c>
      <c r="L44" s="5">
        <v>46328</v>
      </c>
      <c r="M44" s="1" t="s">
        <v>326</v>
      </c>
    </row>
    <row r="45" spans="1:13">
      <c r="A45" s="1">
        <v>42</v>
      </c>
      <c r="B45" s="1" t="s">
        <v>1495</v>
      </c>
      <c r="C45" s="5">
        <v>46297</v>
      </c>
      <c r="D45" s="1" t="s">
        <v>106</v>
      </c>
      <c r="E45" s="6" t="s">
        <v>1466</v>
      </c>
      <c r="F45" s="6" t="s">
        <v>27</v>
      </c>
      <c r="G45" s="1" t="s">
        <v>82</v>
      </c>
      <c r="H45" s="1" t="s">
        <v>93</v>
      </c>
      <c r="I45" s="1" t="s">
        <v>142</v>
      </c>
      <c r="J45" s="1" t="s">
        <v>20</v>
      </c>
      <c r="K45" s="1" t="s">
        <v>26</v>
      </c>
      <c r="L45" s="5">
        <v>46309</v>
      </c>
      <c r="M45" s="1" t="s">
        <v>220</v>
      </c>
    </row>
    <row r="46" spans="1:13">
      <c r="A46" s="1">
        <v>43</v>
      </c>
      <c r="B46" s="1" t="s">
        <v>1496</v>
      </c>
      <c r="C46" s="5">
        <v>46322</v>
      </c>
      <c r="D46" s="1" t="s">
        <v>106</v>
      </c>
      <c r="E46" s="6" t="s">
        <v>1448</v>
      </c>
      <c r="F46" s="6" t="s">
        <v>46</v>
      </c>
      <c r="G46" s="1" t="s">
        <v>87</v>
      </c>
      <c r="H46" s="1" t="s">
        <v>15</v>
      </c>
      <c r="I46" s="1" t="s">
        <v>161</v>
      </c>
      <c r="J46" s="1" t="s">
        <v>49</v>
      </c>
      <c r="K46" s="1" t="s">
        <v>45</v>
      </c>
      <c r="L46" s="5">
        <v>46358</v>
      </c>
      <c r="M46" s="1" t="s">
        <v>220</v>
      </c>
    </row>
    <row r="47" spans="1:13">
      <c r="A47" s="1">
        <v>44</v>
      </c>
      <c r="B47" s="1" t="s">
        <v>1497</v>
      </c>
      <c r="C47" s="5">
        <v>46296</v>
      </c>
      <c r="D47" s="1" t="s">
        <v>106</v>
      </c>
      <c r="E47" s="6" t="s">
        <v>1329</v>
      </c>
      <c r="F47" s="6" t="s">
        <v>46</v>
      </c>
      <c r="G47" s="1" t="s">
        <v>14</v>
      </c>
      <c r="H47" s="1" t="s">
        <v>104</v>
      </c>
      <c r="I47" s="1" t="s">
        <v>151</v>
      </c>
      <c r="J47" s="1" t="s">
        <v>57</v>
      </c>
      <c r="K47" s="1" t="s">
        <v>91</v>
      </c>
      <c r="L47" s="5">
        <v>46333</v>
      </c>
      <c r="M47" s="1" t="s">
        <v>224</v>
      </c>
    </row>
    <row r="48" spans="1:13">
      <c r="A48" s="1">
        <v>45</v>
      </c>
      <c r="B48" s="1" t="s">
        <v>1498</v>
      </c>
      <c r="C48" s="5">
        <v>46311</v>
      </c>
      <c r="D48" s="1" t="s">
        <v>106</v>
      </c>
      <c r="E48" s="6" t="s">
        <v>1450</v>
      </c>
      <c r="F48" s="6" t="s">
        <v>46</v>
      </c>
      <c r="G48" s="1" t="s">
        <v>95</v>
      </c>
      <c r="H48" s="1" t="s">
        <v>36</v>
      </c>
      <c r="I48" s="1" t="s">
        <v>151</v>
      </c>
      <c r="J48" s="1" t="s">
        <v>49</v>
      </c>
      <c r="K48" s="1" t="s">
        <v>30</v>
      </c>
      <c r="L48" s="5">
        <v>46333</v>
      </c>
      <c r="M48" s="1" t="s">
        <v>302</v>
      </c>
    </row>
    <row r="49" spans="1:13">
      <c r="A49" s="1">
        <v>46</v>
      </c>
      <c r="B49" s="1" t="s">
        <v>1499</v>
      </c>
      <c r="C49" s="5">
        <v>46329</v>
      </c>
      <c r="D49" s="1" t="s">
        <v>111</v>
      </c>
      <c r="E49" s="6" t="s">
        <v>1450</v>
      </c>
      <c r="F49" s="6" t="s">
        <v>65</v>
      </c>
      <c r="G49" s="1" t="s">
        <v>31</v>
      </c>
      <c r="H49" s="1" t="s">
        <v>68</v>
      </c>
      <c r="I49" s="1" t="s">
        <v>157</v>
      </c>
      <c r="J49" s="1" t="s">
        <v>30</v>
      </c>
      <c r="K49" s="1" t="s">
        <v>54</v>
      </c>
      <c r="L49" s="5">
        <v>46363</v>
      </c>
      <c r="M49" s="1" t="s">
        <v>326</v>
      </c>
    </row>
    <row r="50" spans="1:13">
      <c r="A50" s="1">
        <v>47</v>
      </c>
      <c r="B50" s="1" t="s">
        <v>1500</v>
      </c>
      <c r="C50" s="5">
        <v>46361</v>
      </c>
      <c r="D50" s="1" t="s">
        <v>122</v>
      </c>
      <c r="E50" s="6" t="s">
        <v>1462</v>
      </c>
      <c r="F50" s="6" t="s">
        <v>65</v>
      </c>
      <c r="G50" s="1" t="s">
        <v>14</v>
      </c>
      <c r="H50" s="1" t="s">
        <v>32</v>
      </c>
      <c r="I50" s="1" t="s">
        <v>142</v>
      </c>
      <c r="J50" s="1" t="s">
        <v>30</v>
      </c>
      <c r="K50" s="1" t="s">
        <v>12</v>
      </c>
      <c r="L50" s="5">
        <v>46406</v>
      </c>
      <c r="M50" s="1" t="s">
        <v>220</v>
      </c>
    </row>
    <row r="51" spans="1:13">
      <c r="A51" s="1">
        <v>48</v>
      </c>
      <c r="B51" s="1" t="s">
        <v>1501</v>
      </c>
      <c r="C51" s="5">
        <v>46378</v>
      </c>
      <c r="D51" s="1" t="s">
        <v>122</v>
      </c>
      <c r="E51" s="6" t="s">
        <v>1464</v>
      </c>
      <c r="F51" s="6" t="s">
        <v>39</v>
      </c>
      <c r="G51" s="1" t="s">
        <v>21</v>
      </c>
      <c r="H51" s="1" t="s">
        <v>93</v>
      </c>
      <c r="I51" s="1" t="s">
        <v>142</v>
      </c>
      <c r="J51" s="1" t="s">
        <v>91</v>
      </c>
      <c r="K51" s="1" t="s">
        <v>64</v>
      </c>
      <c r="L51" s="5">
        <v>46384</v>
      </c>
      <c r="M51" s="1" t="s">
        <v>220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1502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1589</v>
      </c>
      <c r="C3" s="1" t="s">
        <v>126</v>
      </c>
      <c r="D3" s="1" t="s">
        <v>127</v>
      </c>
      <c r="E3" s="1" t="s">
        <v>1590</v>
      </c>
      <c r="F3" s="1" t="s">
        <v>1591</v>
      </c>
      <c r="G3" s="1" t="s">
        <v>1592</v>
      </c>
      <c r="H3" s="1" t="s">
        <v>129</v>
      </c>
      <c r="I3" s="1" t="s">
        <v>1593</v>
      </c>
      <c r="J3" s="1" t="s">
        <v>1594</v>
      </c>
      <c r="K3" s="1" t="s">
        <v>1595</v>
      </c>
      <c r="L3" s="1" t="s">
        <v>130</v>
      </c>
      <c r="M3" s="1" t="s">
        <v>1596</v>
      </c>
      <c r="N3" s="1" t="s">
        <v>1597</v>
      </c>
      <c r="O3" s="1" t="s">
        <v>1598</v>
      </c>
      <c r="P3" s="1" t="s">
        <v>1599</v>
      </c>
      <c r="Q3" s="1" t="s">
        <v>1600</v>
      </c>
      <c r="R3" s="1" t="s">
        <v>353</v>
      </c>
      <c r="S3" s="1" t="s">
        <v>1601</v>
      </c>
      <c r="T3" s="1" t="s">
        <v>1602</v>
      </c>
      <c r="U3" s="1" t="s">
        <v>1603</v>
      </c>
      <c r="V3" s="1" t="s">
        <v>1604</v>
      </c>
      <c r="W3" s="1" t="s">
        <v>414</v>
      </c>
      <c r="X3" s="1" t="s">
        <v>1605</v>
      </c>
      <c r="Y3" s="1" t="s">
        <v>1606</v>
      </c>
      <c r="Z3" s="1" t="s">
        <v>1607</v>
      </c>
      <c r="AA3" s="1" t="s">
        <v>1608</v>
      </c>
      <c r="AB3" s="1" t="s">
        <v>286</v>
      </c>
      <c r="AC3" s="2" t="s">
        <v>1609</v>
      </c>
      <c r="AD3" s="1" t="s">
        <v>1610</v>
      </c>
    </row>
    <row r="4" spans="1:32">
      <c r="A4" s="1">
        <v>1</v>
      </c>
      <c r="B4" s="1" t="s">
        <v>1503</v>
      </c>
      <c r="C4" s="5">
        <v>46027</v>
      </c>
      <c r="D4" s="1" t="s">
        <v>3</v>
      </c>
      <c r="E4" s="6" t="s">
        <v>1504</v>
      </c>
      <c r="F4" s="6" t="s">
        <v>1505</v>
      </c>
      <c r="G4" s="1" t="s">
        <v>1506</v>
      </c>
      <c r="H4" s="1" t="s">
        <v>46</v>
      </c>
      <c r="I4" s="1" t="s">
        <v>31</v>
      </c>
      <c r="J4" s="1" t="s">
        <v>1507</v>
      </c>
      <c r="K4" s="1" t="s">
        <v>47</v>
      </c>
      <c r="L4" s="1" t="s">
        <v>77</v>
      </c>
      <c r="M4" s="1" t="s">
        <v>1508</v>
      </c>
      <c r="N4" s="1" t="s">
        <v>1509</v>
      </c>
      <c r="O4" s="1" t="s">
        <v>36</v>
      </c>
      <c r="P4" s="1" t="s">
        <v>58</v>
      </c>
      <c r="Q4" s="1" t="s">
        <v>1510</v>
      </c>
      <c r="R4" s="1" t="s">
        <v>49</v>
      </c>
      <c r="S4" s="1" t="s">
        <v>1344</v>
      </c>
      <c r="T4" s="1" t="s">
        <v>297</v>
      </c>
      <c r="U4" s="1" t="s">
        <v>142</v>
      </c>
      <c r="V4" s="1">
        <v>12</v>
      </c>
      <c r="W4" s="1" t="s">
        <v>64</v>
      </c>
      <c r="X4" s="1" t="s">
        <v>4</v>
      </c>
      <c r="Y4" s="1" t="s">
        <v>104</v>
      </c>
      <c r="Z4" s="5">
        <v>46068</v>
      </c>
      <c r="AA4" s="5">
        <v>46069</v>
      </c>
      <c r="AB4" s="1" t="s">
        <v>580</v>
      </c>
      <c r="AC4" s="9">
        <f>IF(C4="","",IF(AB4="Closed",AA4-C4,TODAY()-C4))</f>
        <v>0</v>
      </c>
      <c r="AD4" s="1" t="s">
        <v>38</v>
      </c>
    </row>
    <row r="5" spans="1:32">
      <c r="A5" s="1">
        <v>2</v>
      </c>
      <c r="B5" s="1" t="s">
        <v>1511</v>
      </c>
      <c r="C5" s="5">
        <v>46069</v>
      </c>
      <c r="D5" s="1" t="s">
        <v>19</v>
      </c>
      <c r="E5" s="6" t="s">
        <v>1512</v>
      </c>
      <c r="F5" s="6" t="s">
        <v>1505</v>
      </c>
      <c r="G5" s="1" t="s">
        <v>1506</v>
      </c>
      <c r="H5" s="1" t="s">
        <v>92</v>
      </c>
      <c r="I5" s="1" t="s">
        <v>77</v>
      </c>
      <c r="J5" s="1" t="s">
        <v>1507</v>
      </c>
      <c r="K5" s="1" t="s">
        <v>47</v>
      </c>
      <c r="L5" s="1" t="s">
        <v>35</v>
      </c>
      <c r="M5" s="1" t="s">
        <v>1513</v>
      </c>
      <c r="N5" s="1" t="s">
        <v>1509</v>
      </c>
      <c r="O5" s="1" t="s">
        <v>66</v>
      </c>
      <c r="P5" s="1" t="s">
        <v>1514</v>
      </c>
      <c r="Q5" s="1" t="s">
        <v>1515</v>
      </c>
      <c r="R5" s="1" t="s">
        <v>26</v>
      </c>
      <c r="S5" s="1" t="s">
        <v>1516</v>
      </c>
      <c r="T5" s="1" t="s">
        <v>1344</v>
      </c>
      <c r="U5" s="1" t="s">
        <v>142</v>
      </c>
      <c r="V5" s="1">
        <v>21</v>
      </c>
      <c r="W5" s="1" t="s">
        <v>16</v>
      </c>
      <c r="X5" s="1" t="s">
        <v>45</v>
      </c>
      <c r="Y5" s="1" t="s">
        <v>22</v>
      </c>
      <c r="Z5" s="5">
        <v>46093</v>
      </c>
      <c r="AA5" s="5">
        <v>46106</v>
      </c>
      <c r="AB5" s="1" t="s">
        <v>580</v>
      </c>
      <c r="AC5" s="9">
        <f>IF(C5="","",IF(AB5="Closed",AA5-C5,TODAY()-C5))</f>
        <v>0</v>
      </c>
      <c r="AD5" s="1" t="s">
        <v>38</v>
      </c>
    </row>
    <row r="6" spans="1:32">
      <c r="A6" s="1">
        <v>3</v>
      </c>
      <c r="B6" s="1" t="s">
        <v>1517</v>
      </c>
      <c r="C6" s="5">
        <v>46067</v>
      </c>
      <c r="D6" s="1" t="s">
        <v>19</v>
      </c>
      <c r="E6" s="6" t="s">
        <v>1518</v>
      </c>
      <c r="F6" s="6" t="s">
        <v>1505</v>
      </c>
      <c r="G6" s="1" t="s">
        <v>1506</v>
      </c>
      <c r="H6" s="1" t="s">
        <v>65</v>
      </c>
      <c r="I6" s="1" t="s">
        <v>77</v>
      </c>
      <c r="J6" s="1" t="s">
        <v>1519</v>
      </c>
      <c r="K6" s="1" t="s">
        <v>47</v>
      </c>
      <c r="L6" s="1" t="s">
        <v>87</v>
      </c>
      <c r="M6" s="1" t="s">
        <v>1520</v>
      </c>
      <c r="N6" s="1" t="s">
        <v>292</v>
      </c>
      <c r="O6" s="1" t="s">
        <v>28</v>
      </c>
      <c r="P6" s="1" t="s">
        <v>1521</v>
      </c>
      <c r="Q6" s="1" t="s">
        <v>1522</v>
      </c>
      <c r="R6" s="1" t="s">
        <v>30</v>
      </c>
      <c r="S6" s="1" t="s">
        <v>1516</v>
      </c>
      <c r="T6" s="1" t="s">
        <v>1329</v>
      </c>
      <c r="U6" s="1" t="s">
        <v>161</v>
      </c>
      <c r="V6" s="1">
        <v>10</v>
      </c>
      <c r="W6" s="1" t="s">
        <v>20</v>
      </c>
      <c r="X6" s="1" t="s">
        <v>64</v>
      </c>
      <c r="Y6" s="1" t="s">
        <v>41</v>
      </c>
      <c r="Z6" s="5">
        <v>46073</v>
      </c>
      <c r="AA6" s="5">
        <v>46091</v>
      </c>
      <c r="AB6" s="1" t="s">
        <v>580</v>
      </c>
      <c r="AC6" s="9">
        <f>IF(C6="","",IF(AB6="Closed",AA6-C6,TODAY()-C6))</f>
        <v>0</v>
      </c>
      <c r="AD6" s="1" t="s">
        <v>64</v>
      </c>
    </row>
    <row r="7" spans="1:32">
      <c r="A7" s="1">
        <v>4</v>
      </c>
      <c r="B7" s="1" t="s">
        <v>1523</v>
      </c>
      <c r="C7" s="5">
        <v>46057</v>
      </c>
      <c r="D7" s="1" t="s">
        <v>19</v>
      </c>
      <c r="E7" s="6" t="s">
        <v>1504</v>
      </c>
      <c r="F7" s="6" t="s">
        <v>1505</v>
      </c>
      <c r="G7" s="1" t="s">
        <v>1506</v>
      </c>
      <c r="H7" s="1" t="s">
        <v>50</v>
      </c>
      <c r="I7" s="1" t="s">
        <v>87</v>
      </c>
      <c r="J7" s="1" t="s">
        <v>1519</v>
      </c>
      <c r="K7" s="1" t="s">
        <v>47</v>
      </c>
      <c r="L7" s="1" t="s">
        <v>14</v>
      </c>
      <c r="M7" s="1" t="s">
        <v>1516</v>
      </c>
      <c r="N7" s="1" t="s">
        <v>292</v>
      </c>
      <c r="O7" s="1" t="s">
        <v>22</v>
      </c>
      <c r="P7" s="1" t="s">
        <v>1521</v>
      </c>
      <c r="Q7" s="1" t="s">
        <v>1524</v>
      </c>
      <c r="R7" s="1" t="s">
        <v>49</v>
      </c>
      <c r="S7" s="1" t="s">
        <v>1516</v>
      </c>
      <c r="T7" s="1" t="s">
        <v>1350</v>
      </c>
      <c r="U7" s="1" t="s">
        <v>161</v>
      </c>
      <c r="V7" s="1">
        <v>10</v>
      </c>
      <c r="W7" s="1" t="s">
        <v>12</v>
      </c>
      <c r="X7" s="1" t="s">
        <v>54</v>
      </c>
      <c r="Y7" s="1" t="s">
        <v>15</v>
      </c>
      <c r="Z7" s="5">
        <v>46081</v>
      </c>
      <c r="AA7" s="5">
        <v>46083</v>
      </c>
      <c r="AB7" s="1" t="s">
        <v>224</v>
      </c>
      <c r="AC7" s="9">
        <f>IF(C7="","",IF(AB7="Closed",AA7-C7,TODAY()-C7))</f>
        <v>0</v>
      </c>
      <c r="AD7" s="1" t="s">
        <v>54</v>
      </c>
    </row>
    <row r="8" spans="1:32">
      <c r="A8" s="1">
        <v>5</v>
      </c>
      <c r="B8" s="1" t="s">
        <v>1525</v>
      </c>
      <c r="C8" s="5">
        <v>46065</v>
      </c>
      <c r="D8" s="1" t="s">
        <v>19</v>
      </c>
      <c r="E8" s="6" t="s">
        <v>1518</v>
      </c>
      <c r="F8" s="6" t="s">
        <v>1505</v>
      </c>
      <c r="G8" s="1" t="s">
        <v>1506</v>
      </c>
      <c r="H8" s="1" t="s">
        <v>13</v>
      </c>
      <c r="I8" s="1" t="s">
        <v>14</v>
      </c>
      <c r="J8" s="1" t="s">
        <v>1526</v>
      </c>
      <c r="K8" s="1" t="s">
        <v>1527</v>
      </c>
      <c r="L8" s="1" t="s">
        <v>95</v>
      </c>
      <c r="M8" s="1" t="s">
        <v>1528</v>
      </c>
      <c r="N8" s="1" t="s">
        <v>292</v>
      </c>
      <c r="O8" s="1" t="s">
        <v>36</v>
      </c>
      <c r="P8" s="1" t="s">
        <v>1521</v>
      </c>
      <c r="Q8" s="1" t="s">
        <v>1524</v>
      </c>
      <c r="R8" s="1" t="s">
        <v>30</v>
      </c>
      <c r="S8" s="1" t="s">
        <v>305</v>
      </c>
      <c r="T8" s="1" t="s">
        <v>1327</v>
      </c>
      <c r="U8" s="1" t="s">
        <v>151</v>
      </c>
      <c r="V8" s="1">
        <v>18</v>
      </c>
      <c r="W8" s="1" t="s">
        <v>16</v>
      </c>
      <c r="X8" s="1" t="s">
        <v>38</v>
      </c>
      <c r="Y8" s="1" t="s">
        <v>104</v>
      </c>
      <c r="Z8" s="5">
        <v>46107</v>
      </c>
      <c r="AA8" s="5">
        <v>46106</v>
      </c>
      <c r="AB8" s="1" t="s">
        <v>580</v>
      </c>
      <c r="AC8" s="9">
        <f>IF(C8="","",IF(AB8="Closed",AA8-C8,TODAY()-C8))</f>
        <v>0</v>
      </c>
      <c r="AD8" s="1" t="s">
        <v>49</v>
      </c>
    </row>
    <row r="9" spans="1:32">
      <c r="A9" s="1">
        <v>6</v>
      </c>
      <c r="B9" s="1" t="s">
        <v>1529</v>
      </c>
      <c r="C9" s="5">
        <v>46066</v>
      </c>
      <c r="D9" s="1" t="s">
        <v>19</v>
      </c>
      <c r="E9" s="6" t="s">
        <v>1518</v>
      </c>
      <c r="F9" s="6" t="s">
        <v>1505</v>
      </c>
      <c r="G9" s="1" t="s">
        <v>1506</v>
      </c>
      <c r="H9" s="1" t="s">
        <v>50</v>
      </c>
      <c r="I9" s="1" t="s">
        <v>95</v>
      </c>
      <c r="J9" s="1" t="s">
        <v>1530</v>
      </c>
      <c r="K9" s="1" t="s">
        <v>1527</v>
      </c>
      <c r="L9" s="1" t="s">
        <v>95</v>
      </c>
      <c r="M9" s="1" t="s">
        <v>1528</v>
      </c>
      <c r="N9" s="1" t="s">
        <v>292</v>
      </c>
      <c r="O9" s="1" t="s">
        <v>22</v>
      </c>
      <c r="P9" s="1" t="s">
        <v>1521</v>
      </c>
      <c r="Q9" s="1" t="s">
        <v>1515</v>
      </c>
      <c r="R9" s="1" t="s">
        <v>64</v>
      </c>
      <c r="S9" s="1" t="s">
        <v>1344</v>
      </c>
      <c r="T9" s="1" t="s">
        <v>1344</v>
      </c>
      <c r="U9" s="1" t="s">
        <v>161</v>
      </c>
      <c r="V9" s="1">
        <v>20</v>
      </c>
      <c r="W9" s="1" t="s">
        <v>91</v>
      </c>
      <c r="X9" s="1" t="s">
        <v>49</v>
      </c>
      <c r="Y9" s="1" t="s">
        <v>93</v>
      </c>
      <c r="Z9" s="5">
        <v>46081</v>
      </c>
      <c r="AA9" s="5">
        <v>46074</v>
      </c>
      <c r="AB9" s="1" t="s">
        <v>580</v>
      </c>
      <c r="AC9" s="9">
        <f>IF(C9="","",IF(AB9="Closed",AA9-C9,TODAY()-C9))</f>
        <v>0</v>
      </c>
      <c r="AD9" s="1" t="s">
        <v>61</v>
      </c>
    </row>
    <row r="10" spans="1:32">
      <c r="A10" s="1">
        <v>7</v>
      </c>
      <c r="B10" s="1" t="s">
        <v>1531</v>
      </c>
      <c r="C10" s="5">
        <v>46084</v>
      </c>
      <c r="D10" s="1" t="s">
        <v>44</v>
      </c>
      <c r="E10" s="6" t="s">
        <v>1504</v>
      </c>
      <c r="F10" s="6" t="s">
        <v>1505</v>
      </c>
      <c r="G10" s="1" t="s">
        <v>1506</v>
      </c>
      <c r="H10" s="1" t="s">
        <v>92</v>
      </c>
      <c r="I10" s="1" t="s">
        <v>80</v>
      </c>
      <c r="J10" s="1" t="s">
        <v>1519</v>
      </c>
      <c r="K10" s="1" t="s">
        <v>1532</v>
      </c>
      <c r="L10" s="1" t="s">
        <v>35</v>
      </c>
      <c r="M10" s="1" t="s">
        <v>1508</v>
      </c>
      <c r="N10" s="1" t="s">
        <v>292</v>
      </c>
      <c r="O10" s="1" t="s">
        <v>62</v>
      </c>
      <c r="P10" s="1" t="s">
        <v>1521</v>
      </c>
      <c r="Q10" s="1" t="s">
        <v>1515</v>
      </c>
      <c r="R10" s="1" t="s">
        <v>38</v>
      </c>
      <c r="S10" s="1" t="s">
        <v>297</v>
      </c>
      <c r="T10" s="1" t="s">
        <v>305</v>
      </c>
      <c r="U10" s="1" t="s">
        <v>161</v>
      </c>
      <c r="V10" s="1">
        <v>11</v>
      </c>
      <c r="W10" s="1" t="s">
        <v>61</v>
      </c>
      <c r="X10" s="1" t="s">
        <v>4</v>
      </c>
      <c r="Y10" s="1" t="s">
        <v>93</v>
      </c>
      <c r="Z10" s="5">
        <v>46102</v>
      </c>
      <c r="AA10" s="5">
        <v>46109</v>
      </c>
      <c r="AB10" s="1" t="s">
        <v>224</v>
      </c>
      <c r="AC10" s="9">
        <f>IF(C10="","",IF(AB10="Closed",AA10-C10,TODAY()-C10))</f>
        <v>0</v>
      </c>
      <c r="AD10" s="1" t="s">
        <v>12</v>
      </c>
    </row>
    <row r="11" spans="1:32">
      <c r="A11" s="1">
        <v>8</v>
      </c>
      <c r="B11" s="1" t="s">
        <v>1533</v>
      </c>
      <c r="C11" s="5">
        <v>46088</v>
      </c>
      <c r="D11" s="1" t="s">
        <v>44</v>
      </c>
      <c r="E11" s="6" t="s">
        <v>1504</v>
      </c>
      <c r="F11" s="6" t="s">
        <v>1505</v>
      </c>
      <c r="G11" s="1" t="s">
        <v>1506</v>
      </c>
      <c r="H11" s="1" t="s">
        <v>50</v>
      </c>
      <c r="I11" s="1" t="s">
        <v>35</v>
      </c>
      <c r="J11" s="1" t="s">
        <v>1534</v>
      </c>
      <c r="K11" s="1" t="s">
        <v>1535</v>
      </c>
      <c r="L11" s="1" t="s">
        <v>6</v>
      </c>
      <c r="M11" s="1" t="s">
        <v>1508</v>
      </c>
      <c r="N11" s="1" t="s">
        <v>292</v>
      </c>
      <c r="O11" s="1" t="s">
        <v>93</v>
      </c>
      <c r="P11" s="1" t="s">
        <v>1514</v>
      </c>
      <c r="Q11" s="1" t="s">
        <v>1536</v>
      </c>
      <c r="R11" s="1" t="s">
        <v>54</v>
      </c>
      <c r="S11" s="1" t="s">
        <v>1344</v>
      </c>
      <c r="T11" s="1" t="s">
        <v>305</v>
      </c>
      <c r="U11" s="1" t="s">
        <v>161</v>
      </c>
      <c r="V11" s="1">
        <v>27</v>
      </c>
      <c r="W11" s="1" t="s">
        <v>12</v>
      </c>
      <c r="X11" s="1" t="s">
        <v>30</v>
      </c>
      <c r="Y11" s="1" t="s">
        <v>41</v>
      </c>
      <c r="Z11" s="5">
        <v>46107</v>
      </c>
      <c r="AA11" s="5">
        <v>46114</v>
      </c>
      <c r="AB11" s="1" t="s">
        <v>224</v>
      </c>
      <c r="AC11" s="9">
        <f>IF(C11="","",IF(AB11="Closed",AA11-C11,TODAY()-C11))</f>
        <v>0</v>
      </c>
      <c r="AD11" s="1" t="s">
        <v>12</v>
      </c>
    </row>
    <row r="12" spans="1:32">
      <c r="A12" s="1">
        <v>9</v>
      </c>
      <c r="B12" s="1" t="s">
        <v>1537</v>
      </c>
      <c r="C12" s="5">
        <v>46102</v>
      </c>
      <c r="D12" s="1" t="s">
        <v>44</v>
      </c>
      <c r="E12" s="6" t="s">
        <v>1512</v>
      </c>
      <c r="F12" s="6" t="s">
        <v>1505</v>
      </c>
      <c r="G12" s="1" t="s">
        <v>1506</v>
      </c>
      <c r="H12" s="1" t="s">
        <v>5</v>
      </c>
      <c r="I12" s="1" t="s">
        <v>35</v>
      </c>
      <c r="J12" s="1" t="s">
        <v>1526</v>
      </c>
      <c r="K12" s="1" t="s">
        <v>47</v>
      </c>
      <c r="L12" s="1" t="s">
        <v>14</v>
      </c>
      <c r="M12" s="1" t="s">
        <v>1516</v>
      </c>
      <c r="N12" s="1" t="s">
        <v>292</v>
      </c>
      <c r="O12" s="1" t="s">
        <v>41</v>
      </c>
      <c r="P12" s="1" t="s">
        <v>1514</v>
      </c>
      <c r="Q12" s="1" t="s">
        <v>1538</v>
      </c>
      <c r="R12" s="1" t="s">
        <v>26</v>
      </c>
      <c r="S12" s="1" t="s">
        <v>305</v>
      </c>
      <c r="T12" s="1" t="s">
        <v>297</v>
      </c>
      <c r="U12" s="1" t="s">
        <v>142</v>
      </c>
      <c r="V12" s="1">
        <v>1</v>
      </c>
      <c r="W12" s="1" t="s">
        <v>49</v>
      </c>
      <c r="X12" s="1" t="s">
        <v>38</v>
      </c>
      <c r="Y12" s="1" t="s">
        <v>62</v>
      </c>
      <c r="Z12" s="5">
        <v>46133</v>
      </c>
      <c r="AA12" s="5">
        <v>46111</v>
      </c>
      <c r="AB12" s="1" t="s">
        <v>580</v>
      </c>
      <c r="AC12" s="9">
        <f>IF(C12="","",IF(AB12="Closed",AA12-C12,TODAY()-C12))</f>
        <v>0</v>
      </c>
      <c r="AD12" s="1" t="s">
        <v>61</v>
      </c>
    </row>
    <row r="13" spans="1:32">
      <c r="A13" s="1">
        <v>10</v>
      </c>
      <c r="B13" s="1" t="s">
        <v>1539</v>
      </c>
      <c r="C13" s="5">
        <v>46098</v>
      </c>
      <c r="D13" s="1" t="s">
        <v>44</v>
      </c>
      <c r="E13" s="6" t="s">
        <v>1512</v>
      </c>
      <c r="F13" s="6" t="s">
        <v>1505</v>
      </c>
      <c r="G13" s="1" t="s">
        <v>1506</v>
      </c>
      <c r="H13" s="1" t="s">
        <v>89</v>
      </c>
      <c r="I13" s="1" t="s">
        <v>6</v>
      </c>
      <c r="J13" s="1" t="s">
        <v>1526</v>
      </c>
      <c r="K13" s="1" t="s">
        <v>1527</v>
      </c>
      <c r="L13" s="1" t="s">
        <v>82</v>
      </c>
      <c r="M13" s="1" t="s">
        <v>1508</v>
      </c>
      <c r="N13" s="1" t="s">
        <v>1540</v>
      </c>
      <c r="O13" s="1" t="s">
        <v>32</v>
      </c>
      <c r="P13" s="1" t="s">
        <v>1541</v>
      </c>
      <c r="Q13" s="1" t="s">
        <v>1522</v>
      </c>
      <c r="R13" s="1" t="s">
        <v>26</v>
      </c>
      <c r="S13" s="1" t="s">
        <v>297</v>
      </c>
      <c r="T13" s="1" t="s">
        <v>305</v>
      </c>
      <c r="U13" s="1" t="s">
        <v>142</v>
      </c>
      <c r="V13" s="1">
        <v>11</v>
      </c>
      <c r="W13" s="1" t="s">
        <v>49</v>
      </c>
      <c r="X13" s="1" t="s">
        <v>12</v>
      </c>
      <c r="Y13" s="1" t="s">
        <v>15</v>
      </c>
      <c r="Z13" s="5">
        <v>46121</v>
      </c>
      <c r="AA13" s="5">
        <v>46141</v>
      </c>
      <c r="AB13" s="1" t="s">
        <v>1149</v>
      </c>
      <c r="AC13" s="9">
        <f>IF(C13="","",IF(AB13="Closed",AA13-C13,TODAY()-C13))</f>
        <v>0</v>
      </c>
      <c r="AD13" s="1" t="s">
        <v>20</v>
      </c>
    </row>
    <row r="14" spans="1:32">
      <c r="A14" s="1">
        <v>11</v>
      </c>
      <c r="B14" s="1" t="s">
        <v>1542</v>
      </c>
      <c r="C14" s="5">
        <v>46085</v>
      </c>
      <c r="D14" s="1" t="s">
        <v>44</v>
      </c>
      <c r="E14" s="6" t="s">
        <v>1504</v>
      </c>
      <c r="F14" s="6" t="s">
        <v>1505</v>
      </c>
      <c r="G14" s="1" t="s">
        <v>1506</v>
      </c>
      <c r="H14" s="1" t="s">
        <v>13</v>
      </c>
      <c r="I14" s="1" t="s">
        <v>77</v>
      </c>
      <c r="J14" s="1" t="s">
        <v>1526</v>
      </c>
      <c r="K14" s="1" t="s">
        <v>47</v>
      </c>
      <c r="L14" s="1" t="s">
        <v>51</v>
      </c>
      <c r="M14" s="1" t="s">
        <v>1520</v>
      </c>
      <c r="N14" s="1" t="s">
        <v>1509</v>
      </c>
      <c r="O14" s="1" t="s">
        <v>104</v>
      </c>
      <c r="P14" s="1" t="s">
        <v>1541</v>
      </c>
      <c r="Q14" s="1" t="s">
        <v>1536</v>
      </c>
      <c r="R14" s="1" t="s">
        <v>16</v>
      </c>
      <c r="S14" s="1" t="s">
        <v>1344</v>
      </c>
      <c r="T14" s="1" t="s">
        <v>1344</v>
      </c>
      <c r="U14" s="1" t="s">
        <v>151</v>
      </c>
      <c r="V14" s="1">
        <v>1</v>
      </c>
      <c r="W14" s="1" t="s">
        <v>16</v>
      </c>
      <c r="X14" s="1" t="s">
        <v>91</v>
      </c>
      <c r="Y14" s="1" t="s">
        <v>15</v>
      </c>
      <c r="Z14" s="5">
        <v>46119</v>
      </c>
      <c r="AA14" s="5">
        <v>46103</v>
      </c>
      <c r="AB14" s="1" t="s">
        <v>580</v>
      </c>
      <c r="AC14" s="9">
        <f>IF(C14="","",IF(AB14="Closed",AA14-C14,TODAY()-C14))</f>
        <v>0</v>
      </c>
      <c r="AD14" s="1" t="s">
        <v>54</v>
      </c>
    </row>
    <row r="15" spans="1:32">
      <c r="A15" s="1">
        <v>12</v>
      </c>
      <c r="B15" s="1" t="s">
        <v>1543</v>
      </c>
      <c r="C15" s="5">
        <v>46100</v>
      </c>
      <c r="D15" s="1" t="s">
        <v>44</v>
      </c>
      <c r="E15" s="6" t="s">
        <v>1512</v>
      </c>
      <c r="F15" s="6" t="s">
        <v>1505</v>
      </c>
      <c r="G15" s="1" t="s">
        <v>1506</v>
      </c>
      <c r="H15" s="1" t="s">
        <v>89</v>
      </c>
      <c r="I15" s="1" t="s">
        <v>21</v>
      </c>
      <c r="J15" s="1" t="s">
        <v>1526</v>
      </c>
      <c r="K15" s="1" t="s">
        <v>1532</v>
      </c>
      <c r="L15" s="1" t="s">
        <v>95</v>
      </c>
      <c r="M15" s="1" t="s">
        <v>1508</v>
      </c>
      <c r="N15" s="1" t="s">
        <v>292</v>
      </c>
      <c r="O15" s="1" t="s">
        <v>32</v>
      </c>
      <c r="P15" s="1" t="s">
        <v>1541</v>
      </c>
      <c r="Q15" s="1" t="s">
        <v>1544</v>
      </c>
      <c r="R15" s="1" t="s">
        <v>64</v>
      </c>
      <c r="S15" s="1" t="s">
        <v>1516</v>
      </c>
      <c r="T15" s="1" t="s">
        <v>1325</v>
      </c>
      <c r="U15" s="1" t="s">
        <v>161</v>
      </c>
      <c r="V15" s="1">
        <v>14</v>
      </c>
      <c r="W15" s="1" t="s">
        <v>64</v>
      </c>
      <c r="X15" s="1" t="s">
        <v>57</v>
      </c>
      <c r="Y15" s="1" t="s">
        <v>68</v>
      </c>
      <c r="Z15" s="5">
        <v>46111</v>
      </c>
      <c r="AA15" s="5">
        <v>46130</v>
      </c>
      <c r="AB15" s="1" t="s">
        <v>580</v>
      </c>
      <c r="AC15" s="9">
        <f>IF(C15="","",IF(AB15="Closed",AA15-C15,TODAY()-C15))</f>
        <v>0</v>
      </c>
      <c r="AD15" s="1" t="s">
        <v>61</v>
      </c>
    </row>
    <row r="16" spans="1:32">
      <c r="A16" s="1">
        <v>13</v>
      </c>
      <c r="B16" s="1" t="s">
        <v>1545</v>
      </c>
      <c r="C16" s="5">
        <v>46123</v>
      </c>
      <c r="D16" s="1" t="s">
        <v>53</v>
      </c>
      <c r="E16" s="6" t="s">
        <v>1518</v>
      </c>
      <c r="F16" s="6" t="s">
        <v>1546</v>
      </c>
      <c r="G16" s="1" t="s">
        <v>1506</v>
      </c>
      <c r="H16" s="1" t="s">
        <v>89</v>
      </c>
      <c r="I16" s="1" t="s">
        <v>14</v>
      </c>
      <c r="J16" s="1" t="s">
        <v>1547</v>
      </c>
      <c r="K16" s="1" t="s">
        <v>1535</v>
      </c>
      <c r="L16" s="1" t="s">
        <v>21</v>
      </c>
      <c r="M16" s="1" t="s">
        <v>1508</v>
      </c>
      <c r="N16" s="1" t="s">
        <v>292</v>
      </c>
      <c r="O16" s="1" t="s">
        <v>68</v>
      </c>
      <c r="P16" s="1" t="s">
        <v>1521</v>
      </c>
      <c r="Q16" s="1" t="s">
        <v>1538</v>
      </c>
      <c r="R16" s="1" t="s">
        <v>20</v>
      </c>
      <c r="S16" s="1" t="s">
        <v>1516</v>
      </c>
      <c r="T16" s="1" t="s">
        <v>1327</v>
      </c>
      <c r="U16" s="1" t="s">
        <v>142</v>
      </c>
      <c r="V16" s="1">
        <v>10</v>
      </c>
      <c r="W16" s="1" t="s">
        <v>54</v>
      </c>
      <c r="X16" s="1" t="s">
        <v>38</v>
      </c>
      <c r="Y16" s="1" t="s">
        <v>28</v>
      </c>
      <c r="Z16" s="5">
        <v>46155</v>
      </c>
      <c r="AA16" s="5">
        <v>46144</v>
      </c>
      <c r="AB16" s="1" t="s">
        <v>580</v>
      </c>
      <c r="AC16" s="9">
        <f>IF(C16="","",IF(AB16="Closed",AA16-C16,TODAY()-C16))</f>
        <v>0</v>
      </c>
      <c r="AD16" s="1" t="s">
        <v>20</v>
      </c>
    </row>
    <row r="17" spans="1:30">
      <c r="A17" s="1">
        <v>14</v>
      </c>
      <c r="B17" s="1" t="s">
        <v>1548</v>
      </c>
      <c r="C17" s="5">
        <v>46137</v>
      </c>
      <c r="D17" s="1" t="s">
        <v>53</v>
      </c>
      <c r="E17" s="6" t="s">
        <v>1549</v>
      </c>
      <c r="F17" s="6" t="s">
        <v>1546</v>
      </c>
      <c r="G17" s="1" t="s">
        <v>1506</v>
      </c>
      <c r="H17" s="1" t="s">
        <v>5</v>
      </c>
      <c r="I17" s="1" t="s">
        <v>87</v>
      </c>
      <c r="J17" s="1" t="s">
        <v>1526</v>
      </c>
      <c r="K17" s="1" t="s">
        <v>1532</v>
      </c>
      <c r="L17" s="1" t="s">
        <v>31</v>
      </c>
      <c r="M17" s="1" t="s">
        <v>1513</v>
      </c>
      <c r="N17" s="1" t="s">
        <v>292</v>
      </c>
      <c r="O17" s="1" t="s">
        <v>22</v>
      </c>
      <c r="P17" s="1" t="s">
        <v>1541</v>
      </c>
      <c r="Q17" s="1" t="s">
        <v>1522</v>
      </c>
      <c r="R17" s="1" t="s">
        <v>57</v>
      </c>
      <c r="S17" s="1" t="s">
        <v>1344</v>
      </c>
      <c r="T17" s="1" t="s">
        <v>1327</v>
      </c>
      <c r="U17" s="1" t="s">
        <v>157</v>
      </c>
      <c r="V17" s="1">
        <v>2</v>
      </c>
      <c r="W17" s="1" t="s">
        <v>4</v>
      </c>
      <c r="X17" s="1" t="s">
        <v>26</v>
      </c>
      <c r="Y17" s="1" t="s">
        <v>78</v>
      </c>
      <c r="Z17" s="5">
        <v>46147</v>
      </c>
      <c r="AA17" s="5">
        <v>46156</v>
      </c>
      <c r="AB17" s="1" t="s">
        <v>580</v>
      </c>
      <c r="AC17" s="9">
        <f>IF(C17="","",IF(AB17="Closed",AA17-C17,TODAY()-C17))</f>
        <v>0</v>
      </c>
      <c r="AD17" s="1" t="s">
        <v>64</v>
      </c>
    </row>
    <row r="18" spans="1:30">
      <c r="A18" s="1">
        <v>15</v>
      </c>
      <c r="B18" s="1" t="s">
        <v>1550</v>
      </c>
      <c r="C18" s="5">
        <v>46114</v>
      </c>
      <c r="D18" s="1" t="s">
        <v>53</v>
      </c>
      <c r="E18" s="6" t="s">
        <v>1504</v>
      </c>
      <c r="F18" s="6" t="s">
        <v>1546</v>
      </c>
      <c r="G18" s="1" t="s">
        <v>1506</v>
      </c>
      <c r="H18" s="1" t="s">
        <v>89</v>
      </c>
      <c r="I18" s="1" t="s">
        <v>6</v>
      </c>
      <c r="J18" s="1" t="s">
        <v>1534</v>
      </c>
      <c r="K18" s="1" t="s">
        <v>1535</v>
      </c>
      <c r="L18" s="1" t="s">
        <v>21</v>
      </c>
      <c r="M18" s="1" t="s">
        <v>1508</v>
      </c>
      <c r="N18" s="1" t="s">
        <v>1540</v>
      </c>
      <c r="O18" s="1" t="s">
        <v>104</v>
      </c>
      <c r="P18" s="1" t="s">
        <v>1521</v>
      </c>
      <c r="Q18" s="1" t="s">
        <v>1510</v>
      </c>
      <c r="R18" s="1" t="s">
        <v>49</v>
      </c>
      <c r="S18" s="1" t="s">
        <v>297</v>
      </c>
      <c r="T18" s="1" t="s">
        <v>1333</v>
      </c>
      <c r="U18" s="1" t="s">
        <v>142</v>
      </c>
      <c r="V18" s="1">
        <v>7</v>
      </c>
      <c r="W18" s="1" t="s">
        <v>16</v>
      </c>
      <c r="X18" s="1" t="s">
        <v>26</v>
      </c>
      <c r="Y18" s="1" t="s">
        <v>66</v>
      </c>
      <c r="Z18" s="5">
        <v>46151</v>
      </c>
      <c r="AA18" s="5">
        <v>46125</v>
      </c>
      <c r="AB18" s="1" t="s">
        <v>580</v>
      </c>
      <c r="AC18" s="9">
        <f>IF(C18="","",IF(AB18="Closed",AA18-C18,TODAY()-C18))</f>
        <v>0</v>
      </c>
      <c r="AD18" s="1" t="s">
        <v>16</v>
      </c>
    </row>
    <row r="19" spans="1:30">
      <c r="A19" s="1">
        <v>16</v>
      </c>
      <c r="B19" s="1" t="s">
        <v>1551</v>
      </c>
      <c r="C19" s="5">
        <v>46117</v>
      </c>
      <c r="D19" s="1" t="s">
        <v>53</v>
      </c>
      <c r="E19" s="6" t="s">
        <v>1504</v>
      </c>
      <c r="F19" s="6" t="s">
        <v>1546</v>
      </c>
      <c r="G19" s="1" t="s">
        <v>1506</v>
      </c>
      <c r="H19" s="1" t="s">
        <v>39</v>
      </c>
      <c r="I19" s="1" t="s">
        <v>40</v>
      </c>
      <c r="J19" s="1" t="s">
        <v>1507</v>
      </c>
      <c r="K19" s="1" t="s">
        <v>1532</v>
      </c>
      <c r="L19" s="1" t="s">
        <v>51</v>
      </c>
      <c r="M19" s="1" t="s">
        <v>1528</v>
      </c>
      <c r="N19" s="1" t="s">
        <v>1509</v>
      </c>
      <c r="O19" s="1" t="s">
        <v>66</v>
      </c>
      <c r="P19" s="1" t="s">
        <v>1541</v>
      </c>
      <c r="Q19" s="1" t="s">
        <v>1524</v>
      </c>
      <c r="R19" s="1" t="s">
        <v>45</v>
      </c>
      <c r="S19" s="1" t="s">
        <v>305</v>
      </c>
      <c r="T19" s="1" t="s">
        <v>1327</v>
      </c>
      <c r="U19" s="1" t="s">
        <v>142</v>
      </c>
      <c r="V19" s="1">
        <v>16</v>
      </c>
      <c r="W19" s="1" t="s">
        <v>16</v>
      </c>
      <c r="X19" s="1" t="s">
        <v>20</v>
      </c>
      <c r="Y19" s="1" t="s">
        <v>68</v>
      </c>
      <c r="Z19" s="5">
        <v>46135</v>
      </c>
      <c r="AA19" s="5">
        <v>46127</v>
      </c>
      <c r="AB19" s="1" t="s">
        <v>580</v>
      </c>
      <c r="AC19" s="9">
        <f>IF(C19="","",IF(AB19="Closed",AA19-C19,TODAY()-C19))</f>
        <v>0</v>
      </c>
      <c r="AD19" s="1" t="s">
        <v>57</v>
      </c>
    </row>
    <row r="20" spans="1:30">
      <c r="A20" s="1">
        <v>17</v>
      </c>
      <c r="B20" s="1" t="s">
        <v>1552</v>
      </c>
      <c r="C20" s="5">
        <v>46124</v>
      </c>
      <c r="D20" s="1" t="s">
        <v>53</v>
      </c>
      <c r="E20" s="6" t="s">
        <v>1518</v>
      </c>
      <c r="F20" s="6" t="s">
        <v>1546</v>
      </c>
      <c r="G20" s="1" t="s">
        <v>1506</v>
      </c>
      <c r="H20" s="1" t="s">
        <v>27</v>
      </c>
      <c r="I20" s="1" t="s">
        <v>14</v>
      </c>
      <c r="J20" s="1" t="s">
        <v>1547</v>
      </c>
      <c r="K20" s="1" t="s">
        <v>1527</v>
      </c>
      <c r="L20" s="1" t="s">
        <v>51</v>
      </c>
      <c r="M20" s="1" t="s">
        <v>1508</v>
      </c>
      <c r="N20" s="1" t="s">
        <v>1540</v>
      </c>
      <c r="O20" s="1" t="s">
        <v>7</v>
      </c>
      <c r="P20" s="1" t="s">
        <v>1514</v>
      </c>
      <c r="Q20" s="1" t="s">
        <v>1515</v>
      </c>
      <c r="R20" s="1" t="s">
        <v>57</v>
      </c>
      <c r="S20" s="1" t="s">
        <v>1344</v>
      </c>
      <c r="T20" s="1" t="s">
        <v>1327</v>
      </c>
      <c r="U20" s="1" t="s">
        <v>151</v>
      </c>
      <c r="V20" s="1">
        <v>7</v>
      </c>
      <c r="W20" s="1" t="s">
        <v>16</v>
      </c>
      <c r="X20" s="1" t="s">
        <v>16</v>
      </c>
      <c r="Y20" s="1" t="s">
        <v>7</v>
      </c>
      <c r="Z20" s="5">
        <v>46139</v>
      </c>
      <c r="AA20" s="5">
        <v>46137</v>
      </c>
      <c r="AB20" s="1" t="s">
        <v>580</v>
      </c>
      <c r="AC20" s="9">
        <f>IF(C20="","",IF(AB20="Closed",AA20-C20,TODAY()-C20))</f>
        <v>0</v>
      </c>
      <c r="AD20" s="1" t="s">
        <v>54</v>
      </c>
    </row>
    <row r="21" spans="1:30">
      <c r="A21" s="1">
        <v>18</v>
      </c>
      <c r="B21" s="1" t="s">
        <v>1553</v>
      </c>
      <c r="C21" s="5">
        <v>46131</v>
      </c>
      <c r="D21" s="1" t="s">
        <v>53</v>
      </c>
      <c r="E21" s="6" t="s">
        <v>1512</v>
      </c>
      <c r="F21" s="6" t="s">
        <v>1546</v>
      </c>
      <c r="G21" s="1" t="s">
        <v>1506</v>
      </c>
      <c r="H21" s="1" t="s">
        <v>65</v>
      </c>
      <c r="I21" s="1" t="s">
        <v>31</v>
      </c>
      <c r="J21" s="1" t="s">
        <v>1547</v>
      </c>
      <c r="K21" s="1" t="s">
        <v>1532</v>
      </c>
      <c r="L21" s="1" t="s">
        <v>51</v>
      </c>
      <c r="M21" s="1" t="s">
        <v>1513</v>
      </c>
      <c r="N21" s="1" t="s">
        <v>292</v>
      </c>
      <c r="O21" s="1" t="s">
        <v>7</v>
      </c>
      <c r="P21" s="1" t="s">
        <v>1514</v>
      </c>
      <c r="Q21" s="1" t="s">
        <v>1538</v>
      </c>
      <c r="R21" s="1" t="s">
        <v>20</v>
      </c>
      <c r="S21" s="1" t="s">
        <v>305</v>
      </c>
      <c r="T21" s="1" t="s">
        <v>1327</v>
      </c>
      <c r="U21" s="1" t="s">
        <v>161</v>
      </c>
      <c r="V21" s="1">
        <v>18</v>
      </c>
      <c r="W21" s="1" t="s">
        <v>57</v>
      </c>
      <c r="X21" s="1" t="s">
        <v>38</v>
      </c>
      <c r="Y21" s="1" t="s">
        <v>41</v>
      </c>
      <c r="Z21" s="5">
        <v>46140</v>
      </c>
      <c r="AA21" s="5">
        <v>46152</v>
      </c>
      <c r="AB21" s="1" t="s">
        <v>1149</v>
      </c>
      <c r="AC21" s="9">
        <f>IF(C21="","",IF(AB21="Closed",AA21-C21,TODAY()-C21))</f>
        <v>0</v>
      </c>
      <c r="AD21" s="1" t="s">
        <v>49</v>
      </c>
    </row>
    <row r="22" spans="1:30">
      <c r="A22" s="1">
        <v>19</v>
      </c>
      <c r="B22" s="1" t="s">
        <v>1554</v>
      </c>
      <c r="C22" s="5">
        <v>46124</v>
      </c>
      <c r="D22" s="1" t="s">
        <v>53</v>
      </c>
      <c r="E22" s="6" t="s">
        <v>1518</v>
      </c>
      <c r="F22" s="6" t="s">
        <v>1546</v>
      </c>
      <c r="G22" s="1" t="s">
        <v>1506</v>
      </c>
      <c r="H22" s="1" t="s">
        <v>58</v>
      </c>
      <c r="I22" s="1" t="s">
        <v>40</v>
      </c>
      <c r="J22" s="1" t="s">
        <v>1530</v>
      </c>
      <c r="K22" s="1" t="s">
        <v>47</v>
      </c>
      <c r="L22" s="1" t="s">
        <v>82</v>
      </c>
      <c r="M22" s="1" t="s">
        <v>1520</v>
      </c>
      <c r="N22" s="1" t="s">
        <v>292</v>
      </c>
      <c r="O22" s="1" t="s">
        <v>15</v>
      </c>
      <c r="P22" s="1" t="s">
        <v>1514</v>
      </c>
      <c r="Q22" s="1" t="s">
        <v>1524</v>
      </c>
      <c r="R22" s="1" t="s">
        <v>45</v>
      </c>
      <c r="S22" s="1" t="s">
        <v>1516</v>
      </c>
      <c r="T22" s="1" t="s">
        <v>1329</v>
      </c>
      <c r="U22" s="1" t="s">
        <v>157</v>
      </c>
      <c r="V22" s="1">
        <v>10</v>
      </c>
      <c r="W22" s="1" t="s">
        <v>20</v>
      </c>
      <c r="X22" s="1" t="s">
        <v>64</v>
      </c>
      <c r="Y22" s="1" t="s">
        <v>28</v>
      </c>
      <c r="Z22" s="5">
        <v>46129</v>
      </c>
      <c r="AA22" s="5">
        <v>46139</v>
      </c>
      <c r="AB22" s="1" t="s">
        <v>580</v>
      </c>
      <c r="AC22" s="9">
        <f>IF(C22="","",IF(AB22="Closed",AA22-C22,TODAY()-C22))</f>
        <v>0</v>
      </c>
      <c r="AD22" s="1" t="s">
        <v>30</v>
      </c>
    </row>
    <row r="23" spans="1:30">
      <c r="A23" s="1">
        <v>20</v>
      </c>
      <c r="B23" s="1" t="s">
        <v>1555</v>
      </c>
      <c r="C23" s="5">
        <v>46122</v>
      </c>
      <c r="D23" s="1" t="s">
        <v>53</v>
      </c>
      <c r="E23" s="6" t="s">
        <v>1518</v>
      </c>
      <c r="F23" s="6" t="s">
        <v>1546</v>
      </c>
      <c r="G23" s="1" t="s">
        <v>1506</v>
      </c>
      <c r="H23" s="1" t="s">
        <v>58</v>
      </c>
      <c r="I23" s="1" t="s">
        <v>35</v>
      </c>
      <c r="J23" s="1" t="s">
        <v>1526</v>
      </c>
      <c r="K23" s="1" t="s">
        <v>1527</v>
      </c>
      <c r="L23" s="1" t="s">
        <v>82</v>
      </c>
      <c r="M23" s="1" t="s">
        <v>1513</v>
      </c>
      <c r="N23" s="1" t="s">
        <v>1556</v>
      </c>
      <c r="O23" s="1" t="s">
        <v>93</v>
      </c>
      <c r="P23" s="1" t="s">
        <v>1541</v>
      </c>
      <c r="Q23" s="1" t="s">
        <v>1524</v>
      </c>
      <c r="R23" s="1" t="s">
        <v>30</v>
      </c>
      <c r="S23" s="1" t="s">
        <v>305</v>
      </c>
      <c r="T23" s="1" t="s">
        <v>1327</v>
      </c>
      <c r="U23" s="1" t="s">
        <v>161</v>
      </c>
      <c r="V23" s="1">
        <v>12</v>
      </c>
      <c r="W23" s="1" t="s">
        <v>38</v>
      </c>
      <c r="X23" s="1" t="s">
        <v>45</v>
      </c>
      <c r="Y23" s="1" t="s">
        <v>66</v>
      </c>
      <c r="Z23" s="5">
        <v>46155</v>
      </c>
      <c r="AA23" s="5">
        <v>46135</v>
      </c>
      <c r="AB23" s="1" t="s">
        <v>580</v>
      </c>
      <c r="AC23" s="9">
        <f>IF(C23="","",IF(AB23="Closed",AA23-C23,TODAY()-C23))</f>
        <v>0</v>
      </c>
      <c r="AD23" s="1" t="s">
        <v>20</v>
      </c>
    </row>
    <row r="24" spans="1:30">
      <c r="A24" s="1">
        <v>21</v>
      </c>
      <c r="B24" s="1" t="s">
        <v>1557</v>
      </c>
      <c r="C24" s="5">
        <v>46164</v>
      </c>
      <c r="D24" s="1" t="s">
        <v>60</v>
      </c>
      <c r="E24" s="6" t="s">
        <v>1549</v>
      </c>
      <c r="F24" s="6" t="s">
        <v>1546</v>
      </c>
      <c r="G24" s="1" t="s">
        <v>1506</v>
      </c>
      <c r="H24" s="1" t="s">
        <v>65</v>
      </c>
      <c r="I24" s="1" t="s">
        <v>21</v>
      </c>
      <c r="J24" s="1" t="s">
        <v>1547</v>
      </c>
      <c r="K24" s="1" t="s">
        <v>1532</v>
      </c>
      <c r="L24" s="1" t="s">
        <v>80</v>
      </c>
      <c r="M24" s="1" t="s">
        <v>1513</v>
      </c>
      <c r="N24" s="1" t="s">
        <v>292</v>
      </c>
      <c r="O24" s="1" t="s">
        <v>62</v>
      </c>
      <c r="P24" s="1" t="s">
        <v>58</v>
      </c>
      <c r="Q24" s="1" t="s">
        <v>1558</v>
      </c>
      <c r="R24" s="1" t="s">
        <v>49</v>
      </c>
      <c r="S24" s="1" t="s">
        <v>297</v>
      </c>
      <c r="T24" s="1" t="s">
        <v>305</v>
      </c>
      <c r="U24" s="1" t="s">
        <v>161</v>
      </c>
      <c r="V24" s="1">
        <v>19</v>
      </c>
      <c r="W24" s="1" t="s">
        <v>20</v>
      </c>
      <c r="X24" s="1" t="s">
        <v>12</v>
      </c>
      <c r="Y24" s="1" t="s">
        <v>70</v>
      </c>
      <c r="Z24" s="5">
        <v>46204</v>
      </c>
      <c r="AA24" s="5">
        <v>46182</v>
      </c>
      <c r="AB24" s="1" t="s">
        <v>224</v>
      </c>
      <c r="AC24" s="9">
        <f>IF(C24="","",IF(AB24="Closed",AA24-C24,TODAY()-C24))</f>
        <v>0</v>
      </c>
      <c r="AD24" s="1" t="s">
        <v>57</v>
      </c>
    </row>
    <row r="25" spans="1:30">
      <c r="A25" s="1">
        <v>22</v>
      </c>
      <c r="B25" s="1" t="s">
        <v>1559</v>
      </c>
      <c r="C25" s="5">
        <v>46162</v>
      </c>
      <c r="D25" s="1" t="s">
        <v>60</v>
      </c>
      <c r="E25" s="6" t="s">
        <v>1512</v>
      </c>
      <c r="F25" s="6" t="s">
        <v>1546</v>
      </c>
      <c r="G25" s="1" t="s">
        <v>1506</v>
      </c>
      <c r="H25" s="1" t="s">
        <v>13</v>
      </c>
      <c r="I25" s="1" t="s">
        <v>40</v>
      </c>
      <c r="J25" s="1" t="s">
        <v>1507</v>
      </c>
      <c r="K25" s="1" t="s">
        <v>1527</v>
      </c>
      <c r="L25" s="1" t="s">
        <v>14</v>
      </c>
      <c r="M25" s="1" t="s">
        <v>1513</v>
      </c>
      <c r="N25" s="1" t="s">
        <v>292</v>
      </c>
      <c r="O25" s="1" t="s">
        <v>104</v>
      </c>
      <c r="P25" s="1" t="s">
        <v>1521</v>
      </c>
      <c r="Q25" s="1" t="s">
        <v>1536</v>
      </c>
      <c r="R25" s="1" t="s">
        <v>4</v>
      </c>
      <c r="S25" s="1" t="s">
        <v>297</v>
      </c>
      <c r="T25" s="1" t="s">
        <v>1327</v>
      </c>
      <c r="U25" s="1" t="s">
        <v>151</v>
      </c>
      <c r="V25" s="1">
        <v>10</v>
      </c>
      <c r="W25" s="1" t="s">
        <v>54</v>
      </c>
      <c r="X25" s="1" t="s">
        <v>54</v>
      </c>
      <c r="Y25" s="1" t="s">
        <v>70</v>
      </c>
      <c r="Z25" s="5">
        <v>46177</v>
      </c>
      <c r="AA25" s="5">
        <v>46186</v>
      </c>
      <c r="AB25" s="1" t="s">
        <v>580</v>
      </c>
      <c r="AC25" s="9">
        <f>IF(C25="","",IF(AB25="Closed",AA25-C25,TODAY()-C25))</f>
        <v>0</v>
      </c>
      <c r="AD25" s="1" t="s">
        <v>20</v>
      </c>
    </row>
    <row r="26" spans="1:30">
      <c r="A26" s="1">
        <v>23</v>
      </c>
      <c r="B26" s="1" t="s">
        <v>1560</v>
      </c>
      <c r="C26" s="5">
        <v>46156</v>
      </c>
      <c r="D26" s="1" t="s">
        <v>60</v>
      </c>
      <c r="E26" s="6" t="s">
        <v>1518</v>
      </c>
      <c r="F26" s="6" t="s">
        <v>1546</v>
      </c>
      <c r="G26" s="1" t="s">
        <v>1506</v>
      </c>
      <c r="H26" s="1" t="s">
        <v>65</v>
      </c>
      <c r="I26" s="1" t="s">
        <v>77</v>
      </c>
      <c r="J26" s="1" t="s">
        <v>1519</v>
      </c>
      <c r="K26" s="1" t="s">
        <v>1535</v>
      </c>
      <c r="L26" s="1" t="s">
        <v>51</v>
      </c>
      <c r="M26" s="1" t="s">
        <v>1528</v>
      </c>
      <c r="N26" s="1" t="s">
        <v>1556</v>
      </c>
      <c r="O26" s="1" t="s">
        <v>68</v>
      </c>
      <c r="P26" s="1" t="s">
        <v>1521</v>
      </c>
      <c r="Q26" s="1" t="s">
        <v>1538</v>
      </c>
      <c r="R26" s="1" t="s">
        <v>54</v>
      </c>
      <c r="S26" s="1" t="s">
        <v>1516</v>
      </c>
      <c r="T26" s="1" t="s">
        <v>1329</v>
      </c>
      <c r="U26" s="1" t="s">
        <v>142</v>
      </c>
      <c r="V26" s="1">
        <v>7</v>
      </c>
      <c r="W26" s="1" t="s">
        <v>49</v>
      </c>
      <c r="X26" s="1" t="s">
        <v>45</v>
      </c>
      <c r="Y26" s="1" t="s">
        <v>70</v>
      </c>
      <c r="Z26" s="5">
        <v>46179</v>
      </c>
      <c r="AA26" s="5">
        <v>46181</v>
      </c>
      <c r="AB26" s="1" t="s">
        <v>580</v>
      </c>
      <c r="AC26" s="9">
        <f>IF(C26="","",IF(AB26="Closed",AA26-C26,TODAY()-C26))</f>
        <v>0</v>
      </c>
      <c r="AD26" s="1" t="s">
        <v>49</v>
      </c>
    </row>
    <row r="27" spans="1:30">
      <c r="A27" s="1">
        <v>24</v>
      </c>
      <c r="B27" s="1" t="s">
        <v>1561</v>
      </c>
      <c r="C27" s="5">
        <v>46144</v>
      </c>
      <c r="D27" s="1" t="s">
        <v>60</v>
      </c>
      <c r="E27" s="6" t="s">
        <v>1504</v>
      </c>
      <c r="F27" s="6" t="s">
        <v>1546</v>
      </c>
      <c r="G27" s="1" t="s">
        <v>1506</v>
      </c>
      <c r="H27" s="1" t="s">
        <v>5</v>
      </c>
      <c r="I27" s="1" t="s">
        <v>14</v>
      </c>
      <c r="J27" s="1" t="s">
        <v>1519</v>
      </c>
      <c r="K27" s="1" t="s">
        <v>1532</v>
      </c>
      <c r="L27" s="1" t="s">
        <v>77</v>
      </c>
      <c r="M27" s="1" t="s">
        <v>1516</v>
      </c>
      <c r="N27" s="1" t="s">
        <v>1562</v>
      </c>
      <c r="O27" s="1" t="s">
        <v>104</v>
      </c>
      <c r="P27" s="1" t="s">
        <v>1521</v>
      </c>
      <c r="Q27" s="1" t="s">
        <v>1538</v>
      </c>
      <c r="R27" s="1" t="s">
        <v>61</v>
      </c>
      <c r="S27" s="1" t="s">
        <v>1516</v>
      </c>
      <c r="T27" s="1" t="s">
        <v>297</v>
      </c>
      <c r="U27" s="1" t="s">
        <v>142</v>
      </c>
      <c r="V27" s="1">
        <v>27</v>
      </c>
      <c r="W27" s="1" t="s">
        <v>57</v>
      </c>
      <c r="X27" s="1" t="s">
        <v>54</v>
      </c>
      <c r="Y27" s="1" t="s">
        <v>15</v>
      </c>
      <c r="Z27" s="5">
        <v>46160</v>
      </c>
      <c r="AA27" s="5">
        <v>46158</v>
      </c>
      <c r="AB27" s="1" t="s">
        <v>1149</v>
      </c>
      <c r="AC27" s="9">
        <f>IF(C27="","",IF(AB27="Closed",AA27-C27,TODAY()-C27))</f>
        <v>0</v>
      </c>
      <c r="AD27" s="1" t="s">
        <v>61</v>
      </c>
    </row>
    <row r="28" spans="1:30">
      <c r="A28" s="1">
        <v>25</v>
      </c>
      <c r="B28" s="1" t="s">
        <v>1563</v>
      </c>
      <c r="C28" s="5">
        <v>46150</v>
      </c>
      <c r="D28" s="1" t="s">
        <v>60</v>
      </c>
      <c r="E28" s="6" t="s">
        <v>1518</v>
      </c>
      <c r="F28" s="6" t="s">
        <v>1546</v>
      </c>
      <c r="G28" s="1" t="s">
        <v>1506</v>
      </c>
      <c r="H28" s="1" t="s">
        <v>92</v>
      </c>
      <c r="I28" s="1" t="s">
        <v>31</v>
      </c>
      <c r="J28" s="1" t="s">
        <v>1534</v>
      </c>
      <c r="K28" s="1" t="s">
        <v>1527</v>
      </c>
      <c r="L28" s="1" t="s">
        <v>80</v>
      </c>
      <c r="M28" s="1" t="s">
        <v>1513</v>
      </c>
      <c r="N28" s="1" t="s">
        <v>292</v>
      </c>
      <c r="O28" s="1" t="s">
        <v>7</v>
      </c>
      <c r="P28" s="1" t="s">
        <v>1541</v>
      </c>
      <c r="Q28" s="1" t="s">
        <v>1538</v>
      </c>
      <c r="R28" s="1" t="s">
        <v>20</v>
      </c>
      <c r="S28" s="1" t="s">
        <v>1516</v>
      </c>
      <c r="T28" s="1" t="s">
        <v>1333</v>
      </c>
      <c r="U28" s="1" t="s">
        <v>161</v>
      </c>
      <c r="V28" s="1">
        <v>7</v>
      </c>
      <c r="W28" s="1" t="s">
        <v>20</v>
      </c>
      <c r="X28" s="1" t="s">
        <v>49</v>
      </c>
      <c r="Y28" s="1" t="s">
        <v>36</v>
      </c>
      <c r="Z28" s="5">
        <v>46184</v>
      </c>
      <c r="AA28" s="5">
        <v>46155</v>
      </c>
      <c r="AB28" s="1" t="s">
        <v>580</v>
      </c>
      <c r="AC28" s="9">
        <f>IF(C28="","",IF(AB28="Closed",AA28-C28,TODAY()-C28))</f>
        <v>0</v>
      </c>
      <c r="AD28" s="1" t="s">
        <v>91</v>
      </c>
    </row>
    <row r="29" spans="1:30">
      <c r="A29" s="1">
        <v>26</v>
      </c>
      <c r="B29" s="1" t="s">
        <v>1564</v>
      </c>
      <c r="C29" s="5">
        <v>46160</v>
      </c>
      <c r="D29" s="1" t="s">
        <v>60</v>
      </c>
      <c r="E29" s="6" t="s">
        <v>1512</v>
      </c>
      <c r="F29" s="6" t="s">
        <v>1546</v>
      </c>
      <c r="G29" s="1" t="s">
        <v>1506</v>
      </c>
      <c r="H29" s="1" t="s">
        <v>65</v>
      </c>
      <c r="I29" s="1" t="s">
        <v>95</v>
      </c>
      <c r="J29" s="1" t="s">
        <v>1547</v>
      </c>
      <c r="K29" s="1" t="s">
        <v>1535</v>
      </c>
      <c r="L29" s="1" t="s">
        <v>40</v>
      </c>
      <c r="M29" s="1" t="s">
        <v>1528</v>
      </c>
      <c r="N29" s="1" t="s">
        <v>292</v>
      </c>
      <c r="O29" s="1" t="s">
        <v>41</v>
      </c>
      <c r="P29" s="1" t="s">
        <v>1521</v>
      </c>
      <c r="Q29" s="1" t="s">
        <v>1515</v>
      </c>
      <c r="R29" s="1" t="s">
        <v>91</v>
      </c>
      <c r="S29" s="1" t="s">
        <v>1516</v>
      </c>
      <c r="T29" s="1" t="s">
        <v>297</v>
      </c>
      <c r="U29" s="1" t="s">
        <v>161</v>
      </c>
      <c r="V29" s="1">
        <v>11</v>
      </c>
      <c r="W29" s="1" t="s">
        <v>45</v>
      </c>
      <c r="X29" s="1" t="s">
        <v>64</v>
      </c>
      <c r="Y29" s="1" t="s">
        <v>36</v>
      </c>
      <c r="Z29" s="5">
        <v>46199</v>
      </c>
      <c r="AA29" s="5">
        <v>46179</v>
      </c>
      <c r="AB29" s="1" t="s">
        <v>580</v>
      </c>
      <c r="AC29" s="9">
        <f>IF(C29="","",IF(AB29="Closed",AA29-C29,TODAY()-C29))</f>
        <v>0</v>
      </c>
      <c r="AD29" s="1" t="s">
        <v>54</v>
      </c>
    </row>
    <row r="30" spans="1:30">
      <c r="A30" s="1">
        <v>27</v>
      </c>
      <c r="B30" s="1" t="s">
        <v>1565</v>
      </c>
      <c r="C30" s="5">
        <v>46148</v>
      </c>
      <c r="D30" s="1" t="s">
        <v>60</v>
      </c>
      <c r="E30" s="6" t="s">
        <v>1504</v>
      </c>
      <c r="F30" s="6" t="s">
        <v>1546</v>
      </c>
      <c r="G30" s="1" t="s">
        <v>1506</v>
      </c>
      <c r="H30" s="1" t="s">
        <v>65</v>
      </c>
      <c r="I30" s="1" t="s">
        <v>82</v>
      </c>
      <c r="J30" s="1" t="s">
        <v>1519</v>
      </c>
      <c r="K30" s="1" t="s">
        <v>47</v>
      </c>
      <c r="L30" s="1" t="s">
        <v>51</v>
      </c>
      <c r="M30" s="1" t="s">
        <v>1528</v>
      </c>
      <c r="N30" s="1" t="s">
        <v>292</v>
      </c>
      <c r="O30" s="1" t="s">
        <v>62</v>
      </c>
      <c r="P30" s="1" t="s">
        <v>1514</v>
      </c>
      <c r="Q30" s="1" t="s">
        <v>1510</v>
      </c>
      <c r="R30" s="1" t="s">
        <v>38</v>
      </c>
      <c r="S30" s="1" t="s">
        <v>1344</v>
      </c>
      <c r="T30" s="1" t="s">
        <v>1344</v>
      </c>
      <c r="U30" s="1" t="s">
        <v>151</v>
      </c>
      <c r="V30" s="1">
        <v>0</v>
      </c>
      <c r="W30" s="1" t="s">
        <v>57</v>
      </c>
      <c r="X30" s="1" t="s">
        <v>61</v>
      </c>
      <c r="Y30" s="1" t="s">
        <v>41</v>
      </c>
      <c r="Z30" s="5">
        <v>46159</v>
      </c>
      <c r="AA30" s="5">
        <v>46161</v>
      </c>
      <c r="AB30" s="1" t="s">
        <v>1149</v>
      </c>
      <c r="AC30" s="9">
        <f>IF(C30="","",IF(AB30="Closed",AA30-C30,TODAY()-C30))</f>
        <v>0</v>
      </c>
      <c r="AD30" s="1" t="s">
        <v>45</v>
      </c>
    </row>
    <row r="31" spans="1:30">
      <c r="A31" s="1">
        <v>28</v>
      </c>
      <c r="B31" s="1" t="s">
        <v>1566</v>
      </c>
      <c r="C31" s="5">
        <v>46164</v>
      </c>
      <c r="D31" s="1" t="s">
        <v>60</v>
      </c>
      <c r="E31" s="6" t="s">
        <v>1549</v>
      </c>
      <c r="F31" s="6" t="s">
        <v>1546</v>
      </c>
      <c r="G31" s="1" t="s">
        <v>1506</v>
      </c>
      <c r="H31" s="1" t="s">
        <v>89</v>
      </c>
      <c r="I31" s="1" t="s">
        <v>35</v>
      </c>
      <c r="J31" s="1" t="s">
        <v>1519</v>
      </c>
      <c r="K31" s="1" t="s">
        <v>47</v>
      </c>
      <c r="L31" s="1" t="s">
        <v>31</v>
      </c>
      <c r="M31" s="1" t="s">
        <v>1513</v>
      </c>
      <c r="N31" s="1" t="s">
        <v>292</v>
      </c>
      <c r="O31" s="1" t="s">
        <v>66</v>
      </c>
      <c r="P31" s="1" t="s">
        <v>1521</v>
      </c>
      <c r="Q31" s="1" t="s">
        <v>1536</v>
      </c>
      <c r="R31" s="1" t="s">
        <v>45</v>
      </c>
      <c r="S31" s="1" t="s">
        <v>1344</v>
      </c>
      <c r="T31" s="1" t="s">
        <v>1327</v>
      </c>
      <c r="U31" s="1" t="s">
        <v>142</v>
      </c>
      <c r="V31" s="1">
        <v>25</v>
      </c>
      <c r="W31" s="1" t="s">
        <v>49</v>
      </c>
      <c r="X31" s="1" t="s">
        <v>91</v>
      </c>
      <c r="Y31" s="1" t="s">
        <v>78</v>
      </c>
      <c r="Z31" s="5">
        <v>46197</v>
      </c>
      <c r="AA31" s="5">
        <v>46171</v>
      </c>
      <c r="AB31" s="1" t="s">
        <v>1149</v>
      </c>
      <c r="AC31" s="9">
        <f>IF(C31="","",IF(AB31="Closed",AA31-C31,TODAY()-C31))</f>
        <v>0</v>
      </c>
      <c r="AD31" s="1" t="s">
        <v>30</v>
      </c>
    </row>
    <row r="32" spans="1:30">
      <c r="A32" s="1">
        <v>29</v>
      </c>
      <c r="B32" s="1" t="s">
        <v>1567</v>
      </c>
      <c r="C32" s="5">
        <v>46162</v>
      </c>
      <c r="D32" s="1" t="s">
        <v>60</v>
      </c>
      <c r="E32" s="6" t="s">
        <v>1512</v>
      </c>
      <c r="F32" s="6" t="s">
        <v>1546</v>
      </c>
      <c r="G32" s="1" t="s">
        <v>1506</v>
      </c>
      <c r="H32" s="1" t="s">
        <v>5</v>
      </c>
      <c r="I32" s="1" t="s">
        <v>21</v>
      </c>
      <c r="J32" s="1" t="s">
        <v>1519</v>
      </c>
      <c r="K32" s="1" t="s">
        <v>47</v>
      </c>
      <c r="L32" s="1" t="s">
        <v>40</v>
      </c>
      <c r="M32" s="1" t="s">
        <v>1528</v>
      </c>
      <c r="N32" s="1" t="s">
        <v>1540</v>
      </c>
      <c r="O32" s="1" t="s">
        <v>70</v>
      </c>
      <c r="P32" s="1" t="s">
        <v>1541</v>
      </c>
      <c r="Q32" s="1" t="s">
        <v>1510</v>
      </c>
      <c r="R32" s="1" t="s">
        <v>64</v>
      </c>
      <c r="S32" s="1" t="s">
        <v>305</v>
      </c>
      <c r="T32" s="1" t="s">
        <v>1350</v>
      </c>
      <c r="U32" s="1" t="s">
        <v>161</v>
      </c>
      <c r="V32" s="1">
        <v>17</v>
      </c>
      <c r="W32" s="1" t="s">
        <v>64</v>
      </c>
      <c r="X32" s="1" t="s">
        <v>26</v>
      </c>
      <c r="Y32" s="1" t="s">
        <v>15</v>
      </c>
      <c r="Z32" s="5">
        <v>46167</v>
      </c>
      <c r="AA32" s="5">
        <v>46206</v>
      </c>
      <c r="AB32" s="1" t="s">
        <v>580</v>
      </c>
      <c r="AC32" s="9">
        <f>IF(C32="","",IF(AB32="Closed",AA32-C32,TODAY()-C32))</f>
        <v>0</v>
      </c>
      <c r="AD32" s="1" t="s">
        <v>61</v>
      </c>
    </row>
    <row r="33" spans="1:30">
      <c r="A33" s="1">
        <v>30</v>
      </c>
      <c r="B33" s="1" t="s">
        <v>1568</v>
      </c>
      <c r="C33" s="5">
        <v>46152</v>
      </c>
      <c r="D33" s="1" t="s">
        <v>60</v>
      </c>
      <c r="E33" s="6" t="s">
        <v>1518</v>
      </c>
      <c r="F33" s="6" t="s">
        <v>1546</v>
      </c>
      <c r="G33" s="1" t="s">
        <v>1506</v>
      </c>
      <c r="H33" s="1" t="s">
        <v>46</v>
      </c>
      <c r="I33" s="1" t="s">
        <v>31</v>
      </c>
      <c r="J33" s="1" t="s">
        <v>1526</v>
      </c>
      <c r="K33" s="1" t="s">
        <v>1532</v>
      </c>
      <c r="L33" s="1" t="s">
        <v>82</v>
      </c>
      <c r="M33" s="1" t="s">
        <v>1516</v>
      </c>
      <c r="N33" s="1" t="s">
        <v>292</v>
      </c>
      <c r="O33" s="1" t="s">
        <v>93</v>
      </c>
      <c r="P33" s="1" t="s">
        <v>1521</v>
      </c>
      <c r="Q33" s="1" t="s">
        <v>1524</v>
      </c>
      <c r="R33" s="1" t="s">
        <v>12</v>
      </c>
      <c r="S33" s="1" t="s">
        <v>297</v>
      </c>
      <c r="T33" s="1" t="s">
        <v>1333</v>
      </c>
      <c r="U33" s="1" t="s">
        <v>161</v>
      </c>
      <c r="V33" s="1">
        <v>28</v>
      </c>
      <c r="W33" s="1" t="s">
        <v>49</v>
      </c>
      <c r="X33" s="1" t="s">
        <v>20</v>
      </c>
      <c r="Y33" s="1" t="s">
        <v>68</v>
      </c>
      <c r="Z33" s="5">
        <v>46188</v>
      </c>
      <c r="AA33" s="5">
        <v>46178</v>
      </c>
      <c r="AB33" s="1" t="s">
        <v>580</v>
      </c>
      <c r="AC33" s="9">
        <f>IF(C33="","",IF(AB33="Closed",AA33-C33,TODAY()-C33))</f>
        <v>0</v>
      </c>
      <c r="AD33" s="1" t="s">
        <v>91</v>
      </c>
    </row>
    <row r="34" spans="1:30">
      <c r="A34" s="1">
        <v>31</v>
      </c>
      <c r="B34" s="1" t="s">
        <v>1569</v>
      </c>
      <c r="C34" s="5">
        <v>46176</v>
      </c>
      <c r="D34" s="1" t="s">
        <v>73</v>
      </c>
      <c r="E34" s="6" t="s">
        <v>1504</v>
      </c>
      <c r="F34" s="6" t="s">
        <v>1546</v>
      </c>
      <c r="G34" s="1" t="s">
        <v>1506</v>
      </c>
      <c r="H34" s="1" t="s">
        <v>50</v>
      </c>
      <c r="I34" s="1" t="s">
        <v>95</v>
      </c>
      <c r="J34" s="1" t="s">
        <v>1507</v>
      </c>
      <c r="K34" s="1" t="s">
        <v>47</v>
      </c>
      <c r="L34" s="1" t="s">
        <v>31</v>
      </c>
      <c r="M34" s="1" t="s">
        <v>1516</v>
      </c>
      <c r="N34" s="1" t="s">
        <v>292</v>
      </c>
      <c r="O34" s="1" t="s">
        <v>104</v>
      </c>
      <c r="P34" s="1" t="s">
        <v>1514</v>
      </c>
      <c r="Q34" s="1" t="s">
        <v>1558</v>
      </c>
      <c r="R34" s="1" t="s">
        <v>57</v>
      </c>
      <c r="S34" s="1" t="s">
        <v>1344</v>
      </c>
      <c r="T34" s="1" t="s">
        <v>1327</v>
      </c>
      <c r="U34" s="1" t="s">
        <v>151</v>
      </c>
      <c r="V34" s="1">
        <v>15</v>
      </c>
      <c r="W34" s="1" t="s">
        <v>16</v>
      </c>
      <c r="X34" s="1" t="s">
        <v>16</v>
      </c>
      <c r="Y34" s="1" t="s">
        <v>22</v>
      </c>
      <c r="Z34" s="5">
        <v>46200</v>
      </c>
      <c r="AA34" s="5">
        <v>46211</v>
      </c>
      <c r="AB34" s="1" t="s">
        <v>580</v>
      </c>
      <c r="AC34" s="9">
        <f>IF(C34="","",IF(AB34="Closed",AA34-C34,TODAY()-C34))</f>
        <v>0</v>
      </c>
      <c r="AD34" s="1" t="s">
        <v>12</v>
      </c>
    </row>
    <row r="35" spans="1:30">
      <c r="A35" s="1">
        <v>32</v>
      </c>
      <c r="B35" s="1" t="s">
        <v>1570</v>
      </c>
      <c r="C35" s="5">
        <v>46207</v>
      </c>
      <c r="D35" s="1" t="s">
        <v>76</v>
      </c>
      <c r="E35" s="6" t="s">
        <v>1504</v>
      </c>
      <c r="F35" s="6" t="s">
        <v>1571</v>
      </c>
      <c r="G35" s="1" t="s">
        <v>1506</v>
      </c>
      <c r="H35" s="1" t="s">
        <v>39</v>
      </c>
      <c r="I35" s="1" t="s">
        <v>87</v>
      </c>
      <c r="J35" s="1" t="s">
        <v>1526</v>
      </c>
      <c r="K35" s="1" t="s">
        <v>1535</v>
      </c>
      <c r="L35" s="1" t="s">
        <v>77</v>
      </c>
      <c r="M35" s="1" t="s">
        <v>1508</v>
      </c>
      <c r="N35" s="1" t="s">
        <v>292</v>
      </c>
      <c r="O35" s="1" t="s">
        <v>15</v>
      </c>
      <c r="P35" s="1" t="s">
        <v>1541</v>
      </c>
      <c r="Q35" s="1" t="s">
        <v>1538</v>
      </c>
      <c r="R35" s="1" t="s">
        <v>57</v>
      </c>
      <c r="S35" s="1" t="s">
        <v>297</v>
      </c>
      <c r="T35" s="1" t="s">
        <v>1333</v>
      </c>
      <c r="U35" s="1" t="s">
        <v>161</v>
      </c>
      <c r="V35" s="1">
        <v>30</v>
      </c>
      <c r="W35" s="1" t="s">
        <v>16</v>
      </c>
      <c r="X35" s="1" t="s">
        <v>64</v>
      </c>
      <c r="Y35" s="1" t="s">
        <v>70</v>
      </c>
      <c r="Z35" s="5">
        <v>46247</v>
      </c>
      <c r="AA35" s="5">
        <v>46239</v>
      </c>
      <c r="AB35" s="1" t="s">
        <v>1149</v>
      </c>
      <c r="AC35" s="9">
        <f>IF(C35="","",IF(AB35="Closed",AA35-C35,TODAY()-C35))</f>
        <v>0</v>
      </c>
      <c r="AD35" s="1" t="s">
        <v>64</v>
      </c>
    </row>
    <row r="36" spans="1:30">
      <c r="A36" s="1">
        <v>33</v>
      </c>
      <c r="B36" s="1" t="s">
        <v>1572</v>
      </c>
      <c r="C36" s="5">
        <v>46223</v>
      </c>
      <c r="D36" s="1" t="s">
        <v>76</v>
      </c>
      <c r="E36" s="6" t="s">
        <v>1512</v>
      </c>
      <c r="F36" s="6" t="s">
        <v>1571</v>
      </c>
      <c r="G36" s="1" t="s">
        <v>1506</v>
      </c>
      <c r="H36" s="1" t="s">
        <v>58</v>
      </c>
      <c r="I36" s="1" t="s">
        <v>80</v>
      </c>
      <c r="J36" s="1" t="s">
        <v>1534</v>
      </c>
      <c r="K36" s="1" t="s">
        <v>1532</v>
      </c>
      <c r="L36" s="1" t="s">
        <v>87</v>
      </c>
      <c r="M36" s="1" t="s">
        <v>1513</v>
      </c>
      <c r="N36" s="1" t="s">
        <v>1556</v>
      </c>
      <c r="O36" s="1" t="s">
        <v>70</v>
      </c>
      <c r="P36" s="1" t="s">
        <v>1521</v>
      </c>
      <c r="Q36" s="1" t="s">
        <v>1538</v>
      </c>
      <c r="R36" s="1" t="s">
        <v>91</v>
      </c>
      <c r="S36" s="1" t="s">
        <v>1344</v>
      </c>
      <c r="T36" s="1" t="s">
        <v>1327</v>
      </c>
      <c r="U36" s="1" t="s">
        <v>151</v>
      </c>
      <c r="V36" s="1">
        <v>20</v>
      </c>
      <c r="W36" s="1" t="s">
        <v>12</v>
      </c>
      <c r="X36" s="1" t="s">
        <v>57</v>
      </c>
      <c r="Y36" s="1" t="s">
        <v>41</v>
      </c>
      <c r="Z36" s="5">
        <v>46244</v>
      </c>
      <c r="AA36" s="5">
        <v>46250</v>
      </c>
      <c r="AB36" s="1" t="s">
        <v>224</v>
      </c>
      <c r="AC36" s="9">
        <f>IF(C36="","",IF(AB36="Closed",AA36-C36,TODAY()-C36))</f>
        <v>0</v>
      </c>
      <c r="AD36" s="1" t="s">
        <v>16</v>
      </c>
    </row>
    <row r="37" spans="1:30">
      <c r="A37" s="1">
        <v>34</v>
      </c>
      <c r="B37" s="1" t="s">
        <v>1573</v>
      </c>
      <c r="C37" s="5">
        <v>46215</v>
      </c>
      <c r="D37" s="1" t="s">
        <v>76</v>
      </c>
      <c r="E37" s="6" t="s">
        <v>1518</v>
      </c>
      <c r="F37" s="6" t="s">
        <v>1571</v>
      </c>
      <c r="G37" s="1" t="s">
        <v>1506</v>
      </c>
      <c r="H37" s="1" t="s">
        <v>58</v>
      </c>
      <c r="I37" s="1" t="s">
        <v>40</v>
      </c>
      <c r="J37" s="1" t="s">
        <v>1519</v>
      </c>
      <c r="K37" s="1" t="s">
        <v>1535</v>
      </c>
      <c r="L37" s="1" t="s">
        <v>21</v>
      </c>
      <c r="M37" s="1" t="s">
        <v>1508</v>
      </c>
      <c r="N37" s="1" t="s">
        <v>292</v>
      </c>
      <c r="O37" s="1" t="s">
        <v>93</v>
      </c>
      <c r="P37" s="1" t="s">
        <v>58</v>
      </c>
      <c r="Q37" s="1" t="s">
        <v>1510</v>
      </c>
      <c r="R37" s="1" t="s">
        <v>38</v>
      </c>
      <c r="S37" s="1" t="s">
        <v>1344</v>
      </c>
      <c r="T37" s="1" t="s">
        <v>297</v>
      </c>
      <c r="U37" s="1" t="s">
        <v>161</v>
      </c>
      <c r="V37" s="1">
        <v>19</v>
      </c>
      <c r="W37" s="1" t="s">
        <v>30</v>
      </c>
      <c r="X37" s="1" t="s">
        <v>20</v>
      </c>
      <c r="Y37" s="1" t="s">
        <v>93</v>
      </c>
      <c r="Z37" s="5">
        <v>46241</v>
      </c>
      <c r="AA37" s="5">
        <v>46231</v>
      </c>
      <c r="AB37" s="1" t="s">
        <v>1149</v>
      </c>
      <c r="AC37" s="9">
        <f>IF(C37="","",IF(AB37="Closed",AA37-C37,TODAY()-C37))</f>
        <v>0</v>
      </c>
      <c r="AD37" s="1" t="s">
        <v>4</v>
      </c>
    </row>
    <row r="38" spans="1:30">
      <c r="A38" s="1">
        <v>35</v>
      </c>
      <c r="B38" s="1" t="s">
        <v>1574</v>
      </c>
      <c r="C38" s="5">
        <v>46248</v>
      </c>
      <c r="D38" s="1" t="s">
        <v>86</v>
      </c>
      <c r="E38" s="6" t="s">
        <v>1518</v>
      </c>
      <c r="F38" s="6" t="s">
        <v>1571</v>
      </c>
      <c r="G38" s="1" t="s">
        <v>1506</v>
      </c>
      <c r="H38" s="1" t="s">
        <v>27</v>
      </c>
      <c r="I38" s="1" t="s">
        <v>95</v>
      </c>
      <c r="J38" s="1" t="s">
        <v>1534</v>
      </c>
      <c r="K38" s="1" t="s">
        <v>1535</v>
      </c>
      <c r="L38" s="1" t="s">
        <v>82</v>
      </c>
      <c r="M38" s="1" t="s">
        <v>1520</v>
      </c>
      <c r="N38" s="1" t="s">
        <v>1509</v>
      </c>
      <c r="O38" s="1" t="s">
        <v>93</v>
      </c>
      <c r="P38" s="1" t="s">
        <v>1514</v>
      </c>
      <c r="Q38" s="1" t="s">
        <v>1524</v>
      </c>
      <c r="R38" s="1" t="s">
        <v>91</v>
      </c>
      <c r="S38" s="1" t="s">
        <v>297</v>
      </c>
      <c r="T38" s="1" t="s">
        <v>1329</v>
      </c>
      <c r="U38" s="1" t="s">
        <v>161</v>
      </c>
      <c r="V38" s="1">
        <v>4</v>
      </c>
      <c r="W38" s="1" t="s">
        <v>38</v>
      </c>
      <c r="X38" s="1" t="s">
        <v>45</v>
      </c>
      <c r="Y38" s="1" t="s">
        <v>78</v>
      </c>
      <c r="Z38" s="5">
        <v>46277</v>
      </c>
      <c r="AA38" s="5">
        <v>46269</v>
      </c>
      <c r="AB38" s="1" t="s">
        <v>580</v>
      </c>
      <c r="AC38" s="9">
        <f>IF(C38="","",IF(AB38="Closed",AA38-C38,TODAY()-C38))</f>
        <v>0</v>
      </c>
      <c r="AD38" s="1" t="s">
        <v>61</v>
      </c>
    </row>
    <row r="39" spans="1:30">
      <c r="A39" s="1">
        <v>36</v>
      </c>
      <c r="B39" s="1" t="s">
        <v>1575</v>
      </c>
      <c r="C39" s="5">
        <v>46253</v>
      </c>
      <c r="D39" s="1" t="s">
        <v>86</v>
      </c>
      <c r="E39" s="6" t="s">
        <v>1512</v>
      </c>
      <c r="F39" s="6" t="s">
        <v>1571</v>
      </c>
      <c r="G39" s="1" t="s">
        <v>1506</v>
      </c>
      <c r="H39" s="1" t="s">
        <v>92</v>
      </c>
      <c r="I39" s="1" t="s">
        <v>6</v>
      </c>
      <c r="J39" s="1" t="s">
        <v>1526</v>
      </c>
      <c r="K39" s="1" t="s">
        <v>1535</v>
      </c>
      <c r="L39" s="1" t="s">
        <v>80</v>
      </c>
      <c r="M39" s="1" t="s">
        <v>1508</v>
      </c>
      <c r="N39" s="1" t="s">
        <v>292</v>
      </c>
      <c r="O39" s="1" t="s">
        <v>7</v>
      </c>
      <c r="P39" s="1" t="s">
        <v>1521</v>
      </c>
      <c r="Q39" s="1" t="s">
        <v>1522</v>
      </c>
      <c r="R39" s="1" t="s">
        <v>20</v>
      </c>
      <c r="S39" s="1" t="s">
        <v>1344</v>
      </c>
      <c r="T39" s="1" t="s">
        <v>1327</v>
      </c>
      <c r="U39" s="1" t="s">
        <v>142</v>
      </c>
      <c r="V39" s="1">
        <v>5</v>
      </c>
      <c r="W39" s="1" t="s">
        <v>26</v>
      </c>
      <c r="X39" s="1" t="s">
        <v>38</v>
      </c>
      <c r="Y39" s="1" t="s">
        <v>93</v>
      </c>
      <c r="Z39" s="5">
        <v>46265</v>
      </c>
      <c r="AA39" s="5">
        <v>46264</v>
      </c>
      <c r="AB39" s="1" t="s">
        <v>580</v>
      </c>
      <c r="AC39" s="9">
        <f>IF(C39="","",IF(AB39="Closed",AA39-C39,TODAY()-C39))</f>
        <v>0</v>
      </c>
      <c r="AD39" s="1" t="s">
        <v>20</v>
      </c>
    </row>
    <row r="40" spans="1:30">
      <c r="A40" s="1">
        <v>37</v>
      </c>
      <c r="B40" s="1" t="s">
        <v>1576</v>
      </c>
      <c r="C40" s="5">
        <v>46282</v>
      </c>
      <c r="D40" s="1" t="s">
        <v>102</v>
      </c>
      <c r="E40" s="6" t="s">
        <v>1512</v>
      </c>
      <c r="F40" s="6" t="s">
        <v>1571</v>
      </c>
      <c r="G40" s="1" t="s">
        <v>1506</v>
      </c>
      <c r="H40" s="1" t="s">
        <v>46</v>
      </c>
      <c r="I40" s="1" t="s">
        <v>77</v>
      </c>
      <c r="J40" s="1" t="s">
        <v>1530</v>
      </c>
      <c r="K40" s="1" t="s">
        <v>1527</v>
      </c>
      <c r="L40" s="1" t="s">
        <v>31</v>
      </c>
      <c r="M40" s="1" t="s">
        <v>1513</v>
      </c>
      <c r="N40" s="1" t="s">
        <v>1556</v>
      </c>
      <c r="O40" s="1" t="s">
        <v>93</v>
      </c>
      <c r="P40" s="1" t="s">
        <v>1521</v>
      </c>
      <c r="Q40" s="1" t="s">
        <v>1538</v>
      </c>
      <c r="R40" s="1" t="s">
        <v>91</v>
      </c>
      <c r="S40" s="1" t="s">
        <v>297</v>
      </c>
      <c r="T40" s="1" t="s">
        <v>1333</v>
      </c>
      <c r="U40" s="1" t="s">
        <v>151</v>
      </c>
      <c r="V40" s="1">
        <v>14</v>
      </c>
      <c r="W40" s="1" t="s">
        <v>38</v>
      </c>
      <c r="X40" s="1" t="s">
        <v>16</v>
      </c>
      <c r="Y40" s="1" t="s">
        <v>66</v>
      </c>
      <c r="Z40" s="5">
        <v>46324</v>
      </c>
      <c r="AA40" s="5">
        <v>46321</v>
      </c>
      <c r="AB40" s="1" t="s">
        <v>224</v>
      </c>
      <c r="AC40" s="9">
        <f>IF(C40="","",IF(AB40="Closed",AA40-C40,TODAY()-C40))</f>
        <v>0</v>
      </c>
      <c r="AD40" s="1" t="s">
        <v>12</v>
      </c>
    </row>
    <row r="41" spans="1:30">
      <c r="A41" s="1">
        <v>38</v>
      </c>
      <c r="B41" s="1" t="s">
        <v>1577</v>
      </c>
      <c r="C41" s="5">
        <v>46278</v>
      </c>
      <c r="D41" s="1" t="s">
        <v>102</v>
      </c>
      <c r="E41" s="6" t="s">
        <v>1518</v>
      </c>
      <c r="F41" s="6" t="s">
        <v>1571</v>
      </c>
      <c r="G41" s="1" t="s">
        <v>1506</v>
      </c>
      <c r="H41" s="1" t="s">
        <v>5</v>
      </c>
      <c r="I41" s="1" t="s">
        <v>82</v>
      </c>
      <c r="J41" s="1" t="s">
        <v>1530</v>
      </c>
      <c r="K41" s="1" t="s">
        <v>1535</v>
      </c>
      <c r="L41" s="1" t="s">
        <v>14</v>
      </c>
      <c r="M41" s="1" t="s">
        <v>1508</v>
      </c>
      <c r="N41" s="1" t="s">
        <v>292</v>
      </c>
      <c r="O41" s="1" t="s">
        <v>41</v>
      </c>
      <c r="P41" s="1" t="s">
        <v>58</v>
      </c>
      <c r="Q41" s="1" t="s">
        <v>1538</v>
      </c>
      <c r="R41" s="1" t="s">
        <v>45</v>
      </c>
      <c r="S41" s="1" t="s">
        <v>1344</v>
      </c>
      <c r="T41" s="1" t="s">
        <v>297</v>
      </c>
      <c r="U41" s="1" t="s">
        <v>142</v>
      </c>
      <c r="V41" s="1">
        <v>23</v>
      </c>
      <c r="W41" s="1" t="s">
        <v>61</v>
      </c>
      <c r="X41" s="1" t="s">
        <v>20</v>
      </c>
      <c r="Y41" s="1" t="s">
        <v>36</v>
      </c>
      <c r="Z41" s="5">
        <v>46291</v>
      </c>
      <c r="AA41" s="5">
        <v>46323</v>
      </c>
      <c r="AB41" s="1" t="s">
        <v>224</v>
      </c>
      <c r="AC41" s="9">
        <f>IF(C41="","",IF(AB41="Closed",AA41-C41,TODAY()-C41))</f>
        <v>0</v>
      </c>
      <c r="AD41" s="1" t="s">
        <v>61</v>
      </c>
    </row>
    <row r="42" spans="1:30">
      <c r="A42" s="1">
        <v>39</v>
      </c>
      <c r="B42" s="1" t="s">
        <v>1578</v>
      </c>
      <c r="C42" s="5">
        <v>46274</v>
      </c>
      <c r="D42" s="1" t="s">
        <v>102</v>
      </c>
      <c r="E42" s="6" t="s">
        <v>1518</v>
      </c>
      <c r="F42" s="6" t="s">
        <v>1571</v>
      </c>
      <c r="G42" s="1" t="s">
        <v>1506</v>
      </c>
      <c r="H42" s="1" t="s">
        <v>92</v>
      </c>
      <c r="I42" s="1" t="s">
        <v>35</v>
      </c>
      <c r="J42" s="1" t="s">
        <v>1530</v>
      </c>
      <c r="K42" s="1" t="s">
        <v>1527</v>
      </c>
      <c r="L42" s="1" t="s">
        <v>77</v>
      </c>
      <c r="M42" s="1" t="s">
        <v>1513</v>
      </c>
      <c r="N42" s="1" t="s">
        <v>292</v>
      </c>
      <c r="O42" s="1" t="s">
        <v>68</v>
      </c>
      <c r="P42" s="1" t="s">
        <v>58</v>
      </c>
      <c r="Q42" s="1" t="s">
        <v>1538</v>
      </c>
      <c r="R42" s="1" t="s">
        <v>4</v>
      </c>
      <c r="S42" s="1" t="s">
        <v>1344</v>
      </c>
      <c r="T42" s="1" t="s">
        <v>1344</v>
      </c>
      <c r="U42" s="1" t="s">
        <v>151</v>
      </c>
      <c r="V42" s="1">
        <v>26</v>
      </c>
      <c r="W42" s="1" t="s">
        <v>30</v>
      </c>
      <c r="X42" s="1" t="s">
        <v>49</v>
      </c>
      <c r="Y42" s="1" t="s">
        <v>28</v>
      </c>
      <c r="Z42" s="5">
        <v>46316</v>
      </c>
      <c r="AA42" s="5">
        <v>46296</v>
      </c>
      <c r="AB42" s="1" t="s">
        <v>580</v>
      </c>
      <c r="AC42" s="9">
        <f>IF(C42="","",IF(AB42="Closed",AA42-C42,TODAY()-C42))</f>
        <v>0</v>
      </c>
      <c r="AD42" s="1" t="s">
        <v>45</v>
      </c>
    </row>
    <row r="43" spans="1:30">
      <c r="A43" s="1">
        <v>40</v>
      </c>
      <c r="B43" s="1" t="s">
        <v>1579</v>
      </c>
      <c r="C43" s="5">
        <v>46293</v>
      </c>
      <c r="D43" s="1" t="s">
        <v>102</v>
      </c>
      <c r="E43" s="6" t="s">
        <v>1549</v>
      </c>
      <c r="F43" s="6" t="s">
        <v>1571</v>
      </c>
      <c r="G43" s="1" t="s">
        <v>1506</v>
      </c>
      <c r="H43" s="1" t="s">
        <v>92</v>
      </c>
      <c r="I43" s="1" t="s">
        <v>40</v>
      </c>
      <c r="J43" s="1" t="s">
        <v>1534</v>
      </c>
      <c r="K43" s="1" t="s">
        <v>1535</v>
      </c>
      <c r="L43" s="1" t="s">
        <v>51</v>
      </c>
      <c r="M43" s="1" t="s">
        <v>1508</v>
      </c>
      <c r="N43" s="1" t="s">
        <v>1509</v>
      </c>
      <c r="O43" s="1" t="s">
        <v>36</v>
      </c>
      <c r="P43" s="1" t="s">
        <v>1514</v>
      </c>
      <c r="Q43" s="1" t="s">
        <v>1558</v>
      </c>
      <c r="R43" s="1" t="s">
        <v>20</v>
      </c>
      <c r="S43" s="1" t="s">
        <v>305</v>
      </c>
      <c r="T43" s="1" t="s">
        <v>297</v>
      </c>
      <c r="U43" s="1" t="s">
        <v>151</v>
      </c>
      <c r="V43" s="1">
        <v>7</v>
      </c>
      <c r="W43" s="1" t="s">
        <v>12</v>
      </c>
      <c r="X43" s="1" t="s">
        <v>91</v>
      </c>
      <c r="Y43" s="1" t="s">
        <v>104</v>
      </c>
      <c r="Z43" s="5">
        <v>46310</v>
      </c>
      <c r="AA43" s="5">
        <v>46329</v>
      </c>
      <c r="AB43" s="1" t="s">
        <v>580</v>
      </c>
      <c r="AC43" s="9">
        <f>IF(C43="","",IF(AB43="Closed",AA43-C43,TODAY()-C43))</f>
        <v>0</v>
      </c>
      <c r="AD43" s="1" t="s">
        <v>57</v>
      </c>
    </row>
    <row r="44" spans="1:30">
      <c r="A44" s="1">
        <v>41</v>
      </c>
      <c r="B44" s="1" t="s">
        <v>1580</v>
      </c>
      <c r="C44" s="5">
        <v>46291</v>
      </c>
      <c r="D44" s="1" t="s">
        <v>102</v>
      </c>
      <c r="E44" s="6" t="s">
        <v>1549</v>
      </c>
      <c r="F44" s="6" t="s">
        <v>1571</v>
      </c>
      <c r="G44" s="1" t="s">
        <v>1506</v>
      </c>
      <c r="H44" s="1" t="s">
        <v>46</v>
      </c>
      <c r="I44" s="1" t="s">
        <v>95</v>
      </c>
      <c r="J44" s="1" t="s">
        <v>1534</v>
      </c>
      <c r="K44" s="1" t="s">
        <v>1527</v>
      </c>
      <c r="L44" s="1" t="s">
        <v>35</v>
      </c>
      <c r="M44" s="1" t="s">
        <v>1528</v>
      </c>
      <c r="N44" s="1" t="s">
        <v>292</v>
      </c>
      <c r="O44" s="1" t="s">
        <v>22</v>
      </c>
      <c r="P44" s="1" t="s">
        <v>1514</v>
      </c>
      <c r="Q44" s="1" t="s">
        <v>1558</v>
      </c>
      <c r="R44" s="1" t="s">
        <v>61</v>
      </c>
      <c r="S44" s="1" t="s">
        <v>1516</v>
      </c>
      <c r="T44" s="1" t="s">
        <v>1344</v>
      </c>
      <c r="U44" s="1" t="s">
        <v>161</v>
      </c>
      <c r="V44" s="1">
        <v>29</v>
      </c>
      <c r="W44" s="1" t="s">
        <v>91</v>
      </c>
      <c r="X44" s="1" t="s">
        <v>12</v>
      </c>
      <c r="Y44" s="1" t="s">
        <v>15</v>
      </c>
      <c r="Z44" s="5">
        <v>46301</v>
      </c>
      <c r="AA44" s="5">
        <v>46320</v>
      </c>
      <c r="AB44" s="1" t="s">
        <v>580</v>
      </c>
      <c r="AC44" s="9">
        <f>IF(C44="","",IF(AB44="Closed",AA44-C44,TODAY()-C44))</f>
        <v>0</v>
      </c>
      <c r="AD44" s="1" t="s">
        <v>64</v>
      </c>
    </row>
    <row r="45" spans="1:30">
      <c r="A45" s="1">
        <v>42</v>
      </c>
      <c r="B45" s="1" t="s">
        <v>1581</v>
      </c>
      <c r="C45" s="5">
        <v>46315</v>
      </c>
      <c r="D45" s="1" t="s">
        <v>106</v>
      </c>
      <c r="E45" s="6" t="s">
        <v>1512</v>
      </c>
      <c r="F45" s="6" t="s">
        <v>1582</v>
      </c>
      <c r="G45" s="1" t="s">
        <v>1506</v>
      </c>
      <c r="H45" s="1" t="s">
        <v>13</v>
      </c>
      <c r="I45" s="1" t="s">
        <v>14</v>
      </c>
      <c r="J45" s="1" t="s">
        <v>1519</v>
      </c>
      <c r="K45" s="1" t="s">
        <v>1527</v>
      </c>
      <c r="L45" s="1" t="s">
        <v>80</v>
      </c>
      <c r="M45" s="1" t="s">
        <v>1528</v>
      </c>
      <c r="N45" s="1" t="s">
        <v>292</v>
      </c>
      <c r="O45" s="1" t="s">
        <v>68</v>
      </c>
      <c r="P45" s="1" t="s">
        <v>1521</v>
      </c>
      <c r="Q45" s="1" t="s">
        <v>1522</v>
      </c>
      <c r="R45" s="1" t="s">
        <v>26</v>
      </c>
      <c r="S45" s="1" t="s">
        <v>1516</v>
      </c>
      <c r="T45" s="1" t="s">
        <v>305</v>
      </c>
      <c r="U45" s="1" t="s">
        <v>142</v>
      </c>
      <c r="V45" s="1">
        <v>15</v>
      </c>
      <c r="W45" s="1" t="s">
        <v>20</v>
      </c>
      <c r="X45" s="1" t="s">
        <v>45</v>
      </c>
      <c r="Y45" s="1" t="s">
        <v>93</v>
      </c>
      <c r="Z45" s="5">
        <v>46338</v>
      </c>
      <c r="AA45" s="5">
        <v>46343</v>
      </c>
      <c r="AB45" s="1" t="s">
        <v>580</v>
      </c>
      <c r="AC45" s="9">
        <f>IF(C45="","",IF(AB45="Closed",AA45-C45,TODAY()-C45))</f>
        <v>0</v>
      </c>
      <c r="AD45" s="1" t="s">
        <v>16</v>
      </c>
    </row>
    <row r="46" spans="1:30">
      <c r="A46" s="1">
        <v>43</v>
      </c>
      <c r="B46" s="1" t="s">
        <v>1583</v>
      </c>
      <c r="C46" s="5">
        <v>46310</v>
      </c>
      <c r="D46" s="1" t="s">
        <v>106</v>
      </c>
      <c r="E46" s="6" t="s">
        <v>1512</v>
      </c>
      <c r="F46" s="6" t="s">
        <v>1582</v>
      </c>
      <c r="G46" s="1" t="s">
        <v>1506</v>
      </c>
      <c r="H46" s="1" t="s">
        <v>5</v>
      </c>
      <c r="I46" s="1" t="s">
        <v>35</v>
      </c>
      <c r="J46" s="1" t="s">
        <v>1547</v>
      </c>
      <c r="K46" s="1" t="s">
        <v>1532</v>
      </c>
      <c r="L46" s="1" t="s">
        <v>80</v>
      </c>
      <c r="M46" s="1" t="s">
        <v>1508</v>
      </c>
      <c r="N46" s="1" t="s">
        <v>292</v>
      </c>
      <c r="O46" s="1" t="s">
        <v>93</v>
      </c>
      <c r="P46" s="1" t="s">
        <v>1514</v>
      </c>
      <c r="Q46" s="1" t="s">
        <v>1558</v>
      </c>
      <c r="R46" s="1" t="s">
        <v>30</v>
      </c>
      <c r="S46" s="1" t="s">
        <v>1516</v>
      </c>
      <c r="T46" s="1" t="s">
        <v>1329</v>
      </c>
      <c r="U46" s="1" t="s">
        <v>142</v>
      </c>
      <c r="V46" s="1">
        <v>23</v>
      </c>
      <c r="W46" s="1" t="s">
        <v>64</v>
      </c>
      <c r="X46" s="1" t="s">
        <v>16</v>
      </c>
      <c r="Y46" s="1" t="s">
        <v>28</v>
      </c>
      <c r="Z46" s="5">
        <v>46332</v>
      </c>
      <c r="AA46" s="5">
        <v>46340</v>
      </c>
      <c r="AB46" s="1" t="s">
        <v>580</v>
      </c>
      <c r="AC46" s="9">
        <f>IF(C46="","",IF(AB46="Closed",AA46-C46,TODAY()-C46))</f>
        <v>0</v>
      </c>
      <c r="AD46" s="1" t="s">
        <v>45</v>
      </c>
    </row>
    <row r="47" spans="1:30">
      <c r="A47" s="1">
        <v>44</v>
      </c>
      <c r="B47" s="1" t="s">
        <v>1584</v>
      </c>
      <c r="C47" s="5">
        <v>46342</v>
      </c>
      <c r="D47" s="1" t="s">
        <v>111</v>
      </c>
      <c r="E47" s="6" t="s">
        <v>1512</v>
      </c>
      <c r="F47" s="6" t="s">
        <v>1582</v>
      </c>
      <c r="G47" s="1" t="s">
        <v>1506</v>
      </c>
      <c r="H47" s="1" t="s">
        <v>89</v>
      </c>
      <c r="I47" s="1" t="s">
        <v>82</v>
      </c>
      <c r="J47" s="1" t="s">
        <v>1534</v>
      </c>
      <c r="K47" s="1" t="s">
        <v>47</v>
      </c>
      <c r="L47" s="1" t="s">
        <v>40</v>
      </c>
      <c r="M47" s="1" t="s">
        <v>1513</v>
      </c>
      <c r="N47" s="1" t="s">
        <v>1540</v>
      </c>
      <c r="O47" s="1" t="s">
        <v>62</v>
      </c>
      <c r="P47" s="1" t="s">
        <v>1521</v>
      </c>
      <c r="Q47" s="1" t="s">
        <v>1515</v>
      </c>
      <c r="R47" s="1" t="s">
        <v>49</v>
      </c>
      <c r="S47" s="1" t="s">
        <v>1344</v>
      </c>
      <c r="T47" s="1" t="s">
        <v>1350</v>
      </c>
      <c r="U47" s="1" t="s">
        <v>161</v>
      </c>
      <c r="V47" s="1">
        <v>10</v>
      </c>
      <c r="W47" s="1" t="s">
        <v>16</v>
      </c>
      <c r="X47" s="1" t="s">
        <v>16</v>
      </c>
      <c r="Y47" s="1" t="s">
        <v>41</v>
      </c>
      <c r="Z47" s="5">
        <v>46351</v>
      </c>
      <c r="AA47" s="5">
        <v>46367</v>
      </c>
      <c r="AB47" s="1" t="s">
        <v>580</v>
      </c>
      <c r="AC47" s="9">
        <f>IF(C47="","",IF(AB47="Closed",AA47-C47,TODAY()-C47))</f>
        <v>0</v>
      </c>
      <c r="AD47" s="1" t="s">
        <v>16</v>
      </c>
    </row>
    <row r="48" spans="1:30">
      <c r="A48" s="1">
        <v>45</v>
      </c>
      <c r="B48" s="1" t="s">
        <v>1585</v>
      </c>
      <c r="C48" s="5">
        <v>46348</v>
      </c>
      <c r="D48" s="1" t="s">
        <v>111</v>
      </c>
      <c r="E48" s="6" t="s">
        <v>1549</v>
      </c>
      <c r="F48" s="6" t="s">
        <v>1582</v>
      </c>
      <c r="G48" s="1" t="s">
        <v>1506</v>
      </c>
      <c r="H48" s="1" t="s">
        <v>39</v>
      </c>
      <c r="I48" s="1" t="s">
        <v>77</v>
      </c>
      <c r="J48" s="1" t="s">
        <v>1547</v>
      </c>
      <c r="K48" s="1" t="s">
        <v>1532</v>
      </c>
      <c r="L48" s="1" t="s">
        <v>31</v>
      </c>
      <c r="M48" s="1" t="s">
        <v>1520</v>
      </c>
      <c r="N48" s="1" t="s">
        <v>292</v>
      </c>
      <c r="O48" s="1" t="s">
        <v>32</v>
      </c>
      <c r="P48" s="1" t="s">
        <v>1521</v>
      </c>
      <c r="Q48" s="1" t="s">
        <v>1524</v>
      </c>
      <c r="R48" s="1" t="s">
        <v>54</v>
      </c>
      <c r="S48" s="1" t="s">
        <v>297</v>
      </c>
      <c r="T48" s="1" t="s">
        <v>1325</v>
      </c>
      <c r="U48" s="1" t="s">
        <v>161</v>
      </c>
      <c r="V48" s="1">
        <v>22</v>
      </c>
      <c r="W48" s="1" t="s">
        <v>38</v>
      </c>
      <c r="X48" s="1" t="s">
        <v>12</v>
      </c>
      <c r="Y48" s="1" t="s">
        <v>93</v>
      </c>
      <c r="Z48" s="5">
        <v>46364</v>
      </c>
      <c r="AA48" s="5">
        <v>46379</v>
      </c>
      <c r="AB48" s="1" t="s">
        <v>580</v>
      </c>
      <c r="AC48" s="9">
        <f>IF(C48="","",IF(AB48="Closed",AA48-C48,TODAY()-C48))</f>
        <v>0</v>
      </c>
      <c r="AD48" s="1" t="s">
        <v>20</v>
      </c>
    </row>
    <row r="49" spans="1:30">
      <c r="A49" s="1">
        <v>46</v>
      </c>
      <c r="B49" s="1" t="s">
        <v>1586</v>
      </c>
      <c r="C49" s="5">
        <v>46327</v>
      </c>
      <c r="D49" s="1" t="s">
        <v>111</v>
      </c>
      <c r="E49" s="6" t="s">
        <v>1504</v>
      </c>
      <c r="F49" s="6" t="s">
        <v>1582</v>
      </c>
      <c r="G49" s="1" t="s">
        <v>1506</v>
      </c>
      <c r="H49" s="1" t="s">
        <v>58</v>
      </c>
      <c r="I49" s="1" t="s">
        <v>95</v>
      </c>
      <c r="J49" s="1" t="s">
        <v>1519</v>
      </c>
      <c r="K49" s="1" t="s">
        <v>1527</v>
      </c>
      <c r="L49" s="1" t="s">
        <v>80</v>
      </c>
      <c r="M49" s="1" t="s">
        <v>1520</v>
      </c>
      <c r="N49" s="1" t="s">
        <v>292</v>
      </c>
      <c r="O49" s="1" t="s">
        <v>41</v>
      </c>
      <c r="P49" s="1" t="s">
        <v>1541</v>
      </c>
      <c r="Q49" s="1" t="s">
        <v>1515</v>
      </c>
      <c r="R49" s="1" t="s">
        <v>38</v>
      </c>
      <c r="S49" s="1" t="s">
        <v>297</v>
      </c>
      <c r="T49" s="1" t="s">
        <v>305</v>
      </c>
      <c r="U49" s="1" t="s">
        <v>151</v>
      </c>
      <c r="V49" s="1">
        <v>12</v>
      </c>
      <c r="W49" s="1" t="s">
        <v>64</v>
      </c>
      <c r="X49" s="1" t="s">
        <v>45</v>
      </c>
      <c r="Y49" s="1" t="s">
        <v>32</v>
      </c>
      <c r="Z49" s="5">
        <v>46341</v>
      </c>
      <c r="AA49" s="5">
        <v>46362</v>
      </c>
      <c r="AB49" s="1" t="s">
        <v>580</v>
      </c>
      <c r="AC49" s="9">
        <f>IF(C49="","",IF(AB49="Closed",AA49-C49,TODAY()-C49))</f>
        <v>0</v>
      </c>
      <c r="AD49" s="1" t="s">
        <v>54</v>
      </c>
    </row>
    <row r="50" spans="1:30">
      <c r="A50" s="1">
        <v>47</v>
      </c>
      <c r="B50" s="1" t="s">
        <v>1587</v>
      </c>
      <c r="C50" s="5">
        <v>46383</v>
      </c>
      <c r="D50" s="1" t="s">
        <v>122</v>
      </c>
      <c r="E50" s="6" t="s">
        <v>1549</v>
      </c>
      <c r="F50" s="6" t="s">
        <v>1582</v>
      </c>
      <c r="G50" s="1" t="s">
        <v>1506</v>
      </c>
      <c r="H50" s="1" t="s">
        <v>65</v>
      </c>
      <c r="I50" s="1" t="s">
        <v>95</v>
      </c>
      <c r="J50" s="1" t="s">
        <v>1534</v>
      </c>
      <c r="K50" s="1" t="s">
        <v>1535</v>
      </c>
      <c r="L50" s="1" t="s">
        <v>31</v>
      </c>
      <c r="M50" s="1" t="s">
        <v>1528</v>
      </c>
      <c r="N50" s="1" t="s">
        <v>1509</v>
      </c>
      <c r="O50" s="1" t="s">
        <v>41</v>
      </c>
      <c r="P50" s="1" t="s">
        <v>58</v>
      </c>
      <c r="Q50" s="1" t="s">
        <v>1510</v>
      </c>
      <c r="R50" s="1" t="s">
        <v>20</v>
      </c>
      <c r="S50" s="1" t="s">
        <v>1516</v>
      </c>
      <c r="T50" s="1" t="s">
        <v>1333</v>
      </c>
      <c r="U50" s="1" t="s">
        <v>161</v>
      </c>
      <c r="V50" s="1">
        <v>7</v>
      </c>
      <c r="W50" s="1" t="s">
        <v>4</v>
      </c>
      <c r="X50" s="1" t="s">
        <v>64</v>
      </c>
      <c r="Y50" s="1" t="s">
        <v>32</v>
      </c>
      <c r="Z50" s="5">
        <v>46388</v>
      </c>
      <c r="AA50" s="5">
        <v>46407</v>
      </c>
      <c r="AB50" s="1" t="s">
        <v>580</v>
      </c>
      <c r="AC50" s="9">
        <f>IF(C50="","",IF(AB50="Closed",AA50-C50,TODAY()-C50))</f>
        <v>0</v>
      </c>
      <c r="AD50" s="1" t="s">
        <v>57</v>
      </c>
    </row>
    <row r="51" spans="1:30">
      <c r="A51" s="1">
        <v>48</v>
      </c>
      <c r="B51" s="1" t="s">
        <v>1588</v>
      </c>
      <c r="C51" s="5">
        <v>46383</v>
      </c>
      <c r="D51" s="1" t="s">
        <v>122</v>
      </c>
      <c r="E51" s="6" t="s">
        <v>1549</v>
      </c>
      <c r="F51" s="6" t="s">
        <v>1582</v>
      </c>
      <c r="G51" s="1" t="s">
        <v>1506</v>
      </c>
      <c r="H51" s="1" t="s">
        <v>89</v>
      </c>
      <c r="I51" s="1" t="s">
        <v>87</v>
      </c>
      <c r="J51" s="1" t="s">
        <v>1519</v>
      </c>
      <c r="K51" s="1" t="s">
        <v>47</v>
      </c>
      <c r="L51" s="1" t="s">
        <v>77</v>
      </c>
      <c r="M51" s="1" t="s">
        <v>1520</v>
      </c>
      <c r="N51" s="1" t="s">
        <v>1556</v>
      </c>
      <c r="O51" s="1" t="s">
        <v>68</v>
      </c>
      <c r="P51" s="1" t="s">
        <v>58</v>
      </c>
      <c r="Q51" s="1" t="s">
        <v>1522</v>
      </c>
      <c r="R51" s="1" t="s">
        <v>91</v>
      </c>
      <c r="S51" s="1" t="s">
        <v>305</v>
      </c>
      <c r="T51" s="1" t="s">
        <v>1327</v>
      </c>
      <c r="U51" s="1" t="s">
        <v>142</v>
      </c>
      <c r="V51" s="1">
        <v>29</v>
      </c>
      <c r="W51" s="1" t="s">
        <v>49</v>
      </c>
      <c r="X51" s="1" t="s">
        <v>12</v>
      </c>
      <c r="Y51" s="1" t="s">
        <v>36</v>
      </c>
      <c r="Z51" s="5">
        <v>46396</v>
      </c>
      <c r="AA51" s="5">
        <v>46424</v>
      </c>
      <c r="AB51" s="1" t="s">
        <v>580</v>
      </c>
      <c r="AC51" s="9">
        <f>IF(C51="","",IF(AB51="Closed",AA51-C51,TODAY()-C51))</f>
        <v>0</v>
      </c>
      <c r="AD51" s="1" t="s">
        <v>91</v>
      </c>
    </row>
    <row r="52" spans="1:30">
      <c r="AC52" s="9">
        <f>IF(C52="","",IF(AB52="Closed",AA52-C52,TODAY()-C52))</f>
        <v>0</v>
      </c>
    </row>
    <row r="53" spans="1:30">
      <c r="AC53" s="9">
        <f>IF(C53="","",IF(AB53="Closed",AA53-C53,TODAY()-C53))</f>
        <v>0</v>
      </c>
    </row>
    <row r="54" spans="1:30">
      <c r="AC54" s="9">
        <f>IF(C54="","",IF(AB54="Closed",AA54-C54,TODAY()-C54))</f>
        <v>0</v>
      </c>
    </row>
    <row r="55" spans="1:30">
      <c r="AC55" s="9">
        <f>IF(C55="","",IF(AB55="Closed",AA55-C55,TODAY()-C55))</f>
        <v>0</v>
      </c>
    </row>
    <row r="56" spans="1:30">
      <c r="AC56" s="9">
        <f>IF(C56="","",IF(AB56="Closed",AA56-C56,TODAY()-C56))</f>
        <v>0</v>
      </c>
    </row>
    <row r="57" spans="1:30">
      <c r="AC57" s="9">
        <f>IF(C57="","",IF(AB57="Closed",AA57-C57,TODAY()-C57))</f>
        <v>0</v>
      </c>
    </row>
    <row r="58" spans="1:30">
      <c r="AC58" s="9">
        <f>IF(C58="","",IF(AB58="Closed",AA58-C58,TODAY()-C58))</f>
        <v>0</v>
      </c>
    </row>
    <row r="59" spans="1:30">
      <c r="AC59" s="9">
        <f>IF(C59="","",IF(AB59="Closed",AA59-C59,TODAY()-C59))</f>
        <v>0</v>
      </c>
    </row>
    <row r="60" spans="1:30">
      <c r="AC60" s="9">
        <f>IF(C60="","",IF(AB60="Closed",AA60-C60,TODAY()-C60))</f>
        <v>0</v>
      </c>
    </row>
    <row r="61" spans="1:30">
      <c r="AC61" s="9">
        <f>IF(C61="","",IF(AB61="Closed",AA61-C61,TODAY()-C61))</f>
        <v>0</v>
      </c>
    </row>
    <row r="62" spans="1:30">
      <c r="AC62" s="9">
        <f>IF(C62="","",IF(AB62="Closed",AA62-C62,TODAY()-C62))</f>
        <v>0</v>
      </c>
    </row>
    <row r="63" spans="1:30">
      <c r="AC63" s="9">
        <f>IF(C63="","",IF(AB63="Closed",AA63-C63,TODAY()-C63))</f>
        <v>0</v>
      </c>
    </row>
    <row r="64" spans="1:30">
      <c r="AC64" s="9">
        <f>IF(C64="","",IF(AB64="Closed",AA64-C64,TODAY()-C64))</f>
        <v>0</v>
      </c>
    </row>
    <row r="65" spans="29:29">
      <c r="AC65" s="9">
        <f>IF(C65="","",IF(AB65="Closed",AA65-C65,TODAY()-C65))</f>
        <v>0</v>
      </c>
    </row>
    <row r="66" spans="29:29">
      <c r="AC66" s="9">
        <f>IF(C66="","",IF(AB66="Closed",AA66-C66,TODAY()-C66))</f>
        <v>0</v>
      </c>
    </row>
    <row r="67" spans="29:29">
      <c r="AC67" s="9">
        <f>IF(C67="","",IF(AB67="Closed",AA67-C67,TODAY()-C67))</f>
        <v>0</v>
      </c>
    </row>
    <row r="68" spans="29:29">
      <c r="AC68" s="9">
        <f>IF(C68="","",IF(AB68="Closed",AA68-C68,TODAY()-C68))</f>
        <v>0</v>
      </c>
    </row>
    <row r="69" spans="29:29">
      <c r="AC69" s="9">
        <f>IF(C69="","",IF(AB69="Closed",AA69-C69,TODAY()-C69))</f>
        <v>0</v>
      </c>
    </row>
    <row r="70" spans="29:29">
      <c r="AC70" s="9">
        <f>IF(C70="","",IF(AB70="Closed",AA70-C70,TODAY()-C70))</f>
        <v>0</v>
      </c>
    </row>
    <row r="71" spans="29:29">
      <c r="AC71" s="9">
        <f>IF(C71="","",IF(AB71="Closed",AA71-C71,TODAY()-C71))</f>
        <v>0</v>
      </c>
    </row>
    <row r="72" spans="29:29">
      <c r="AC72" s="9">
        <f>IF(C72="","",IF(AB72="Closed",AA72-C72,TODAY()-C72))</f>
        <v>0</v>
      </c>
    </row>
    <row r="73" spans="29:29">
      <c r="AC73" s="9">
        <f>IF(C73="","",IF(AB73="Closed",AA73-C73,TODAY()-C73))</f>
        <v>0</v>
      </c>
    </row>
    <row r="74" spans="29:29">
      <c r="AC74" s="9">
        <f>IF(C74="","",IF(AB74="Closed",AA74-C74,TODAY()-C74))</f>
        <v>0</v>
      </c>
    </row>
    <row r="75" spans="29:29">
      <c r="AC75" s="9">
        <f>IF(C75="","",IF(AB75="Closed",AA75-C75,TODAY()-C75))</f>
        <v>0</v>
      </c>
    </row>
    <row r="76" spans="29:29">
      <c r="AC76" s="9">
        <f>IF(C76="","",IF(AB76="Closed",AA76-C76,TODAY()-C76))</f>
        <v>0</v>
      </c>
    </row>
    <row r="77" spans="29:29">
      <c r="AC77" s="9">
        <f>IF(C77="","",IF(AB77="Closed",AA77-C77,TODAY()-C77))</f>
        <v>0</v>
      </c>
    </row>
    <row r="78" spans="29:29">
      <c r="AC78" s="9">
        <f>IF(C78="","",IF(AB78="Closed",AA78-C78,TODAY()-C78))</f>
        <v>0</v>
      </c>
    </row>
    <row r="79" spans="29:29">
      <c r="AC79" s="9">
        <f>IF(C79="","",IF(AB79="Closed",AA79-C79,TODAY()-C79))</f>
        <v>0</v>
      </c>
    </row>
    <row r="80" spans="29:29">
      <c r="AC80" s="9">
        <f>IF(C80="","",IF(AB80="Closed",AA80-C80,TODAY()-C80))</f>
        <v>0</v>
      </c>
    </row>
    <row r="81" spans="29:29">
      <c r="AC81" s="9">
        <f>IF(C81="","",IF(AB81="Closed",AA81-C81,TODAY()-C81))</f>
        <v>0</v>
      </c>
    </row>
    <row r="82" spans="29:29">
      <c r="AC82" s="9">
        <f>IF(C82="","",IF(AB82="Closed",AA82-C82,TODAY()-C82))</f>
        <v>0</v>
      </c>
    </row>
    <row r="83" spans="29:29">
      <c r="AC83" s="9">
        <f>IF(C83="","",IF(AB83="Closed",AA83-C83,TODAY()-C83))</f>
        <v>0</v>
      </c>
    </row>
    <row r="84" spans="29:29">
      <c r="AC84" s="9">
        <f>IF(C84="","",IF(AB84="Closed",AA84-C84,TODAY()-C84))</f>
        <v>0</v>
      </c>
    </row>
    <row r="85" spans="29:29">
      <c r="AC85" s="9">
        <f>IF(C85="","",IF(AB85="Closed",AA85-C85,TODAY()-C85))</f>
        <v>0</v>
      </c>
    </row>
    <row r="86" spans="29:29">
      <c r="AC86" s="9">
        <f>IF(C86="","",IF(AB86="Closed",AA86-C86,TODAY()-C86))</f>
        <v>0</v>
      </c>
    </row>
    <row r="87" spans="29:29">
      <c r="AC87" s="9">
        <f>IF(C87="","",IF(AB87="Closed",AA87-C87,TODAY()-C87))</f>
        <v>0</v>
      </c>
    </row>
    <row r="88" spans="29:29">
      <c r="AC88" s="9">
        <f>IF(C88="","",IF(AB88="Closed",AA88-C88,TODAY()-C88))</f>
        <v>0</v>
      </c>
    </row>
    <row r="89" spans="29:29">
      <c r="AC89" s="9">
        <f>IF(C89="","",IF(AB89="Closed",AA89-C89,TODAY()-C89))</f>
        <v>0</v>
      </c>
    </row>
    <row r="90" spans="29:29">
      <c r="AC90" s="9">
        <f>IF(C90="","",IF(AB90="Closed",AA90-C90,TODAY()-C90))</f>
        <v>0</v>
      </c>
    </row>
    <row r="91" spans="29:29">
      <c r="AC91" s="9">
        <f>IF(C91="","",IF(AB91="Closed",AA91-C91,TODAY()-C91))</f>
        <v>0</v>
      </c>
    </row>
    <row r="92" spans="29:29">
      <c r="AC92" s="9">
        <f>IF(C92="","",IF(AB92="Closed",AA92-C92,TODAY()-C92))</f>
        <v>0</v>
      </c>
    </row>
    <row r="93" spans="29:29">
      <c r="AC93" s="9">
        <f>IF(C93="","",IF(AB93="Closed",AA93-C93,TODAY()-C93))</f>
        <v>0</v>
      </c>
    </row>
    <row r="94" spans="29:29">
      <c r="AC94" s="9">
        <f>IF(C94="","",IF(AB94="Closed",AA94-C94,TODAY()-C94))</f>
        <v>0</v>
      </c>
    </row>
    <row r="95" spans="29:29">
      <c r="AC95" s="9">
        <f>IF(C95="","",IF(AB95="Closed",AA95-C95,TODAY()-C95))</f>
        <v>0</v>
      </c>
    </row>
    <row r="96" spans="29:29">
      <c r="AC96" s="9">
        <f>IF(C96="","",IF(AB96="Closed",AA96-C96,TODAY()-C96))</f>
        <v>0</v>
      </c>
    </row>
    <row r="97" spans="29:29">
      <c r="AC97" s="9">
        <f>IF(C97="","",IF(AB97="Closed",AA97-C97,TODAY()-C97))</f>
        <v>0</v>
      </c>
    </row>
    <row r="98" spans="29:29">
      <c r="AC98" s="9">
        <f>IF(C98="","",IF(AB98="Closed",AA98-C98,TODAY()-C98))</f>
        <v>0</v>
      </c>
    </row>
    <row r="99" spans="29:29">
      <c r="AC99" s="9">
        <f>IF(C99="","",IF(AB99="Closed",AA99-C99,TODAY()-C99))</f>
        <v>0</v>
      </c>
    </row>
    <row r="100" spans="29:29">
      <c r="AC100" s="9">
        <f>IF(C100="","",IF(AB100="Closed",AA100-C100,TODAY()-C100))</f>
        <v>0</v>
      </c>
    </row>
    <row r="101" spans="29:29">
      <c r="AC101" s="9">
        <f>IF(C101="","",IF(AB101="Closed",AA101-C101,TODAY()-C101))</f>
        <v>0</v>
      </c>
    </row>
    <row r="102" spans="29:29">
      <c r="AC102" s="9">
        <f>IF(C102="","",IF(AB102="Closed",AA102-C102,TODAY()-C102))</f>
        <v>0</v>
      </c>
    </row>
    <row r="103" spans="29:29">
      <c r="AC103" s="9">
        <f>IF(C103="","",IF(AB103="Closed",AA103-C103,TODAY()-C103))</f>
        <v>0</v>
      </c>
    </row>
    <row r="104" spans="29:29">
      <c r="AC104" s="9">
        <f>IF(C104="","",IF(AB104="Closed",AA104-C104,TODAY()-C104))</f>
        <v>0</v>
      </c>
    </row>
    <row r="105" spans="29:29">
      <c r="AC105" s="9">
        <f>IF(C105="","",IF(AB105="Closed",AA105-C105,TODAY()-C105))</f>
        <v>0</v>
      </c>
    </row>
    <row r="106" spans="29:29">
      <c r="AC106" s="9">
        <f>IF(C106="","",IF(AB106="Closed",AA106-C106,TODAY()-C106))</f>
        <v>0</v>
      </c>
    </row>
    <row r="107" spans="29:29">
      <c r="AC107" s="9">
        <f>IF(C107="","",IF(AB107="Closed",AA107-C107,TODAY()-C107))</f>
        <v>0</v>
      </c>
    </row>
    <row r="108" spans="29:29">
      <c r="AC108" s="9">
        <f>IF(C108="","",IF(AB108="Closed",AA108-C108,TODAY()-C108))</f>
        <v>0</v>
      </c>
    </row>
    <row r="109" spans="29:29">
      <c r="AC109" s="9">
        <f>IF(C109="","",IF(AB109="Closed",AA109-C109,TODAY()-C109))</f>
        <v>0</v>
      </c>
    </row>
    <row r="110" spans="29:29">
      <c r="AC110" s="9">
        <f>IF(C110="","",IF(AB110="Closed",AA110-C110,TODAY()-C110))</f>
        <v>0</v>
      </c>
    </row>
    <row r="111" spans="29:29">
      <c r="AC111" s="9">
        <f>IF(C111="","",IF(AB111="Closed",AA111-C111,TODAY()-C111))</f>
        <v>0</v>
      </c>
    </row>
    <row r="112" spans="29:29">
      <c r="AC112" s="9">
        <f>IF(C112="","",IF(AB112="Closed",AA112-C112,TODAY()-C112))</f>
        <v>0</v>
      </c>
    </row>
    <row r="113" spans="29:29">
      <c r="AC113" s="9">
        <f>IF(C113="","",IF(AB113="Closed",AA113-C113,TODAY()-C113))</f>
        <v>0</v>
      </c>
    </row>
    <row r="114" spans="29:29">
      <c r="AC114" s="9">
        <f>IF(C114="","",IF(AB114="Closed",AA114-C114,TODAY()-C114))</f>
        <v>0</v>
      </c>
    </row>
    <row r="115" spans="29:29">
      <c r="AC115" s="9">
        <f>IF(C115="","",IF(AB115="Closed",AA115-C115,TODAY()-C115))</f>
        <v>0</v>
      </c>
    </row>
    <row r="116" spans="29:29">
      <c r="AC116" s="9">
        <f>IF(C116="","",IF(AB116="Closed",AA116-C116,TODAY()-C116))</f>
        <v>0</v>
      </c>
    </row>
    <row r="117" spans="29:29">
      <c r="AC117" s="9">
        <f>IF(C117="","",IF(AB117="Closed",AA117-C117,TODAY()-C117))</f>
        <v>0</v>
      </c>
    </row>
    <row r="118" spans="29:29">
      <c r="AC118" s="9">
        <f>IF(C118="","",IF(AB118="Closed",AA118-C118,TODAY()-C118))</f>
        <v>0</v>
      </c>
    </row>
    <row r="119" spans="29:29">
      <c r="AC119" s="9">
        <f>IF(C119="","",IF(AB119="Closed",AA119-C119,TODAY()-C119))</f>
        <v>0</v>
      </c>
    </row>
    <row r="120" spans="29:29">
      <c r="AC120" s="9">
        <f>IF(C120="","",IF(AB120="Closed",AA120-C120,TODAY()-C120))</f>
        <v>0</v>
      </c>
    </row>
    <row r="121" spans="29:29">
      <c r="AC121" s="9">
        <f>IF(C121="","",IF(AB121="Closed",AA121-C121,TODAY()-C121))</f>
        <v>0</v>
      </c>
    </row>
    <row r="122" spans="29:29">
      <c r="AC122" s="9">
        <f>IF(C122="","",IF(AB122="Closed",AA122-C122,TODAY()-C122))</f>
        <v>0</v>
      </c>
    </row>
    <row r="123" spans="29:29">
      <c r="AC123" s="9">
        <f>IF(C123="","",IF(AB123="Closed",AA123-C123,TODAY()-C123))</f>
        <v>0</v>
      </c>
    </row>
    <row r="124" spans="29:29">
      <c r="AC124" s="9">
        <f>IF(C124="","",IF(AB124="Closed",AA124-C124,TODAY()-C124))</f>
        <v>0</v>
      </c>
    </row>
    <row r="125" spans="29:29">
      <c r="AC125" s="9">
        <f>IF(C125="","",IF(AB125="Closed",AA125-C125,TODAY()-C125))</f>
        <v>0</v>
      </c>
    </row>
    <row r="126" spans="29:29">
      <c r="AC126" s="9">
        <f>IF(C126="","",IF(AB126="Closed",AA126-C126,TODAY()-C126))</f>
        <v>0</v>
      </c>
    </row>
    <row r="127" spans="29:29">
      <c r="AC127" s="9">
        <f>IF(C127="","",IF(AB127="Closed",AA127-C127,TODAY()-C127))</f>
        <v>0</v>
      </c>
    </row>
    <row r="128" spans="29:29">
      <c r="AC128" s="9">
        <f>IF(C128="","",IF(AB128="Closed",AA128-C128,TODAY()-C128))</f>
        <v>0</v>
      </c>
    </row>
    <row r="129" spans="29:29">
      <c r="AC129" s="9">
        <f>IF(C129="","",IF(AB129="Closed",AA129-C129,TODAY()-C129))</f>
        <v>0</v>
      </c>
    </row>
    <row r="130" spans="29:29">
      <c r="AC130" s="9">
        <f>IF(C130="","",IF(AB130="Closed",AA130-C130,TODAY()-C130))</f>
        <v>0</v>
      </c>
    </row>
    <row r="131" spans="29:29">
      <c r="AC131" s="9">
        <f>IF(C131="","",IF(AB131="Closed",AA131-C131,TODAY()-C131))</f>
        <v>0</v>
      </c>
    </row>
    <row r="132" spans="29:29">
      <c r="AC132" s="9">
        <f>IF(C132="","",IF(AB132="Closed",AA132-C132,TODAY()-C132))</f>
        <v>0</v>
      </c>
    </row>
    <row r="133" spans="29:29">
      <c r="AC133" s="9">
        <f>IF(C133="","",IF(AB133="Closed",AA133-C133,TODAY()-C133))</f>
        <v>0</v>
      </c>
    </row>
    <row r="134" spans="29:29">
      <c r="AC134" s="9">
        <f>IF(C134="","",IF(AB134="Closed",AA134-C134,TODAY()-C134))</f>
        <v>0</v>
      </c>
    </row>
    <row r="135" spans="29:29">
      <c r="AC135" s="9">
        <f>IF(C135="","",IF(AB135="Closed",AA135-C135,TODAY()-C135))</f>
        <v>0</v>
      </c>
    </row>
    <row r="136" spans="29:29">
      <c r="AC136" s="9">
        <f>IF(C136="","",IF(AB136="Closed",AA136-C136,TODAY()-C136))</f>
        <v>0</v>
      </c>
    </row>
    <row r="137" spans="29:29">
      <c r="AC137" s="9">
        <f>IF(C137="","",IF(AB137="Closed",AA137-C137,TODAY()-C137))</f>
        <v>0</v>
      </c>
    </row>
    <row r="138" spans="29:29">
      <c r="AC138" s="9">
        <f>IF(C138="","",IF(AB138="Closed",AA138-C138,TODAY()-C138))</f>
        <v>0</v>
      </c>
    </row>
    <row r="139" spans="29:29">
      <c r="AC139" s="9">
        <f>IF(C139="","",IF(AB139="Closed",AA139-C139,TODAY()-C139))</f>
        <v>0</v>
      </c>
    </row>
    <row r="140" spans="29:29">
      <c r="AC140" s="9">
        <f>IF(C140="","",IF(AB140="Closed",AA140-C140,TODAY()-C140))</f>
        <v>0</v>
      </c>
    </row>
    <row r="141" spans="29:29">
      <c r="AC141" s="9">
        <f>IF(C141="","",IF(AB141="Closed",AA141-C141,TODAY()-C141))</f>
        <v>0</v>
      </c>
    </row>
    <row r="142" spans="29:29">
      <c r="AC142" s="9">
        <f>IF(C142="","",IF(AB142="Closed",AA142-C142,TODAY()-C142))</f>
        <v>0</v>
      </c>
    </row>
    <row r="143" spans="29:29">
      <c r="AC143" s="9">
        <f>IF(C143="","",IF(AB143="Closed",AA143-C143,TODAY()-C143))</f>
        <v>0</v>
      </c>
    </row>
    <row r="144" spans="29:29">
      <c r="AC144" s="9">
        <f>IF(C144="","",IF(AB144="Closed",AA144-C144,TODAY()-C144))</f>
        <v>0</v>
      </c>
    </row>
    <row r="145" spans="29:29">
      <c r="AC145" s="9">
        <f>IF(C145="","",IF(AB145="Closed",AA145-C145,TODAY()-C145))</f>
        <v>0</v>
      </c>
    </row>
    <row r="146" spans="29:29">
      <c r="AC146" s="9">
        <f>IF(C146="","",IF(AB146="Closed",AA146-C146,TODAY()-C146))</f>
        <v>0</v>
      </c>
    </row>
    <row r="147" spans="29:29">
      <c r="AC147" s="9">
        <f>IF(C147="","",IF(AB147="Closed",AA147-C147,TODAY()-C147))</f>
        <v>0</v>
      </c>
    </row>
    <row r="148" spans="29:29">
      <c r="AC148" s="9">
        <f>IF(C148="","",IF(AB148="Closed",AA148-C148,TODAY()-C148))</f>
        <v>0</v>
      </c>
    </row>
    <row r="149" spans="29:29">
      <c r="AC149" s="9">
        <f>IF(C149="","",IF(AB149="Closed",AA149-C149,TODAY()-C149))</f>
        <v>0</v>
      </c>
    </row>
    <row r="150" spans="29:29">
      <c r="AC150" s="9">
        <f>IF(C150="","",IF(AB150="Closed",AA150-C150,TODAY()-C150))</f>
        <v>0</v>
      </c>
    </row>
    <row r="151" spans="29:29">
      <c r="AC151" s="9">
        <f>IF(C151="","",IF(AB151="Closed",AA151-C151,TODAY()-C151))</f>
        <v>0</v>
      </c>
    </row>
    <row r="152" spans="29:29">
      <c r="AC152" s="9">
        <f>IF(C152="","",IF(AB152="Closed",AA152-C152,TODAY()-C152))</f>
        <v>0</v>
      </c>
    </row>
    <row r="153" spans="29:29">
      <c r="AC153" s="9">
        <f>IF(C153="","",IF(AB153="Closed",AA153-C153,TODAY()-C153))</f>
        <v>0</v>
      </c>
    </row>
    <row r="154" spans="29:29">
      <c r="AC154" s="9">
        <f>IF(C154="","",IF(AB154="Closed",AA154-C154,TODAY()-C154))</f>
        <v>0</v>
      </c>
    </row>
    <row r="155" spans="29:29">
      <c r="AC155" s="9">
        <f>IF(C155="","",IF(AB155="Closed",AA155-C155,TODAY()-C155))</f>
        <v>0</v>
      </c>
    </row>
    <row r="156" spans="29:29">
      <c r="AC156" s="9">
        <f>IF(C156="","",IF(AB156="Closed",AA156-C156,TODAY()-C156))</f>
        <v>0</v>
      </c>
    </row>
    <row r="157" spans="29:29">
      <c r="AC157" s="9">
        <f>IF(C157="","",IF(AB157="Closed",AA157-C157,TODAY()-C157))</f>
        <v>0</v>
      </c>
    </row>
    <row r="158" spans="29:29">
      <c r="AC158" s="9">
        <f>IF(C158="","",IF(AB158="Closed",AA158-C158,TODAY()-C158))</f>
        <v>0</v>
      </c>
    </row>
    <row r="159" spans="29:29">
      <c r="AC159" s="9">
        <f>IF(C159="","",IF(AB159="Closed",AA159-C159,TODAY()-C159))</f>
        <v>0</v>
      </c>
    </row>
    <row r="160" spans="29:29">
      <c r="AC160" s="9">
        <f>IF(C160="","",IF(AB160="Closed",AA160-C160,TODAY()-C160))</f>
        <v>0</v>
      </c>
    </row>
    <row r="161" spans="29:29">
      <c r="AC161" s="9">
        <f>IF(C161="","",IF(AB161="Closed",AA161-C161,TODAY()-C161))</f>
        <v>0</v>
      </c>
    </row>
    <row r="162" spans="29:29">
      <c r="AC162" s="9">
        <f>IF(C162="","",IF(AB162="Closed",AA162-C162,TODAY()-C162))</f>
        <v>0</v>
      </c>
    </row>
    <row r="163" spans="29:29">
      <c r="AC163" s="9">
        <f>IF(C163="","",IF(AB163="Closed",AA163-C163,TODAY()-C163))</f>
        <v>0</v>
      </c>
    </row>
    <row r="164" spans="29:29">
      <c r="AC164" s="9">
        <f>IF(C164="","",IF(AB164="Closed",AA164-C164,TODAY()-C164))</f>
        <v>0</v>
      </c>
    </row>
    <row r="165" spans="29:29">
      <c r="AC165" s="9">
        <f>IF(C165="","",IF(AB165="Closed",AA165-C165,TODAY()-C165))</f>
        <v>0</v>
      </c>
    </row>
    <row r="166" spans="29:29">
      <c r="AC166" s="9">
        <f>IF(C166="","",IF(AB166="Closed",AA166-C166,TODAY()-C166))</f>
        <v>0</v>
      </c>
    </row>
    <row r="167" spans="29:29">
      <c r="AC167" s="9">
        <f>IF(C167="","",IF(AB167="Closed",AA167-C167,TODAY()-C167))</f>
        <v>0</v>
      </c>
    </row>
    <row r="168" spans="29:29">
      <c r="AC168" s="9">
        <f>IF(C168="","",IF(AB168="Closed",AA168-C168,TODAY()-C168))</f>
        <v>0</v>
      </c>
    </row>
    <row r="169" spans="29:29">
      <c r="AC169" s="9">
        <f>IF(C169="","",IF(AB169="Closed",AA169-C169,TODAY()-C169))</f>
        <v>0</v>
      </c>
    </row>
    <row r="170" spans="29:29">
      <c r="AC170" s="9">
        <f>IF(C170="","",IF(AB170="Closed",AA170-C170,TODAY()-C170))</f>
        <v>0</v>
      </c>
    </row>
    <row r="171" spans="29:29">
      <c r="AC171" s="9">
        <f>IF(C171="","",IF(AB171="Closed",AA171-C171,TODAY()-C171))</f>
        <v>0</v>
      </c>
    </row>
    <row r="172" spans="29:29">
      <c r="AC172" s="9">
        <f>IF(C172="","",IF(AB172="Closed",AA172-C172,TODAY()-C172))</f>
        <v>0</v>
      </c>
    </row>
    <row r="173" spans="29:29">
      <c r="AC173" s="9">
        <f>IF(C173="","",IF(AB173="Closed",AA173-C173,TODAY()-C173))</f>
        <v>0</v>
      </c>
    </row>
    <row r="174" spans="29:29">
      <c r="AC174" s="9">
        <f>IF(C174="","",IF(AB174="Closed",AA174-C174,TODAY()-C174))</f>
        <v>0</v>
      </c>
    </row>
    <row r="175" spans="29:29">
      <c r="AC175" s="9">
        <f>IF(C175="","",IF(AB175="Closed",AA175-C175,TODAY()-C175))</f>
        <v>0</v>
      </c>
    </row>
    <row r="176" spans="29:29">
      <c r="AC176" s="9">
        <f>IF(C176="","",IF(AB176="Closed",AA176-C176,TODAY()-C176))</f>
        <v>0</v>
      </c>
    </row>
    <row r="177" spans="29:29">
      <c r="AC177" s="9">
        <f>IF(C177="","",IF(AB177="Closed",AA177-C177,TODAY()-C177))</f>
        <v>0</v>
      </c>
    </row>
    <row r="178" spans="29:29">
      <c r="AC178" s="9">
        <f>IF(C178="","",IF(AB178="Closed",AA178-C178,TODAY()-C178))</f>
        <v>0</v>
      </c>
    </row>
    <row r="179" spans="29:29">
      <c r="AC179" s="9">
        <f>IF(C179="","",IF(AB179="Closed",AA179-C179,TODAY()-C179))</f>
        <v>0</v>
      </c>
    </row>
    <row r="180" spans="29:29">
      <c r="AC180" s="9">
        <f>IF(C180="","",IF(AB180="Closed",AA180-C180,TODAY()-C180))</f>
        <v>0</v>
      </c>
    </row>
    <row r="181" spans="29:29">
      <c r="AC181" s="9">
        <f>IF(C181="","",IF(AB181="Closed",AA181-C181,TODAY()-C181))</f>
        <v>0</v>
      </c>
    </row>
    <row r="182" spans="29:29">
      <c r="AC182" s="9">
        <f>IF(C182="","",IF(AB182="Closed",AA182-C182,TODAY()-C182))</f>
        <v>0</v>
      </c>
    </row>
    <row r="183" spans="29:29">
      <c r="AC183" s="9">
        <f>IF(C183="","",IF(AB183="Closed",AA183-C183,TODAY()-C183))</f>
        <v>0</v>
      </c>
    </row>
    <row r="184" spans="29:29">
      <c r="AC184" s="9">
        <f>IF(C184="","",IF(AB184="Closed",AA184-C184,TODAY()-C184))</f>
        <v>0</v>
      </c>
    </row>
    <row r="185" spans="29:29">
      <c r="AC185" s="9">
        <f>IF(C185="","",IF(AB185="Closed",AA185-C185,TODAY()-C185))</f>
        <v>0</v>
      </c>
    </row>
    <row r="186" spans="29:29">
      <c r="AC186" s="9">
        <f>IF(C186="","",IF(AB186="Closed",AA186-C186,TODAY()-C186))</f>
        <v>0</v>
      </c>
    </row>
    <row r="187" spans="29:29">
      <c r="AC187" s="9">
        <f>IF(C187="","",IF(AB187="Closed",AA187-C187,TODAY()-C187))</f>
        <v>0</v>
      </c>
    </row>
    <row r="188" spans="29:29">
      <c r="AC188" s="9">
        <f>IF(C188="","",IF(AB188="Closed",AA188-C188,TODAY()-C188))</f>
        <v>0</v>
      </c>
    </row>
    <row r="189" spans="29:29">
      <c r="AC189" s="9">
        <f>IF(C189="","",IF(AB189="Closed",AA189-C189,TODAY()-C189))</f>
        <v>0</v>
      </c>
    </row>
    <row r="190" spans="29:29">
      <c r="AC190" s="9">
        <f>IF(C190="","",IF(AB190="Closed",AA190-C190,TODAY()-C190))</f>
        <v>0</v>
      </c>
    </row>
    <row r="191" spans="29:29">
      <c r="AC191" s="9">
        <f>IF(C191="","",IF(AB191="Closed",AA191-C191,TODAY()-C191))</f>
        <v>0</v>
      </c>
    </row>
    <row r="192" spans="29:29">
      <c r="AC192" s="9">
        <f>IF(C192="","",IF(AB192="Closed",AA192-C192,TODAY()-C192))</f>
        <v>0</v>
      </c>
    </row>
    <row r="193" spans="29:29">
      <c r="AC193" s="9">
        <f>IF(C193="","",IF(AB193="Closed",AA193-C193,TODAY()-C193))</f>
        <v>0</v>
      </c>
    </row>
    <row r="194" spans="29:29">
      <c r="AC194" s="9">
        <f>IF(C194="","",IF(AB194="Closed",AA194-C194,TODAY()-C194))</f>
        <v>0</v>
      </c>
    </row>
    <row r="195" spans="29:29">
      <c r="AC195" s="9">
        <f>IF(C195="","",IF(AB195="Closed",AA195-C195,TODAY()-C195))</f>
        <v>0</v>
      </c>
    </row>
    <row r="196" spans="29:29">
      <c r="AC196" s="9">
        <f>IF(C196="","",IF(AB196="Closed",AA196-C196,TODAY()-C196))</f>
        <v>0</v>
      </c>
    </row>
    <row r="197" spans="29:29">
      <c r="AC197" s="9">
        <f>IF(C197="","",IF(AB197="Closed",AA197-C197,TODAY()-C197))</f>
        <v>0</v>
      </c>
    </row>
    <row r="198" spans="29:29">
      <c r="AC198" s="9">
        <f>IF(C198="","",IF(AB198="Closed",AA198-C198,TODAY()-C198))</f>
        <v>0</v>
      </c>
    </row>
    <row r="199" spans="29:29">
      <c r="AC199" s="9">
        <f>IF(C199="","",IF(AB199="Closed",AA199-C199,TODAY()-C199))</f>
        <v>0</v>
      </c>
    </row>
    <row r="200" spans="29:29">
      <c r="AC200" s="9">
        <f>IF(C200="","",IF(AB200="Closed",AA200-C200,TODAY()-C200))</f>
        <v>0</v>
      </c>
    </row>
    <row r="201" spans="29:29">
      <c r="AC201" s="9">
        <f>IF(C201="","",IF(AB201="Closed",AA201-C201,TODAY()-C201))</f>
        <v>0</v>
      </c>
    </row>
    <row r="202" spans="29:29">
      <c r="AC202" s="9">
        <f>IF(C202="","",IF(AB202="Closed",AA202-C202,TODAY()-C202))</f>
        <v>0</v>
      </c>
    </row>
    <row r="203" spans="29:29">
      <c r="AC203" s="9">
        <f>IF(C203="","",IF(AB203="Closed",AA203-C203,TODAY()-C203))</f>
        <v>0</v>
      </c>
    </row>
    <row r="204" spans="29:29">
      <c r="AC204" s="9">
        <f>IF(C204="","",IF(AB204="Closed",AA204-C204,TODAY()-C204))</f>
        <v>0</v>
      </c>
    </row>
    <row r="205" spans="29:29">
      <c r="AC205" s="9">
        <f>IF(C205="","",IF(AB205="Closed",AA205-C205,TODAY()-C205))</f>
        <v>0</v>
      </c>
    </row>
    <row r="206" spans="29:29">
      <c r="AC206" s="9">
        <f>IF(C206="","",IF(AB206="Closed",AA206-C206,TODAY()-C206))</f>
        <v>0</v>
      </c>
    </row>
    <row r="207" spans="29:29">
      <c r="AC207" s="9">
        <f>IF(C207="","",IF(AB207="Closed",AA207-C207,TODAY()-C207))</f>
        <v>0</v>
      </c>
    </row>
    <row r="208" spans="29:29">
      <c r="AC208" s="9">
        <f>IF(C208="","",IF(AB208="Closed",AA208-C208,TODAY()-C208))</f>
        <v>0</v>
      </c>
    </row>
    <row r="209" spans="29:29">
      <c r="AC209" s="9">
        <f>IF(C209="","",IF(AB209="Closed",AA209-C209,TODAY()-C209))</f>
        <v>0</v>
      </c>
    </row>
    <row r="210" spans="29:29">
      <c r="AC210" s="9">
        <f>IF(C210="","",IF(AB210="Closed",AA210-C210,TODAY()-C210))</f>
        <v>0</v>
      </c>
    </row>
    <row r="211" spans="29:29">
      <c r="AC211" s="9">
        <f>IF(C211="","",IF(AB211="Closed",AA211-C211,TODAY()-C211))</f>
        <v>0</v>
      </c>
    </row>
    <row r="212" spans="29:29">
      <c r="AC212" s="9">
        <f>IF(C212="","",IF(AB212="Closed",AA212-C212,TODAY()-C212))</f>
        <v>0</v>
      </c>
    </row>
    <row r="213" spans="29:29">
      <c r="AC213" s="9">
        <f>IF(C213="","",IF(AB213="Closed",AA213-C213,TODAY()-C213))</f>
        <v>0</v>
      </c>
    </row>
    <row r="214" spans="29:29">
      <c r="AC214" s="9">
        <f>IF(C214="","",IF(AB214="Closed",AA214-C214,TODAY()-C214))</f>
        <v>0</v>
      </c>
    </row>
    <row r="215" spans="29:29">
      <c r="AC215" s="9">
        <f>IF(C215="","",IF(AB215="Closed",AA215-C215,TODAY()-C215))</f>
        <v>0</v>
      </c>
    </row>
    <row r="216" spans="29:29">
      <c r="AC216" s="9">
        <f>IF(C216="","",IF(AB216="Closed",AA216-C216,TODAY()-C216))</f>
        <v>0</v>
      </c>
    </row>
    <row r="217" spans="29:29">
      <c r="AC217" s="9">
        <f>IF(C217="","",IF(AB217="Closed",AA217-C217,TODAY()-C217))</f>
        <v>0</v>
      </c>
    </row>
    <row r="218" spans="29:29">
      <c r="AC218" s="9">
        <f>IF(C218="","",IF(AB218="Closed",AA218-C218,TODAY()-C218))</f>
        <v>0</v>
      </c>
    </row>
    <row r="219" spans="29:29">
      <c r="AC219" s="9">
        <f>IF(C219="","",IF(AB219="Closed",AA219-C219,TODAY()-C219))</f>
        <v>0</v>
      </c>
    </row>
    <row r="220" spans="29:29">
      <c r="AC220" s="9">
        <f>IF(C220="","",IF(AB220="Closed",AA220-C220,TODAY()-C220))</f>
        <v>0</v>
      </c>
    </row>
    <row r="221" spans="29:29">
      <c r="AC221" s="9">
        <f>IF(C221="","",IF(AB221="Closed",AA221-C221,TODAY()-C221))</f>
        <v>0</v>
      </c>
    </row>
    <row r="222" spans="29:29">
      <c r="AC222" s="9">
        <f>IF(C222="","",IF(AB222="Closed",AA222-C222,TODAY()-C222))</f>
        <v>0</v>
      </c>
    </row>
    <row r="223" spans="29:29">
      <c r="AC223" s="9">
        <f>IF(C223="","",IF(AB223="Closed",AA223-C223,TODAY()-C223))</f>
        <v>0</v>
      </c>
    </row>
    <row r="224" spans="29:29">
      <c r="AC224" s="9">
        <f>IF(C224="","",IF(AB224="Closed",AA224-C224,TODAY()-C224))</f>
        <v>0</v>
      </c>
    </row>
    <row r="225" spans="29:29">
      <c r="AC225" s="9">
        <f>IF(C225="","",IF(AB225="Closed",AA225-C225,TODAY()-C225))</f>
        <v>0</v>
      </c>
    </row>
    <row r="226" spans="29:29">
      <c r="AC226" s="9">
        <f>IF(C226="","",IF(AB226="Closed",AA226-C226,TODAY()-C226))</f>
        <v>0</v>
      </c>
    </row>
    <row r="227" spans="29:29">
      <c r="AC227" s="9">
        <f>IF(C227="","",IF(AB227="Closed",AA227-C227,TODAY()-C227))</f>
        <v>0</v>
      </c>
    </row>
    <row r="228" spans="29:29">
      <c r="AC228" s="9">
        <f>IF(C228="","",IF(AB228="Closed",AA228-C228,TODAY()-C228))</f>
        <v>0</v>
      </c>
    </row>
    <row r="229" spans="29:29">
      <c r="AC229" s="9">
        <f>IF(C229="","",IF(AB229="Closed",AA229-C229,TODAY()-C229))</f>
        <v>0</v>
      </c>
    </row>
    <row r="230" spans="29:29">
      <c r="AC230" s="9">
        <f>IF(C230="","",IF(AB230="Closed",AA230-C230,TODAY()-C230))</f>
        <v>0</v>
      </c>
    </row>
    <row r="231" spans="29:29">
      <c r="AC231" s="9">
        <f>IF(C231="","",IF(AB231="Closed",AA231-C231,TODAY()-C231))</f>
        <v>0</v>
      </c>
    </row>
    <row r="232" spans="29:29">
      <c r="AC232" s="9">
        <f>IF(C232="","",IF(AB232="Closed",AA232-C232,TODAY()-C232))</f>
        <v>0</v>
      </c>
    </row>
    <row r="233" spans="29:29">
      <c r="AC233" s="9">
        <f>IF(C233="","",IF(AB233="Closed",AA233-C233,TODAY()-C233))</f>
        <v>0</v>
      </c>
    </row>
    <row r="234" spans="29:29">
      <c r="AC234" s="9">
        <f>IF(C234="","",IF(AB234="Closed",AA234-C234,TODAY()-C234))</f>
        <v>0</v>
      </c>
    </row>
    <row r="235" spans="29:29">
      <c r="AC235" s="9">
        <f>IF(C235="","",IF(AB235="Closed",AA235-C235,TODAY()-C235))</f>
        <v>0</v>
      </c>
    </row>
    <row r="236" spans="29:29">
      <c r="AC236" s="9">
        <f>IF(C236="","",IF(AB236="Closed",AA236-C236,TODAY()-C236))</f>
        <v>0</v>
      </c>
    </row>
    <row r="237" spans="29:29">
      <c r="AC237" s="9">
        <f>IF(C237="","",IF(AB237="Closed",AA237-C237,TODAY()-C237))</f>
        <v>0</v>
      </c>
    </row>
    <row r="238" spans="29:29">
      <c r="AC238" s="9">
        <f>IF(C238="","",IF(AB238="Closed",AA238-C238,TODAY()-C238))</f>
        <v>0</v>
      </c>
    </row>
    <row r="239" spans="29:29">
      <c r="AC239" s="9">
        <f>IF(C239="","",IF(AB239="Closed",AA239-C239,TODAY()-C239))</f>
        <v>0</v>
      </c>
    </row>
    <row r="240" spans="29:29">
      <c r="AC240" s="9">
        <f>IF(C240="","",IF(AB240="Closed",AA240-C240,TODAY()-C240))</f>
        <v>0</v>
      </c>
    </row>
    <row r="241" spans="29:29">
      <c r="AC241" s="9">
        <f>IF(C241="","",IF(AB241="Closed",AA241-C241,TODAY()-C241))</f>
        <v>0</v>
      </c>
    </row>
    <row r="242" spans="29:29">
      <c r="AC242" s="9">
        <f>IF(C242="","",IF(AB242="Closed",AA242-C242,TODAY()-C242))</f>
        <v>0</v>
      </c>
    </row>
    <row r="243" spans="29:29">
      <c r="AC243" s="9">
        <f>IF(C243="","",IF(AB243="Closed",AA243-C243,TODAY()-C243))</f>
        <v>0</v>
      </c>
    </row>
    <row r="244" spans="29:29">
      <c r="AC244" s="9">
        <f>IF(C244="","",IF(AB244="Closed",AA244-C244,TODAY()-C244))</f>
        <v>0</v>
      </c>
    </row>
    <row r="245" spans="29:29">
      <c r="AC245" s="9">
        <f>IF(C245="","",IF(AB245="Closed",AA245-C245,TODAY()-C245))</f>
        <v>0</v>
      </c>
    </row>
    <row r="246" spans="29:29">
      <c r="AC246" s="9">
        <f>IF(C246="","",IF(AB246="Closed",AA246-C246,TODAY()-C246))</f>
        <v>0</v>
      </c>
    </row>
    <row r="247" spans="29:29">
      <c r="AC247" s="9">
        <f>IF(C247="","",IF(AB247="Closed",AA247-C247,TODAY()-C247))</f>
        <v>0</v>
      </c>
    </row>
    <row r="248" spans="29:29">
      <c r="AC248" s="9">
        <f>IF(C248="","",IF(AB248="Closed",AA248-C248,TODAY()-C248))</f>
        <v>0</v>
      </c>
    </row>
    <row r="249" spans="29:29">
      <c r="AC249" s="9">
        <f>IF(C249="","",IF(AB249="Closed",AA249-C249,TODAY()-C249))</f>
        <v>0</v>
      </c>
    </row>
    <row r="250" spans="29:29">
      <c r="AC250" s="9">
        <f>IF(C250="","",IF(AB250="Closed",AA250-C250,TODAY()-C250))</f>
        <v>0</v>
      </c>
    </row>
    <row r="251" spans="29:29">
      <c r="AC251" s="9">
        <f>IF(C251="","",IF(AB251="Closed",AA251-C251,TODAY()-C251))</f>
        <v>0</v>
      </c>
    </row>
    <row r="252" spans="29:29">
      <c r="AC252" s="9">
        <f>IF(C252="","",IF(AB252="Closed",AA252-C252,TODAY()-C252))</f>
        <v>0</v>
      </c>
    </row>
    <row r="253" spans="29:29">
      <c r="AC253" s="9">
        <f>IF(C253="","",IF(AB253="Closed",AA253-C253,TODAY()-C253))</f>
        <v>0</v>
      </c>
    </row>
    <row r="254" spans="29:29">
      <c r="AC254" s="9">
        <f>IF(C254="","",IF(AB254="Closed",AA254-C254,TODAY()-C254))</f>
        <v>0</v>
      </c>
    </row>
    <row r="255" spans="29:29">
      <c r="AC255" s="9">
        <f>IF(C255="","",IF(AB255="Closed",AA255-C255,TODAY()-C255))</f>
        <v>0</v>
      </c>
    </row>
    <row r="256" spans="29:29">
      <c r="AC256" s="9">
        <f>IF(C256="","",IF(AB256="Closed",AA256-C256,TODAY()-C256))</f>
        <v>0</v>
      </c>
    </row>
    <row r="257" spans="29:29">
      <c r="AC257" s="9">
        <f>IF(C257="","",IF(AB257="Closed",AA257-C257,TODAY()-C257))</f>
        <v>0</v>
      </c>
    </row>
    <row r="258" spans="29:29">
      <c r="AC258" s="9">
        <f>IF(C258="","",IF(AB258="Closed",AA258-C258,TODAY()-C258))</f>
        <v>0</v>
      </c>
    </row>
    <row r="259" spans="29:29">
      <c r="AC259" s="9">
        <f>IF(C259="","",IF(AB259="Closed",AA259-C259,TODAY()-C259))</f>
        <v>0</v>
      </c>
    </row>
    <row r="260" spans="29:29">
      <c r="AC260" s="9">
        <f>IF(C260="","",IF(AB260="Closed",AA260-C260,TODAY()-C260))</f>
        <v>0</v>
      </c>
    </row>
    <row r="261" spans="29:29">
      <c r="AC261" s="9">
        <f>IF(C261="","",IF(AB261="Closed",AA261-C261,TODAY()-C261))</f>
        <v>0</v>
      </c>
    </row>
    <row r="262" spans="29:29">
      <c r="AC262" s="9">
        <f>IF(C262="","",IF(AB262="Closed",AA262-C262,TODAY()-C262))</f>
        <v>0</v>
      </c>
    </row>
    <row r="263" spans="29:29">
      <c r="AC263" s="9">
        <f>IF(C263="","",IF(AB263="Closed",AA263-C263,TODAY()-C263))</f>
        <v>0</v>
      </c>
    </row>
    <row r="264" spans="29:29">
      <c r="AC264" s="9">
        <f>IF(C264="","",IF(AB264="Closed",AA264-C264,TODAY()-C264))</f>
        <v>0</v>
      </c>
    </row>
    <row r="265" spans="29:29">
      <c r="AC265" s="9">
        <f>IF(C265="","",IF(AB265="Closed",AA265-C265,TODAY()-C265))</f>
        <v>0</v>
      </c>
    </row>
    <row r="266" spans="29:29">
      <c r="AC266" s="9">
        <f>IF(C266="","",IF(AB266="Closed",AA266-C266,TODAY()-C266))</f>
        <v>0</v>
      </c>
    </row>
    <row r="267" spans="29:29">
      <c r="AC267" s="9">
        <f>IF(C267="","",IF(AB267="Closed",AA267-C267,TODAY()-C267))</f>
        <v>0</v>
      </c>
    </row>
    <row r="268" spans="29:29">
      <c r="AC268" s="9">
        <f>IF(C268="","",IF(AB268="Closed",AA268-C268,TODAY()-C268))</f>
        <v>0</v>
      </c>
    </row>
    <row r="269" spans="29:29">
      <c r="AC269" s="9">
        <f>IF(C269="","",IF(AB269="Closed",AA269-C269,TODAY()-C269))</f>
        <v>0</v>
      </c>
    </row>
    <row r="270" spans="29:29">
      <c r="AC270" s="9">
        <f>IF(C270="","",IF(AB270="Closed",AA270-C270,TODAY()-C270))</f>
        <v>0</v>
      </c>
    </row>
    <row r="271" spans="29:29">
      <c r="AC271" s="9">
        <f>IF(C271="","",IF(AB271="Closed",AA271-C271,TODAY()-C271))</f>
        <v>0</v>
      </c>
    </row>
    <row r="272" spans="29:29">
      <c r="AC272" s="9">
        <f>IF(C272="","",IF(AB272="Closed",AA272-C272,TODAY()-C272))</f>
        <v>0</v>
      </c>
    </row>
    <row r="273" spans="29:29">
      <c r="AC273" s="9">
        <f>IF(C273="","",IF(AB273="Closed",AA273-C273,TODAY()-C273))</f>
        <v>0</v>
      </c>
    </row>
    <row r="274" spans="29:29">
      <c r="AC274" s="9">
        <f>IF(C274="","",IF(AB274="Closed",AA274-C274,TODAY()-C274))</f>
        <v>0</v>
      </c>
    </row>
    <row r="275" spans="29:29">
      <c r="AC275" s="9">
        <f>IF(C275="","",IF(AB275="Closed",AA275-C275,TODAY()-C275))</f>
        <v>0</v>
      </c>
    </row>
    <row r="276" spans="29:29">
      <c r="AC276" s="9">
        <f>IF(C276="","",IF(AB276="Closed",AA276-C276,TODAY()-C276))</f>
        <v>0</v>
      </c>
    </row>
    <row r="277" spans="29:29">
      <c r="AC277" s="9">
        <f>IF(C277="","",IF(AB277="Closed",AA277-C277,TODAY()-C277))</f>
        <v>0</v>
      </c>
    </row>
    <row r="278" spans="29:29">
      <c r="AC278" s="9">
        <f>IF(C278="","",IF(AB278="Closed",AA278-C278,TODAY()-C278))</f>
        <v>0</v>
      </c>
    </row>
    <row r="279" spans="29:29">
      <c r="AC279" s="9">
        <f>IF(C279="","",IF(AB279="Closed",AA279-C279,TODAY()-C279))</f>
        <v>0</v>
      </c>
    </row>
    <row r="280" spans="29:29">
      <c r="AC280" s="9">
        <f>IF(C280="","",IF(AB280="Closed",AA280-C280,TODAY()-C280))</f>
        <v>0</v>
      </c>
    </row>
    <row r="281" spans="29:29">
      <c r="AC281" s="9">
        <f>IF(C281="","",IF(AB281="Closed",AA281-C281,TODAY()-C281))</f>
        <v>0</v>
      </c>
    </row>
    <row r="282" spans="29:29">
      <c r="AC282" s="9">
        <f>IF(C282="","",IF(AB282="Closed",AA282-C282,TODAY()-C282))</f>
        <v>0</v>
      </c>
    </row>
    <row r="283" spans="29:29">
      <c r="AC283" s="9">
        <f>IF(C283="","",IF(AB283="Closed",AA283-C283,TODAY()-C283))</f>
        <v>0</v>
      </c>
    </row>
    <row r="284" spans="29:29">
      <c r="AC284" s="9">
        <f>IF(C284="","",IF(AB284="Closed",AA284-C284,TODAY()-C284))</f>
        <v>0</v>
      </c>
    </row>
    <row r="285" spans="29:29">
      <c r="AC285" s="9">
        <f>IF(C285="","",IF(AB285="Closed",AA285-C285,TODAY()-C285))</f>
        <v>0</v>
      </c>
    </row>
    <row r="286" spans="29:29">
      <c r="AC286" s="9">
        <f>IF(C286="","",IF(AB286="Closed",AA286-C286,TODAY()-C286))</f>
        <v>0</v>
      </c>
    </row>
    <row r="287" spans="29:29">
      <c r="AC287" s="9">
        <f>IF(C287="","",IF(AB287="Closed",AA287-C287,TODAY()-C287))</f>
        <v>0</v>
      </c>
    </row>
    <row r="288" spans="29:29">
      <c r="AC288" s="9">
        <f>IF(C288="","",IF(AB288="Closed",AA288-C288,TODAY()-C288))</f>
        <v>0</v>
      </c>
    </row>
    <row r="289" spans="29:29">
      <c r="AC289" s="9">
        <f>IF(C289="","",IF(AB289="Closed",AA289-C289,TODAY()-C289))</f>
        <v>0</v>
      </c>
    </row>
    <row r="290" spans="29:29">
      <c r="AC290" s="9">
        <f>IF(C290="","",IF(AB290="Closed",AA290-C290,TODAY()-C290))</f>
        <v>0</v>
      </c>
    </row>
    <row r="291" spans="29:29">
      <c r="AC291" s="9">
        <f>IF(C291="","",IF(AB291="Closed",AA291-C291,TODAY()-C291))</f>
        <v>0</v>
      </c>
    </row>
    <row r="292" spans="29:29">
      <c r="AC292" s="9">
        <f>IF(C292="","",IF(AB292="Closed",AA292-C292,TODAY()-C292))</f>
        <v>0</v>
      </c>
    </row>
    <row r="293" spans="29:29">
      <c r="AC293" s="9">
        <f>IF(C293="","",IF(AB293="Closed",AA293-C293,TODAY()-C293))</f>
        <v>0</v>
      </c>
    </row>
    <row r="294" spans="29:29">
      <c r="AC294" s="9">
        <f>IF(C294="","",IF(AB294="Closed",AA294-C294,TODAY()-C294))</f>
        <v>0</v>
      </c>
    </row>
    <row r="295" spans="29:29">
      <c r="AC295" s="9">
        <f>IF(C295="","",IF(AB295="Closed",AA295-C295,TODAY()-C295))</f>
        <v>0</v>
      </c>
    </row>
    <row r="296" spans="29:29">
      <c r="AC296" s="9">
        <f>IF(C296="","",IF(AB296="Closed",AA296-C296,TODAY()-C296))</f>
        <v>0</v>
      </c>
    </row>
    <row r="297" spans="29:29">
      <c r="AC297" s="9">
        <f>IF(C297="","",IF(AB297="Closed",AA297-C297,TODAY()-C297))</f>
        <v>0</v>
      </c>
    </row>
    <row r="298" spans="29:29">
      <c r="AC298" s="9">
        <f>IF(C298="","",IF(AB298="Closed",AA298-C298,TODAY()-C298))</f>
        <v>0</v>
      </c>
    </row>
    <row r="299" spans="29:29">
      <c r="AC299" s="9">
        <f>IF(C299="","",IF(AB299="Closed",AA299-C299,TODAY()-C299))</f>
        <v>0</v>
      </c>
    </row>
    <row r="300" spans="29:29">
      <c r="AC300" s="9">
        <f>IF(C300="","",IF(AB300="Closed",AA300-C300,TODAY()-C300))</f>
        <v>0</v>
      </c>
    </row>
    <row r="301" spans="29:29">
      <c r="AC301" s="9">
        <f>IF(C301="","",IF(AB301="Closed",AA301-C301,TODAY()-C301))</f>
        <v>0</v>
      </c>
    </row>
    <row r="302" spans="29:29">
      <c r="AC302" s="9">
        <f>IF(C302="","",IF(AB302="Closed",AA302-C302,TODAY()-C302))</f>
        <v>0</v>
      </c>
    </row>
    <row r="303" spans="29:29">
      <c r="AC303" s="9">
        <f>IF(C303="","",IF(AB303="Closed",AA303-C303,TODAY()-C303))</f>
        <v>0</v>
      </c>
    </row>
    <row r="304" spans="29:29">
      <c r="AC304" s="9">
        <f>IF(C304="","",IF(AB304="Closed",AA304-C304,TODAY()-C304))</f>
        <v>0</v>
      </c>
    </row>
    <row r="305" spans="29:29">
      <c r="AC305" s="9">
        <f>IF(C305="","",IF(AB305="Closed",AA305-C305,TODAY()-C305))</f>
        <v>0</v>
      </c>
    </row>
    <row r="306" spans="29:29">
      <c r="AC306" s="9">
        <f>IF(C306="","",IF(AB306="Closed",AA306-C306,TODAY()-C306))</f>
        <v>0</v>
      </c>
    </row>
    <row r="307" spans="29:29">
      <c r="AC307" s="9">
        <f>IF(C307="","",IF(AB307="Closed",AA307-C307,TODAY()-C307))</f>
        <v>0</v>
      </c>
    </row>
    <row r="308" spans="29:29">
      <c r="AC308" s="9">
        <f>IF(C308="","",IF(AB308="Closed",AA308-C308,TODAY()-C308))</f>
        <v>0</v>
      </c>
    </row>
    <row r="309" spans="29:29">
      <c r="AC309" s="9">
        <f>IF(C309="","",IF(AB309="Closed",AA309-C309,TODAY()-C309))</f>
        <v>0</v>
      </c>
    </row>
    <row r="310" spans="29:29">
      <c r="AC310" s="9">
        <f>IF(C310="","",IF(AB310="Closed",AA310-C310,TODAY()-C310))</f>
        <v>0</v>
      </c>
    </row>
    <row r="311" spans="29:29">
      <c r="AC311" s="9">
        <f>IF(C311="","",IF(AB311="Closed",AA311-C311,TODAY()-C311))</f>
        <v>0</v>
      </c>
    </row>
    <row r="312" spans="29:29">
      <c r="AC312" s="9">
        <f>IF(C312="","",IF(AB312="Closed",AA312-C312,TODAY()-C312))</f>
        <v>0</v>
      </c>
    </row>
    <row r="313" spans="29:29">
      <c r="AC313" s="9">
        <f>IF(C313="","",IF(AB313="Closed",AA313-C313,TODAY()-C313))</f>
        <v>0</v>
      </c>
    </row>
    <row r="314" spans="29:29">
      <c r="AC314" s="9">
        <f>IF(C314="","",IF(AB314="Closed",AA314-C314,TODAY()-C314))</f>
        <v>0</v>
      </c>
    </row>
    <row r="315" spans="29:29">
      <c r="AC315" s="9">
        <f>IF(C315="","",IF(AB315="Closed",AA315-C315,TODAY()-C315))</f>
        <v>0</v>
      </c>
    </row>
    <row r="316" spans="29:29">
      <c r="AC316" s="9">
        <f>IF(C316="","",IF(AB316="Closed",AA316-C316,TODAY()-C316))</f>
        <v>0</v>
      </c>
    </row>
    <row r="317" spans="29:29">
      <c r="AC317" s="9">
        <f>IF(C317="","",IF(AB317="Closed",AA317-C317,TODAY()-C317))</f>
        <v>0</v>
      </c>
    </row>
    <row r="318" spans="29:29">
      <c r="AC318" s="9">
        <f>IF(C318="","",IF(AB318="Closed",AA318-C318,TODAY()-C318))</f>
        <v>0</v>
      </c>
    </row>
    <row r="319" spans="29:29">
      <c r="AC319" s="9">
        <f>IF(C319="","",IF(AB319="Closed",AA319-C319,TODAY()-C319))</f>
        <v>0</v>
      </c>
    </row>
    <row r="320" spans="29:29">
      <c r="AC320" s="9">
        <f>IF(C320="","",IF(AB320="Closed",AA320-C320,TODAY()-C320))</f>
        <v>0</v>
      </c>
    </row>
    <row r="321" spans="29:29">
      <c r="AC321" s="9">
        <f>IF(C321="","",IF(AB321="Closed",AA321-C321,TODAY()-C321))</f>
        <v>0</v>
      </c>
    </row>
    <row r="322" spans="29:29">
      <c r="AC322" s="9">
        <f>IF(C322="","",IF(AB322="Closed",AA322-C322,TODAY()-C322))</f>
        <v>0</v>
      </c>
    </row>
    <row r="323" spans="29:29">
      <c r="AC323" s="9">
        <f>IF(C323="","",IF(AB323="Closed",AA323-C323,TODAY()-C323))</f>
        <v>0</v>
      </c>
    </row>
    <row r="324" spans="29:29">
      <c r="AC324" s="9">
        <f>IF(C324="","",IF(AB324="Closed",AA324-C324,TODAY()-C324))</f>
        <v>0</v>
      </c>
    </row>
    <row r="325" spans="29:29">
      <c r="AC325" s="9">
        <f>IF(C325="","",IF(AB325="Closed",AA325-C325,TODAY()-C325))</f>
        <v>0</v>
      </c>
    </row>
    <row r="326" spans="29:29">
      <c r="AC326" s="9">
        <f>IF(C326="","",IF(AB326="Closed",AA326-C326,TODAY()-C326))</f>
        <v>0</v>
      </c>
    </row>
    <row r="327" spans="29:29">
      <c r="AC327" s="9">
        <f>IF(C327="","",IF(AB327="Closed",AA327-C327,TODAY()-C327))</f>
        <v>0</v>
      </c>
    </row>
    <row r="328" spans="29:29">
      <c r="AC328" s="9">
        <f>IF(C328="","",IF(AB328="Closed",AA328-C328,TODAY()-C328))</f>
        <v>0</v>
      </c>
    </row>
    <row r="329" spans="29:29">
      <c r="AC329" s="9">
        <f>IF(C329="","",IF(AB329="Closed",AA329-C329,TODAY()-C329))</f>
        <v>0</v>
      </c>
    </row>
    <row r="330" spans="29:29">
      <c r="AC330" s="9">
        <f>IF(C330="","",IF(AB330="Closed",AA330-C330,TODAY()-C330))</f>
        <v>0</v>
      </c>
    </row>
    <row r="331" spans="29:29">
      <c r="AC331" s="9">
        <f>IF(C331="","",IF(AB331="Closed",AA331-C331,TODAY()-C331))</f>
        <v>0</v>
      </c>
    </row>
    <row r="332" spans="29:29">
      <c r="AC332" s="9">
        <f>IF(C332="","",IF(AB332="Closed",AA332-C332,TODAY()-C332))</f>
        <v>0</v>
      </c>
    </row>
    <row r="333" spans="29:29">
      <c r="AC333" s="9">
        <f>IF(C333="","",IF(AB333="Closed",AA333-C333,TODAY()-C333))</f>
        <v>0</v>
      </c>
    </row>
    <row r="334" spans="29:29">
      <c r="AC334" s="9">
        <f>IF(C334="","",IF(AB334="Closed",AA334-C334,TODAY()-C334))</f>
        <v>0</v>
      </c>
    </row>
    <row r="335" spans="29:29">
      <c r="AC335" s="9">
        <f>IF(C335="","",IF(AB335="Closed",AA335-C335,TODAY()-C335))</f>
        <v>0</v>
      </c>
    </row>
    <row r="336" spans="29:29">
      <c r="AC336" s="9">
        <f>IF(C336="","",IF(AB336="Closed",AA336-C336,TODAY()-C336))</f>
        <v>0</v>
      </c>
    </row>
    <row r="337" spans="29:29">
      <c r="AC337" s="9">
        <f>IF(C337="","",IF(AB337="Closed",AA337-C337,TODAY()-C337))</f>
        <v>0</v>
      </c>
    </row>
    <row r="338" spans="29:29">
      <c r="AC338" s="9">
        <f>IF(C338="","",IF(AB338="Closed",AA338-C338,TODAY()-C338))</f>
        <v>0</v>
      </c>
    </row>
    <row r="339" spans="29:29">
      <c r="AC339" s="9">
        <f>IF(C339="","",IF(AB339="Closed",AA339-C339,TODAY()-C339))</f>
        <v>0</v>
      </c>
    </row>
    <row r="340" spans="29:29">
      <c r="AC340" s="9">
        <f>IF(C340="","",IF(AB340="Closed",AA340-C340,TODAY()-C340))</f>
        <v>0</v>
      </c>
    </row>
    <row r="341" spans="29:29">
      <c r="AC341" s="9">
        <f>IF(C341="","",IF(AB341="Closed",AA341-C341,TODAY()-C341))</f>
        <v>0</v>
      </c>
    </row>
    <row r="342" spans="29:29">
      <c r="AC342" s="9">
        <f>IF(C342="","",IF(AB342="Closed",AA342-C342,TODAY()-C342))</f>
        <v>0</v>
      </c>
    </row>
    <row r="343" spans="29:29">
      <c r="AC343" s="9">
        <f>IF(C343="","",IF(AB343="Closed",AA343-C343,TODAY()-C343))</f>
        <v>0</v>
      </c>
    </row>
    <row r="344" spans="29:29">
      <c r="AC344" s="9">
        <f>IF(C344="","",IF(AB344="Closed",AA344-C344,TODAY()-C344))</f>
        <v>0</v>
      </c>
    </row>
    <row r="345" spans="29:29">
      <c r="AC345" s="9">
        <f>IF(C345="","",IF(AB345="Closed",AA345-C345,TODAY()-C345))</f>
        <v>0</v>
      </c>
    </row>
    <row r="346" spans="29:29">
      <c r="AC346" s="9">
        <f>IF(C346="","",IF(AB346="Closed",AA346-C346,TODAY()-C346))</f>
        <v>0</v>
      </c>
    </row>
    <row r="347" spans="29:29">
      <c r="AC347" s="9">
        <f>IF(C347="","",IF(AB347="Closed",AA347-C347,TODAY()-C347))</f>
        <v>0</v>
      </c>
    </row>
    <row r="348" spans="29:29">
      <c r="AC348" s="9">
        <f>IF(C348="","",IF(AB348="Closed",AA348-C348,TODAY()-C348))</f>
        <v>0</v>
      </c>
    </row>
    <row r="349" spans="29:29">
      <c r="AC349" s="9">
        <f>IF(C349="","",IF(AB349="Closed",AA349-C349,TODAY()-C349))</f>
        <v>0</v>
      </c>
    </row>
    <row r="350" spans="29:29">
      <c r="AC350" s="9">
        <f>IF(C350="","",IF(AB350="Closed",AA350-C350,TODAY()-C350))</f>
        <v>0</v>
      </c>
    </row>
    <row r="351" spans="29:29">
      <c r="AC351" s="9">
        <f>IF(C351="","",IF(AB351="Closed",AA351-C351,TODAY()-C351))</f>
        <v>0</v>
      </c>
    </row>
    <row r="352" spans="29:29">
      <c r="AC352" s="9">
        <f>IF(C352="","",IF(AB352="Closed",AA352-C352,TODAY()-C352))</f>
        <v>0</v>
      </c>
    </row>
    <row r="353" spans="29:29">
      <c r="AC353" s="9">
        <f>IF(C353="","",IF(AB353="Closed",AA353-C353,TODAY()-C353))</f>
        <v>0</v>
      </c>
    </row>
    <row r="354" spans="29:29">
      <c r="AC354" s="9">
        <f>IF(C354="","",IF(AB354="Closed",AA354-C354,TODAY()-C354))</f>
        <v>0</v>
      </c>
    </row>
    <row r="355" spans="29:29">
      <c r="AC355" s="9">
        <f>IF(C355="","",IF(AB355="Closed",AA355-C355,TODAY()-C355))</f>
        <v>0</v>
      </c>
    </row>
    <row r="356" spans="29:29">
      <c r="AC356" s="9">
        <f>IF(C356="","",IF(AB356="Closed",AA356-C356,TODAY()-C356))</f>
        <v>0</v>
      </c>
    </row>
    <row r="357" spans="29:29">
      <c r="AC357" s="9">
        <f>IF(C357="","",IF(AB357="Closed",AA357-C357,TODAY()-C357))</f>
        <v>0</v>
      </c>
    </row>
    <row r="358" spans="29:29">
      <c r="AC358" s="9">
        <f>IF(C358="","",IF(AB358="Closed",AA358-C358,TODAY()-C358))</f>
        <v>0</v>
      </c>
    </row>
    <row r="359" spans="29:29">
      <c r="AC359" s="9">
        <f>IF(C359="","",IF(AB359="Closed",AA359-C359,TODAY()-C359))</f>
        <v>0</v>
      </c>
    </row>
    <row r="360" spans="29:29">
      <c r="AC360" s="9">
        <f>IF(C360="","",IF(AB360="Closed",AA360-C360,TODAY()-C360))</f>
        <v>0</v>
      </c>
    </row>
    <row r="361" spans="29:29">
      <c r="AC361" s="9">
        <f>IF(C361="","",IF(AB361="Closed",AA361-C361,TODAY()-C361))</f>
        <v>0</v>
      </c>
    </row>
    <row r="362" spans="29:29">
      <c r="AC362" s="9">
        <f>IF(C362="","",IF(AB362="Closed",AA362-C362,TODAY()-C362))</f>
        <v>0</v>
      </c>
    </row>
    <row r="363" spans="29:29">
      <c r="AC363" s="9">
        <f>IF(C363="","",IF(AB363="Closed",AA363-C363,TODAY()-C363))</f>
        <v>0</v>
      </c>
    </row>
    <row r="364" spans="29:29">
      <c r="AC364" s="9">
        <f>IF(C364="","",IF(AB364="Closed",AA364-C364,TODAY()-C364))</f>
        <v>0</v>
      </c>
    </row>
    <row r="365" spans="29:29">
      <c r="AC365" s="9">
        <f>IF(C365="","",IF(AB365="Closed",AA365-C365,TODAY()-C365))</f>
        <v>0</v>
      </c>
    </row>
    <row r="366" spans="29:29">
      <c r="AC366" s="9">
        <f>IF(C366="","",IF(AB366="Closed",AA366-C366,TODAY()-C366))</f>
        <v>0</v>
      </c>
    </row>
    <row r="367" spans="29:29">
      <c r="AC367" s="9">
        <f>IF(C367="","",IF(AB367="Closed",AA367-C367,TODAY()-C367))</f>
        <v>0</v>
      </c>
    </row>
    <row r="368" spans="29:29">
      <c r="AC368" s="9">
        <f>IF(C368="","",IF(AB368="Closed",AA368-C368,TODAY()-C368))</f>
        <v>0</v>
      </c>
    </row>
    <row r="369" spans="29:29">
      <c r="AC369" s="9">
        <f>IF(C369="","",IF(AB369="Closed",AA369-C369,TODAY()-C369))</f>
        <v>0</v>
      </c>
    </row>
    <row r="370" spans="29:29">
      <c r="AC370" s="9">
        <f>IF(C370="","",IF(AB370="Closed",AA370-C370,TODAY()-C370))</f>
        <v>0</v>
      </c>
    </row>
    <row r="371" spans="29:29">
      <c r="AC371" s="9">
        <f>IF(C371="","",IF(AB371="Closed",AA371-C371,TODAY()-C371))</f>
        <v>0</v>
      </c>
    </row>
    <row r="372" spans="29:29">
      <c r="AC372" s="9">
        <f>IF(C372="","",IF(AB372="Closed",AA372-C372,TODAY()-C372))</f>
        <v>0</v>
      </c>
    </row>
    <row r="373" spans="29:29">
      <c r="AC373" s="9">
        <f>IF(C373="","",IF(AB373="Closed",AA373-C373,TODAY()-C373))</f>
        <v>0</v>
      </c>
    </row>
    <row r="374" spans="29:29">
      <c r="AC374" s="9">
        <f>IF(C374="","",IF(AB374="Closed",AA374-C374,TODAY()-C374))</f>
        <v>0</v>
      </c>
    </row>
    <row r="375" spans="29:29">
      <c r="AC375" s="9">
        <f>IF(C375="","",IF(AB375="Closed",AA375-C375,TODAY()-C375))</f>
        <v>0</v>
      </c>
    </row>
    <row r="376" spans="29:29">
      <c r="AC376" s="9">
        <f>IF(C376="","",IF(AB376="Closed",AA376-C376,TODAY()-C376))</f>
        <v>0</v>
      </c>
    </row>
    <row r="377" spans="29:29">
      <c r="AC377" s="9">
        <f>IF(C377="","",IF(AB377="Closed",AA377-C377,TODAY()-C377))</f>
        <v>0</v>
      </c>
    </row>
    <row r="378" spans="29:29">
      <c r="AC378" s="9">
        <f>IF(C378="","",IF(AB378="Closed",AA378-C378,TODAY()-C378))</f>
        <v>0</v>
      </c>
    </row>
    <row r="379" spans="29:29">
      <c r="AC379" s="9">
        <f>IF(C379="","",IF(AB379="Closed",AA379-C379,TODAY()-C379))</f>
        <v>0</v>
      </c>
    </row>
    <row r="380" spans="29:29">
      <c r="AC380" s="9">
        <f>IF(C380="","",IF(AB380="Closed",AA380-C380,TODAY()-C380))</f>
        <v>0</v>
      </c>
    </row>
    <row r="381" spans="29:29">
      <c r="AC381" s="9">
        <f>IF(C381="","",IF(AB381="Closed",AA381-C381,TODAY()-C381))</f>
        <v>0</v>
      </c>
    </row>
    <row r="382" spans="29:29">
      <c r="AC382" s="9">
        <f>IF(C382="","",IF(AB382="Closed",AA382-C382,TODAY()-C382))</f>
        <v>0</v>
      </c>
    </row>
    <row r="383" spans="29:29">
      <c r="AC383" s="9">
        <f>IF(C383="","",IF(AB383="Closed",AA383-C383,TODAY()-C383))</f>
        <v>0</v>
      </c>
    </row>
    <row r="384" spans="29:29">
      <c r="AC384" s="9">
        <f>IF(C384="","",IF(AB384="Closed",AA384-C384,TODAY()-C384))</f>
        <v>0</v>
      </c>
    </row>
    <row r="385" spans="29:29">
      <c r="AC385" s="9">
        <f>IF(C385="","",IF(AB385="Closed",AA385-C385,TODAY()-C385))</f>
        <v>0</v>
      </c>
    </row>
    <row r="386" spans="29:29">
      <c r="AC386" s="9">
        <f>IF(C386="","",IF(AB386="Closed",AA386-C386,TODAY()-C386))</f>
        <v>0</v>
      </c>
    </row>
    <row r="387" spans="29:29">
      <c r="AC387" s="9">
        <f>IF(C387="","",IF(AB387="Closed",AA387-C387,TODAY()-C387))</f>
        <v>0</v>
      </c>
    </row>
    <row r="388" spans="29:29">
      <c r="AC388" s="9">
        <f>IF(C388="","",IF(AB388="Closed",AA388-C388,TODAY()-C388))</f>
        <v>0</v>
      </c>
    </row>
    <row r="389" spans="29:29">
      <c r="AC389" s="9">
        <f>IF(C389="","",IF(AB389="Closed",AA389-C389,TODAY()-C389))</f>
        <v>0</v>
      </c>
    </row>
    <row r="390" spans="29:29">
      <c r="AC390" s="9">
        <f>IF(C390="","",IF(AB390="Closed",AA390-C390,TODAY()-C390))</f>
        <v>0</v>
      </c>
    </row>
    <row r="391" spans="29:29">
      <c r="AC391" s="9">
        <f>IF(C391="","",IF(AB391="Closed",AA391-C391,TODAY()-C391))</f>
        <v>0</v>
      </c>
    </row>
    <row r="392" spans="29:29">
      <c r="AC392" s="9">
        <f>IF(C392="","",IF(AB392="Closed",AA392-C392,TODAY()-C392))</f>
        <v>0</v>
      </c>
    </row>
    <row r="393" spans="29:29">
      <c r="AC393" s="9">
        <f>IF(C393="","",IF(AB393="Closed",AA393-C393,TODAY()-C393))</f>
        <v>0</v>
      </c>
    </row>
    <row r="394" spans="29:29">
      <c r="AC394" s="9">
        <f>IF(C394="","",IF(AB394="Closed",AA394-C394,TODAY()-C394))</f>
        <v>0</v>
      </c>
    </row>
    <row r="395" spans="29:29">
      <c r="AC395" s="9">
        <f>IF(C395="","",IF(AB395="Closed",AA395-C395,TODAY()-C395))</f>
        <v>0</v>
      </c>
    </row>
    <row r="396" spans="29:29">
      <c r="AC396" s="9">
        <f>IF(C396="","",IF(AB396="Closed",AA396-C396,TODAY()-C396))</f>
        <v>0</v>
      </c>
    </row>
    <row r="397" spans="29:29">
      <c r="AC397" s="9">
        <f>IF(C397="","",IF(AB397="Closed",AA397-C397,TODAY()-C397))</f>
        <v>0</v>
      </c>
    </row>
    <row r="398" spans="29:29">
      <c r="AC398" s="9">
        <f>IF(C398="","",IF(AB398="Closed",AA398-C398,TODAY()-C398))</f>
        <v>0</v>
      </c>
    </row>
    <row r="399" spans="29:29">
      <c r="AC399" s="9">
        <f>IF(C399="","",IF(AB399="Closed",AA399-C399,TODAY()-C399))</f>
        <v>0</v>
      </c>
    </row>
    <row r="400" spans="29:29">
      <c r="AC400" s="9">
        <f>IF(C400="","",IF(AB400="Closed",AA400-C400,TODAY()-C400))</f>
        <v>0</v>
      </c>
    </row>
    <row r="401" spans="29:29">
      <c r="AC401" s="9">
        <f>IF(C401="","",IF(AB401="Closed",AA401-C401,TODAY()-C401))</f>
        <v>0</v>
      </c>
    </row>
    <row r="402" spans="29:29">
      <c r="AC402" s="9">
        <f>IF(C402="","",IF(AB402="Closed",AA402-C402,TODAY()-C402))</f>
        <v>0</v>
      </c>
    </row>
    <row r="403" spans="29:29">
      <c r="AC403" s="9">
        <f>IF(C403="","",IF(AB403="Closed",AA403-C403,TODAY()-C403))</f>
        <v>0</v>
      </c>
    </row>
    <row r="404" spans="29:29">
      <c r="AC404" s="9">
        <f>IF(C404="","",IF(AB404="Closed",AA404-C404,TODAY()-C404))</f>
        <v>0</v>
      </c>
    </row>
    <row r="405" spans="29:29">
      <c r="AC405" s="9">
        <f>IF(C405="","",IF(AB405="Closed",AA405-C405,TODAY()-C405))</f>
        <v>0</v>
      </c>
    </row>
    <row r="406" spans="29:29">
      <c r="AC406" s="9">
        <f>IF(C406="","",IF(AB406="Closed",AA406-C406,TODAY()-C406))</f>
        <v>0</v>
      </c>
    </row>
    <row r="407" spans="29:29">
      <c r="AC407" s="9">
        <f>IF(C407="","",IF(AB407="Closed",AA407-C407,TODAY()-C407))</f>
        <v>0</v>
      </c>
    </row>
    <row r="408" spans="29:29">
      <c r="AC408" s="9">
        <f>IF(C408="","",IF(AB408="Closed",AA408-C408,TODAY()-C408))</f>
        <v>0</v>
      </c>
    </row>
    <row r="409" spans="29:29">
      <c r="AC409" s="9">
        <f>IF(C409="","",IF(AB409="Closed",AA409-C409,TODAY()-C409))</f>
        <v>0</v>
      </c>
    </row>
    <row r="410" spans="29:29">
      <c r="AC410" s="9">
        <f>IF(C410="","",IF(AB410="Closed",AA410-C410,TODAY()-C410))</f>
        <v>0</v>
      </c>
    </row>
    <row r="411" spans="29:29">
      <c r="AC411" s="9">
        <f>IF(C411="","",IF(AB411="Closed",AA411-C411,TODAY()-C411))</f>
        <v>0</v>
      </c>
    </row>
    <row r="412" spans="29:29">
      <c r="AC412" s="9">
        <f>IF(C412="","",IF(AB412="Closed",AA412-C412,TODAY()-C412))</f>
        <v>0</v>
      </c>
    </row>
    <row r="413" spans="29:29">
      <c r="AC413" s="9">
        <f>IF(C413="","",IF(AB413="Closed",AA413-C413,TODAY()-C413))</f>
        <v>0</v>
      </c>
    </row>
    <row r="414" spans="29:29">
      <c r="AC414" s="9">
        <f>IF(C414="","",IF(AB414="Closed",AA414-C414,TODAY()-C414))</f>
        <v>0</v>
      </c>
    </row>
    <row r="415" spans="29:29">
      <c r="AC415" s="9">
        <f>IF(C415="","",IF(AB415="Closed",AA415-C415,TODAY()-C415))</f>
        <v>0</v>
      </c>
    </row>
    <row r="416" spans="29:29">
      <c r="AC416" s="9">
        <f>IF(C416="","",IF(AB416="Closed",AA416-C416,TODAY()-C416))</f>
        <v>0</v>
      </c>
    </row>
    <row r="417" spans="29:29">
      <c r="AC417" s="9">
        <f>IF(C417="","",IF(AB417="Closed",AA417-C417,TODAY()-C417))</f>
        <v>0</v>
      </c>
    </row>
    <row r="418" spans="29:29">
      <c r="AC418" s="9">
        <f>IF(C418="","",IF(AB418="Closed",AA418-C418,TODAY()-C418))</f>
        <v>0</v>
      </c>
    </row>
    <row r="419" spans="29:29">
      <c r="AC419" s="9">
        <f>IF(C419="","",IF(AB419="Closed",AA419-C419,TODAY()-C419))</f>
        <v>0</v>
      </c>
    </row>
    <row r="420" spans="29:29">
      <c r="AC420" s="9">
        <f>IF(C420="","",IF(AB420="Closed",AA420-C420,TODAY()-C420))</f>
        <v>0</v>
      </c>
    </row>
    <row r="421" spans="29:29">
      <c r="AC421" s="9">
        <f>IF(C421="","",IF(AB421="Closed",AA421-C421,TODAY()-C421))</f>
        <v>0</v>
      </c>
    </row>
    <row r="422" spans="29:29">
      <c r="AC422" s="9">
        <f>IF(C422="","",IF(AB422="Closed",AA422-C422,TODAY()-C422))</f>
        <v>0</v>
      </c>
    </row>
    <row r="423" spans="29:29">
      <c r="AC423" s="9">
        <f>IF(C423="","",IF(AB423="Closed",AA423-C423,TODAY()-C423))</f>
        <v>0</v>
      </c>
    </row>
    <row r="424" spans="29:29">
      <c r="AC424" s="9">
        <f>IF(C424="","",IF(AB424="Closed",AA424-C424,TODAY()-C424))</f>
        <v>0</v>
      </c>
    </row>
    <row r="425" spans="29:29">
      <c r="AC425" s="9">
        <f>IF(C425="","",IF(AB425="Closed",AA425-C425,TODAY()-C425))</f>
        <v>0</v>
      </c>
    </row>
    <row r="426" spans="29:29">
      <c r="AC426" s="9">
        <f>IF(C426="","",IF(AB426="Closed",AA426-C426,TODAY()-C426))</f>
        <v>0</v>
      </c>
    </row>
    <row r="427" spans="29:29">
      <c r="AC427" s="9">
        <f>IF(C427="","",IF(AB427="Closed",AA427-C427,TODAY()-C427))</f>
        <v>0</v>
      </c>
    </row>
    <row r="428" spans="29:29">
      <c r="AC428" s="9">
        <f>IF(C428="","",IF(AB428="Closed",AA428-C428,TODAY()-C428))</f>
        <v>0</v>
      </c>
    </row>
    <row r="429" spans="29:29">
      <c r="AC429" s="9">
        <f>IF(C429="","",IF(AB429="Closed",AA429-C429,TODAY()-C429))</f>
        <v>0</v>
      </c>
    </row>
    <row r="430" spans="29:29">
      <c r="AC430" s="9">
        <f>IF(C430="","",IF(AB430="Closed",AA430-C430,TODAY()-C430))</f>
        <v>0</v>
      </c>
    </row>
    <row r="431" spans="29:29">
      <c r="AC431" s="9">
        <f>IF(C431="","",IF(AB431="Closed",AA431-C431,TODAY()-C431))</f>
        <v>0</v>
      </c>
    </row>
    <row r="432" spans="29:29">
      <c r="AC432" s="9">
        <f>IF(C432="","",IF(AB432="Closed",AA432-C432,TODAY()-C432))</f>
        <v>0</v>
      </c>
    </row>
    <row r="433" spans="29:29">
      <c r="AC433" s="9">
        <f>IF(C433="","",IF(AB433="Closed",AA433-C433,TODAY()-C433))</f>
        <v>0</v>
      </c>
    </row>
    <row r="434" spans="29:29">
      <c r="AC434" s="9">
        <f>IF(C434="","",IF(AB434="Closed",AA434-C434,TODAY()-C434))</f>
        <v>0</v>
      </c>
    </row>
    <row r="435" spans="29:29">
      <c r="AC435" s="9">
        <f>IF(C435="","",IF(AB435="Closed",AA435-C435,TODAY()-C435))</f>
        <v>0</v>
      </c>
    </row>
    <row r="436" spans="29:29">
      <c r="AC436" s="9">
        <f>IF(C436="","",IF(AB436="Closed",AA436-C436,TODAY()-C436))</f>
        <v>0</v>
      </c>
    </row>
    <row r="437" spans="29:29">
      <c r="AC437" s="9">
        <f>IF(C437="","",IF(AB437="Closed",AA437-C437,TODAY()-C437))</f>
        <v>0</v>
      </c>
    </row>
    <row r="438" spans="29:29">
      <c r="AC438" s="9">
        <f>IF(C438="","",IF(AB438="Closed",AA438-C438,TODAY()-C438))</f>
        <v>0</v>
      </c>
    </row>
    <row r="439" spans="29:29">
      <c r="AC439" s="9">
        <f>IF(C439="","",IF(AB439="Closed",AA439-C439,TODAY()-C439))</f>
        <v>0</v>
      </c>
    </row>
    <row r="440" spans="29:29">
      <c r="AC440" s="9">
        <f>IF(C440="","",IF(AB440="Closed",AA440-C440,TODAY()-C440))</f>
        <v>0</v>
      </c>
    </row>
    <row r="441" spans="29:29">
      <c r="AC441" s="9">
        <f>IF(C441="","",IF(AB441="Closed",AA441-C441,TODAY()-C441))</f>
        <v>0</v>
      </c>
    </row>
    <row r="442" spans="29:29">
      <c r="AC442" s="9">
        <f>IF(C442="","",IF(AB442="Closed",AA442-C442,TODAY()-C442))</f>
        <v>0</v>
      </c>
    </row>
    <row r="443" spans="29:29">
      <c r="AC443" s="9">
        <f>IF(C443="","",IF(AB443="Closed",AA443-C443,TODAY()-C443))</f>
        <v>0</v>
      </c>
    </row>
    <row r="444" spans="29:29">
      <c r="AC444" s="9">
        <f>IF(C444="","",IF(AB444="Closed",AA444-C444,TODAY()-C444))</f>
        <v>0</v>
      </c>
    </row>
    <row r="445" spans="29:29">
      <c r="AC445" s="9">
        <f>IF(C445="","",IF(AB445="Closed",AA445-C445,TODAY()-C445))</f>
        <v>0</v>
      </c>
    </row>
    <row r="446" spans="29:29">
      <c r="AC446" s="9">
        <f>IF(C446="","",IF(AB446="Closed",AA446-C446,TODAY()-C446))</f>
        <v>0</v>
      </c>
    </row>
    <row r="447" spans="29:29">
      <c r="AC447" s="9">
        <f>IF(C447="","",IF(AB447="Closed",AA447-C447,TODAY()-C447))</f>
        <v>0</v>
      </c>
    </row>
    <row r="448" spans="29:29">
      <c r="AC448" s="9">
        <f>IF(C448="","",IF(AB448="Closed",AA448-C448,TODAY()-C448))</f>
        <v>0</v>
      </c>
    </row>
    <row r="449" spans="29:29">
      <c r="AC449" s="9">
        <f>IF(C449="","",IF(AB449="Closed",AA449-C449,TODAY()-C449))</f>
        <v>0</v>
      </c>
    </row>
    <row r="450" spans="29:29">
      <c r="AC450" s="9">
        <f>IF(C450="","",IF(AB450="Closed",AA450-C450,TODAY()-C450))</f>
        <v>0</v>
      </c>
    </row>
    <row r="451" spans="29:29">
      <c r="AC451" s="9">
        <f>IF(C451="","",IF(AB451="Closed",AA451-C451,TODAY()-C451))</f>
        <v>0</v>
      </c>
    </row>
    <row r="452" spans="29:29">
      <c r="AC452" s="9">
        <f>IF(C452="","",IF(AB452="Closed",AA452-C452,TODAY()-C452))</f>
        <v>0</v>
      </c>
    </row>
    <row r="453" spans="29:29">
      <c r="AC453" s="9">
        <f>IF(C453="","",IF(AB453="Closed",AA453-C453,TODAY()-C453))</f>
        <v>0</v>
      </c>
    </row>
    <row r="454" spans="29:29">
      <c r="AC454" s="9">
        <f>IF(C454="","",IF(AB454="Closed",AA454-C454,TODAY()-C454))</f>
        <v>0</v>
      </c>
    </row>
    <row r="455" spans="29:29">
      <c r="AC455" s="9">
        <f>IF(C455="","",IF(AB455="Closed",AA455-C455,TODAY()-C455))</f>
        <v>0</v>
      </c>
    </row>
    <row r="456" spans="29:29">
      <c r="AC456" s="9">
        <f>IF(C456="","",IF(AB456="Closed",AA456-C456,TODAY()-C456))</f>
        <v>0</v>
      </c>
    </row>
    <row r="457" spans="29:29">
      <c r="AC457" s="9">
        <f>IF(C457="","",IF(AB457="Closed",AA457-C457,TODAY()-C457))</f>
        <v>0</v>
      </c>
    </row>
    <row r="458" spans="29:29">
      <c r="AC458" s="9">
        <f>IF(C458="","",IF(AB458="Closed",AA458-C458,TODAY()-C458))</f>
        <v>0</v>
      </c>
    </row>
    <row r="459" spans="29:29">
      <c r="AC459" s="9">
        <f>IF(C459="","",IF(AB459="Closed",AA459-C459,TODAY()-C459))</f>
        <v>0</v>
      </c>
    </row>
    <row r="460" spans="29:29">
      <c r="AC460" s="9">
        <f>IF(C460="","",IF(AB460="Closed",AA460-C460,TODAY()-C460))</f>
        <v>0</v>
      </c>
    </row>
    <row r="461" spans="29:29">
      <c r="AC461" s="9">
        <f>IF(C461="","",IF(AB461="Closed",AA461-C461,TODAY()-C461))</f>
        <v>0</v>
      </c>
    </row>
    <row r="462" spans="29:29">
      <c r="AC462" s="9">
        <f>IF(C462="","",IF(AB462="Closed",AA462-C462,TODAY()-C462))</f>
        <v>0</v>
      </c>
    </row>
    <row r="463" spans="29:29">
      <c r="AC463" s="9">
        <f>IF(C463="","",IF(AB463="Closed",AA463-C463,TODAY()-C463))</f>
        <v>0</v>
      </c>
    </row>
    <row r="464" spans="29:29">
      <c r="AC464" s="9">
        <f>IF(C464="","",IF(AB464="Closed",AA464-C464,TODAY()-C464))</f>
        <v>0</v>
      </c>
    </row>
    <row r="465" spans="29:29">
      <c r="AC465" s="9">
        <f>IF(C465="","",IF(AB465="Closed",AA465-C465,TODAY()-C465))</f>
        <v>0</v>
      </c>
    </row>
    <row r="466" spans="29:29">
      <c r="AC466" s="9">
        <f>IF(C466="","",IF(AB466="Closed",AA466-C466,TODAY()-C466))</f>
        <v>0</v>
      </c>
    </row>
    <row r="467" spans="29:29">
      <c r="AC467" s="9">
        <f>IF(C467="","",IF(AB467="Closed",AA467-C467,TODAY()-C467))</f>
        <v>0</v>
      </c>
    </row>
    <row r="468" spans="29:29">
      <c r="AC468" s="9">
        <f>IF(C468="","",IF(AB468="Closed",AA468-C468,TODAY()-C468))</f>
        <v>0</v>
      </c>
    </row>
    <row r="469" spans="29:29">
      <c r="AC469" s="9">
        <f>IF(C469="","",IF(AB469="Closed",AA469-C469,TODAY()-C469))</f>
        <v>0</v>
      </c>
    </row>
    <row r="470" spans="29:29">
      <c r="AC470" s="9">
        <f>IF(C470="","",IF(AB470="Closed",AA470-C470,TODAY()-C470))</f>
        <v>0</v>
      </c>
    </row>
    <row r="471" spans="29:29">
      <c r="AC471" s="9">
        <f>IF(C471="","",IF(AB471="Closed",AA471-C471,TODAY()-C471))</f>
        <v>0</v>
      </c>
    </row>
    <row r="472" spans="29:29">
      <c r="AC472" s="9">
        <f>IF(C472="","",IF(AB472="Closed",AA472-C472,TODAY()-C472))</f>
        <v>0</v>
      </c>
    </row>
    <row r="473" spans="29:29">
      <c r="AC473" s="9">
        <f>IF(C473="","",IF(AB473="Closed",AA473-C473,TODAY()-C473))</f>
        <v>0</v>
      </c>
    </row>
    <row r="474" spans="29:29">
      <c r="AC474" s="9">
        <f>IF(C474="","",IF(AB474="Closed",AA474-C474,TODAY()-C474))</f>
        <v>0</v>
      </c>
    </row>
    <row r="475" spans="29:29">
      <c r="AC475" s="9">
        <f>IF(C475="","",IF(AB475="Closed",AA475-C475,TODAY()-C475))</f>
        <v>0</v>
      </c>
    </row>
    <row r="476" spans="29:29">
      <c r="AC476" s="9">
        <f>IF(C476="","",IF(AB476="Closed",AA476-C476,TODAY()-C476))</f>
        <v>0</v>
      </c>
    </row>
    <row r="477" spans="29:29">
      <c r="AC477" s="9">
        <f>IF(C477="","",IF(AB477="Closed",AA477-C477,TODAY()-C477))</f>
        <v>0</v>
      </c>
    </row>
    <row r="478" spans="29:29">
      <c r="AC478" s="9">
        <f>IF(C478="","",IF(AB478="Closed",AA478-C478,TODAY()-C478))</f>
        <v>0</v>
      </c>
    </row>
    <row r="479" spans="29:29">
      <c r="AC479" s="9">
        <f>IF(C479="","",IF(AB479="Closed",AA479-C479,TODAY()-C479))</f>
        <v>0</v>
      </c>
    </row>
    <row r="480" spans="29:29">
      <c r="AC480" s="9">
        <f>IF(C480="","",IF(AB480="Closed",AA480-C480,TODAY()-C480))</f>
        <v>0</v>
      </c>
    </row>
    <row r="481" spans="29:29">
      <c r="AC481" s="9">
        <f>IF(C481="","",IF(AB481="Closed",AA481-C481,TODAY()-C481))</f>
        <v>0</v>
      </c>
    </row>
    <row r="482" spans="29:29">
      <c r="AC482" s="9">
        <f>IF(C482="","",IF(AB482="Closed",AA482-C482,TODAY()-C482))</f>
        <v>0</v>
      </c>
    </row>
    <row r="483" spans="29:29">
      <c r="AC483" s="9">
        <f>IF(C483="","",IF(AB483="Closed",AA483-C483,TODAY()-C483))</f>
        <v>0</v>
      </c>
    </row>
    <row r="484" spans="29:29">
      <c r="AC484" s="9">
        <f>IF(C484="","",IF(AB484="Closed",AA484-C484,TODAY()-C484))</f>
        <v>0</v>
      </c>
    </row>
    <row r="485" spans="29:29">
      <c r="AC485" s="9">
        <f>IF(C485="","",IF(AB485="Closed",AA485-C485,TODAY()-C485))</f>
        <v>0</v>
      </c>
    </row>
    <row r="486" spans="29:29">
      <c r="AC486" s="9">
        <f>IF(C486="","",IF(AB486="Closed",AA486-C486,TODAY()-C486))</f>
        <v>0</v>
      </c>
    </row>
    <row r="487" spans="29:29">
      <c r="AC487" s="9">
        <f>IF(C487="","",IF(AB487="Closed",AA487-C487,TODAY()-C487))</f>
        <v>0</v>
      </c>
    </row>
    <row r="488" spans="29:29">
      <c r="AC488" s="9">
        <f>IF(C488="","",IF(AB488="Closed",AA488-C488,TODAY()-C488))</f>
        <v>0</v>
      </c>
    </row>
    <row r="489" spans="29:29">
      <c r="AC489" s="9">
        <f>IF(C489="","",IF(AB489="Closed",AA489-C489,TODAY()-C489))</f>
        <v>0</v>
      </c>
    </row>
    <row r="490" spans="29:29">
      <c r="AC490" s="9">
        <f>IF(C490="","",IF(AB490="Closed",AA490-C490,TODAY()-C490))</f>
        <v>0</v>
      </c>
    </row>
    <row r="491" spans="29:29">
      <c r="AC491" s="9">
        <f>IF(C491="","",IF(AB491="Closed",AA491-C491,TODAY()-C491))</f>
        <v>0</v>
      </c>
    </row>
    <row r="492" spans="29:29">
      <c r="AC492" s="9">
        <f>IF(C492="","",IF(AB492="Closed",AA492-C492,TODAY()-C492))</f>
        <v>0</v>
      </c>
    </row>
    <row r="493" spans="29:29">
      <c r="AC493" s="9">
        <f>IF(C493="","",IF(AB493="Closed",AA493-C493,TODAY()-C493))</f>
        <v>0</v>
      </c>
    </row>
    <row r="494" spans="29:29">
      <c r="AC494" s="9">
        <f>IF(C494="","",IF(AB494="Closed",AA494-C494,TODAY()-C494))</f>
        <v>0</v>
      </c>
    </row>
    <row r="495" spans="29:29">
      <c r="AC495" s="9">
        <f>IF(C495="","",IF(AB495="Closed",AA495-C495,TODAY()-C495))</f>
        <v>0</v>
      </c>
    </row>
    <row r="496" spans="29:29">
      <c r="AC496" s="9">
        <f>IF(C496="","",IF(AB496="Closed",AA496-C496,TODAY()-C496))</f>
        <v>0</v>
      </c>
    </row>
    <row r="497" spans="29:29">
      <c r="AC497" s="9">
        <f>IF(C497="","",IF(AB497="Closed",AA497-C497,TODAY()-C497))</f>
        <v>0</v>
      </c>
    </row>
    <row r="498" spans="29:29">
      <c r="AC498" s="9">
        <f>IF(C498="","",IF(AB498="Closed",AA498-C498,TODAY()-C498))</f>
        <v>0</v>
      </c>
    </row>
    <row r="499" spans="29:29">
      <c r="AC499" s="9">
        <f>IF(C499="","",IF(AB499="Closed",AA499-C499,TODAY()-C499))</f>
        <v>0</v>
      </c>
    </row>
    <row r="500" spans="29:29">
      <c r="AC500" s="9">
        <f>IF(C500="","",IF(AB500="Closed",AA500-C500,TODAY()-C500))</f>
        <v>0</v>
      </c>
    </row>
    <row r="501" spans="29:29">
      <c r="AC501" s="9">
        <f>IF(C501="","",IF(AB501="Closed",AA501-C501,TODAY()-C501))</f>
        <v>0</v>
      </c>
    </row>
    <row r="502" spans="29:29">
      <c r="AC502" s="9">
        <f>IF(C502="","",IF(AB502="Closed",AA502-C502,TODAY()-C502))</f>
        <v>0</v>
      </c>
    </row>
    <row r="503" spans="29:29">
      <c r="AC503" s="9">
        <f>IF(C503="","",IF(AB503="Closed",AA503-C503,TODAY()-C503))</f>
        <v>0</v>
      </c>
    </row>
    <row r="504" spans="29:29">
      <c r="AC504" s="9">
        <f>IF(C504="","",IF(AB504="Closed",AA504-C504,TODAY()-C504))</f>
        <v>0</v>
      </c>
    </row>
    <row r="505" spans="29:29">
      <c r="AC505" s="9">
        <f>IF(C505="","",IF(AB505="Closed",AA505-C505,TODAY()-C505))</f>
        <v>0</v>
      </c>
    </row>
    <row r="506" spans="29:29">
      <c r="AC506" s="9">
        <f>IF(C506="","",IF(AB506="Closed",AA506-C506,TODAY()-C506))</f>
        <v>0</v>
      </c>
    </row>
    <row r="507" spans="29:29">
      <c r="AC507" s="9">
        <f>IF(C507="","",IF(AB507="Closed",AA507-C507,TODAY()-C507))</f>
        <v>0</v>
      </c>
    </row>
    <row r="508" spans="29:29">
      <c r="AC508" s="9">
        <f>IF(C508="","",IF(AB508="Closed",AA508-C508,TODAY()-C508))</f>
        <v>0</v>
      </c>
    </row>
    <row r="509" spans="29:29">
      <c r="AC509" s="9">
        <f>IF(C509="","",IF(AB509="Closed",AA509-C509,TODAY()-C509))</f>
        <v>0</v>
      </c>
    </row>
    <row r="510" spans="29:29">
      <c r="AC510" s="9">
        <f>IF(C510="","",IF(AB510="Closed",AA510-C510,TODAY()-C510))</f>
        <v>0</v>
      </c>
    </row>
    <row r="511" spans="29:29">
      <c r="AC511" s="9">
        <f>IF(C511="","",IF(AB511="Closed",AA511-C511,TODAY()-C511))</f>
        <v>0</v>
      </c>
    </row>
    <row r="512" spans="29:29">
      <c r="AC512" s="9">
        <f>IF(C512="","",IF(AB512="Closed",AA512-C512,TODAY()-C512))</f>
        <v>0</v>
      </c>
    </row>
    <row r="513" spans="29:29">
      <c r="AC513" s="9">
        <f>IF(C513="","",IF(AB513="Closed",AA513-C513,TODAY()-C513))</f>
        <v>0</v>
      </c>
    </row>
    <row r="514" spans="29:29">
      <c r="AC514" s="9">
        <f>IF(C514="","",IF(AB514="Closed",AA514-C514,TODAY()-C514))</f>
        <v>0</v>
      </c>
    </row>
    <row r="515" spans="29:29">
      <c r="AC515" s="9">
        <f>IF(C515="","",IF(AB515="Closed",AA515-C515,TODAY()-C515))</f>
        <v>0</v>
      </c>
    </row>
    <row r="516" spans="29:29">
      <c r="AC516" s="9">
        <f>IF(C516="","",IF(AB516="Closed",AA516-C516,TODAY()-C516))</f>
        <v>0</v>
      </c>
    </row>
    <row r="517" spans="29:29">
      <c r="AC517" s="9">
        <f>IF(C517="","",IF(AB517="Closed",AA517-C517,TODAY()-C517))</f>
        <v>0</v>
      </c>
    </row>
    <row r="518" spans="29:29">
      <c r="AC518" s="9">
        <f>IF(C518="","",IF(AB518="Closed",AA518-C518,TODAY()-C518))</f>
        <v>0</v>
      </c>
    </row>
    <row r="519" spans="29:29">
      <c r="AC519" s="9">
        <f>IF(C519="","",IF(AB519="Closed",AA519-C519,TODAY()-C519))</f>
        <v>0</v>
      </c>
    </row>
    <row r="520" spans="29:29">
      <c r="AC520" s="9">
        <f>IF(C520="","",IF(AB520="Closed",AA520-C520,TODAY()-C520))</f>
        <v>0</v>
      </c>
    </row>
    <row r="521" spans="29:29">
      <c r="AC521" s="9">
        <f>IF(C521="","",IF(AB521="Closed",AA521-C521,TODAY()-C521))</f>
        <v>0</v>
      </c>
    </row>
    <row r="522" spans="29:29">
      <c r="AC522" s="9">
        <f>IF(C522="","",IF(AB522="Closed",AA522-C522,TODAY()-C522))</f>
        <v>0</v>
      </c>
    </row>
    <row r="523" spans="29:29">
      <c r="AC523" s="9">
        <f>IF(C523="","",IF(AB523="Closed",AA523-C523,TODAY()-C523))</f>
        <v>0</v>
      </c>
    </row>
    <row r="524" spans="29:29">
      <c r="AC524" s="9">
        <f>IF(C524="","",IF(AB524="Closed",AA524-C524,TODAY()-C524))</f>
        <v>0</v>
      </c>
    </row>
    <row r="525" spans="29:29">
      <c r="AC525" s="9">
        <f>IF(C525="","",IF(AB525="Closed",AA525-C525,TODAY()-C525))</f>
        <v>0</v>
      </c>
    </row>
    <row r="526" spans="29:29">
      <c r="AC526" s="9">
        <f>IF(C526="","",IF(AB526="Closed",AA526-C526,TODAY()-C526))</f>
        <v>0</v>
      </c>
    </row>
    <row r="527" spans="29:29">
      <c r="AC527" s="9">
        <f>IF(C527="","",IF(AB527="Closed",AA527-C527,TODAY()-C527))</f>
        <v>0</v>
      </c>
    </row>
    <row r="528" spans="29:29">
      <c r="AC528" s="9">
        <f>IF(C528="","",IF(AB528="Closed",AA528-C528,TODAY()-C528))</f>
        <v>0</v>
      </c>
    </row>
    <row r="529" spans="29:29">
      <c r="AC529" s="9">
        <f>IF(C529="","",IF(AB529="Closed",AA529-C529,TODAY()-C529))</f>
        <v>0</v>
      </c>
    </row>
    <row r="530" spans="29:29">
      <c r="AC530" s="9">
        <f>IF(C530="","",IF(AB530="Closed",AA530-C530,TODAY()-C530))</f>
        <v>0</v>
      </c>
    </row>
    <row r="531" spans="29:29">
      <c r="AC531" s="9">
        <f>IF(C531="","",IF(AB531="Closed",AA531-C531,TODAY()-C531))</f>
        <v>0</v>
      </c>
    </row>
    <row r="532" spans="29:29">
      <c r="AC532" s="9">
        <f>IF(C532="","",IF(AB532="Closed",AA532-C532,TODAY()-C532))</f>
        <v>0</v>
      </c>
    </row>
    <row r="533" spans="29:29">
      <c r="AC533" s="9">
        <f>IF(C533="","",IF(AB533="Closed",AA533-C533,TODAY()-C533))</f>
        <v>0</v>
      </c>
    </row>
    <row r="534" spans="29:29">
      <c r="AC534" s="9">
        <f>IF(C534="","",IF(AB534="Closed",AA534-C534,TODAY()-C534))</f>
        <v>0</v>
      </c>
    </row>
    <row r="535" spans="29:29">
      <c r="AC535" s="9">
        <f>IF(C535="","",IF(AB535="Closed",AA535-C535,TODAY()-C535))</f>
        <v>0</v>
      </c>
    </row>
    <row r="536" spans="29:29">
      <c r="AC536" s="9">
        <f>IF(C536="","",IF(AB536="Closed",AA536-C536,TODAY()-C536))</f>
        <v>0</v>
      </c>
    </row>
    <row r="537" spans="29:29">
      <c r="AC537" s="9">
        <f>IF(C537="","",IF(AB537="Closed",AA537-C537,TODAY()-C537))</f>
        <v>0</v>
      </c>
    </row>
    <row r="538" spans="29:29">
      <c r="AC538" s="9">
        <f>IF(C538="","",IF(AB538="Closed",AA538-C538,TODAY()-C538))</f>
        <v>0</v>
      </c>
    </row>
    <row r="539" spans="29:29">
      <c r="AC539" s="9">
        <f>IF(C539="","",IF(AB539="Closed",AA539-C539,TODAY()-C539))</f>
        <v>0</v>
      </c>
    </row>
    <row r="540" spans="29:29">
      <c r="AC540" s="9">
        <f>IF(C540="","",IF(AB540="Closed",AA540-C540,TODAY()-C540))</f>
        <v>0</v>
      </c>
    </row>
    <row r="541" spans="29:29">
      <c r="AC541" s="9">
        <f>IF(C541="","",IF(AB541="Closed",AA541-C541,TODAY()-C541))</f>
        <v>0</v>
      </c>
    </row>
    <row r="542" spans="29:29">
      <c r="AC542" s="9">
        <f>IF(C542="","",IF(AB542="Closed",AA542-C542,TODAY()-C542))</f>
        <v>0</v>
      </c>
    </row>
    <row r="543" spans="29:29">
      <c r="AC543" s="9">
        <f>IF(C543="","",IF(AB543="Closed",AA543-C543,TODAY()-C543))</f>
        <v>0</v>
      </c>
    </row>
    <row r="544" spans="29:29">
      <c r="AC544" s="9">
        <f>IF(C544="","",IF(AB544="Closed",AA544-C544,TODAY()-C544))</f>
        <v>0</v>
      </c>
    </row>
    <row r="545" spans="29:29">
      <c r="AC545" s="9">
        <f>IF(C545="","",IF(AB545="Closed",AA545-C545,TODAY()-C545))</f>
        <v>0</v>
      </c>
    </row>
    <row r="546" spans="29:29">
      <c r="AC546" s="9">
        <f>IF(C546="","",IF(AB546="Closed",AA546-C546,TODAY()-C546))</f>
        <v>0</v>
      </c>
    </row>
    <row r="547" spans="29:29">
      <c r="AC547" s="9">
        <f>IF(C547="","",IF(AB547="Closed",AA547-C547,TODAY()-C547))</f>
        <v>0</v>
      </c>
    </row>
    <row r="548" spans="29:29">
      <c r="AC548" s="9">
        <f>IF(C548="","",IF(AB548="Closed",AA548-C548,TODAY()-C548))</f>
        <v>0</v>
      </c>
    </row>
    <row r="549" spans="29:29">
      <c r="AC549" s="9">
        <f>IF(C549="","",IF(AB549="Closed",AA549-C549,TODAY()-C549))</f>
        <v>0</v>
      </c>
    </row>
    <row r="550" spans="29:29">
      <c r="AC550" s="9">
        <f>IF(C550="","",IF(AB550="Closed",AA550-C550,TODAY()-C550))</f>
        <v>0</v>
      </c>
    </row>
    <row r="551" spans="29:29">
      <c r="AC551" s="9">
        <f>IF(C551="","",IF(AB551="Closed",AA551-C551,TODAY()-C551))</f>
        <v>0</v>
      </c>
    </row>
    <row r="552" spans="29:29">
      <c r="AC552" s="9">
        <f>IF(C552="","",IF(AB552="Closed",AA552-C552,TODAY()-C552))</f>
        <v>0</v>
      </c>
    </row>
    <row r="553" spans="29:29">
      <c r="AC553" s="9">
        <f>IF(C553="","",IF(AB553="Closed",AA553-C553,TODAY()-C553))</f>
        <v>0</v>
      </c>
    </row>
    <row r="554" spans="29:29">
      <c r="AC554" s="9">
        <f>IF(C554="","",IF(AB554="Closed",AA554-C554,TODAY()-C554))</f>
        <v>0</v>
      </c>
    </row>
    <row r="555" spans="29:29">
      <c r="AC555" s="9">
        <f>IF(C555="","",IF(AB555="Closed",AA555-C555,TODAY()-C555))</f>
        <v>0</v>
      </c>
    </row>
    <row r="556" spans="29:29">
      <c r="AC556" s="9">
        <f>IF(C556="","",IF(AB556="Closed",AA556-C556,TODAY()-C556))</f>
        <v>0</v>
      </c>
    </row>
    <row r="557" spans="29:29">
      <c r="AC557" s="9">
        <f>IF(C557="","",IF(AB557="Closed",AA557-C557,TODAY()-C557))</f>
        <v>0</v>
      </c>
    </row>
    <row r="558" spans="29:29">
      <c r="AC558" s="9">
        <f>IF(C558="","",IF(AB558="Closed",AA558-C558,TODAY()-C558))</f>
        <v>0</v>
      </c>
    </row>
    <row r="559" spans="29:29">
      <c r="AC559" s="9">
        <f>IF(C559="","",IF(AB559="Closed",AA559-C559,TODAY()-C559))</f>
        <v>0</v>
      </c>
    </row>
    <row r="560" spans="29:29">
      <c r="AC560" s="9">
        <f>IF(C560="","",IF(AB560="Closed",AA560-C560,TODAY()-C560))</f>
        <v>0</v>
      </c>
    </row>
    <row r="561" spans="29:29">
      <c r="AC561" s="9">
        <f>IF(C561="","",IF(AB561="Closed",AA561-C561,TODAY()-C561))</f>
        <v>0</v>
      </c>
    </row>
    <row r="562" spans="29:29">
      <c r="AC562" s="9">
        <f>IF(C562="","",IF(AB562="Closed",AA562-C562,TODAY()-C562))</f>
        <v>0</v>
      </c>
    </row>
    <row r="563" spans="29:29">
      <c r="AC563" s="9">
        <f>IF(C563="","",IF(AB563="Closed",AA563-C563,TODAY()-C563))</f>
        <v>0</v>
      </c>
    </row>
    <row r="564" spans="29:29">
      <c r="AC564" s="9">
        <f>IF(C564="","",IF(AB564="Closed",AA564-C564,TODAY()-C564))</f>
        <v>0</v>
      </c>
    </row>
    <row r="565" spans="29:29">
      <c r="AC565" s="9">
        <f>IF(C565="","",IF(AB565="Closed",AA565-C565,TODAY()-C565))</f>
        <v>0</v>
      </c>
    </row>
    <row r="566" spans="29:29">
      <c r="AC566" s="9">
        <f>IF(C566="","",IF(AB566="Closed",AA566-C566,TODAY()-C566))</f>
        <v>0</v>
      </c>
    </row>
    <row r="567" spans="29:29">
      <c r="AC567" s="9">
        <f>IF(C567="","",IF(AB567="Closed",AA567-C567,TODAY()-C567))</f>
        <v>0</v>
      </c>
    </row>
    <row r="568" spans="29:29">
      <c r="AC568" s="9">
        <f>IF(C568="","",IF(AB568="Closed",AA568-C568,TODAY()-C568))</f>
        <v>0</v>
      </c>
    </row>
    <row r="569" spans="29:29">
      <c r="AC569" s="9">
        <f>IF(C569="","",IF(AB569="Closed",AA569-C569,TODAY()-C569))</f>
        <v>0</v>
      </c>
    </row>
    <row r="570" spans="29:29">
      <c r="AC570" s="9">
        <f>IF(C570="","",IF(AB570="Closed",AA570-C570,TODAY()-C570))</f>
        <v>0</v>
      </c>
    </row>
    <row r="571" spans="29:29">
      <c r="AC571" s="9">
        <f>IF(C571="","",IF(AB571="Closed",AA571-C571,TODAY()-C571))</f>
        <v>0</v>
      </c>
    </row>
    <row r="572" spans="29:29">
      <c r="AC572" s="9">
        <f>IF(C572="","",IF(AB572="Closed",AA572-C572,TODAY()-C572))</f>
        <v>0</v>
      </c>
    </row>
    <row r="573" spans="29:29">
      <c r="AC573" s="9">
        <f>IF(C573="","",IF(AB573="Closed",AA573-C573,TODAY()-C573))</f>
        <v>0</v>
      </c>
    </row>
    <row r="574" spans="29:29">
      <c r="AC574" s="9">
        <f>IF(C574="","",IF(AB574="Closed",AA574-C574,TODAY()-C574))</f>
        <v>0</v>
      </c>
    </row>
    <row r="575" spans="29:29">
      <c r="AC575" s="9">
        <f>IF(C575="","",IF(AB575="Closed",AA575-C575,TODAY()-C575))</f>
        <v>0</v>
      </c>
    </row>
    <row r="576" spans="29:29">
      <c r="AC576" s="9">
        <f>IF(C576="","",IF(AB576="Closed",AA576-C576,TODAY()-C576))</f>
        <v>0</v>
      </c>
    </row>
    <row r="577" spans="29:29">
      <c r="AC577" s="9">
        <f>IF(C577="","",IF(AB577="Closed",AA577-C577,TODAY()-C577))</f>
        <v>0</v>
      </c>
    </row>
    <row r="578" spans="29:29">
      <c r="AC578" s="9">
        <f>IF(C578="","",IF(AB578="Closed",AA578-C578,TODAY()-C578))</f>
        <v>0</v>
      </c>
    </row>
    <row r="579" spans="29:29">
      <c r="AC579" s="9">
        <f>IF(C579="","",IF(AB579="Closed",AA579-C579,TODAY()-C579))</f>
        <v>0</v>
      </c>
    </row>
    <row r="580" spans="29:29">
      <c r="AC580" s="9">
        <f>IF(C580="","",IF(AB580="Closed",AA580-C580,TODAY()-C580))</f>
        <v>0</v>
      </c>
    </row>
    <row r="581" spans="29:29">
      <c r="AC581" s="9">
        <f>IF(C581="","",IF(AB581="Closed",AA581-C581,TODAY()-C581))</f>
        <v>0</v>
      </c>
    </row>
    <row r="582" spans="29:29">
      <c r="AC582" s="9">
        <f>IF(C582="","",IF(AB582="Closed",AA582-C582,TODAY()-C582))</f>
        <v>0</v>
      </c>
    </row>
    <row r="583" spans="29:29">
      <c r="AC583" s="9">
        <f>IF(C583="","",IF(AB583="Closed",AA583-C583,TODAY()-C583))</f>
        <v>0</v>
      </c>
    </row>
    <row r="584" spans="29:29">
      <c r="AC584" s="9">
        <f>IF(C584="","",IF(AB584="Closed",AA584-C584,TODAY()-C584))</f>
        <v>0</v>
      </c>
    </row>
    <row r="585" spans="29:29">
      <c r="AC585" s="9">
        <f>IF(C585="","",IF(AB585="Closed",AA585-C585,TODAY()-C585))</f>
        <v>0</v>
      </c>
    </row>
    <row r="586" spans="29:29">
      <c r="AC586" s="9">
        <f>IF(C586="","",IF(AB586="Closed",AA586-C586,TODAY()-C586))</f>
        <v>0</v>
      </c>
    </row>
    <row r="587" spans="29:29">
      <c r="AC587" s="9">
        <f>IF(C587="","",IF(AB587="Closed",AA587-C587,TODAY()-C587))</f>
        <v>0</v>
      </c>
    </row>
    <row r="588" spans="29:29">
      <c r="AC588" s="9">
        <f>IF(C588="","",IF(AB588="Closed",AA588-C588,TODAY()-C588))</f>
        <v>0</v>
      </c>
    </row>
    <row r="589" spans="29:29">
      <c r="AC589" s="9">
        <f>IF(C589="","",IF(AB589="Closed",AA589-C589,TODAY()-C589))</f>
        <v>0</v>
      </c>
    </row>
    <row r="590" spans="29:29">
      <c r="AC590" s="9">
        <f>IF(C590="","",IF(AB590="Closed",AA590-C590,TODAY()-C590))</f>
        <v>0</v>
      </c>
    </row>
    <row r="591" spans="29:29">
      <c r="AC591" s="9">
        <f>IF(C591="","",IF(AB591="Closed",AA591-C591,TODAY()-C591))</f>
        <v>0</v>
      </c>
    </row>
    <row r="592" spans="29:29">
      <c r="AC592" s="9">
        <f>IF(C592="","",IF(AB592="Closed",AA592-C592,TODAY()-C592))</f>
        <v>0</v>
      </c>
    </row>
    <row r="593" spans="29:29">
      <c r="AC593" s="9">
        <f>IF(C593="","",IF(AB593="Closed",AA593-C593,TODAY()-C593))</f>
        <v>0</v>
      </c>
    </row>
    <row r="594" spans="29:29">
      <c r="AC594" s="9">
        <f>IF(C594="","",IF(AB594="Closed",AA594-C594,TODAY()-C594))</f>
        <v>0</v>
      </c>
    </row>
    <row r="595" spans="29:29">
      <c r="AC595" s="9">
        <f>IF(C595="","",IF(AB595="Closed",AA595-C595,TODAY()-C595))</f>
        <v>0</v>
      </c>
    </row>
    <row r="596" spans="29:29">
      <c r="AC596" s="9">
        <f>IF(C596="","",IF(AB596="Closed",AA596-C596,TODAY()-C596))</f>
        <v>0</v>
      </c>
    </row>
    <row r="597" spans="29:29">
      <c r="AC597" s="9">
        <f>IF(C597="","",IF(AB597="Closed",AA597-C597,TODAY()-C597))</f>
        <v>0</v>
      </c>
    </row>
    <row r="598" spans="29:29">
      <c r="AC598" s="9">
        <f>IF(C598="","",IF(AB598="Closed",AA598-C598,TODAY()-C598))</f>
        <v>0</v>
      </c>
    </row>
    <row r="599" spans="29:29">
      <c r="AC599" s="9">
        <f>IF(C599="","",IF(AB599="Closed",AA599-C599,TODAY()-C599))</f>
        <v>0</v>
      </c>
    </row>
    <row r="600" spans="29:29">
      <c r="AC600" s="9">
        <f>IF(C600="","",IF(AB600="Closed",AA600-C600,TODAY()-C600))</f>
        <v>0</v>
      </c>
    </row>
    <row r="601" spans="29:29">
      <c r="AC601" s="9">
        <f>IF(C601="","",IF(AB601="Closed",AA601-C601,TODAY()-C601))</f>
        <v>0</v>
      </c>
    </row>
    <row r="602" spans="29:29">
      <c r="AC602" s="9">
        <f>IF(C602="","",IF(AB602="Closed",AA602-C602,TODAY()-C602))</f>
        <v>0</v>
      </c>
    </row>
    <row r="603" spans="29:29">
      <c r="AC603" s="9">
        <f>IF(C603="","",IF(AB603="Closed",AA603-C603,TODAY()-C603))</f>
        <v>0</v>
      </c>
    </row>
    <row r="604" spans="29:29">
      <c r="AC604" s="9">
        <f>IF(C604="","",IF(AB604="Closed",AA604-C604,TODAY()-C604))</f>
        <v>0</v>
      </c>
    </row>
    <row r="605" spans="29:29">
      <c r="AC605" s="9">
        <f>IF(C605="","",IF(AB605="Closed",AA605-C605,TODAY()-C605))</f>
        <v>0</v>
      </c>
    </row>
    <row r="606" spans="29:29">
      <c r="AC606" s="9">
        <f>IF(C606="","",IF(AB606="Closed",AA606-C606,TODAY()-C606))</f>
        <v>0</v>
      </c>
    </row>
    <row r="607" spans="29:29">
      <c r="AC607" s="9">
        <f>IF(C607="","",IF(AB607="Closed",AA607-C607,TODAY()-C607))</f>
        <v>0</v>
      </c>
    </row>
    <row r="608" spans="29:29">
      <c r="AC608" s="9">
        <f>IF(C608="","",IF(AB608="Closed",AA608-C608,TODAY()-C608))</f>
        <v>0</v>
      </c>
    </row>
    <row r="609" spans="29:29">
      <c r="AC609" s="9">
        <f>IF(C609="","",IF(AB609="Closed",AA609-C609,TODAY()-C609))</f>
        <v>0</v>
      </c>
    </row>
    <row r="610" spans="29:29">
      <c r="AC610" s="9">
        <f>IF(C610="","",IF(AB610="Closed",AA610-C610,TODAY()-C610))</f>
        <v>0</v>
      </c>
    </row>
    <row r="611" spans="29:29">
      <c r="AC611" s="9">
        <f>IF(C611="","",IF(AB611="Closed",AA611-C611,TODAY()-C611))</f>
        <v>0</v>
      </c>
    </row>
    <row r="612" spans="29:29">
      <c r="AC612" s="9">
        <f>IF(C612="","",IF(AB612="Closed",AA612-C612,TODAY()-C612))</f>
        <v>0</v>
      </c>
    </row>
    <row r="613" spans="29:29">
      <c r="AC613" s="9">
        <f>IF(C613="","",IF(AB613="Closed",AA613-C613,TODAY()-C613))</f>
        <v>0</v>
      </c>
    </row>
    <row r="614" spans="29:29">
      <c r="AC614" s="9">
        <f>IF(C614="","",IF(AB614="Closed",AA614-C614,TODAY()-C614))</f>
        <v>0</v>
      </c>
    </row>
    <row r="615" spans="29:29">
      <c r="AC615" s="9">
        <f>IF(C615="","",IF(AB615="Closed",AA615-C615,TODAY()-C615))</f>
        <v>0</v>
      </c>
    </row>
    <row r="616" spans="29:29">
      <c r="AC616" s="9">
        <f>IF(C616="","",IF(AB616="Closed",AA616-C616,TODAY()-C616))</f>
        <v>0</v>
      </c>
    </row>
    <row r="617" spans="29:29">
      <c r="AC617" s="9">
        <f>IF(C617="","",IF(AB617="Closed",AA617-C617,TODAY()-C617))</f>
        <v>0</v>
      </c>
    </row>
    <row r="618" spans="29:29">
      <c r="AC618" s="9">
        <f>IF(C618="","",IF(AB618="Closed",AA618-C618,TODAY()-C618))</f>
        <v>0</v>
      </c>
    </row>
    <row r="619" spans="29:29">
      <c r="AC619" s="9">
        <f>IF(C619="","",IF(AB619="Closed",AA619-C619,TODAY()-C619))</f>
        <v>0</v>
      </c>
    </row>
    <row r="620" spans="29:29">
      <c r="AC620" s="9">
        <f>IF(C620="","",IF(AB620="Closed",AA620-C620,TODAY()-C620))</f>
        <v>0</v>
      </c>
    </row>
    <row r="621" spans="29:29">
      <c r="AC621" s="9">
        <f>IF(C621="","",IF(AB621="Closed",AA621-C621,TODAY()-C621))</f>
        <v>0</v>
      </c>
    </row>
    <row r="622" spans="29:29">
      <c r="AC622" s="9">
        <f>IF(C622="","",IF(AB622="Closed",AA622-C622,TODAY()-C622))</f>
        <v>0</v>
      </c>
    </row>
    <row r="623" spans="29:29">
      <c r="AC623" s="9">
        <f>IF(C623="","",IF(AB623="Closed",AA623-C623,TODAY()-C623))</f>
        <v>0</v>
      </c>
    </row>
    <row r="624" spans="29:29">
      <c r="AC624" s="9">
        <f>IF(C624="","",IF(AB624="Closed",AA624-C624,TODAY()-C624))</f>
        <v>0</v>
      </c>
    </row>
    <row r="625" spans="29:29">
      <c r="AC625" s="9">
        <f>IF(C625="","",IF(AB625="Closed",AA625-C625,TODAY()-C625))</f>
        <v>0</v>
      </c>
    </row>
    <row r="626" spans="29:29">
      <c r="AC626" s="9">
        <f>IF(C626="","",IF(AB626="Closed",AA626-C626,TODAY()-C626))</f>
        <v>0</v>
      </c>
    </row>
    <row r="627" spans="29:29">
      <c r="AC627" s="9">
        <f>IF(C627="","",IF(AB627="Closed",AA627-C627,TODAY()-C627))</f>
        <v>0</v>
      </c>
    </row>
    <row r="628" spans="29:29">
      <c r="AC628" s="9">
        <f>IF(C628="","",IF(AB628="Closed",AA628-C628,TODAY()-C628))</f>
        <v>0</v>
      </c>
    </row>
    <row r="629" spans="29:29">
      <c r="AC629" s="9">
        <f>IF(C629="","",IF(AB629="Closed",AA629-C629,TODAY()-C629))</f>
        <v>0</v>
      </c>
    </row>
    <row r="630" spans="29:29">
      <c r="AC630" s="9">
        <f>IF(C630="","",IF(AB630="Closed",AA630-C630,TODAY()-C630))</f>
        <v>0</v>
      </c>
    </row>
    <row r="631" spans="29:29">
      <c r="AC631" s="9">
        <f>IF(C631="","",IF(AB631="Closed",AA631-C631,TODAY()-C631))</f>
        <v>0</v>
      </c>
    </row>
    <row r="632" spans="29:29">
      <c r="AC632" s="9">
        <f>IF(C632="","",IF(AB632="Closed",AA632-C632,TODAY()-C632))</f>
        <v>0</v>
      </c>
    </row>
    <row r="633" spans="29:29">
      <c r="AC633" s="9">
        <f>IF(C633="","",IF(AB633="Closed",AA633-C633,TODAY()-C633))</f>
        <v>0</v>
      </c>
    </row>
    <row r="634" spans="29:29">
      <c r="AC634" s="9">
        <f>IF(C634="","",IF(AB634="Closed",AA634-C634,TODAY()-C634))</f>
        <v>0</v>
      </c>
    </row>
    <row r="635" spans="29:29">
      <c r="AC635" s="9">
        <f>IF(C635="","",IF(AB635="Closed",AA635-C635,TODAY()-C635))</f>
        <v>0</v>
      </c>
    </row>
    <row r="636" spans="29:29">
      <c r="AC636" s="9">
        <f>IF(C636="","",IF(AB636="Closed",AA636-C636,TODAY()-C636))</f>
        <v>0</v>
      </c>
    </row>
    <row r="637" spans="29:29">
      <c r="AC637" s="9">
        <f>IF(C637="","",IF(AB637="Closed",AA637-C637,TODAY()-C637))</f>
        <v>0</v>
      </c>
    </row>
    <row r="638" spans="29:29">
      <c r="AC638" s="9">
        <f>IF(C638="","",IF(AB638="Closed",AA638-C638,TODAY()-C638))</f>
        <v>0</v>
      </c>
    </row>
    <row r="639" spans="29:29">
      <c r="AC639" s="9">
        <f>IF(C639="","",IF(AB639="Closed",AA639-C639,TODAY()-C639))</f>
        <v>0</v>
      </c>
    </row>
    <row r="640" spans="29:29">
      <c r="AC640" s="9">
        <f>IF(C640="","",IF(AB640="Closed",AA640-C640,TODAY()-C640))</f>
        <v>0</v>
      </c>
    </row>
    <row r="641" spans="29:29">
      <c r="AC641" s="9">
        <f>IF(C641="","",IF(AB641="Closed",AA641-C641,TODAY()-C641))</f>
        <v>0</v>
      </c>
    </row>
    <row r="642" spans="29:29">
      <c r="AC642" s="9">
        <f>IF(C642="","",IF(AB642="Closed",AA642-C642,TODAY()-C642))</f>
        <v>0</v>
      </c>
    </row>
    <row r="643" spans="29:29">
      <c r="AC643" s="9">
        <f>IF(C643="","",IF(AB643="Closed",AA643-C643,TODAY()-C643))</f>
        <v>0</v>
      </c>
    </row>
    <row r="644" spans="29:29">
      <c r="AC644" s="9">
        <f>IF(C644="","",IF(AB644="Closed",AA644-C644,TODAY()-C644))</f>
        <v>0</v>
      </c>
    </row>
    <row r="645" spans="29:29">
      <c r="AC645" s="9">
        <f>IF(C645="","",IF(AB645="Closed",AA645-C645,TODAY()-C645))</f>
        <v>0</v>
      </c>
    </row>
    <row r="646" spans="29:29">
      <c r="AC646" s="9">
        <f>IF(C646="","",IF(AB646="Closed",AA646-C646,TODAY()-C646))</f>
        <v>0</v>
      </c>
    </row>
    <row r="647" spans="29:29">
      <c r="AC647" s="9">
        <f>IF(C647="","",IF(AB647="Closed",AA647-C647,TODAY()-C647))</f>
        <v>0</v>
      </c>
    </row>
    <row r="648" spans="29:29">
      <c r="AC648" s="9">
        <f>IF(C648="","",IF(AB648="Closed",AA648-C648,TODAY()-C648))</f>
        <v>0</v>
      </c>
    </row>
    <row r="649" spans="29:29">
      <c r="AC649" s="9">
        <f>IF(C649="","",IF(AB649="Closed",AA649-C649,TODAY()-C649))</f>
        <v>0</v>
      </c>
    </row>
    <row r="650" spans="29:29">
      <c r="AC650" s="9">
        <f>IF(C650="","",IF(AB650="Closed",AA650-C650,TODAY()-C650))</f>
        <v>0</v>
      </c>
    </row>
    <row r="651" spans="29:29">
      <c r="AC651" s="9">
        <f>IF(C651="","",IF(AB651="Closed",AA651-C651,TODAY()-C651))</f>
        <v>0</v>
      </c>
    </row>
    <row r="652" spans="29:29">
      <c r="AC652" s="9">
        <f>IF(C652="","",IF(AB652="Closed",AA652-C652,TODAY()-C652))</f>
        <v>0</v>
      </c>
    </row>
    <row r="653" spans="29:29">
      <c r="AC653" s="9">
        <f>IF(C653="","",IF(AB653="Closed",AA653-C653,TODAY()-C653))</f>
        <v>0</v>
      </c>
    </row>
    <row r="654" spans="29:29">
      <c r="AC654" s="9">
        <f>IF(C654="","",IF(AB654="Closed",AA654-C654,TODAY()-C654))</f>
        <v>0</v>
      </c>
    </row>
    <row r="655" spans="29:29">
      <c r="AC655" s="9">
        <f>IF(C655="","",IF(AB655="Closed",AA655-C655,TODAY()-C655))</f>
        <v>0</v>
      </c>
    </row>
    <row r="656" spans="29:29">
      <c r="AC656" s="9">
        <f>IF(C656="","",IF(AB656="Closed",AA656-C656,TODAY()-C656))</f>
        <v>0</v>
      </c>
    </row>
    <row r="657" spans="29:29">
      <c r="AC657" s="9">
        <f>IF(C657="","",IF(AB657="Closed",AA657-C657,TODAY()-C657))</f>
        <v>0</v>
      </c>
    </row>
    <row r="658" spans="29:29">
      <c r="AC658" s="9">
        <f>IF(C658="","",IF(AB658="Closed",AA658-C658,TODAY()-C658))</f>
        <v>0</v>
      </c>
    </row>
    <row r="659" spans="29:29">
      <c r="AC659" s="9">
        <f>IF(C659="","",IF(AB659="Closed",AA659-C659,TODAY()-C659))</f>
        <v>0</v>
      </c>
    </row>
    <row r="660" spans="29:29">
      <c r="AC660" s="9">
        <f>IF(C660="","",IF(AB660="Closed",AA660-C660,TODAY()-C660))</f>
        <v>0</v>
      </c>
    </row>
    <row r="661" spans="29:29">
      <c r="AC661" s="9">
        <f>IF(C661="","",IF(AB661="Closed",AA661-C661,TODAY()-C661))</f>
        <v>0</v>
      </c>
    </row>
    <row r="662" spans="29:29">
      <c r="AC662" s="9">
        <f>IF(C662="","",IF(AB662="Closed",AA662-C662,TODAY()-C662))</f>
        <v>0</v>
      </c>
    </row>
    <row r="663" spans="29:29">
      <c r="AC663" s="9">
        <f>IF(C663="","",IF(AB663="Closed",AA663-C663,TODAY()-C663))</f>
        <v>0</v>
      </c>
    </row>
    <row r="664" spans="29:29">
      <c r="AC664" s="9">
        <f>IF(C664="","",IF(AB664="Closed",AA664-C664,TODAY()-C664))</f>
        <v>0</v>
      </c>
    </row>
    <row r="665" spans="29:29">
      <c r="AC665" s="9">
        <f>IF(C665="","",IF(AB665="Closed",AA665-C665,TODAY()-C665))</f>
        <v>0</v>
      </c>
    </row>
    <row r="666" spans="29:29">
      <c r="AC666" s="9">
        <f>IF(C666="","",IF(AB666="Closed",AA666-C666,TODAY()-C666))</f>
        <v>0</v>
      </c>
    </row>
    <row r="667" spans="29:29">
      <c r="AC667" s="9">
        <f>IF(C667="","",IF(AB667="Closed",AA667-C667,TODAY()-C667))</f>
        <v>0</v>
      </c>
    </row>
    <row r="668" spans="29:29">
      <c r="AC668" s="9">
        <f>IF(C668="","",IF(AB668="Closed",AA668-C668,TODAY()-C668))</f>
        <v>0</v>
      </c>
    </row>
    <row r="669" spans="29:29">
      <c r="AC669" s="9">
        <f>IF(C669="","",IF(AB669="Closed",AA669-C669,TODAY()-C669))</f>
        <v>0</v>
      </c>
    </row>
    <row r="670" spans="29:29">
      <c r="AC670" s="9">
        <f>IF(C670="","",IF(AB670="Closed",AA670-C670,TODAY()-C670))</f>
        <v>0</v>
      </c>
    </row>
    <row r="671" spans="29:29">
      <c r="AC671" s="9">
        <f>IF(C671="","",IF(AB671="Closed",AA671-C671,TODAY()-C671))</f>
        <v>0</v>
      </c>
    </row>
    <row r="672" spans="29:29">
      <c r="AC672" s="9">
        <f>IF(C672="","",IF(AB672="Closed",AA672-C672,TODAY()-C672))</f>
        <v>0</v>
      </c>
    </row>
    <row r="673" spans="29:29">
      <c r="AC673" s="9">
        <f>IF(C673="","",IF(AB673="Closed",AA673-C673,TODAY()-C673))</f>
        <v>0</v>
      </c>
    </row>
    <row r="674" spans="29:29">
      <c r="AC674" s="9">
        <f>IF(C674="","",IF(AB674="Closed",AA674-C674,TODAY()-C674))</f>
        <v>0</v>
      </c>
    </row>
    <row r="675" spans="29:29">
      <c r="AC675" s="9">
        <f>IF(C675="","",IF(AB675="Closed",AA675-C675,TODAY()-C675))</f>
        <v>0</v>
      </c>
    </row>
    <row r="676" spans="29:29">
      <c r="AC676" s="9">
        <f>IF(C676="","",IF(AB676="Closed",AA676-C676,TODAY()-C676))</f>
        <v>0</v>
      </c>
    </row>
    <row r="677" spans="29:29">
      <c r="AC677" s="9">
        <f>IF(C677="","",IF(AB677="Closed",AA677-C677,TODAY()-C677))</f>
        <v>0</v>
      </c>
    </row>
    <row r="678" spans="29:29">
      <c r="AC678" s="9">
        <f>IF(C678="","",IF(AB678="Closed",AA678-C678,TODAY()-C678))</f>
        <v>0</v>
      </c>
    </row>
    <row r="679" spans="29:29">
      <c r="AC679" s="9">
        <f>IF(C679="","",IF(AB679="Closed",AA679-C679,TODAY()-C679))</f>
        <v>0</v>
      </c>
    </row>
    <row r="680" spans="29:29">
      <c r="AC680" s="9">
        <f>IF(C680="","",IF(AB680="Closed",AA680-C680,TODAY()-C680))</f>
        <v>0</v>
      </c>
    </row>
    <row r="681" spans="29:29">
      <c r="AC681" s="9">
        <f>IF(C681="","",IF(AB681="Closed",AA681-C681,TODAY()-C681))</f>
        <v>0</v>
      </c>
    </row>
    <row r="682" spans="29:29">
      <c r="AC682" s="9">
        <f>IF(C682="","",IF(AB682="Closed",AA682-C682,TODAY()-C682))</f>
        <v>0</v>
      </c>
    </row>
    <row r="683" spans="29:29">
      <c r="AC683" s="9">
        <f>IF(C683="","",IF(AB683="Closed",AA683-C683,TODAY()-C683))</f>
        <v>0</v>
      </c>
    </row>
    <row r="684" spans="29:29">
      <c r="AC684" s="9">
        <f>IF(C684="","",IF(AB684="Closed",AA684-C684,TODAY()-C684))</f>
        <v>0</v>
      </c>
    </row>
    <row r="685" spans="29:29">
      <c r="AC685" s="9">
        <f>IF(C685="","",IF(AB685="Closed",AA685-C685,TODAY()-C685))</f>
        <v>0</v>
      </c>
    </row>
    <row r="686" spans="29:29">
      <c r="AC686" s="9">
        <f>IF(C686="","",IF(AB686="Closed",AA686-C686,TODAY()-C686))</f>
        <v>0</v>
      </c>
    </row>
    <row r="687" spans="29:29">
      <c r="AC687" s="9">
        <f>IF(C687="","",IF(AB687="Closed",AA687-C687,TODAY()-C687))</f>
        <v>0</v>
      </c>
    </row>
    <row r="688" spans="29:29">
      <c r="AC688" s="9">
        <f>IF(C688="","",IF(AB688="Closed",AA688-C688,TODAY()-C688))</f>
        <v>0</v>
      </c>
    </row>
    <row r="689" spans="29:29">
      <c r="AC689" s="9">
        <f>IF(C689="","",IF(AB689="Closed",AA689-C689,TODAY()-C689))</f>
        <v>0</v>
      </c>
    </row>
    <row r="690" spans="29:29">
      <c r="AC690" s="9">
        <f>IF(C690="","",IF(AB690="Closed",AA690-C690,TODAY()-C690))</f>
        <v>0</v>
      </c>
    </row>
    <row r="691" spans="29:29">
      <c r="AC691" s="9">
        <f>IF(C691="","",IF(AB691="Closed",AA691-C691,TODAY()-C691))</f>
        <v>0</v>
      </c>
    </row>
    <row r="692" spans="29:29">
      <c r="AC692" s="9">
        <f>IF(C692="","",IF(AB692="Closed",AA692-C692,TODAY()-C692))</f>
        <v>0</v>
      </c>
    </row>
    <row r="693" spans="29:29">
      <c r="AC693" s="9">
        <f>IF(C693="","",IF(AB693="Closed",AA693-C693,TODAY()-C693))</f>
        <v>0</v>
      </c>
    </row>
    <row r="694" spans="29:29">
      <c r="AC694" s="9">
        <f>IF(C694="","",IF(AB694="Closed",AA694-C694,TODAY()-C694))</f>
        <v>0</v>
      </c>
    </row>
    <row r="695" spans="29:29">
      <c r="AC695" s="9">
        <f>IF(C695="","",IF(AB695="Closed",AA695-C695,TODAY()-C695))</f>
        <v>0</v>
      </c>
    </row>
    <row r="696" spans="29:29">
      <c r="AC696" s="9">
        <f>IF(C696="","",IF(AB696="Closed",AA696-C696,TODAY()-C696))</f>
        <v>0</v>
      </c>
    </row>
    <row r="697" spans="29:29">
      <c r="AC697" s="9">
        <f>IF(C697="","",IF(AB697="Closed",AA697-C697,TODAY()-C697))</f>
        <v>0</v>
      </c>
    </row>
    <row r="698" spans="29:29">
      <c r="AC698" s="9">
        <f>IF(C698="","",IF(AB698="Closed",AA698-C698,TODAY()-C698))</f>
        <v>0</v>
      </c>
    </row>
    <row r="699" spans="29:29">
      <c r="AC699" s="9">
        <f>IF(C699="","",IF(AB699="Closed",AA699-C699,TODAY()-C699))</f>
        <v>0</v>
      </c>
    </row>
    <row r="700" spans="29:29">
      <c r="AC700" s="9">
        <f>IF(C700="","",IF(AB700="Closed",AA700-C700,TODAY()-C700))</f>
        <v>0</v>
      </c>
    </row>
    <row r="701" spans="29:29">
      <c r="AC701" s="9">
        <f>IF(C701="","",IF(AB701="Closed",AA701-C701,TODAY()-C701))</f>
        <v>0</v>
      </c>
    </row>
    <row r="702" spans="29:29">
      <c r="AC702" s="9">
        <f>IF(C702="","",IF(AB702="Closed",AA702-C702,TODAY()-C702))</f>
        <v>0</v>
      </c>
    </row>
    <row r="703" spans="29:29">
      <c r="AC703" s="9">
        <f>IF(C703="","",IF(AB703="Closed",AA703-C703,TODAY()-C703))</f>
        <v>0</v>
      </c>
    </row>
    <row r="704" spans="29:29">
      <c r="AC704" s="9">
        <f>IF(C704="","",IF(AB704="Closed",AA704-C704,TODAY()-C704))</f>
        <v>0</v>
      </c>
    </row>
    <row r="705" spans="29:29">
      <c r="AC705" s="9">
        <f>IF(C705="","",IF(AB705="Closed",AA705-C705,TODAY()-C705))</f>
        <v>0</v>
      </c>
    </row>
    <row r="706" spans="29:29">
      <c r="AC706" s="9">
        <f>IF(C706="","",IF(AB706="Closed",AA706-C706,TODAY()-C706))</f>
        <v>0</v>
      </c>
    </row>
    <row r="707" spans="29:29">
      <c r="AC707" s="9">
        <f>IF(C707="","",IF(AB707="Closed",AA707-C707,TODAY()-C707))</f>
        <v>0</v>
      </c>
    </row>
    <row r="708" spans="29:29">
      <c r="AC708" s="9">
        <f>IF(C708="","",IF(AB708="Closed",AA708-C708,TODAY()-C708))</f>
        <v>0</v>
      </c>
    </row>
    <row r="709" spans="29:29">
      <c r="AC709" s="9">
        <f>IF(C709="","",IF(AB709="Closed",AA709-C709,TODAY()-C709))</f>
        <v>0</v>
      </c>
    </row>
    <row r="710" spans="29:29">
      <c r="AC710" s="9">
        <f>IF(C710="","",IF(AB710="Closed",AA710-C710,TODAY()-C710))</f>
        <v>0</v>
      </c>
    </row>
    <row r="711" spans="29:29">
      <c r="AC711" s="9">
        <f>IF(C711="","",IF(AB711="Closed",AA711-C711,TODAY()-C711))</f>
        <v>0</v>
      </c>
    </row>
    <row r="712" spans="29:29">
      <c r="AC712" s="9">
        <f>IF(C712="","",IF(AB712="Closed",AA712-C712,TODAY()-C712))</f>
        <v>0</v>
      </c>
    </row>
    <row r="713" spans="29:29">
      <c r="AC713" s="9">
        <f>IF(C713="","",IF(AB713="Closed",AA713-C713,TODAY()-C713))</f>
        <v>0</v>
      </c>
    </row>
    <row r="714" spans="29:29">
      <c r="AC714" s="9">
        <f>IF(C714="","",IF(AB714="Closed",AA714-C714,TODAY()-C714))</f>
        <v>0</v>
      </c>
    </row>
    <row r="715" spans="29:29">
      <c r="AC715" s="9">
        <f>IF(C715="","",IF(AB715="Closed",AA715-C715,TODAY()-C715))</f>
        <v>0</v>
      </c>
    </row>
    <row r="716" spans="29:29">
      <c r="AC716" s="9">
        <f>IF(C716="","",IF(AB716="Closed",AA716-C716,TODAY()-C716))</f>
        <v>0</v>
      </c>
    </row>
    <row r="717" spans="29:29">
      <c r="AC717" s="9">
        <f>IF(C717="","",IF(AB717="Closed",AA717-C717,TODAY()-C717))</f>
        <v>0</v>
      </c>
    </row>
    <row r="718" spans="29:29">
      <c r="AC718" s="9">
        <f>IF(C718="","",IF(AB718="Closed",AA718-C718,TODAY()-C718))</f>
        <v>0</v>
      </c>
    </row>
    <row r="719" spans="29:29">
      <c r="AC719" s="9">
        <f>IF(C719="","",IF(AB719="Closed",AA719-C719,TODAY()-C719))</f>
        <v>0</v>
      </c>
    </row>
    <row r="720" spans="29:29">
      <c r="AC720" s="9">
        <f>IF(C720="","",IF(AB720="Closed",AA720-C720,TODAY()-C720))</f>
        <v>0</v>
      </c>
    </row>
    <row r="721" spans="29:29">
      <c r="AC721" s="9">
        <f>IF(C721="","",IF(AB721="Closed",AA721-C721,TODAY()-C721))</f>
        <v>0</v>
      </c>
    </row>
    <row r="722" spans="29:29">
      <c r="AC722" s="9">
        <f>IF(C722="","",IF(AB722="Closed",AA722-C722,TODAY()-C722))</f>
        <v>0</v>
      </c>
    </row>
    <row r="723" spans="29:29">
      <c r="AC723" s="9">
        <f>IF(C723="","",IF(AB723="Closed",AA723-C723,TODAY()-C723))</f>
        <v>0</v>
      </c>
    </row>
    <row r="724" spans="29:29">
      <c r="AC724" s="9">
        <f>IF(C724="","",IF(AB724="Closed",AA724-C724,TODAY()-C724))</f>
        <v>0</v>
      </c>
    </row>
    <row r="725" spans="29:29">
      <c r="AC725" s="9">
        <f>IF(C725="","",IF(AB725="Closed",AA725-C725,TODAY()-C725))</f>
        <v>0</v>
      </c>
    </row>
    <row r="726" spans="29:29">
      <c r="AC726" s="9">
        <f>IF(C726="","",IF(AB726="Closed",AA726-C726,TODAY()-C726))</f>
        <v>0</v>
      </c>
    </row>
    <row r="727" spans="29:29">
      <c r="AC727" s="9">
        <f>IF(C727="","",IF(AB727="Closed",AA727-C727,TODAY()-C727))</f>
        <v>0</v>
      </c>
    </row>
    <row r="728" spans="29:29">
      <c r="AC728" s="9">
        <f>IF(C728="","",IF(AB728="Closed",AA728-C728,TODAY()-C728))</f>
        <v>0</v>
      </c>
    </row>
    <row r="729" spans="29:29">
      <c r="AC729" s="9">
        <f>IF(C729="","",IF(AB729="Closed",AA729-C729,TODAY()-C729))</f>
        <v>0</v>
      </c>
    </row>
    <row r="730" spans="29:29">
      <c r="AC730" s="9">
        <f>IF(C730="","",IF(AB730="Closed",AA730-C730,TODAY()-C730))</f>
        <v>0</v>
      </c>
    </row>
    <row r="731" spans="29:29">
      <c r="AC731" s="9">
        <f>IF(C731="","",IF(AB731="Closed",AA731-C731,TODAY()-C731))</f>
        <v>0</v>
      </c>
    </row>
    <row r="732" spans="29:29">
      <c r="AC732" s="9">
        <f>IF(C732="","",IF(AB732="Closed",AA732-C732,TODAY()-C732))</f>
        <v>0</v>
      </c>
    </row>
    <row r="733" spans="29:29">
      <c r="AC733" s="9">
        <f>IF(C733="","",IF(AB733="Closed",AA733-C733,TODAY()-C733))</f>
        <v>0</v>
      </c>
    </row>
    <row r="734" spans="29:29">
      <c r="AC734" s="9">
        <f>IF(C734="","",IF(AB734="Closed",AA734-C734,TODAY()-C734))</f>
        <v>0</v>
      </c>
    </row>
    <row r="735" spans="29:29">
      <c r="AC735" s="9">
        <f>IF(C735="","",IF(AB735="Closed",AA735-C735,TODAY()-C735))</f>
        <v>0</v>
      </c>
    </row>
    <row r="736" spans="29:29">
      <c r="AC736" s="9">
        <f>IF(C736="","",IF(AB736="Closed",AA736-C736,TODAY()-C736))</f>
        <v>0</v>
      </c>
    </row>
    <row r="737" spans="29:29">
      <c r="AC737" s="9">
        <f>IF(C737="","",IF(AB737="Closed",AA737-C737,TODAY()-C737))</f>
        <v>0</v>
      </c>
    </row>
    <row r="738" spans="29:29">
      <c r="AC738" s="9">
        <f>IF(C738="","",IF(AB738="Closed",AA738-C738,TODAY()-C738))</f>
        <v>0</v>
      </c>
    </row>
    <row r="739" spans="29:29">
      <c r="AC739" s="9">
        <f>IF(C739="","",IF(AB739="Closed",AA739-C739,TODAY()-C739))</f>
        <v>0</v>
      </c>
    </row>
    <row r="740" spans="29:29">
      <c r="AC740" s="9">
        <f>IF(C740="","",IF(AB740="Closed",AA740-C740,TODAY()-C740))</f>
        <v>0</v>
      </c>
    </row>
    <row r="741" spans="29:29">
      <c r="AC741" s="9">
        <f>IF(C741="","",IF(AB741="Closed",AA741-C741,TODAY()-C741))</f>
        <v>0</v>
      </c>
    </row>
    <row r="742" spans="29:29">
      <c r="AC742" s="9">
        <f>IF(C742="","",IF(AB742="Closed",AA742-C742,TODAY()-C742))</f>
        <v>0</v>
      </c>
    </row>
    <row r="743" spans="29:29">
      <c r="AC743" s="9">
        <f>IF(C743="","",IF(AB743="Closed",AA743-C743,TODAY()-C743))</f>
        <v>0</v>
      </c>
    </row>
    <row r="744" spans="29:29">
      <c r="AC744" s="9">
        <f>IF(C744="","",IF(AB744="Closed",AA744-C744,TODAY()-C744))</f>
        <v>0</v>
      </c>
    </row>
    <row r="745" spans="29:29">
      <c r="AC745" s="9">
        <f>IF(C745="","",IF(AB745="Closed",AA745-C745,TODAY()-C745))</f>
        <v>0</v>
      </c>
    </row>
    <row r="746" spans="29:29">
      <c r="AC746" s="9">
        <f>IF(C746="","",IF(AB746="Closed",AA746-C746,TODAY()-C746))</f>
        <v>0</v>
      </c>
    </row>
    <row r="747" spans="29:29">
      <c r="AC747" s="9">
        <f>IF(C747="","",IF(AB747="Closed",AA747-C747,TODAY()-C747))</f>
        <v>0</v>
      </c>
    </row>
    <row r="748" spans="29:29">
      <c r="AC748" s="9">
        <f>IF(C748="","",IF(AB748="Closed",AA748-C748,TODAY()-C748))</f>
        <v>0</v>
      </c>
    </row>
    <row r="749" spans="29:29">
      <c r="AC749" s="9">
        <f>IF(C749="","",IF(AB749="Closed",AA749-C749,TODAY()-C749))</f>
        <v>0</v>
      </c>
    </row>
    <row r="750" spans="29:29">
      <c r="AC750" s="9">
        <f>IF(C750="","",IF(AB750="Closed",AA750-C750,TODAY()-C750))</f>
        <v>0</v>
      </c>
    </row>
    <row r="751" spans="29:29">
      <c r="AC751" s="9">
        <f>IF(C751="","",IF(AB751="Closed",AA751-C751,TODAY()-C751))</f>
        <v>0</v>
      </c>
    </row>
    <row r="752" spans="29:29">
      <c r="AC752" s="9">
        <f>IF(C752="","",IF(AB752="Closed",AA752-C752,TODAY()-C752))</f>
        <v>0</v>
      </c>
    </row>
    <row r="753" spans="29:29">
      <c r="AC753" s="9">
        <f>IF(C753="","",IF(AB753="Closed",AA753-C753,TODAY()-C753))</f>
        <v>0</v>
      </c>
    </row>
    <row r="754" spans="29:29">
      <c r="AC754" s="9">
        <f>IF(C754="","",IF(AB754="Closed",AA754-C754,TODAY()-C754))</f>
        <v>0</v>
      </c>
    </row>
    <row r="755" spans="29:29">
      <c r="AC755" s="9">
        <f>IF(C755="","",IF(AB755="Closed",AA755-C755,TODAY()-C755))</f>
        <v>0</v>
      </c>
    </row>
    <row r="756" spans="29:29">
      <c r="AC756" s="9">
        <f>IF(C756="","",IF(AB756="Closed",AA756-C756,TODAY()-C756))</f>
        <v>0</v>
      </c>
    </row>
    <row r="757" spans="29:29">
      <c r="AC757" s="9">
        <f>IF(C757="","",IF(AB757="Closed",AA757-C757,TODAY()-C757))</f>
        <v>0</v>
      </c>
    </row>
    <row r="758" spans="29:29">
      <c r="AC758" s="9">
        <f>IF(C758="","",IF(AB758="Closed",AA758-C758,TODAY()-C758))</f>
        <v>0</v>
      </c>
    </row>
    <row r="759" spans="29:29">
      <c r="AC759" s="9">
        <f>IF(C759="","",IF(AB759="Closed",AA759-C759,TODAY()-C759))</f>
        <v>0</v>
      </c>
    </row>
    <row r="760" spans="29:29">
      <c r="AC760" s="9">
        <f>IF(C760="","",IF(AB760="Closed",AA760-C760,TODAY()-C760))</f>
        <v>0</v>
      </c>
    </row>
    <row r="761" spans="29:29">
      <c r="AC761" s="9">
        <f>IF(C761="","",IF(AB761="Closed",AA761-C761,TODAY()-C761))</f>
        <v>0</v>
      </c>
    </row>
    <row r="762" spans="29:29">
      <c r="AC762" s="9">
        <f>IF(C762="","",IF(AB762="Closed",AA762-C762,TODAY()-C762))</f>
        <v>0</v>
      </c>
    </row>
    <row r="763" spans="29:29">
      <c r="AC763" s="9">
        <f>IF(C763="","",IF(AB763="Closed",AA763-C763,TODAY()-C763))</f>
        <v>0</v>
      </c>
    </row>
    <row r="764" spans="29:29">
      <c r="AC764" s="9">
        <f>IF(C764="","",IF(AB764="Closed",AA764-C764,TODAY()-C764))</f>
        <v>0</v>
      </c>
    </row>
    <row r="765" spans="29:29">
      <c r="AC765" s="9">
        <f>IF(C765="","",IF(AB765="Closed",AA765-C765,TODAY()-C765))</f>
        <v>0</v>
      </c>
    </row>
    <row r="766" spans="29:29">
      <c r="AC766" s="9">
        <f>IF(C766="","",IF(AB766="Closed",AA766-C766,TODAY()-C766))</f>
        <v>0</v>
      </c>
    </row>
    <row r="767" spans="29:29">
      <c r="AC767" s="9">
        <f>IF(C767="","",IF(AB767="Closed",AA767-C767,TODAY()-C767))</f>
        <v>0</v>
      </c>
    </row>
    <row r="768" spans="29:29">
      <c r="AC768" s="9">
        <f>IF(C768="","",IF(AB768="Closed",AA768-C768,TODAY()-C768))</f>
        <v>0</v>
      </c>
    </row>
    <row r="769" spans="29:29">
      <c r="AC769" s="9">
        <f>IF(C769="","",IF(AB769="Closed",AA769-C769,TODAY()-C769))</f>
        <v>0</v>
      </c>
    </row>
    <row r="770" spans="29:29">
      <c r="AC770" s="9">
        <f>IF(C770="","",IF(AB770="Closed",AA770-C770,TODAY()-C770))</f>
        <v>0</v>
      </c>
    </row>
    <row r="771" spans="29:29">
      <c r="AC771" s="9">
        <f>IF(C771="","",IF(AB771="Closed",AA771-C771,TODAY()-C771))</f>
        <v>0</v>
      </c>
    </row>
    <row r="772" spans="29:29">
      <c r="AC772" s="9">
        <f>IF(C772="","",IF(AB772="Closed",AA772-C772,TODAY()-C772))</f>
        <v>0</v>
      </c>
    </row>
    <row r="773" spans="29:29">
      <c r="AC773" s="9">
        <f>IF(C773="","",IF(AB773="Closed",AA773-C773,TODAY()-C773))</f>
        <v>0</v>
      </c>
    </row>
    <row r="774" spans="29:29">
      <c r="AC774" s="9">
        <f>IF(C774="","",IF(AB774="Closed",AA774-C774,TODAY()-C774))</f>
        <v>0</v>
      </c>
    </row>
    <row r="775" spans="29:29">
      <c r="AC775" s="9">
        <f>IF(C775="","",IF(AB775="Closed",AA775-C775,TODAY()-C775))</f>
        <v>0</v>
      </c>
    </row>
    <row r="776" spans="29:29">
      <c r="AC776" s="9">
        <f>IF(C776="","",IF(AB776="Closed",AA776-C776,TODAY()-C776))</f>
        <v>0</v>
      </c>
    </row>
    <row r="777" spans="29:29">
      <c r="AC777" s="9">
        <f>IF(C777="","",IF(AB777="Closed",AA777-C777,TODAY()-C777))</f>
        <v>0</v>
      </c>
    </row>
    <row r="778" spans="29:29">
      <c r="AC778" s="9">
        <f>IF(C778="","",IF(AB778="Closed",AA778-C778,TODAY()-C778))</f>
        <v>0</v>
      </c>
    </row>
    <row r="779" spans="29:29">
      <c r="AC779" s="9">
        <f>IF(C779="","",IF(AB779="Closed",AA779-C779,TODAY()-C779))</f>
        <v>0</v>
      </c>
    </row>
    <row r="780" spans="29:29">
      <c r="AC780" s="9">
        <f>IF(C780="","",IF(AB780="Closed",AA780-C780,TODAY()-C780))</f>
        <v>0</v>
      </c>
    </row>
    <row r="781" spans="29:29">
      <c r="AC781" s="9">
        <f>IF(C781="","",IF(AB781="Closed",AA781-C781,TODAY()-C781))</f>
        <v>0</v>
      </c>
    </row>
    <row r="782" spans="29:29">
      <c r="AC782" s="9">
        <f>IF(C782="","",IF(AB782="Closed",AA782-C782,TODAY()-C782))</f>
        <v>0</v>
      </c>
    </row>
    <row r="783" spans="29:29">
      <c r="AC783" s="9">
        <f>IF(C783="","",IF(AB783="Closed",AA783-C783,TODAY()-C783))</f>
        <v>0</v>
      </c>
    </row>
    <row r="784" spans="29:29">
      <c r="AC784" s="9">
        <f>IF(C784="","",IF(AB784="Closed",AA784-C784,TODAY()-C784))</f>
        <v>0</v>
      </c>
    </row>
    <row r="785" spans="29:29">
      <c r="AC785" s="9">
        <f>IF(C785="","",IF(AB785="Closed",AA785-C785,TODAY()-C785))</f>
        <v>0</v>
      </c>
    </row>
    <row r="786" spans="29:29">
      <c r="AC786" s="9">
        <f>IF(C786="","",IF(AB786="Closed",AA786-C786,TODAY()-C786))</f>
        <v>0</v>
      </c>
    </row>
    <row r="787" spans="29:29">
      <c r="AC787" s="9">
        <f>IF(C787="","",IF(AB787="Closed",AA787-C787,TODAY()-C787))</f>
        <v>0</v>
      </c>
    </row>
    <row r="788" spans="29:29">
      <c r="AC788" s="9">
        <f>IF(C788="","",IF(AB788="Closed",AA788-C788,TODAY()-C788))</f>
        <v>0</v>
      </c>
    </row>
    <row r="789" spans="29:29">
      <c r="AC789" s="9">
        <f>IF(C789="","",IF(AB789="Closed",AA789-C789,TODAY()-C789))</f>
        <v>0</v>
      </c>
    </row>
    <row r="790" spans="29:29">
      <c r="AC790" s="9">
        <f>IF(C790="","",IF(AB790="Closed",AA790-C790,TODAY()-C790))</f>
        <v>0</v>
      </c>
    </row>
    <row r="791" spans="29:29">
      <c r="AC791" s="9">
        <f>IF(C791="","",IF(AB791="Closed",AA791-C791,TODAY()-C791))</f>
        <v>0</v>
      </c>
    </row>
    <row r="792" spans="29:29">
      <c r="AC792" s="9">
        <f>IF(C792="","",IF(AB792="Closed",AA792-C792,TODAY()-C792))</f>
        <v>0</v>
      </c>
    </row>
    <row r="793" spans="29:29">
      <c r="AC793" s="9">
        <f>IF(C793="","",IF(AB793="Closed",AA793-C793,TODAY()-C793))</f>
        <v>0</v>
      </c>
    </row>
    <row r="794" spans="29:29">
      <c r="AC794" s="9">
        <f>IF(C794="","",IF(AB794="Closed",AA794-C794,TODAY()-C794))</f>
        <v>0</v>
      </c>
    </row>
    <row r="795" spans="29:29">
      <c r="AC795" s="9">
        <f>IF(C795="","",IF(AB795="Closed",AA795-C795,TODAY()-C795))</f>
        <v>0</v>
      </c>
    </row>
    <row r="796" spans="29:29">
      <c r="AC796" s="9">
        <f>IF(C796="","",IF(AB796="Closed",AA796-C796,TODAY()-C796))</f>
        <v>0</v>
      </c>
    </row>
    <row r="797" spans="29:29">
      <c r="AC797" s="9">
        <f>IF(C797="","",IF(AB797="Closed",AA797-C797,TODAY()-C797))</f>
        <v>0</v>
      </c>
    </row>
    <row r="798" spans="29:29">
      <c r="AC798" s="9">
        <f>IF(C798="","",IF(AB798="Closed",AA798-C798,TODAY()-C798))</f>
        <v>0</v>
      </c>
    </row>
    <row r="799" spans="29:29">
      <c r="AC799" s="9">
        <f>IF(C799="","",IF(AB799="Closed",AA799-C799,TODAY()-C799))</f>
        <v>0</v>
      </c>
    </row>
    <row r="800" spans="29:29">
      <c r="AC800" s="9">
        <f>IF(C800="","",IF(AB800="Closed",AA800-C800,TODAY()-C800))</f>
        <v>0</v>
      </c>
    </row>
    <row r="801" spans="29:29">
      <c r="AC801" s="9">
        <f>IF(C801="","",IF(AB801="Closed",AA801-C801,TODAY()-C801))</f>
        <v>0</v>
      </c>
    </row>
    <row r="802" spans="29:29">
      <c r="AC802" s="9">
        <f>IF(C802="","",IF(AB802="Closed",AA802-C802,TODAY()-C802))</f>
        <v>0</v>
      </c>
    </row>
    <row r="803" spans="29:29">
      <c r="AC803" s="9">
        <f>IF(C803="","",IF(AB803="Closed",AA803-C803,TODAY()-C803))</f>
        <v>0</v>
      </c>
    </row>
    <row r="804" spans="29:29">
      <c r="AC804" s="9">
        <f>IF(C804="","",IF(AB804="Closed",AA804-C804,TODAY()-C804))</f>
        <v>0</v>
      </c>
    </row>
    <row r="805" spans="29:29">
      <c r="AC805" s="9">
        <f>IF(C805="","",IF(AB805="Closed",AA805-C805,TODAY()-C805))</f>
        <v>0</v>
      </c>
    </row>
    <row r="806" spans="29:29">
      <c r="AC806" s="9">
        <f>IF(C806="","",IF(AB806="Closed",AA806-C806,TODAY()-C806))</f>
        <v>0</v>
      </c>
    </row>
    <row r="807" spans="29:29">
      <c r="AC807" s="9">
        <f>IF(C807="","",IF(AB807="Closed",AA807-C807,TODAY()-C807))</f>
        <v>0</v>
      </c>
    </row>
    <row r="808" spans="29:29">
      <c r="AC808" s="9">
        <f>IF(C808="","",IF(AB808="Closed",AA808-C808,TODAY()-C808))</f>
        <v>0</v>
      </c>
    </row>
    <row r="809" spans="29:29">
      <c r="AC809" s="9">
        <f>IF(C809="","",IF(AB809="Closed",AA809-C809,TODAY()-C809))</f>
        <v>0</v>
      </c>
    </row>
    <row r="810" spans="29:29">
      <c r="AC810" s="9">
        <f>IF(C810="","",IF(AB810="Closed",AA810-C810,TODAY()-C810))</f>
        <v>0</v>
      </c>
    </row>
    <row r="811" spans="29:29">
      <c r="AC811" s="9">
        <f>IF(C811="","",IF(AB811="Closed",AA811-C811,TODAY()-C811))</f>
        <v>0</v>
      </c>
    </row>
    <row r="812" spans="29:29">
      <c r="AC812" s="9">
        <f>IF(C812="","",IF(AB812="Closed",AA812-C812,TODAY()-C812))</f>
        <v>0</v>
      </c>
    </row>
    <row r="813" spans="29:29">
      <c r="AC813" s="9">
        <f>IF(C813="","",IF(AB813="Closed",AA813-C813,TODAY()-C813))</f>
        <v>0</v>
      </c>
    </row>
    <row r="814" spans="29:29">
      <c r="AC814" s="9">
        <f>IF(C814="","",IF(AB814="Closed",AA814-C814,TODAY()-C814))</f>
        <v>0</v>
      </c>
    </row>
    <row r="815" spans="29:29">
      <c r="AC815" s="9">
        <f>IF(C815="","",IF(AB815="Closed",AA815-C815,TODAY()-C815))</f>
        <v>0</v>
      </c>
    </row>
    <row r="816" spans="29:29">
      <c r="AC816" s="9">
        <f>IF(C816="","",IF(AB816="Closed",AA816-C816,TODAY()-C816))</f>
        <v>0</v>
      </c>
    </row>
    <row r="817" spans="29:29">
      <c r="AC817" s="9">
        <f>IF(C817="","",IF(AB817="Closed",AA817-C817,TODAY()-C817))</f>
        <v>0</v>
      </c>
    </row>
    <row r="818" spans="29:29">
      <c r="AC818" s="9">
        <f>IF(C818="","",IF(AB818="Closed",AA818-C818,TODAY()-C818))</f>
        <v>0</v>
      </c>
    </row>
    <row r="819" spans="29:29">
      <c r="AC819" s="9">
        <f>IF(C819="","",IF(AB819="Closed",AA819-C819,TODAY()-C819))</f>
        <v>0</v>
      </c>
    </row>
    <row r="820" spans="29:29">
      <c r="AC820" s="9">
        <f>IF(C820="","",IF(AB820="Closed",AA820-C820,TODAY()-C820))</f>
        <v>0</v>
      </c>
    </row>
    <row r="821" spans="29:29">
      <c r="AC821" s="9">
        <f>IF(C821="","",IF(AB821="Closed",AA821-C821,TODAY()-C821))</f>
        <v>0</v>
      </c>
    </row>
    <row r="822" spans="29:29">
      <c r="AC822" s="9">
        <f>IF(C822="","",IF(AB822="Closed",AA822-C822,TODAY()-C822))</f>
        <v>0</v>
      </c>
    </row>
    <row r="823" spans="29:29">
      <c r="AC823" s="9">
        <f>IF(C823="","",IF(AB823="Closed",AA823-C823,TODAY()-C823))</f>
        <v>0</v>
      </c>
    </row>
    <row r="824" spans="29:29">
      <c r="AC824" s="9">
        <f>IF(C824="","",IF(AB824="Closed",AA824-C824,TODAY()-C824))</f>
        <v>0</v>
      </c>
    </row>
    <row r="825" spans="29:29">
      <c r="AC825" s="9">
        <f>IF(C825="","",IF(AB825="Closed",AA825-C825,TODAY()-C825))</f>
        <v>0</v>
      </c>
    </row>
    <row r="826" spans="29:29">
      <c r="AC826" s="9">
        <f>IF(C826="","",IF(AB826="Closed",AA826-C826,TODAY()-C826))</f>
        <v>0</v>
      </c>
    </row>
    <row r="827" spans="29:29">
      <c r="AC827" s="9">
        <f>IF(C827="","",IF(AB827="Closed",AA827-C827,TODAY()-C827))</f>
        <v>0</v>
      </c>
    </row>
    <row r="828" spans="29:29">
      <c r="AC828" s="9">
        <f>IF(C828="","",IF(AB828="Closed",AA828-C828,TODAY()-C828))</f>
        <v>0</v>
      </c>
    </row>
    <row r="829" spans="29:29">
      <c r="AC829" s="9">
        <f>IF(C829="","",IF(AB829="Closed",AA829-C829,TODAY()-C829))</f>
        <v>0</v>
      </c>
    </row>
    <row r="830" spans="29:29">
      <c r="AC830" s="9">
        <f>IF(C830="","",IF(AB830="Closed",AA830-C830,TODAY()-C830))</f>
        <v>0</v>
      </c>
    </row>
    <row r="831" spans="29:29">
      <c r="AC831" s="9">
        <f>IF(C831="","",IF(AB831="Closed",AA831-C831,TODAY()-C831))</f>
        <v>0</v>
      </c>
    </row>
    <row r="832" spans="29:29">
      <c r="AC832" s="9">
        <f>IF(C832="","",IF(AB832="Closed",AA832-C832,TODAY()-C832))</f>
        <v>0</v>
      </c>
    </row>
    <row r="833" spans="29:29">
      <c r="AC833" s="9">
        <f>IF(C833="","",IF(AB833="Closed",AA833-C833,TODAY()-C833))</f>
        <v>0</v>
      </c>
    </row>
    <row r="834" spans="29:29">
      <c r="AC834" s="9">
        <f>IF(C834="","",IF(AB834="Closed",AA834-C834,TODAY()-C834))</f>
        <v>0</v>
      </c>
    </row>
    <row r="835" spans="29:29">
      <c r="AC835" s="9">
        <f>IF(C835="","",IF(AB835="Closed",AA835-C835,TODAY()-C835))</f>
        <v>0</v>
      </c>
    </row>
    <row r="836" spans="29:29">
      <c r="AC836" s="9">
        <f>IF(C836="","",IF(AB836="Closed",AA836-C836,TODAY()-C836))</f>
        <v>0</v>
      </c>
    </row>
    <row r="837" spans="29:29">
      <c r="AC837" s="9">
        <f>IF(C837="","",IF(AB837="Closed",AA837-C837,TODAY()-C837))</f>
        <v>0</v>
      </c>
    </row>
    <row r="838" spans="29:29">
      <c r="AC838" s="9">
        <f>IF(C838="","",IF(AB838="Closed",AA838-C838,TODAY()-C838))</f>
        <v>0</v>
      </c>
    </row>
    <row r="839" spans="29:29">
      <c r="AC839" s="9">
        <f>IF(C839="","",IF(AB839="Closed",AA839-C839,TODAY()-C839))</f>
        <v>0</v>
      </c>
    </row>
    <row r="840" spans="29:29">
      <c r="AC840" s="9">
        <f>IF(C840="","",IF(AB840="Closed",AA840-C840,TODAY()-C840))</f>
        <v>0</v>
      </c>
    </row>
    <row r="841" spans="29:29">
      <c r="AC841" s="9">
        <f>IF(C841="","",IF(AB841="Closed",AA841-C841,TODAY()-C841))</f>
        <v>0</v>
      </c>
    </row>
    <row r="842" spans="29:29">
      <c r="AC842" s="9">
        <f>IF(C842="","",IF(AB842="Closed",AA842-C842,TODAY()-C842))</f>
        <v>0</v>
      </c>
    </row>
    <row r="843" spans="29:29">
      <c r="AC843" s="9">
        <f>IF(C843="","",IF(AB843="Closed",AA843-C843,TODAY()-C843))</f>
        <v>0</v>
      </c>
    </row>
    <row r="844" spans="29:29">
      <c r="AC844" s="9">
        <f>IF(C844="","",IF(AB844="Closed",AA844-C844,TODAY()-C844))</f>
        <v>0</v>
      </c>
    </row>
    <row r="845" spans="29:29">
      <c r="AC845" s="9">
        <f>IF(C845="","",IF(AB845="Closed",AA845-C845,TODAY()-C845))</f>
        <v>0</v>
      </c>
    </row>
    <row r="846" spans="29:29">
      <c r="AC846" s="9">
        <f>IF(C846="","",IF(AB846="Closed",AA846-C846,TODAY()-C846))</f>
        <v>0</v>
      </c>
    </row>
    <row r="847" spans="29:29">
      <c r="AC847" s="9">
        <f>IF(C847="","",IF(AB847="Closed",AA847-C847,TODAY()-C847))</f>
        <v>0</v>
      </c>
    </row>
    <row r="848" spans="29:29">
      <c r="AC848" s="9">
        <f>IF(C848="","",IF(AB848="Closed",AA848-C848,TODAY()-C848))</f>
        <v>0</v>
      </c>
    </row>
    <row r="849" spans="29:29">
      <c r="AC849" s="9">
        <f>IF(C849="","",IF(AB849="Closed",AA849-C849,TODAY()-C849))</f>
        <v>0</v>
      </c>
    </row>
    <row r="850" spans="29:29">
      <c r="AC850" s="9">
        <f>IF(C850="","",IF(AB850="Closed",AA850-C850,TODAY()-C850))</f>
        <v>0</v>
      </c>
    </row>
    <row r="851" spans="29:29">
      <c r="AC851" s="9">
        <f>IF(C851="","",IF(AB851="Closed",AA851-C851,TODAY()-C851))</f>
        <v>0</v>
      </c>
    </row>
    <row r="852" spans="29:29">
      <c r="AC852" s="9">
        <f>IF(C852="","",IF(AB852="Closed",AA852-C852,TODAY()-C852))</f>
        <v>0</v>
      </c>
    </row>
    <row r="853" spans="29:29">
      <c r="AC853" s="9">
        <f>IF(C853="","",IF(AB853="Closed",AA853-C853,TODAY()-C853))</f>
        <v>0</v>
      </c>
    </row>
    <row r="854" spans="29:29">
      <c r="AC854" s="9">
        <f>IF(C854="","",IF(AB854="Closed",AA854-C854,TODAY()-C854))</f>
        <v>0</v>
      </c>
    </row>
    <row r="855" spans="29:29">
      <c r="AC855" s="9">
        <f>IF(C855="","",IF(AB855="Closed",AA855-C855,TODAY()-C855))</f>
        <v>0</v>
      </c>
    </row>
    <row r="856" spans="29:29">
      <c r="AC856" s="9">
        <f>IF(C856="","",IF(AB856="Closed",AA856-C856,TODAY()-C856))</f>
        <v>0</v>
      </c>
    </row>
    <row r="857" spans="29:29">
      <c r="AC857" s="9">
        <f>IF(C857="","",IF(AB857="Closed",AA857-C857,TODAY()-C857))</f>
        <v>0</v>
      </c>
    </row>
    <row r="858" spans="29:29">
      <c r="AC858" s="9">
        <f>IF(C858="","",IF(AB858="Closed",AA858-C858,TODAY()-C858))</f>
        <v>0</v>
      </c>
    </row>
    <row r="859" spans="29:29">
      <c r="AC859" s="9">
        <f>IF(C859="","",IF(AB859="Closed",AA859-C859,TODAY()-C859))</f>
        <v>0</v>
      </c>
    </row>
    <row r="860" spans="29:29">
      <c r="AC860" s="9">
        <f>IF(C860="","",IF(AB860="Closed",AA860-C860,TODAY()-C860))</f>
        <v>0</v>
      </c>
    </row>
    <row r="861" spans="29:29">
      <c r="AC861" s="9">
        <f>IF(C861="","",IF(AB861="Closed",AA861-C861,TODAY()-C861))</f>
        <v>0</v>
      </c>
    </row>
    <row r="862" spans="29:29">
      <c r="AC862" s="9">
        <f>IF(C862="","",IF(AB862="Closed",AA862-C862,TODAY()-C862))</f>
        <v>0</v>
      </c>
    </row>
    <row r="863" spans="29:29">
      <c r="AC863" s="9">
        <f>IF(C863="","",IF(AB863="Closed",AA863-C863,TODAY()-C863))</f>
        <v>0</v>
      </c>
    </row>
    <row r="864" spans="29:29">
      <c r="AC864" s="9">
        <f>IF(C864="","",IF(AB864="Closed",AA864-C864,TODAY()-C864))</f>
        <v>0</v>
      </c>
    </row>
    <row r="865" spans="29:29">
      <c r="AC865" s="9">
        <f>IF(C865="","",IF(AB865="Closed",AA865-C865,TODAY()-C865))</f>
        <v>0</v>
      </c>
    </row>
    <row r="866" spans="29:29">
      <c r="AC866" s="9">
        <f>IF(C866="","",IF(AB866="Closed",AA866-C866,TODAY()-C866))</f>
        <v>0</v>
      </c>
    </row>
    <row r="867" spans="29:29">
      <c r="AC867" s="9">
        <f>IF(C867="","",IF(AB867="Closed",AA867-C867,TODAY()-C867))</f>
        <v>0</v>
      </c>
    </row>
    <row r="868" spans="29:29">
      <c r="AC868" s="9">
        <f>IF(C868="","",IF(AB868="Closed",AA868-C868,TODAY()-C868))</f>
        <v>0</v>
      </c>
    </row>
    <row r="869" spans="29:29">
      <c r="AC869" s="9">
        <f>IF(C869="","",IF(AB869="Closed",AA869-C869,TODAY()-C869))</f>
        <v>0</v>
      </c>
    </row>
    <row r="870" spans="29:29">
      <c r="AC870" s="9">
        <f>IF(C870="","",IF(AB870="Closed",AA870-C870,TODAY()-C870))</f>
        <v>0</v>
      </c>
    </row>
    <row r="871" spans="29:29">
      <c r="AC871" s="9">
        <f>IF(C871="","",IF(AB871="Closed",AA871-C871,TODAY()-C871))</f>
        <v>0</v>
      </c>
    </row>
    <row r="872" spans="29:29">
      <c r="AC872" s="9">
        <f>IF(C872="","",IF(AB872="Closed",AA872-C872,TODAY()-C872))</f>
        <v>0</v>
      </c>
    </row>
    <row r="873" spans="29:29">
      <c r="AC873" s="9">
        <f>IF(C873="","",IF(AB873="Closed",AA873-C873,TODAY()-C873))</f>
        <v>0</v>
      </c>
    </row>
    <row r="874" spans="29:29">
      <c r="AC874" s="9">
        <f>IF(C874="","",IF(AB874="Closed",AA874-C874,TODAY()-C874))</f>
        <v>0</v>
      </c>
    </row>
    <row r="875" spans="29:29">
      <c r="AC875" s="9">
        <f>IF(C875="","",IF(AB875="Closed",AA875-C875,TODAY()-C875))</f>
        <v>0</v>
      </c>
    </row>
    <row r="876" spans="29:29">
      <c r="AC876" s="9">
        <f>IF(C876="","",IF(AB876="Closed",AA876-C876,TODAY()-C876))</f>
        <v>0</v>
      </c>
    </row>
    <row r="877" spans="29:29">
      <c r="AC877" s="9">
        <f>IF(C877="","",IF(AB877="Closed",AA877-C877,TODAY()-C877))</f>
        <v>0</v>
      </c>
    </row>
    <row r="878" spans="29:29">
      <c r="AC878" s="9">
        <f>IF(C878="","",IF(AB878="Closed",AA878-C878,TODAY()-C878))</f>
        <v>0</v>
      </c>
    </row>
    <row r="879" spans="29:29">
      <c r="AC879" s="9">
        <f>IF(C879="","",IF(AB879="Closed",AA879-C879,TODAY()-C879))</f>
        <v>0</v>
      </c>
    </row>
    <row r="880" spans="29:29">
      <c r="AC880" s="9">
        <f>IF(C880="","",IF(AB880="Closed",AA880-C880,TODAY()-C880))</f>
        <v>0</v>
      </c>
    </row>
    <row r="881" spans="29:29">
      <c r="AC881" s="9">
        <f>IF(C881="","",IF(AB881="Closed",AA881-C881,TODAY()-C881))</f>
        <v>0</v>
      </c>
    </row>
    <row r="882" spans="29:29">
      <c r="AC882" s="9">
        <f>IF(C882="","",IF(AB882="Closed",AA882-C882,TODAY()-C882))</f>
        <v>0</v>
      </c>
    </row>
    <row r="883" spans="29:29">
      <c r="AC883" s="9">
        <f>IF(C883="","",IF(AB883="Closed",AA883-C883,TODAY()-C883))</f>
        <v>0</v>
      </c>
    </row>
    <row r="884" spans="29:29">
      <c r="AC884" s="9">
        <f>IF(C884="","",IF(AB884="Closed",AA884-C884,TODAY()-C884))</f>
        <v>0</v>
      </c>
    </row>
    <row r="885" spans="29:29">
      <c r="AC885" s="9">
        <f>IF(C885="","",IF(AB885="Closed",AA885-C885,TODAY()-C885))</f>
        <v>0</v>
      </c>
    </row>
    <row r="886" spans="29:29">
      <c r="AC886" s="9">
        <f>IF(C886="","",IF(AB886="Closed",AA886-C886,TODAY()-C886))</f>
        <v>0</v>
      </c>
    </row>
    <row r="887" spans="29:29">
      <c r="AC887" s="9">
        <f>IF(C887="","",IF(AB887="Closed",AA887-C887,TODAY()-C887))</f>
        <v>0</v>
      </c>
    </row>
    <row r="888" spans="29:29">
      <c r="AC888" s="9">
        <f>IF(C888="","",IF(AB888="Closed",AA888-C888,TODAY()-C888))</f>
        <v>0</v>
      </c>
    </row>
    <row r="889" spans="29:29">
      <c r="AC889" s="9">
        <f>IF(C889="","",IF(AB889="Closed",AA889-C889,TODAY()-C889))</f>
        <v>0</v>
      </c>
    </row>
    <row r="890" spans="29:29">
      <c r="AC890" s="9">
        <f>IF(C890="","",IF(AB890="Closed",AA890-C890,TODAY()-C890))</f>
        <v>0</v>
      </c>
    </row>
    <row r="891" spans="29:29">
      <c r="AC891" s="9">
        <f>IF(C891="","",IF(AB891="Closed",AA891-C891,TODAY()-C891))</f>
        <v>0</v>
      </c>
    </row>
    <row r="892" spans="29:29">
      <c r="AC892" s="9">
        <f>IF(C892="","",IF(AB892="Closed",AA892-C892,TODAY()-C892))</f>
        <v>0</v>
      </c>
    </row>
    <row r="893" spans="29:29">
      <c r="AC893" s="9">
        <f>IF(C893="","",IF(AB893="Closed",AA893-C893,TODAY()-C893))</f>
        <v>0</v>
      </c>
    </row>
    <row r="894" spans="29:29">
      <c r="AC894" s="9">
        <f>IF(C894="","",IF(AB894="Closed",AA894-C894,TODAY()-C894))</f>
        <v>0</v>
      </c>
    </row>
    <row r="895" spans="29:29">
      <c r="AC895" s="9">
        <f>IF(C895="","",IF(AB895="Closed",AA895-C895,TODAY()-C895))</f>
        <v>0</v>
      </c>
    </row>
    <row r="896" spans="29:29">
      <c r="AC896" s="9">
        <f>IF(C896="","",IF(AB896="Closed",AA896-C896,TODAY()-C896))</f>
        <v>0</v>
      </c>
    </row>
    <row r="897" spans="29:29">
      <c r="AC897" s="9">
        <f>IF(C897="","",IF(AB897="Closed",AA897-C897,TODAY()-C897))</f>
        <v>0</v>
      </c>
    </row>
    <row r="898" spans="29:29">
      <c r="AC898" s="9">
        <f>IF(C898="","",IF(AB898="Closed",AA898-C898,TODAY()-C898))</f>
        <v>0</v>
      </c>
    </row>
    <row r="899" spans="29:29">
      <c r="AC899" s="9">
        <f>IF(C899="","",IF(AB899="Closed",AA899-C899,TODAY()-C899))</f>
        <v>0</v>
      </c>
    </row>
    <row r="900" spans="29:29">
      <c r="AC900" s="9">
        <f>IF(C900="","",IF(AB900="Closed",AA900-C900,TODAY()-C900))</f>
        <v>0</v>
      </c>
    </row>
    <row r="901" spans="29:29">
      <c r="AC901" s="9">
        <f>IF(C901="","",IF(AB901="Closed",AA901-C901,TODAY()-C901))</f>
        <v>0</v>
      </c>
    </row>
    <row r="902" spans="29:29">
      <c r="AC902" s="9">
        <f>IF(C902="","",IF(AB902="Closed",AA902-C902,TODAY()-C902))</f>
        <v>0</v>
      </c>
    </row>
    <row r="903" spans="29:29">
      <c r="AC903" s="9">
        <f>IF(C903="","",IF(AB903="Closed",AA903-C903,TODAY()-C903))</f>
        <v>0</v>
      </c>
    </row>
    <row r="904" spans="29:29">
      <c r="AC904" s="9">
        <f>IF(C904="","",IF(AB904="Closed",AA904-C904,TODAY()-C904))</f>
        <v>0</v>
      </c>
    </row>
    <row r="905" spans="29:29">
      <c r="AC905" s="9">
        <f>IF(C905="","",IF(AB905="Closed",AA905-C905,TODAY()-C905))</f>
        <v>0</v>
      </c>
    </row>
    <row r="906" spans="29:29">
      <c r="AC906" s="9">
        <f>IF(C906="","",IF(AB906="Closed",AA906-C906,TODAY()-C906))</f>
        <v>0</v>
      </c>
    </row>
    <row r="907" spans="29:29">
      <c r="AC907" s="9">
        <f>IF(C907="","",IF(AB907="Closed",AA907-C907,TODAY()-C907))</f>
        <v>0</v>
      </c>
    </row>
    <row r="908" spans="29:29">
      <c r="AC908" s="9">
        <f>IF(C908="","",IF(AB908="Closed",AA908-C908,TODAY()-C908))</f>
        <v>0</v>
      </c>
    </row>
    <row r="909" spans="29:29">
      <c r="AC909" s="9">
        <f>IF(C909="","",IF(AB909="Closed",AA909-C909,TODAY()-C909))</f>
        <v>0</v>
      </c>
    </row>
    <row r="910" spans="29:29">
      <c r="AC910" s="9">
        <f>IF(C910="","",IF(AB910="Closed",AA910-C910,TODAY()-C910))</f>
        <v>0</v>
      </c>
    </row>
    <row r="911" spans="29:29">
      <c r="AC911" s="9">
        <f>IF(C911="","",IF(AB911="Closed",AA911-C911,TODAY()-C911))</f>
        <v>0</v>
      </c>
    </row>
    <row r="912" spans="29:29">
      <c r="AC912" s="9">
        <f>IF(C912="","",IF(AB912="Closed",AA912-C912,TODAY()-C912))</f>
        <v>0</v>
      </c>
    </row>
    <row r="913" spans="29:29">
      <c r="AC913" s="9">
        <f>IF(C913="","",IF(AB913="Closed",AA913-C913,TODAY()-C913))</f>
        <v>0</v>
      </c>
    </row>
    <row r="914" spans="29:29">
      <c r="AC914" s="9">
        <f>IF(C914="","",IF(AB914="Closed",AA914-C914,TODAY()-C914))</f>
        <v>0</v>
      </c>
    </row>
    <row r="915" spans="29:29">
      <c r="AC915" s="9">
        <f>IF(C915="","",IF(AB915="Closed",AA915-C915,TODAY()-C915))</f>
        <v>0</v>
      </c>
    </row>
    <row r="916" spans="29:29">
      <c r="AC916" s="9">
        <f>IF(C916="","",IF(AB916="Closed",AA916-C916,TODAY()-C916))</f>
        <v>0</v>
      </c>
    </row>
    <row r="917" spans="29:29">
      <c r="AC917" s="9">
        <f>IF(C917="","",IF(AB917="Closed",AA917-C917,TODAY()-C917))</f>
        <v>0</v>
      </c>
    </row>
    <row r="918" spans="29:29">
      <c r="AC918" s="9">
        <f>IF(C918="","",IF(AB918="Closed",AA918-C918,TODAY()-C918))</f>
        <v>0</v>
      </c>
    </row>
    <row r="919" spans="29:29">
      <c r="AC919" s="9">
        <f>IF(C919="","",IF(AB919="Closed",AA919-C919,TODAY()-C919))</f>
        <v>0</v>
      </c>
    </row>
    <row r="920" spans="29:29">
      <c r="AC920" s="9">
        <f>IF(C920="","",IF(AB920="Closed",AA920-C920,TODAY()-C920))</f>
        <v>0</v>
      </c>
    </row>
    <row r="921" spans="29:29">
      <c r="AC921" s="9">
        <f>IF(C921="","",IF(AB921="Closed",AA921-C921,TODAY()-C921))</f>
        <v>0</v>
      </c>
    </row>
    <row r="922" spans="29:29">
      <c r="AC922" s="9">
        <f>IF(C922="","",IF(AB922="Closed",AA922-C922,TODAY()-C922))</f>
        <v>0</v>
      </c>
    </row>
    <row r="923" spans="29:29">
      <c r="AC923" s="9">
        <f>IF(C923="","",IF(AB923="Closed",AA923-C923,TODAY()-C923))</f>
        <v>0</v>
      </c>
    </row>
    <row r="924" spans="29:29">
      <c r="AC924" s="9">
        <f>IF(C924="","",IF(AB924="Closed",AA924-C924,TODAY()-C924))</f>
        <v>0</v>
      </c>
    </row>
    <row r="925" spans="29:29">
      <c r="AC925" s="9">
        <f>IF(C925="","",IF(AB925="Closed",AA925-C925,TODAY()-C925))</f>
        <v>0</v>
      </c>
    </row>
    <row r="926" spans="29:29">
      <c r="AC926" s="9">
        <f>IF(C926="","",IF(AB926="Closed",AA926-C926,TODAY()-C926))</f>
        <v>0</v>
      </c>
    </row>
    <row r="927" spans="29:29">
      <c r="AC927" s="9">
        <f>IF(C927="","",IF(AB927="Closed",AA927-C927,TODAY()-C927))</f>
        <v>0</v>
      </c>
    </row>
    <row r="928" spans="29:29">
      <c r="AC928" s="9">
        <f>IF(C928="","",IF(AB928="Closed",AA928-C928,TODAY()-C928))</f>
        <v>0</v>
      </c>
    </row>
    <row r="929" spans="29:29">
      <c r="AC929" s="9">
        <f>IF(C929="","",IF(AB929="Closed",AA929-C929,TODAY()-C929))</f>
        <v>0</v>
      </c>
    </row>
    <row r="930" spans="29:29">
      <c r="AC930" s="9">
        <f>IF(C930="","",IF(AB930="Closed",AA930-C930,TODAY()-C930))</f>
        <v>0</v>
      </c>
    </row>
    <row r="931" spans="29:29">
      <c r="AC931" s="9">
        <f>IF(C931="","",IF(AB931="Closed",AA931-C931,TODAY()-C931))</f>
        <v>0</v>
      </c>
    </row>
    <row r="932" spans="29:29">
      <c r="AC932" s="9">
        <f>IF(C932="","",IF(AB932="Closed",AA932-C932,TODAY()-C932))</f>
        <v>0</v>
      </c>
    </row>
    <row r="933" spans="29:29">
      <c r="AC933" s="9">
        <f>IF(C933="","",IF(AB933="Closed",AA933-C933,TODAY()-C933))</f>
        <v>0</v>
      </c>
    </row>
    <row r="934" spans="29:29">
      <c r="AC934" s="9">
        <f>IF(C934="","",IF(AB934="Closed",AA934-C934,TODAY()-C934))</f>
        <v>0</v>
      </c>
    </row>
    <row r="935" spans="29:29">
      <c r="AC935" s="9">
        <f>IF(C935="","",IF(AB935="Closed",AA935-C935,TODAY()-C935))</f>
        <v>0</v>
      </c>
    </row>
    <row r="936" spans="29:29">
      <c r="AC936" s="9">
        <f>IF(C936="","",IF(AB936="Closed",AA936-C936,TODAY()-C936))</f>
        <v>0</v>
      </c>
    </row>
    <row r="937" spans="29:29">
      <c r="AC937" s="9">
        <f>IF(C937="","",IF(AB937="Closed",AA937-C937,TODAY()-C937))</f>
        <v>0</v>
      </c>
    </row>
    <row r="938" spans="29:29">
      <c r="AC938" s="9">
        <f>IF(C938="","",IF(AB938="Closed",AA938-C938,TODAY()-C938))</f>
        <v>0</v>
      </c>
    </row>
    <row r="939" spans="29:29">
      <c r="AC939" s="9">
        <f>IF(C939="","",IF(AB939="Closed",AA939-C939,TODAY()-C939))</f>
        <v>0</v>
      </c>
    </row>
    <row r="940" spans="29:29">
      <c r="AC940" s="9">
        <f>IF(C940="","",IF(AB940="Closed",AA940-C940,TODAY()-C940))</f>
        <v>0</v>
      </c>
    </row>
    <row r="941" spans="29:29">
      <c r="AC941" s="9">
        <f>IF(C941="","",IF(AB941="Closed",AA941-C941,TODAY()-C941))</f>
        <v>0</v>
      </c>
    </row>
    <row r="942" spans="29:29">
      <c r="AC942" s="9">
        <f>IF(C942="","",IF(AB942="Closed",AA942-C942,TODAY()-C942))</f>
        <v>0</v>
      </c>
    </row>
    <row r="943" spans="29:29">
      <c r="AC943" s="9">
        <f>IF(C943="","",IF(AB943="Closed",AA943-C943,TODAY()-C943))</f>
        <v>0</v>
      </c>
    </row>
    <row r="944" spans="29:29">
      <c r="AC944" s="9">
        <f>IF(C944="","",IF(AB944="Closed",AA944-C944,TODAY()-C944))</f>
        <v>0</v>
      </c>
    </row>
    <row r="945" spans="29:29">
      <c r="AC945" s="9">
        <f>IF(C945="","",IF(AB945="Closed",AA945-C945,TODAY()-C945))</f>
        <v>0</v>
      </c>
    </row>
    <row r="946" spans="29:29">
      <c r="AC946" s="9">
        <f>IF(C946="","",IF(AB946="Closed",AA946-C946,TODAY()-C946))</f>
        <v>0</v>
      </c>
    </row>
    <row r="947" spans="29:29">
      <c r="AC947" s="9">
        <f>IF(C947="","",IF(AB947="Closed",AA947-C947,TODAY()-C947))</f>
        <v>0</v>
      </c>
    </row>
    <row r="948" spans="29:29">
      <c r="AC948" s="9">
        <f>IF(C948="","",IF(AB948="Closed",AA948-C948,TODAY()-C948))</f>
        <v>0</v>
      </c>
    </row>
    <row r="949" spans="29:29">
      <c r="AC949" s="9">
        <f>IF(C949="","",IF(AB949="Closed",AA949-C949,TODAY()-C949))</f>
        <v>0</v>
      </c>
    </row>
    <row r="950" spans="29:29">
      <c r="AC950" s="9">
        <f>IF(C950="","",IF(AB950="Closed",AA950-C950,TODAY()-C950))</f>
        <v>0</v>
      </c>
    </row>
    <row r="951" spans="29:29">
      <c r="AC951" s="9">
        <f>IF(C951="","",IF(AB951="Closed",AA951-C951,TODAY()-C951))</f>
        <v>0</v>
      </c>
    </row>
    <row r="952" spans="29:29">
      <c r="AC952" s="9">
        <f>IF(C952="","",IF(AB952="Closed",AA952-C952,TODAY()-C952))</f>
        <v>0</v>
      </c>
    </row>
    <row r="953" spans="29:29">
      <c r="AC953" s="9">
        <f>IF(C953="","",IF(AB953="Closed",AA953-C953,TODAY()-C953))</f>
        <v>0</v>
      </c>
    </row>
    <row r="954" spans="29:29">
      <c r="AC954" s="9">
        <f>IF(C954="","",IF(AB954="Closed",AA954-C954,TODAY()-C954))</f>
        <v>0</v>
      </c>
    </row>
    <row r="955" spans="29:29">
      <c r="AC955" s="9">
        <f>IF(C955="","",IF(AB955="Closed",AA955-C955,TODAY()-C955))</f>
        <v>0</v>
      </c>
    </row>
    <row r="956" spans="29:29">
      <c r="AC956" s="9">
        <f>IF(C956="","",IF(AB956="Closed",AA956-C956,TODAY()-C956))</f>
        <v>0</v>
      </c>
    </row>
    <row r="957" spans="29:29">
      <c r="AC957" s="9">
        <f>IF(C957="","",IF(AB957="Closed",AA957-C957,TODAY()-C957))</f>
        <v>0</v>
      </c>
    </row>
    <row r="958" spans="29:29">
      <c r="AC958" s="9">
        <f>IF(C958="","",IF(AB958="Closed",AA958-C958,TODAY()-C958))</f>
        <v>0</v>
      </c>
    </row>
    <row r="959" spans="29:29">
      <c r="AC959" s="9">
        <f>IF(C959="","",IF(AB959="Closed",AA959-C959,TODAY()-C959))</f>
        <v>0</v>
      </c>
    </row>
    <row r="960" spans="29:29">
      <c r="AC960" s="9">
        <f>IF(C960="","",IF(AB960="Closed",AA960-C960,TODAY()-C960))</f>
        <v>0</v>
      </c>
    </row>
    <row r="961" spans="29:29">
      <c r="AC961" s="9">
        <f>IF(C961="","",IF(AB961="Closed",AA961-C961,TODAY()-C961))</f>
        <v>0</v>
      </c>
    </row>
    <row r="962" spans="29:29">
      <c r="AC962" s="9">
        <f>IF(C962="","",IF(AB962="Closed",AA962-C962,TODAY()-C962))</f>
        <v>0</v>
      </c>
    </row>
    <row r="963" spans="29:29">
      <c r="AC963" s="9">
        <f>IF(C963="","",IF(AB963="Closed",AA963-C963,TODAY()-C963))</f>
        <v>0</v>
      </c>
    </row>
    <row r="964" spans="29:29">
      <c r="AC964" s="9">
        <f>IF(C964="","",IF(AB964="Closed",AA964-C964,TODAY()-C964))</f>
        <v>0</v>
      </c>
    </row>
    <row r="965" spans="29:29">
      <c r="AC965" s="9">
        <f>IF(C965="","",IF(AB965="Closed",AA965-C965,TODAY()-C965))</f>
        <v>0</v>
      </c>
    </row>
    <row r="966" spans="29:29">
      <c r="AC966" s="9">
        <f>IF(C966="","",IF(AB966="Closed",AA966-C966,TODAY()-C966))</f>
        <v>0</v>
      </c>
    </row>
    <row r="967" spans="29:29">
      <c r="AC967" s="9">
        <f>IF(C967="","",IF(AB967="Closed",AA967-C967,TODAY()-C967))</f>
        <v>0</v>
      </c>
    </row>
    <row r="968" spans="29:29">
      <c r="AC968" s="9">
        <f>IF(C968="","",IF(AB968="Closed",AA968-C968,TODAY()-C968))</f>
        <v>0</v>
      </c>
    </row>
    <row r="969" spans="29:29">
      <c r="AC969" s="9">
        <f>IF(C969="","",IF(AB969="Closed",AA969-C969,TODAY()-C969))</f>
        <v>0</v>
      </c>
    </row>
    <row r="970" spans="29:29">
      <c r="AC970" s="9">
        <f>IF(C970="","",IF(AB970="Closed",AA970-C970,TODAY()-C970))</f>
        <v>0</v>
      </c>
    </row>
    <row r="971" spans="29:29">
      <c r="AC971" s="9">
        <f>IF(C971="","",IF(AB971="Closed",AA971-C971,TODAY()-C971))</f>
        <v>0</v>
      </c>
    </row>
    <row r="972" spans="29:29">
      <c r="AC972" s="9">
        <f>IF(C972="","",IF(AB972="Closed",AA972-C972,TODAY()-C972))</f>
        <v>0</v>
      </c>
    </row>
    <row r="973" spans="29:29">
      <c r="AC973" s="9">
        <f>IF(C973="","",IF(AB973="Closed",AA973-C973,TODAY()-C973))</f>
        <v>0</v>
      </c>
    </row>
    <row r="974" spans="29:29">
      <c r="AC974" s="9">
        <f>IF(C974="","",IF(AB974="Closed",AA974-C974,TODAY()-C974))</f>
        <v>0</v>
      </c>
    </row>
    <row r="975" spans="29:29">
      <c r="AC975" s="9">
        <f>IF(C975="","",IF(AB975="Closed",AA975-C975,TODAY()-C975))</f>
        <v>0</v>
      </c>
    </row>
    <row r="976" spans="29:29">
      <c r="AC976" s="9">
        <f>IF(C976="","",IF(AB976="Closed",AA976-C976,TODAY()-C976))</f>
        <v>0</v>
      </c>
    </row>
    <row r="977" spans="29:29">
      <c r="AC977" s="9">
        <f>IF(C977="","",IF(AB977="Closed",AA977-C977,TODAY()-C977))</f>
        <v>0</v>
      </c>
    </row>
    <row r="978" spans="29:29">
      <c r="AC978" s="9">
        <f>IF(C978="","",IF(AB978="Closed",AA978-C978,TODAY()-C978))</f>
        <v>0</v>
      </c>
    </row>
    <row r="979" spans="29:29">
      <c r="AC979" s="9">
        <f>IF(C979="","",IF(AB979="Closed",AA979-C979,TODAY()-C979))</f>
        <v>0</v>
      </c>
    </row>
    <row r="980" spans="29:29">
      <c r="AC980" s="9">
        <f>IF(C980="","",IF(AB980="Closed",AA980-C980,TODAY()-C980))</f>
        <v>0</v>
      </c>
    </row>
    <row r="981" spans="29:29">
      <c r="AC981" s="9">
        <f>IF(C981="","",IF(AB981="Closed",AA981-C981,TODAY()-C981))</f>
        <v>0</v>
      </c>
    </row>
    <row r="982" spans="29:29">
      <c r="AC982" s="9">
        <f>IF(C982="","",IF(AB982="Closed",AA982-C982,TODAY()-C982))</f>
        <v>0</v>
      </c>
    </row>
    <row r="983" spans="29:29">
      <c r="AC983" s="9">
        <f>IF(C983="","",IF(AB983="Closed",AA983-C983,TODAY()-C983))</f>
        <v>0</v>
      </c>
    </row>
    <row r="984" spans="29:29">
      <c r="AC984" s="9">
        <f>IF(C984="","",IF(AB984="Closed",AA984-C984,TODAY()-C984))</f>
        <v>0</v>
      </c>
    </row>
    <row r="985" spans="29:29">
      <c r="AC985" s="9">
        <f>IF(C985="","",IF(AB985="Closed",AA985-C985,TODAY()-C985))</f>
        <v>0</v>
      </c>
    </row>
    <row r="986" spans="29:29">
      <c r="AC986" s="9">
        <f>IF(C986="","",IF(AB986="Closed",AA986-C986,TODAY()-C986))</f>
        <v>0</v>
      </c>
    </row>
    <row r="987" spans="29:29">
      <c r="AC987" s="9">
        <f>IF(C987="","",IF(AB987="Closed",AA987-C987,TODAY()-C987))</f>
        <v>0</v>
      </c>
    </row>
    <row r="988" spans="29:29">
      <c r="AC988" s="9">
        <f>IF(C988="","",IF(AB988="Closed",AA988-C988,TODAY()-C988))</f>
        <v>0</v>
      </c>
    </row>
    <row r="989" spans="29:29">
      <c r="AC989" s="9">
        <f>IF(C989="","",IF(AB989="Closed",AA989-C989,TODAY()-C989))</f>
        <v>0</v>
      </c>
    </row>
    <row r="990" spans="29:29">
      <c r="AC990" s="9">
        <f>IF(C990="","",IF(AB990="Closed",AA990-C990,TODAY()-C990))</f>
        <v>0</v>
      </c>
    </row>
    <row r="991" spans="29:29">
      <c r="AC991" s="9">
        <f>IF(C991="","",IF(AB991="Closed",AA991-C991,TODAY()-C991))</f>
        <v>0</v>
      </c>
    </row>
    <row r="992" spans="29:29">
      <c r="AC992" s="9">
        <f>IF(C992="","",IF(AB992="Closed",AA992-C992,TODAY()-C992))</f>
        <v>0</v>
      </c>
    </row>
    <row r="993" spans="29:29">
      <c r="AC993" s="9">
        <f>IF(C993="","",IF(AB993="Closed",AA993-C993,TODAY()-C993))</f>
        <v>0</v>
      </c>
    </row>
    <row r="994" spans="29:29">
      <c r="AC994" s="9">
        <f>IF(C994="","",IF(AB994="Closed",AA994-C994,TODAY()-C994))</f>
        <v>0</v>
      </c>
    </row>
    <row r="995" spans="29:29">
      <c r="AC995" s="9">
        <f>IF(C995="","",IF(AB995="Closed",AA995-C995,TODAY()-C995))</f>
        <v>0</v>
      </c>
    </row>
    <row r="996" spans="29:29">
      <c r="AC996" s="9">
        <f>IF(C996="","",IF(AB996="Closed",AA996-C996,TODAY()-C996))</f>
        <v>0</v>
      </c>
    </row>
    <row r="997" spans="29:29">
      <c r="AC997" s="9">
        <f>IF(C997="","",IF(AB997="Closed",AA997-C997,TODAY()-C997))</f>
        <v>0</v>
      </c>
    </row>
    <row r="998" spans="29:29">
      <c r="AC998" s="9">
        <f>IF(C998="","",IF(AB998="Closed",AA998-C998,TODAY()-C998))</f>
        <v>0</v>
      </c>
    </row>
    <row r="999" spans="29:29">
      <c r="AC999" s="9">
        <f>IF(C999="","",IF(AB999="Closed",AA999-C999,TODAY()-C999))</f>
        <v>0</v>
      </c>
    </row>
    <row r="1000" spans="29:29">
      <c r="AC1000" s="9">
        <f>IF(C1000="","",IF(AB1000="Closed",AA1000-C1000,TODAY()-C1000))</f>
        <v>0</v>
      </c>
    </row>
    <row r="1001" spans="29:29">
      <c r="AC1001" s="9">
        <f>IF(C1001="","",IF(AB1001="Closed",AA1001-C1001,TODAY()-C1001))</f>
        <v>0</v>
      </c>
    </row>
    <row r="1002" spans="29:29">
      <c r="AC1002" s="9">
        <f>IF(C1002="","",IF(AB1002="Closed",AA1002-C1002,TODAY()-C1002))</f>
        <v>0</v>
      </c>
    </row>
    <row r="1003" spans="29:29">
      <c r="AC1003" s="9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10" t="s">
        <v>139</v>
      </c>
    </row>
    <row r="2" spans="2:11">
      <c r="B2" s="11" t="s">
        <v>1611</v>
      </c>
      <c r="C2" s="11"/>
      <c r="D2" s="11"/>
      <c r="E2" s="11"/>
      <c r="F2" s="11"/>
      <c r="G2" s="11"/>
      <c r="H2" s="11"/>
      <c r="I2" s="11"/>
      <c r="J2" s="11"/>
      <c r="K2" s="11"/>
    </row>
    <row r="4" spans="2:11">
      <c r="B4" s="12" t="s">
        <v>129</v>
      </c>
      <c r="C4" s="12" t="s">
        <v>130</v>
      </c>
      <c r="D4" s="12" t="s">
        <v>286</v>
      </c>
      <c r="E4" s="12" t="s">
        <v>210</v>
      </c>
      <c r="F4" s="12" t="s">
        <v>1612</v>
      </c>
      <c r="G4" s="12" t="s">
        <v>1194</v>
      </c>
      <c r="H4" s="12" t="s">
        <v>127</v>
      </c>
      <c r="I4" s="12" t="s">
        <v>1613</v>
      </c>
      <c r="J4" s="12" t="s">
        <v>1615</v>
      </c>
      <c r="K4" s="12" t="s">
        <v>1616</v>
      </c>
    </row>
    <row r="5" spans="2:11">
      <c r="B5" s="13" t="s">
        <v>27</v>
      </c>
      <c r="C5" s="13" t="s">
        <v>87</v>
      </c>
      <c r="D5" s="13" t="s">
        <v>1149</v>
      </c>
      <c r="E5" s="13" t="s">
        <v>157</v>
      </c>
      <c r="F5" s="13" t="s">
        <v>10</v>
      </c>
      <c r="G5" s="13" t="s">
        <v>231</v>
      </c>
      <c r="H5" s="13" t="s">
        <v>3</v>
      </c>
      <c r="I5" s="13" t="s">
        <v>1614</v>
      </c>
      <c r="J5" s="13" t="s">
        <v>1614</v>
      </c>
      <c r="K5" s="13" t="s">
        <v>3</v>
      </c>
    </row>
    <row r="6" spans="2:11">
      <c r="B6" s="13" t="s">
        <v>92</v>
      </c>
      <c r="C6" s="13" t="s">
        <v>77</v>
      </c>
      <c r="D6" s="13" t="s">
        <v>224</v>
      </c>
      <c r="E6" s="13" t="s">
        <v>151</v>
      </c>
      <c r="F6" s="13" t="s">
        <v>42</v>
      </c>
      <c r="G6" s="13" t="s">
        <v>225</v>
      </c>
      <c r="H6" s="13" t="s">
        <v>19</v>
      </c>
      <c r="I6" s="13" t="s">
        <v>3</v>
      </c>
      <c r="J6" s="13" t="s">
        <v>27</v>
      </c>
      <c r="K6" s="13" t="s">
        <v>19</v>
      </c>
    </row>
    <row r="7" spans="2:11">
      <c r="B7" s="13" t="s">
        <v>39</v>
      </c>
      <c r="C7" s="13" t="s">
        <v>95</v>
      </c>
      <c r="D7" s="13" t="s">
        <v>580</v>
      </c>
      <c r="E7" s="13" t="s">
        <v>142</v>
      </c>
      <c r="F7" s="13" t="s">
        <v>17</v>
      </c>
      <c r="G7" s="13" t="s">
        <v>221</v>
      </c>
      <c r="H7" s="13" t="s">
        <v>44</v>
      </c>
      <c r="I7" s="13" t="s">
        <v>19</v>
      </c>
      <c r="J7" s="13" t="s">
        <v>92</v>
      </c>
      <c r="K7" s="13" t="s">
        <v>44</v>
      </c>
    </row>
    <row r="8" spans="2:11">
      <c r="B8" s="13" t="s">
        <v>89</v>
      </c>
      <c r="C8" s="13" t="s">
        <v>82</v>
      </c>
      <c r="D8" s="13" t="s">
        <v>326</v>
      </c>
      <c r="E8" s="13" t="s">
        <v>161</v>
      </c>
      <c r="F8" s="13" t="s">
        <v>96</v>
      </c>
      <c r="H8" s="13" t="s">
        <v>53</v>
      </c>
      <c r="I8" s="13" t="s">
        <v>44</v>
      </c>
      <c r="J8" s="13" t="s">
        <v>39</v>
      </c>
      <c r="K8" s="13" t="s">
        <v>53</v>
      </c>
    </row>
    <row r="9" spans="2:11">
      <c r="B9" s="13" t="s">
        <v>65</v>
      </c>
      <c r="C9" s="13" t="s">
        <v>80</v>
      </c>
      <c r="F9" s="13" t="s">
        <v>24</v>
      </c>
      <c r="H9" s="13" t="s">
        <v>60</v>
      </c>
      <c r="I9" s="13" t="s">
        <v>53</v>
      </c>
      <c r="J9" s="13" t="s">
        <v>89</v>
      </c>
      <c r="K9" s="13" t="s">
        <v>60</v>
      </c>
    </row>
    <row r="10" spans="2:11">
      <c r="B10" s="13" t="s">
        <v>5</v>
      </c>
      <c r="C10" s="13" t="s">
        <v>31</v>
      </c>
      <c r="H10" s="13" t="s">
        <v>73</v>
      </c>
      <c r="I10" s="13" t="s">
        <v>60</v>
      </c>
      <c r="J10" s="13" t="s">
        <v>65</v>
      </c>
      <c r="K10" s="13" t="s">
        <v>73</v>
      </c>
    </row>
    <row r="11" spans="2:11">
      <c r="B11" s="13" t="s">
        <v>50</v>
      </c>
      <c r="C11" s="13" t="s">
        <v>40</v>
      </c>
      <c r="H11" s="13" t="s">
        <v>76</v>
      </c>
      <c r="I11" s="13" t="s">
        <v>73</v>
      </c>
      <c r="J11" s="13" t="s">
        <v>5</v>
      </c>
      <c r="K11" s="13" t="s">
        <v>76</v>
      </c>
    </row>
    <row r="12" spans="2:11">
      <c r="B12" s="13" t="s">
        <v>46</v>
      </c>
      <c r="C12" s="13" t="s">
        <v>51</v>
      </c>
      <c r="H12" s="13" t="s">
        <v>86</v>
      </c>
      <c r="I12" s="13" t="s">
        <v>76</v>
      </c>
      <c r="J12" s="13" t="s">
        <v>50</v>
      </c>
      <c r="K12" s="13" t="s">
        <v>86</v>
      </c>
    </row>
    <row r="13" spans="2:11">
      <c r="B13" s="13" t="s">
        <v>13</v>
      </c>
      <c r="C13" s="13" t="s">
        <v>6</v>
      </c>
      <c r="H13" s="13" t="s">
        <v>102</v>
      </c>
      <c r="I13" s="13" t="s">
        <v>86</v>
      </c>
      <c r="J13" s="13" t="s">
        <v>46</v>
      </c>
      <c r="K13" s="13" t="s">
        <v>102</v>
      </c>
    </row>
    <row r="14" spans="2:11">
      <c r="B14" s="13" t="s">
        <v>58</v>
      </c>
      <c r="C14" s="13" t="s">
        <v>14</v>
      </c>
      <c r="H14" s="13" t="s">
        <v>106</v>
      </c>
      <c r="I14" s="13" t="s">
        <v>102</v>
      </c>
      <c r="J14" s="13" t="s">
        <v>13</v>
      </c>
      <c r="K14" s="13" t="s">
        <v>106</v>
      </c>
    </row>
    <row r="15" spans="2:11">
      <c r="C15" s="13" t="s">
        <v>21</v>
      </c>
      <c r="H15" s="13" t="s">
        <v>111</v>
      </c>
      <c r="I15" s="13" t="s">
        <v>106</v>
      </c>
      <c r="J15" s="13" t="s">
        <v>58</v>
      </c>
      <c r="K15" s="13" t="s">
        <v>111</v>
      </c>
    </row>
    <row r="16" spans="2:11">
      <c r="C16" s="13" t="s">
        <v>35</v>
      </c>
      <c r="H16" s="13" t="s">
        <v>122</v>
      </c>
      <c r="I16" s="13" t="s">
        <v>111</v>
      </c>
      <c r="K16" s="13" t="s">
        <v>122</v>
      </c>
    </row>
    <row r="17" spans="9:11">
      <c r="I17" s="13" t="s">
        <v>122</v>
      </c>
      <c r="K17" s="13" t="s">
        <v>1505</v>
      </c>
    </row>
    <row r="18" spans="9:11">
      <c r="K18" s="13" t="s">
        <v>1546</v>
      </c>
    </row>
    <row r="19" spans="9:11">
      <c r="K19" s="13" t="s">
        <v>1571</v>
      </c>
    </row>
    <row r="20" spans="9:11">
      <c r="K20" s="13" t="s">
        <v>1582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59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10" t="s">
        <v>139</v>
      </c>
    </row>
    <row r="2" spans="2:4">
      <c r="B2" s="11" t="s">
        <v>1617</v>
      </c>
      <c r="C2" s="11"/>
      <c r="D2" s="11"/>
    </row>
    <row r="5" spans="2:4">
      <c r="B5" s="14" t="s">
        <v>1618</v>
      </c>
      <c r="C5" s="14"/>
      <c r="D5" s="14"/>
    </row>
    <row r="6" spans="2:4">
      <c r="B6" s="15" t="s">
        <v>1619</v>
      </c>
      <c r="C6" s="16" t="s">
        <v>1620</v>
      </c>
    </row>
    <row r="7" spans="2:4">
      <c r="B7" s="15" t="s">
        <v>1621</v>
      </c>
      <c r="C7" s="16" t="s">
        <v>1622</v>
      </c>
    </row>
    <row r="8" spans="2:4">
      <c r="B8" s="15" t="s">
        <v>130</v>
      </c>
      <c r="C8" s="16" t="s">
        <v>1623</v>
      </c>
    </row>
    <row r="9" spans="2:4">
      <c r="B9" s="15" t="s">
        <v>1624</v>
      </c>
      <c r="C9" s="16">
        <v>2026</v>
      </c>
    </row>
    <row r="11" spans="2:4">
      <c r="B11" s="14" t="s">
        <v>1625</v>
      </c>
      <c r="C11" s="14"/>
      <c r="D11" s="14"/>
    </row>
    <row r="12" spans="2:4">
      <c r="B12" s="17" t="s">
        <v>1626</v>
      </c>
      <c r="D12" s="18" t="s">
        <v>1627</v>
      </c>
    </row>
    <row r="13" spans="2:4">
      <c r="B13" s="15" t="s">
        <v>3</v>
      </c>
      <c r="C13" s="16">
        <v>83333</v>
      </c>
    </row>
    <row r="14" spans="2:4">
      <c r="B14" s="15" t="s">
        <v>19</v>
      </c>
      <c r="C14" s="16">
        <v>83333</v>
      </c>
    </row>
    <row r="15" spans="2:4">
      <c r="B15" s="15" t="s">
        <v>44</v>
      </c>
      <c r="C15" s="16">
        <v>83333</v>
      </c>
    </row>
    <row r="16" spans="2:4">
      <c r="B16" s="15" t="s">
        <v>53</v>
      </c>
      <c r="C16" s="16">
        <v>83333</v>
      </c>
    </row>
    <row r="17" spans="2:4">
      <c r="B17" s="15" t="s">
        <v>60</v>
      </c>
      <c r="C17" s="16">
        <v>83333</v>
      </c>
    </row>
    <row r="18" spans="2:4">
      <c r="B18" s="15" t="s">
        <v>73</v>
      </c>
      <c r="C18" s="16">
        <v>83333</v>
      </c>
    </row>
    <row r="19" spans="2:4">
      <c r="B19" s="15" t="s">
        <v>76</v>
      </c>
      <c r="C19" s="16">
        <v>83333</v>
      </c>
    </row>
    <row r="20" spans="2:4">
      <c r="B20" s="15" t="s">
        <v>86</v>
      </c>
      <c r="C20" s="16">
        <v>83333</v>
      </c>
    </row>
    <row r="21" spans="2:4">
      <c r="B21" s="15" t="s">
        <v>102</v>
      </c>
      <c r="C21" s="16">
        <v>83333</v>
      </c>
    </row>
    <row r="22" spans="2:4">
      <c r="B22" s="15" t="s">
        <v>106</v>
      </c>
      <c r="C22" s="16">
        <v>83333</v>
      </c>
    </row>
    <row r="23" spans="2:4">
      <c r="B23" s="15" t="s">
        <v>111</v>
      </c>
      <c r="C23" s="16">
        <v>83333</v>
      </c>
    </row>
    <row r="24" spans="2:4">
      <c r="B24" s="15" t="s">
        <v>122</v>
      </c>
      <c r="C24" s="16">
        <v>83333</v>
      </c>
    </row>
    <row r="25" spans="2:4">
      <c r="B25" s="15" t="s">
        <v>1628</v>
      </c>
      <c r="C25" s="19">
        <f>SUM(C13:C24)</f>
        <v>0</v>
      </c>
    </row>
    <row r="27" spans="2:4">
      <c r="B27" s="15" t="s">
        <v>1629</v>
      </c>
      <c r="C27" s="16">
        <v>200000</v>
      </c>
      <c r="D27" s="18" t="s">
        <v>1630</v>
      </c>
    </row>
    <row r="28" spans="2:4">
      <c r="B28" s="15" t="s">
        <v>1631</v>
      </c>
      <c r="C28" s="16">
        <v>1000000</v>
      </c>
      <c r="D28" s="18" t="s">
        <v>1632</v>
      </c>
    </row>
    <row r="30" spans="2:4">
      <c r="B30" s="14" t="s">
        <v>1633</v>
      </c>
      <c r="C30" s="14"/>
      <c r="D30" s="14"/>
    </row>
    <row r="31" spans="2:4">
      <c r="B31" s="15" t="s">
        <v>1634</v>
      </c>
      <c r="C31" s="16">
        <v>0.9</v>
      </c>
      <c r="D31" s="18" t="s">
        <v>1635</v>
      </c>
    </row>
    <row r="32" spans="2:4">
      <c r="B32" s="15" t="s">
        <v>1636</v>
      </c>
      <c r="C32" s="16">
        <v>0.95</v>
      </c>
      <c r="D32" s="18"/>
    </row>
    <row r="33" spans="2:4">
      <c r="B33" s="15" t="s">
        <v>1637</v>
      </c>
      <c r="C33" s="16">
        <v>0.9</v>
      </c>
      <c r="D33" s="18"/>
    </row>
    <row r="34" spans="2:4">
      <c r="B34" s="15" t="s">
        <v>1638</v>
      </c>
      <c r="C34" s="16">
        <v>0.95</v>
      </c>
      <c r="D34" s="18"/>
    </row>
    <row r="35" spans="2:4">
      <c r="B35" s="15" t="s">
        <v>1639</v>
      </c>
      <c r="C35" s="16">
        <v>0.85</v>
      </c>
      <c r="D35" s="18" t="s">
        <v>1640</v>
      </c>
    </row>
    <row r="36" spans="2:4">
      <c r="B36" s="15" t="s">
        <v>1641</v>
      </c>
      <c r="C36" s="16">
        <v>0.85</v>
      </c>
      <c r="D36" s="18" t="s">
        <v>1642</v>
      </c>
    </row>
    <row r="37" spans="2:4">
      <c r="B37" s="15" t="s">
        <v>1643</v>
      </c>
      <c r="C37" s="16">
        <v>0.05</v>
      </c>
      <c r="D37" s="18" t="s">
        <v>1644</v>
      </c>
    </row>
    <row r="38" spans="2:4">
      <c r="B38" s="15" t="s">
        <v>1645</v>
      </c>
      <c r="C38" s="16">
        <v>1</v>
      </c>
      <c r="D38" s="18" t="s">
        <v>1644</v>
      </c>
    </row>
    <row r="39" spans="2:4">
      <c r="B39" s="15" t="s">
        <v>1646</v>
      </c>
      <c r="C39" s="16">
        <v>2</v>
      </c>
      <c r="D39" s="18" t="s">
        <v>1644</v>
      </c>
    </row>
    <row r="40" spans="2:4">
      <c r="B40" s="15" t="s">
        <v>1647</v>
      </c>
      <c r="C40" s="16">
        <v>0.8</v>
      </c>
      <c r="D40" s="18" t="s">
        <v>1648</v>
      </c>
    </row>
    <row r="42" spans="2:4">
      <c r="B42" s="14" t="s">
        <v>1649</v>
      </c>
      <c r="C42" s="14"/>
      <c r="D42" s="14"/>
    </row>
    <row r="43" spans="2:4">
      <c r="B43" s="15" t="s">
        <v>1650</v>
      </c>
      <c r="C43" s="16">
        <v>150</v>
      </c>
      <c r="D43" s="18" t="s">
        <v>1651</v>
      </c>
    </row>
    <row r="44" spans="2:4">
      <c r="B44" s="15" t="s">
        <v>1652</v>
      </c>
      <c r="C44" s="16">
        <v>8000</v>
      </c>
      <c r="D44" s="18" t="s">
        <v>1653</v>
      </c>
    </row>
    <row r="46" spans="2:4">
      <c r="B46" s="14" t="s">
        <v>1654</v>
      </c>
      <c r="C46" s="14"/>
      <c r="D46" s="14"/>
    </row>
    <row r="47" spans="2:4">
      <c r="B47" s="15" t="s">
        <v>1655</v>
      </c>
      <c r="C47" s="16">
        <v>1.5</v>
      </c>
      <c r="D47" s="18" t="s">
        <v>1656</v>
      </c>
    </row>
    <row r="48" spans="2:4">
      <c r="B48" s="15" t="s">
        <v>1657</v>
      </c>
      <c r="C48" s="16">
        <v>2.5</v>
      </c>
      <c r="D48" s="18" t="s">
        <v>1658</v>
      </c>
    </row>
    <row r="50" spans="2:4">
      <c r="B50" s="14" t="s">
        <v>1659</v>
      </c>
      <c r="C50" s="14"/>
      <c r="D50" s="14"/>
    </row>
    <row r="51" spans="2:4">
      <c r="B51" s="15" t="s">
        <v>1660</v>
      </c>
      <c r="C51" s="16">
        <v>365</v>
      </c>
      <c r="D51" s="18" t="s">
        <v>1661</v>
      </c>
    </row>
    <row r="53" spans="2:4">
      <c r="B53" s="14" t="s">
        <v>1662</v>
      </c>
      <c r="C53" s="14"/>
      <c r="D53" s="14"/>
    </row>
    <row r="54" spans="2:4">
      <c r="B54" s="15" t="s">
        <v>1663</v>
      </c>
      <c r="C54" s="16">
        <v>0</v>
      </c>
      <c r="D54" s="18"/>
    </row>
    <row r="55" spans="2:4">
      <c r="B55" s="15" t="s">
        <v>1664</v>
      </c>
      <c r="C55" s="16">
        <v>0</v>
      </c>
      <c r="D55" s="18"/>
    </row>
    <row r="56" spans="2:4">
      <c r="B56" s="15" t="s">
        <v>1665</v>
      </c>
      <c r="C56" s="16">
        <v>0</v>
      </c>
      <c r="D56" s="18"/>
    </row>
    <row r="57" spans="2:4">
      <c r="B57" s="15" t="s">
        <v>1666</v>
      </c>
      <c r="C57" s="16">
        <v>0</v>
      </c>
      <c r="D57" s="18"/>
    </row>
    <row r="58" spans="2:4">
      <c r="B58" s="15" t="s">
        <v>1667</v>
      </c>
      <c r="C58" s="16">
        <v>0</v>
      </c>
      <c r="D58" s="18"/>
    </row>
    <row r="59" spans="2:4">
      <c r="B59" s="15" t="s">
        <v>1668</v>
      </c>
      <c r="C59" s="16">
        <v>0</v>
      </c>
      <c r="D59" s="18"/>
    </row>
  </sheetData>
  <mergeCells count="8">
    <mergeCell ref="B2:D2"/>
    <mergeCell ref="B5:D5"/>
    <mergeCell ref="B11:D11"/>
    <mergeCell ref="B30:D30"/>
    <mergeCell ref="B42:D42"/>
    <mergeCell ref="B46:D46"/>
    <mergeCell ref="B50:D50"/>
    <mergeCell ref="B53:D53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20" t="s">
        <v>1669</v>
      </c>
    </row>
    <row r="3" spans="2:10">
      <c r="B3" s="14" t="s">
        <v>1670</v>
      </c>
    </row>
    <row r="5" spans="2:10" ht="30" customHeight="1">
      <c r="B5" s="17" t="s">
        <v>1671</v>
      </c>
      <c r="C5" s="21" t="s">
        <v>1672</v>
      </c>
      <c r="D5" s="21"/>
      <c r="E5" s="21"/>
      <c r="F5" s="21"/>
      <c r="G5" s="21"/>
      <c r="H5" s="21"/>
      <c r="I5" s="21"/>
      <c r="J5" s="21"/>
    </row>
    <row r="6" spans="2:10" ht="30" customHeight="1">
      <c r="B6" s="17" t="s">
        <v>1673</v>
      </c>
      <c r="C6" s="21" t="s">
        <v>1674</v>
      </c>
      <c r="D6" s="21"/>
      <c r="E6" s="21"/>
      <c r="F6" s="21"/>
      <c r="G6" s="21"/>
      <c r="H6" s="21"/>
      <c r="I6" s="21"/>
      <c r="J6" s="21"/>
    </row>
    <row r="7" spans="2:10" ht="30" customHeight="1">
      <c r="B7" s="17" t="s">
        <v>1675</v>
      </c>
      <c r="C7" s="21" t="s">
        <v>1676</v>
      </c>
      <c r="D7" s="21"/>
      <c r="E7" s="21"/>
      <c r="F7" s="21"/>
      <c r="G7" s="21"/>
      <c r="H7" s="21"/>
      <c r="I7" s="21"/>
      <c r="J7" s="21"/>
    </row>
    <row r="8" spans="2:10" ht="30" customHeight="1">
      <c r="B8" s="17" t="s">
        <v>1677</v>
      </c>
      <c r="C8" s="21" t="s">
        <v>1678</v>
      </c>
      <c r="D8" s="21"/>
      <c r="E8" s="21"/>
      <c r="F8" s="21"/>
      <c r="G8" s="21"/>
      <c r="H8" s="21"/>
      <c r="I8" s="21"/>
      <c r="J8" s="21"/>
    </row>
    <row r="9" spans="2:10" ht="30" customHeight="1">
      <c r="B9" s="17" t="s">
        <v>1679</v>
      </c>
      <c r="C9" s="21" t="s">
        <v>1680</v>
      </c>
      <c r="D9" s="21"/>
      <c r="E9" s="21"/>
      <c r="F9" s="21"/>
      <c r="G9" s="21"/>
      <c r="H9" s="21"/>
      <c r="I9" s="21"/>
      <c r="J9" s="21"/>
    </row>
    <row r="10" spans="2:10" ht="30" customHeight="1">
      <c r="B10" s="17" t="s">
        <v>1681</v>
      </c>
      <c r="C10" s="21" t="s">
        <v>1682</v>
      </c>
      <c r="D10" s="21"/>
      <c r="E10" s="21"/>
      <c r="F10" s="21"/>
      <c r="G10" s="21"/>
      <c r="H10" s="21"/>
      <c r="I10" s="21"/>
      <c r="J10" s="21"/>
    </row>
    <row r="11" spans="2:10" ht="30" customHeight="1">
      <c r="B11" s="17" t="s">
        <v>1683</v>
      </c>
      <c r="C11" s="21" t="s">
        <v>1684</v>
      </c>
      <c r="D11" s="21"/>
      <c r="E11" s="21"/>
      <c r="F11" s="21"/>
      <c r="G11" s="21"/>
      <c r="H11" s="21"/>
      <c r="I11" s="21"/>
      <c r="J11" s="21"/>
    </row>
    <row r="12" spans="2:10" ht="30" customHeight="1">
      <c r="B12" s="17" t="s">
        <v>1685</v>
      </c>
      <c r="C12" s="21" t="s">
        <v>1686</v>
      </c>
      <c r="D12" s="21"/>
      <c r="E12" s="21"/>
      <c r="F12" s="21"/>
      <c r="G12" s="21"/>
      <c r="H12" s="21"/>
      <c r="I12" s="21"/>
      <c r="J12" s="21"/>
    </row>
    <row r="13" spans="2:10" ht="30" customHeight="1">
      <c r="B13" s="17" t="s">
        <v>1687</v>
      </c>
      <c r="C13" s="21" t="s">
        <v>1688</v>
      </c>
      <c r="D13" s="21"/>
      <c r="E13" s="21"/>
      <c r="F13" s="21"/>
      <c r="G13" s="21"/>
      <c r="H13" s="21"/>
      <c r="I13" s="21"/>
      <c r="J13" s="21"/>
    </row>
    <row r="14" spans="2:10" ht="30" customHeight="1">
      <c r="B14" s="17" t="s">
        <v>1689</v>
      </c>
      <c r="C14" s="21" t="s">
        <v>1690</v>
      </c>
      <c r="D14" s="21"/>
      <c r="E14" s="21"/>
      <c r="F14" s="21"/>
      <c r="G14" s="21"/>
      <c r="H14" s="21"/>
      <c r="I14" s="21"/>
      <c r="J14" s="21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DC2626"/>
  </sheetPr>
  <dimension ref="B1:J31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0" width="15.7109375" customWidth="1"/>
  </cols>
  <sheetData>
    <row r="1" spans="2:10">
      <c r="B1" s="10" t="s">
        <v>139</v>
      </c>
    </row>
    <row r="2" spans="2:10">
      <c r="B2" s="11" t="s">
        <v>1691</v>
      </c>
      <c r="C2" s="11"/>
      <c r="D2" s="11"/>
      <c r="E2" s="11"/>
      <c r="F2" s="11"/>
      <c r="G2" s="11"/>
      <c r="H2" s="11"/>
      <c r="I2" s="11"/>
      <c r="J2" s="11"/>
    </row>
    <row r="3" spans="2:10">
      <c r="B3" s="10" t="s">
        <v>1692</v>
      </c>
    </row>
    <row r="5" spans="2:10">
      <c r="B5" s="12" t="s">
        <v>1693</v>
      </c>
      <c r="C5" s="12" t="s">
        <v>1694</v>
      </c>
      <c r="D5" s="12" t="s">
        <v>1695</v>
      </c>
      <c r="E5" s="12" t="s">
        <v>1696</v>
      </c>
      <c r="F5" s="12" t="s">
        <v>1697</v>
      </c>
      <c r="G5" s="12" t="s">
        <v>1698</v>
      </c>
      <c r="H5" s="12" t="s">
        <v>1699</v>
      </c>
      <c r="I5" s="12" t="s">
        <v>1700</v>
      </c>
    </row>
    <row r="6" spans="2:10">
      <c r="B6" s="13" t="s">
        <v>1701</v>
      </c>
      <c r="C6" s="22">
        <f>COUNTA('Toolbox Talks'!$B$4:$B$51)</f>
        <v>0</v>
      </c>
      <c r="D6" s="22">
        <f>COUNTBLANK('Toolbox Talks'!$F$4:$F$51)</f>
        <v>0</v>
      </c>
      <c r="E6" s="22">
        <f>COUNTBLANK('Toolbox Talks'!$C$4:$C$51)</f>
        <v>0</v>
      </c>
      <c r="F6" s="22">
        <f>SUMPRODUCT((COUNTIF('Toolbox Talks'!$B$4:$B$51,'Toolbox Talks'!$B$4:$B$51)&gt;1)*1)</f>
        <v>0</v>
      </c>
      <c r="G6" s="22">
        <f>SUMPRODUCT(('Toolbox Talks'!$C$4:$C$51&lt;&gt;"")*(YEAR('Toolbox Talks'!$C$4:$C$51)&lt;&gt;ReportYear))</f>
        <v>0</v>
      </c>
      <c r="H6" s="23" t="s">
        <v>1702</v>
      </c>
      <c r="I6" s="13">
        <f>IF(N(D6)+N(E6)+N(F6)+N(G6)+N(H6)&gt;0,"⚠ REVIEW","✅ OK")</f>
        <v>0</v>
      </c>
    </row>
    <row r="7" spans="2:10">
      <c r="B7" s="13" t="s">
        <v>1703</v>
      </c>
      <c r="C7" s="22">
        <f>COUNTA('JSA Risk Assessment'!$B$4:$B$51)</f>
        <v>0</v>
      </c>
      <c r="D7" s="22">
        <f>COUNTBLANK('JSA Risk Assessment'!$F$4:$F$51)</f>
        <v>0</v>
      </c>
      <c r="E7" s="22">
        <f>COUNTBLANK('JSA Risk Assessment'!$C$4:$C$51)</f>
        <v>0</v>
      </c>
      <c r="F7" s="22">
        <f>SUMPRODUCT((COUNTIF('JSA Risk Assessment'!$B$4:$B$51,'JSA Risk Assessment'!$B$4:$B$51)&gt;1)*1)</f>
        <v>0</v>
      </c>
      <c r="G7" s="22">
        <f>SUMPRODUCT(('JSA Risk Assessment'!$C$4:$C$51&lt;&gt;"")*(YEAR('JSA Risk Assessment'!$C$4:$C$51)&lt;&gt;ReportYear))</f>
        <v>0</v>
      </c>
      <c r="H7" s="23" t="s">
        <v>1702</v>
      </c>
      <c r="I7" s="13">
        <f>IF(N(D7)+N(E7)+N(F7)+N(G7)+N(H7)&gt;0,"⚠ REVIEW","✅ OK")</f>
        <v>0</v>
      </c>
    </row>
    <row r="8" spans="2:10">
      <c r="B8" s="13" t="s">
        <v>1704</v>
      </c>
      <c r="C8" s="22">
        <f>COUNTA('Training'!$B$4:$B$51)</f>
        <v>0</v>
      </c>
      <c r="D8" s="22">
        <f>COUNTBLANK('Training'!$G$4:$G$51)</f>
        <v>0</v>
      </c>
      <c r="E8" s="22">
        <f>COUNTBLANK('Training'!$C$4:$C$51)</f>
        <v>0</v>
      </c>
      <c r="F8" s="22">
        <f>SUMPRODUCT((COUNTIF('Training'!$B$4:$B$51,'Training'!$B$4:$B$51)&gt;1)*1)</f>
        <v>0</v>
      </c>
      <c r="G8" s="22">
        <f>SUMPRODUCT(('Training'!$C$4:$C$51&lt;&gt;"")*(YEAR('Training'!$C$4:$C$51)&lt;&gt;ReportYear))</f>
        <v>0</v>
      </c>
      <c r="H8" s="23" t="s">
        <v>1702</v>
      </c>
      <c r="I8" s="13">
        <f>IF(N(D8)+N(E8)+N(F8)+N(G8)+N(H8)&gt;0,"⚠ REVIEW","✅ OK")</f>
        <v>0</v>
      </c>
    </row>
    <row r="9" spans="2:10">
      <c r="B9" s="13" t="s">
        <v>1705</v>
      </c>
      <c r="C9" s="22">
        <f>COUNTA('HSE Observations'!$B$4:$B$51)</f>
        <v>0</v>
      </c>
      <c r="D9" s="22">
        <f>COUNTBLANK('HSE Observations'!$G$4:$G$51)</f>
        <v>0</v>
      </c>
      <c r="E9" s="22">
        <f>COUNTBLANK('HSE Observations'!$C$4:$C$51)</f>
        <v>0</v>
      </c>
      <c r="F9" s="22">
        <f>SUMPRODUCT((COUNTIF('HSE Observations'!$B$4:$B$51,'HSE Observations'!$B$4:$B$51)&gt;1)*1)</f>
        <v>0</v>
      </c>
      <c r="G9" s="22">
        <f>SUMPRODUCT(('HSE Observations'!$C$4:$C$51&lt;&gt;"")*(YEAR('HSE Observations'!$C$4:$C$51)&lt;&gt;ReportYear))</f>
        <v>0</v>
      </c>
      <c r="H9" s="23" t="s">
        <v>1702</v>
      </c>
      <c r="I9" s="13">
        <f>IF(N(D9)+N(E9)+N(F9)+N(G9)+N(H9)&gt;0,"⚠ REVIEW","✅ OK")</f>
        <v>0</v>
      </c>
    </row>
    <row r="10" spans="2:10">
      <c r="B10" s="13" t="s">
        <v>1706</v>
      </c>
      <c r="C10" s="22">
        <f>COUNTA('Workplace Inspections'!$B$4:$B$51)</f>
        <v>0</v>
      </c>
      <c r="D10" s="22">
        <f>COUNTBLANK('Workplace Inspections'!$F$4:$F$51)</f>
        <v>0</v>
      </c>
      <c r="E10" s="22">
        <f>COUNTBLANK('Workplace Inspections'!$C$4:$C$51)</f>
        <v>0</v>
      </c>
      <c r="F10" s="22">
        <f>SUMPRODUCT((COUNTIF('Workplace Inspections'!$B$4:$B$51,'Workplace Inspections'!$B$4:$B$51)&gt;1)*1)</f>
        <v>0</v>
      </c>
      <c r="G10" s="22">
        <f>SUMPRODUCT(('Workplace Inspections'!$C$4:$C$51&lt;&gt;"")*(YEAR('Workplace Inspections'!$C$4:$C$51)&lt;&gt;ReportYear))</f>
        <v>0</v>
      </c>
      <c r="H10" s="23" t="s">
        <v>1702</v>
      </c>
      <c r="I10" s="13">
        <f>IF(N(D10)+N(E10)+N(F10)+N(G10)+N(H10)&gt;0,"⚠ REVIEW","✅ OK")</f>
        <v>0</v>
      </c>
    </row>
    <row r="11" spans="2:10">
      <c r="B11" s="13" t="s">
        <v>1707</v>
      </c>
      <c r="C11" s="22">
        <f>COUNTA('Equipment Inspections'!$B$4:$B$51)</f>
        <v>0</v>
      </c>
      <c r="D11" s="22">
        <f>COUNTBLANK('Equipment Inspections'!$F$4:$F$51)</f>
        <v>0</v>
      </c>
      <c r="E11" s="22">
        <f>COUNTBLANK('Equipment Inspections'!$C$4:$C$51)</f>
        <v>0</v>
      </c>
      <c r="F11" s="22">
        <f>SUMPRODUCT((COUNTIF('Equipment Inspections'!$B$4:$B$51,'Equipment Inspections'!$B$4:$B$51)&gt;1)*1)</f>
        <v>0</v>
      </c>
      <c r="G11" s="22">
        <f>SUMPRODUCT(('Equipment Inspections'!$C$4:$C$51&lt;&gt;"")*(YEAR('Equipment Inspections'!$C$4:$C$51)&lt;&gt;ReportYear))</f>
        <v>0</v>
      </c>
      <c r="H11" s="23" t="s">
        <v>1702</v>
      </c>
      <c r="I11" s="13">
        <f>IF(N(D11)+N(E11)+N(F11)+N(G11)+N(H11)&gt;0,"⚠ REVIEW","✅ OK")</f>
        <v>0</v>
      </c>
    </row>
    <row r="12" spans="2:10">
      <c r="B12" s="13" t="s">
        <v>1708</v>
      </c>
      <c r="C12" s="22">
        <f>COUNTA('Safety Walkthroughs'!$B$4:$B$51)</f>
        <v>0</v>
      </c>
      <c r="D12" s="22">
        <f>COUNTBLANK('Safety Walkthroughs'!$F$4:$F$51)</f>
        <v>0</v>
      </c>
      <c r="E12" s="22">
        <f>COUNTBLANK('Safety Walkthroughs'!$C$4:$C$51)</f>
        <v>0</v>
      </c>
      <c r="F12" s="22">
        <f>SUMPRODUCT((COUNTIF('Safety Walkthroughs'!$B$4:$B$51,'Safety Walkthroughs'!$B$4:$B$51)&gt;1)*1)</f>
        <v>0</v>
      </c>
      <c r="G12" s="22">
        <f>SUMPRODUCT(('Safety Walkthroughs'!$C$4:$C$51&lt;&gt;"")*(YEAR('Safety Walkthroughs'!$C$4:$C$51)&lt;&gt;ReportYear))</f>
        <v>0</v>
      </c>
      <c r="H12" s="23" t="s">
        <v>1702</v>
      </c>
      <c r="I12" s="13">
        <f>IF(N(D12)+N(E12)+N(F12)+N(G12)+N(H12)&gt;0,"⚠ REVIEW","✅ OK")</f>
        <v>0</v>
      </c>
    </row>
    <row r="13" spans="2:10">
      <c r="B13" s="13" t="s">
        <v>1709</v>
      </c>
      <c r="C13" s="22">
        <f>COUNTA('Safety Meetings'!$B$4:$B$51)</f>
        <v>0</v>
      </c>
      <c r="D13" s="22">
        <f>COUNTBLANK('Safety Meetings'!$G$4:$G$51)</f>
        <v>0</v>
      </c>
      <c r="E13" s="22">
        <f>COUNTBLANK('Safety Meetings'!$C$4:$C$51)</f>
        <v>0</v>
      </c>
      <c r="F13" s="22">
        <f>SUMPRODUCT((COUNTIF('Safety Meetings'!$B$4:$B$51,'Safety Meetings'!$B$4:$B$51)&gt;1)*1)</f>
        <v>0</v>
      </c>
      <c r="G13" s="22">
        <f>SUMPRODUCT(('Safety Meetings'!$C$4:$C$51&lt;&gt;"")*(YEAR('Safety Meetings'!$C$4:$C$51)&lt;&gt;ReportYear))</f>
        <v>0</v>
      </c>
      <c r="H13" s="23" t="s">
        <v>1702</v>
      </c>
      <c r="I13" s="13">
        <f>IF(N(D13)+N(E13)+N(F13)+N(G13)+N(H13)&gt;0,"⚠ REVIEW","✅ OK")</f>
        <v>0</v>
      </c>
    </row>
    <row r="14" spans="2:10">
      <c r="B14" s="13" t="s">
        <v>1710</v>
      </c>
      <c r="C14" s="22">
        <f>COUNTA('Safety Bulletins'!$B$4:$B$51)</f>
        <v>0</v>
      </c>
      <c r="D14" s="23" t="s">
        <v>1702</v>
      </c>
      <c r="E14" s="22">
        <f>COUNTBLANK('Safety Bulletins'!$C$4:$C$51)</f>
        <v>0</v>
      </c>
      <c r="F14" s="22">
        <f>SUMPRODUCT((COUNTIF('Safety Bulletins'!$B$4:$B$51,'Safety Bulletins'!$B$4:$B$51)&gt;1)*1)</f>
        <v>0</v>
      </c>
      <c r="G14" s="22">
        <f>SUMPRODUCT(('Safety Bulletins'!$C$4:$C$51&lt;&gt;"")*(YEAR('Safety Bulletins'!$C$4:$C$51)&lt;&gt;ReportYear))</f>
        <v>0</v>
      </c>
      <c r="H14" s="23" t="s">
        <v>1702</v>
      </c>
      <c r="I14" s="13">
        <f>IF(N(D14)+N(E14)+N(F14)+N(G14)+N(H14)&gt;0,"⚠ REVIEW","✅ OK")</f>
        <v>0</v>
      </c>
    </row>
    <row r="15" spans="2:10">
      <c r="B15" s="13" t="s">
        <v>1711</v>
      </c>
      <c r="C15" s="22">
        <f>COUNTA('Emergency Drills'!$B$4:$B$51)</f>
        <v>0</v>
      </c>
      <c r="D15" s="23" t="s">
        <v>1702</v>
      </c>
      <c r="E15" s="22">
        <f>COUNTBLANK('Emergency Drills'!$C$4:$C$51)</f>
        <v>0</v>
      </c>
      <c r="F15" s="22">
        <f>SUMPRODUCT((COUNTIF('Emergency Drills'!$B$4:$B$51,'Emergency Drills'!$B$4:$B$51)&gt;1)*1)</f>
        <v>0</v>
      </c>
      <c r="G15" s="22">
        <f>SUMPRODUCT(('Emergency Drills'!$C$4:$C$51&lt;&gt;"")*(YEAR('Emergency Drills'!$C$4:$C$51)&lt;&gt;ReportYear))</f>
        <v>0</v>
      </c>
      <c r="H15" s="23" t="s">
        <v>1702</v>
      </c>
      <c r="I15" s="13">
        <f>IF(N(D15)+N(E15)+N(F15)+N(G15)+N(H15)&gt;0,"⚠ REVIEW","✅ OK")</f>
        <v>0</v>
      </c>
    </row>
    <row r="16" spans="2:10">
      <c r="B16" s="13" t="s">
        <v>1712</v>
      </c>
      <c r="C16" s="22">
        <f>COUNTA('Internal Audits'!$B$4:$B$51)</f>
        <v>0</v>
      </c>
      <c r="D16" s="22">
        <f>COUNTBLANK('Internal Audits'!$G$4:$G$51)</f>
        <v>0</v>
      </c>
      <c r="E16" s="22">
        <f>COUNTBLANK('Internal Audits'!$C$4:$C$51)</f>
        <v>0</v>
      </c>
      <c r="F16" s="22">
        <f>SUMPRODUCT((COUNTIF('Internal Audits'!$B$4:$B$51,'Internal Audits'!$B$4:$B$51)&gt;1)*1)</f>
        <v>0</v>
      </c>
      <c r="G16" s="22">
        <f>SUMPRODUCT(('Internal Audits'!$C$4:$C$51&lt;&gt;"")*(YEAR('Internal Audits'!$C$4:$C$51)&lt;&gt;ReportYear))</f>
        <v>0</v>
      </c>
      <c r="H16" s="23" t="s">
        <v>1702</v>
      </c>
      <c r="I16" s="13">
        <f>IF(N(D16)+N(E16)+N(F16)+N(G16)+N(H16)&gt;0,"⚠ REVIEW","✅ OK")</f>
        <v>0</v>
      </c>
    </row>
    <row r="17" spans="2:9">
      <c r="B17" s="13" t="s">
        <v>1713</v>
      </c>
      <c r="C17" s="22">
        <f>COUNTA('External Audits'!$B$4:$B$51)</f>
        <v>0</v>
      </c>
      <c r="D17" s="22">
        <f>COUNTBLANK('External Audits'!$G$4:$G$51)</f>
        <v>0</v>
      </c>
      <c r="E17" s="22">
        <f>COUNTBLANK('External Audits'!$C$4:$C$51)</f>
        <v>0</v>
      </c>
      <c r="F17" s="22">
        <f>SUMPRODUCT((COUNTIF('External Audits'!$B$4:$B$51,'External Audits'!$B$4:$B$51)&gt;1)*1)</f>
        <v>0</v>
      </c>
      <c r="G17" s="22">
        <f>SUMPRODUCT(('External Audits'!$C$4:$C$51&lt;&gt;"")*(YEAR('External Audits'!$C$4:$C$51)&lt;&gt;ReportYear))</f>
        <v>0</v>
      </c>
      <c r="H17" s="23" t="s">
        <v>1702</v>
      </c>
      <c r="I17" s="13">
        <f>IF(N(D17)+N(E17)+N(F17)+N(G17)+N(H17)&gt;0,"⚠ REVIEW","✅ OK")</f>
        <v>0</v>
      </c>
    </row>
    <row r="18" spans="2:9">
      <c r="B18" s="13" t="s">
        <v>1714</v>
      </c>
      <c r="C18" s="22">
        <f>COUNTA('Management Visits'!$B$4:$B$51)</f>
        <v>0</v>
      </c>
      <c r="D18" s="22">
        <f>COUNTBLANK('Management Visits'!$F$4:$F$51)</f>
        <v>0</v>
      </c>
      <c r="E18" s="22">
        <f>COUNTBLANK('Management Visits'!$C$4:$C$51)</f>
        <v>0</v>
      </c>
      <c r="F18" s="22">
        <f>SUMPRODUCT((COUNTIF('Management Visits'!$B$4:$B$51,'Management Visits'!$B$4:$B$51)&gt;1)*1)</f>
        <v>0</v>
      </c>
      <c r="G18" s="22">
        <f>SUMPRODUCT(('Management Visits'!$C$4:$C$51&lt;&gt;"")*(YEAR('Management Visits'!$C$4:$C$51)&lt;&gt;ReportYear))</f>
        <v>0</v>
      </c>
      <c r="H18" s="23" t="s">
        <v>1702</v>
      </c>
      <c r="I18" s="13">
        <f>IF(N(D18)+N(E18)+N(F18)+N(G18)+N(H18)&gt;0,"⚠ REVIEW","✅ OK")</f>
        <v>0</v>
      </c>
    </row>
    <row r="19" spans="2:9">
      <c r="B19" s="13" t="s">
        <v>1715</v>
      </c>
      <c r="C19" s="22">
        <f>COUNTA('Management Reviews'!$B$4:$B$51)</f>
        <v>0</v>
      </c>
      <c r="D19" s="23" t="s">
        <v>1702</v>
      </c>
      <c r="E19" s="22">
        <f>COUNTBLANK('Management Reviews'!$C$4:$C$51)</f>
        <v>0</v>
      </c>
      <c r="F19" s="22">
        <f>SUMPRODUCT((COUNTIF('Management Reviews'!$B$4:$B$51,'Management Reviews'!$B$4:$B$51)&gt;1)*1)</f>
        <v>0</v>
      </c>
      <c r="G19" s="22">
        <f>SUMPRODUCT(('Management Reviews'!$C$4:$C$51&lt;&gt;"")*(YEAR('Management Reviews'!$C$4:$C$51)&lt;&gt;ReportYear))</f>
        <v>0</v>
      </c>
      <c r="H19" s="23" t="s">
        <v>1702</v>
      </c>
      <c r="I19" s="13">
        <f>IF(N(D19)+N(E19)+N(F19)+N(G19)+N(H19)&gt;0,"⚠ REVIEW","✅ OK")</f>
        <v>0</v>
      </c>
    </row>
    <row r="20" spans="2:9">
      <c r="B20" s="13" t="s">
        <v>1716</v>
      </c>
      <c r="C20" s="22">
        <f>COUNTA('Disciplinary Actions'!$B$4:$B$51)</f>
        <v>0</v>
      </c>
      <c r="D20" s="22">
        <f>COUNTBLANK('Disciplinary Actions'!$F$4:$F$51)</f>
        <v>0</v>
      </c>
      <c r="E20" s="22">
        <f>COUNTBLANK('Disciplinary Actions'!$C$4:$C$51)</f>
        <v>0</v>
      </c>
      <c r="F20" s="22">
        <f>SUMPRODUCT((COUNTIF('Disciplinary Actions'!$B$4:$B$51,'Disciplinary Actions'!$B$4:$B$51)&gt;1)*1)</f>
        <v>0</v>
      </c>
      <c r="G20" s="22">
        <f>SUMPRODUCT(('Disciplinary Actions'!$C$4:$C$51&lt;&gt;"")*(YEAR('Disciplinary Actions'!$C$4:$C$51)&lt;&gt;ReportYear))</f>
        <v>0</v>
      </c>
      <c r="H20" s="23" t="s">
        <v>1702</v>
      </c>
      <c r="I20" s="13">
        <f>IF(N(D20)+N(E20)+N(F20)+N(G20)+N(H20)&gt;0,"⚠ REVIEW","✅ OK")</f>
        <v>0</v>
      </c>
    </row>
    <row r="21" spans="2:9">
      <c r="B21" s="13" t="s">
        <v>1717</v>
      </c>
      <c r="C21" s="22">
        <f>COUNTA('Safety Awards'!$B$4:$B$51)</f>
        <v>0</v>
      </c>
      <c r="D21" s="22">
        <f>COUNTBLANK('Safety Awards'!$F$4:$F$51)</f>
        <v>0</v>
      </c>
      <c r="E21" s="22">
        <f>COUNTBLANK('Safety Awards'!$C$4:$C$51)</f>
        <v>0</v>
      </c>
      <c r="F21" s="22">
        <f>SUMPRODUCT((COUNTIF('Safety Awards'!$B$4:$B$51,'Safety Awards'!$B$4:$B$51)&gt;1)*1)</f>
        <v>0</v>
      </c>
      <c r="G21" s="22">
        <f>SUMPRODUCT(('Safety Awards'!$C$4:$C$51&lt;&gt;"")*(YEAR('Safety Awards'!$C$4:$C$51)&lt;&gt;ReportYear))</f>
        <v>0</v>
      </c>
      <c r="H21" s="23" t="s">
        <v>1702</v>
      </c>
      <c r="I21" s="13">
        <f>IF(N(D21)+N(E21)+N(F21)+N(G21)+N(H21)&gt;0,"⚠ REVIEW","✅ OK")</f>
        <v>0</v>
      </c>
    </row>
    <row r="22" spans="2:9">
      <c r="B22" s="13" t="s">
        <v>1718</v>
      </c>
      <c r="C22" s="22">
        <f>COUNTA('Stop Work Authority'!$B$4:$B$51)</f>
        <v>0</v>
      </c>
      <c r="D22" s="22">
        <f>COUNTBLANK('Stop Work Authority'!$F$4:$F$51)</f>
        <v>0</v>
      </c>
      <c r="E22" s="22">
        <f>COUNTBLANK('Stop Work Authority'!$C$4:$C$51)</f>
        <v>0</v>
      </c>
      <c r="F22" s="22">
        <f>SUMPRODUCT((COUNTIF('Stop Work Authority'!$B$4:$B$51,'Stop Work Authority'!$B$4:$B$51)&gt;1)*1)</f>
        <v>0</v>
      </c>
      <c r="G22" s="22">
        <f>SUMPRODUCT(('Stop Work Authority'!$C$4:$C$51&lt;&gt;"")*(YEAR('Stop Work Authority'!$C$4:$C$51)&lt;&gt;ReportYear))</f>
        <v>0</v>
      </c>
      <c r="H22" s="23" t="s">
        <v>1702</v>
      </c>
      <c r="I22" s="13">
        <f>IF(N(D22)+N(E22)+N(F22)+N(G22)+N(H22)&gt;0,"⚠ REVIEW","✅ OK")</f>
        <v>0</v>
      </c>
    </row>
    <row r="23" spans="2:9">
      <c r="B23" s="13" t="s">
        <v>1719</v>
      </c>
      <c r="C23" s="22">
        <f>COUNTA('Alcohol Tests'!$B$4:$B$51)</f>
        <v>0</v>
      </c>
      <c r="D23" s="22">
        <f>COUNTBLANK('Alcohol Tests'!$E$4:$E$51)</f>
        <v>0</v>
      </c>
      <c r="E23" s="22">
        <f>COUNTBLANK('Alcohol Tests'!$C$4:$C$51)</f>
        <v>0</v>
      </c>
      <c r="F23" s="22">
        <f>SUMPRODUCT((COUNTIF('Alcohol Tests'!$B$4:$B$51,'Alcohol Tests'!$B$4:$B$51)&gt;1)*1)</f>
        <v>0</v>
      </c>
      <c r="G23" s="22">
        <f>SUMPRODUCT(('Alcohol Tests'!$C$4:$C$51&lt;&gt;"")*(YEAR('Alcohol Tests'!$C$4:$C$51)&lt;&gt;ReportYear))</f>
        <v>0</v>
      </c>
      <c r="H23" s="23" t="s">
        <v>1702</v>
      </c>
      <c r="I23" s="13">
        <f>IF(N(D23)+N(E23)+N(F23)+N(G23)+N(H23)&gt;0,"⚠ REVIEW","✅ OK")</f>
        <v>0</v>
      </c>
    </row>
    <row r="24" spans="2:9">
      <c r="B24" s="13" t="s">
        <v>1720</v>
      </c>
      <c r="C24" s="22">
        <f>COUNTA('PTW Audits'!$B$4:$B$51)</f>
        <v>0</v>
      </c>
      <c r="D24" s="22">
        <f>COUNTBLANK('PTW Audits'!$F$4:$F$51)</f>
        <v>0</v>
      </c>
      <c r="E24" s="22">
        <f>COUNTBLANK('PTW Audits'!$C$4:$C$51)</f>
        <v>0</v>
      </c>
      <c r="F24" s="22">
        <f>SUMPRODUCT((COUNTIF('PTW Audits'!$B$4:$B$51,'PTW Audits'!$B$4:$B$51)&gt;1)*1)</f>
        <v>0</v>
      </c>
      <c r="G24" s="22">
        <f>SUMPRODUCT(('PTW Audits'!$C$4:$C$51&lt;&gt;"")*(YEAR('PTW Audits'!$C$4:$C$51)&lt;&gt;ReportYear))</f>
        <v>0</v>
      </c>
      <c r="H24" s="23" t="s">
        <v>1702</v>
      </c>
      <c r="I24" s="13">
        <f>IF(N(D24)+N(E24)+N(F24)+N(G24)+N(H24)&gt;0,"⚠ REVIEW","✅ OK")</f>
        <v>0</v>
      </c>
    </row>
    <row r="25" spans="2:9">
      <c r="B25" s="13" t="s">
        <v>1721</v>
      </c>
      <c r="C25" s="22">
        <f>COUNTA('Corrective Actions'!$B$4:$B$51)</f>
        <v>0</v>
      </c>
      <c r="D25" s="22">
        <f>COUNTBLANK('Corrective Actions'!$F$4:$F$51)</f>
        <v>0</v>
      </c>
      <c r="E25" s="22">
        <f>COUNTBLANK('Corrective Actions'!$C$4:$C$51)</f>
        <v>0</v>
      </c>
      <c r="F25" s="22">
        <f>SUMPRODUCT((COUNTIF('Corrective Actions'!$B$4:$B$51,'Corrective Actions'!$B$4:$B$51)&gt;1)*1)</f>
        <v>0</v>
      </c>
      <c r="G25" s="22">
        <f>SUMPRODUCT(('Corrective Actions'!$C$4:$C$51&lt;&gt;"")*(YEAR('Corrective Actions'!$C$4:$C$51)&lt;&gt;ReportYear))</f>
        <v>0</v>
      </c>
      <c r="H25" s="22">
        <f>SUMPRODUCT(('Corrective Actions'!$M$4:$M$51&lt;&gt;"")*('Corrective Actions'!$M$4:$M$51&lt;'Corrective Actions'!$C$4:$C$51))</f>
        <v>0</v>
      </c>
      <c r="I25" s="13">
        <f>IF(N(D25)+N(E25)+N(F25)+N(G25)+N(H25)&gt;0,"⚠ REVIEW","✅ OK")</f>
        <v>0</v>
      </c>
    </row>
    <row r="26" spans="2:9">
      <c r="B26" s="13" t="s">
        <v>1722</v>
      </c>
      <c r="C26" s="22">
        <f>COUNTA('NC Management'!$B$4:$B$51)</f>
        <v>0</v>
      </c>
      <c r="D26" s="22">
        <f>COUNTBLANK('NC Management'!$G$4:$G$51)</f>
        <v>0</v>
      </c>
      <c r="E26" s="22">
        <f>COUNTBLANK('NC Management'!$C$4:$C$51)</f>
        <v>0</v>
      </c>
      <c r="F26" s="22">
        <f>SUMPRODUCT((COUNTIF('NC Management'!$B$4:$B$51,'NC Management'!$B$4:$B$51)&gt;1)*1)</f>
        <v>0</v>
      </c>
      <c r="G26" s="22">
        <f>SUMPRODUCT(('NC Management'!$C$4:$C$51&lt;&gt;"")*(YEAR('NC Management'!$C$4:$C$51)&lt;&gt;ReportYear))</f>
        <v>0</v>
      </c>
      <c r="H26" s="22">
        <f>SUMPRODUCT(('NC Management'!$L$4:$L$51&lt;&gt;"")*('NC Management'!$L$4:$L$51&lt;'NC Management'!$C$4:$C$51))</f>
        <v>0</v>
      </c>
      <c r="I26" s="13">
        <f>IF(N(D26)+N(E26)+N(F26)+N(G26)+N(H26)&gt;0,"⚠ REVIEW","✅ OK")</f>
        <v>0</v>
      </c>
    </row>
    <row r="27" spans="2:9">
      <c r="B27" s="13" t="s">
        <v>1723</v>
      </c>
      <c r="C27" s="22">
        <f>COUNTA('Unsafe Acts'!$B$4:$B$51)</f>
        <v>0</v>
      </c>
      <c r="D27" s="22">
        <f>COUNTBLANK('Unsafe Acts'!$F$4:$F$51)</f>
        <v>0</v>
      </c>
      <c r="E27" s="22">
        <f>COUNTBLANK('Unsafe Acts'!$C$4:$C$51)</f>
        <v>0</v>
      </c>
      <c r="F27" s="22">
        <f>SUMPRODUCT((COUNTIF('Unsafe Acts'!$B$4:$B$51,'Unsafe Acts'!$B$4:$B$51)&gt;1)*1)</f>
        <v>0</v>
      </c>
      <c r="G27" s="22">
        <f>SUMPRODUCT(('Unsafe Acts'!$C$4:$C$51&lt;&gt;"")*(YEAR('Unsafe Acts'!$C$4:$C$51)&lt;&gt;ReportYear))</f>
        <v>0</v>
      </c>
      <c r="H27" s="23" t="s">
        <v>1702</v>
      </c>
      <c r="I27" s="13">
        <f>IF(N(D27)+N(E27)+N(F27)+N(G27)+N(H27)&gt;0,"⚠ REVIEW","✅ OK")</f>
        <v>0</v>
      </c>
    </row>
    <row r="28" spans="2:9">
      <c r="B28" s="13" t="s">
        <v>1724</v>
      </c>
      <c r="C28" s="22">
        <f>COUNTA('Unsafe Conditions'!$B$4:$B$51)</f>
        <v>0</v>
      </c>
      <c r="D28" s="22">
        <f>COUNTBLANK('Unsafe Conditions'!$F$4:$F$51)</f>
        <v>0</v>
      </c>
      <c r="E28" s="22">
        <f>COUNTBLANK('Unsafe Conditions'!$C$4:$C$51)</f>
        <v>0</v>
      </c>
      <c r="F28" s="22">
        <f>SUMPRODUCT((COUNTIF('Unsafe Conditions'!$B$4:$B$51,'Unsafe Conditions'!$B$4:$B$51)&gt;1)*1)</f>
        <v>0</v>
      </c>
      <c r="G28" s="22">
        <f>SUMPRODUCT(('Unsafe Conditions'!$C$4:$C$51&lt;&gt;"")*(YEAR('Unsafe Conditions'!$C$4:$C$51)&lt;&gt;ReportYear))</f>
        <v>0</v>
      </c>
      <c r="H28" s="23" t="s">
        <v>1702</v>
      </c>
      <c r="I28" s="13">
        <f>IF(N(D28)+N(E28)+N(F28)+N(G28)+N(H28)&gt;0,"⚠ REVIEW","✅ OK")</f>
        <v>0</v>
      </c>
    </row>
    <row r="29" spans="2:9">
      <c r="B29" s="13" t="s">
        <v>1725</v>
      </c>
      <c r="C29" s="22">
        <f>COUNTA('Incident'!$B$4:$B$51)</f>
        <v>0</v>
      </c>
      <c r="D29" s="22">
        <f>COUNTBLANK('Incident'!$H$4:$H$51)</f>
        <v>0</v>
      </c>
      <c r="E29" s="22">
        <f>COUNTBLANK('Incident'!$C$4:$C$51)</f>
        <v>0</v>
      </c>
      <c r="F29" s="22">
        <f>SUMPRODUCT((COUNTIF('Incident'!$B$4:$B$51,'Incident'!$B$4:$B$51)&gt;1)*1)</f>
        <v>0</v>
      </c>
      <c r="G29" s="22">
        <f>SUMPRODUCT(('Incident'!$C$4:$C$51&lt;&gt;"")*(YEAR('Incident'!$C$4:$C$51)&lt;&gt;ReportYear))</f>
        <v>0</v>
      </c>
      <c r="H29" s="22">
        <f>SUMPRODUCT(('Incident'!$AA$4:$AA$51&lt;&gt;"")*('Incident'!$AA$4:$AA$51&lt;'Incident'!$C$4:$C$51))</f>
        <v>0</v>
      </c>
      <c r="I29" s="13">
        <f>IF(N(D29)+N(E29)+N(F29)+N(G29)+N(H29)&gt;0,"⚠ REVIEW","✅ OK")</f>
        <v>0</v>
      </c>
    </row>
    <row r="31" spans="2:9">
      <c r="B31" s="17" t="s">
        <v>1726</v>
      </c>
      <c r="D31" s="24">
        <f>SUMPRODUCT(N(D$6:D$29))</f>
        <v>0</v>
      </c>
      <c r="E31" s="24">
        <f>SUMPRODUCT(N(E$6:E$29))</f>
        <v>0</v>
      </c>
      <c r="F31" s="24">
        <f>SUMPRODUCT(N(F$6:F$29))</f>
        <v>0</v>
      </c>
      <c r="G31" s="24">
        <f>SUMPRODUCT(N(G$6:G$29))</f>
        <v>0</v>
      </c>
      <c r="H31" s="24">
        <f>SUMPRODUCT(N(H$6:H$29))</f>
        <v>0</v>
      </c>
    </row>
  </sheetData>
  <mergeCells count="1">
    <mergeCell ref="B2:J2"/>
  </mergeCells>
  <conditionalFormatting sqref="I6:I29">
    <cfRule type="containsText" dxfId="0" priority="1" operator="containsText" text="REVIEW">
      <formula>NOT(ISERROR(SEARCH("REVIEW",I6)))</formula>
    </cfRule>
    <cfRule type="containsText" dxfId="1" priority="2" operator="containsText" text="OK">
      <formula>NOT(ISERROR(SEARCH("OK",I6)))</formula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D71920"/>
    <pageSetUpPr fitToPage="1"/>
  </sheetPr>
  <dimension ref="A1:R3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12.7109375" style="1" customWidth="1"/>
    <col min="2" max="2" width="26.7109375" style="1" customWidth="1"/>
    <col min="3" max="5" width="12.7109375" style="1" customWidth="1"/>
    <col min="6" max="7" width="18.7109375" style="2" customWidth="1"/>
    <col min="8" max="14" width="26.7109375" style="1" customWidth="1"/>
    <col min="15" max="15" width="18.7109375" style="1" customWidth="1"/>
    <col min="16" max="16" width="12.7109375" style="1" customWidth="1"/>
  </cols>
  <sheetData>
    <row r="1" spans="1:18" ht="22" customHeight="1">
      <c r="A1" s="3" t="s">
        <v>1727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1728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1729</v>
      </c>
      <c r="C3" s="1" t="s">
        <v>126</v>
      </c>
      <c r="D3" s="1" t="s">
        <v>1589</v>
      </c>
      <c r="E3" s="1" t="s">
        <v>1377</v>
      </c>
      <c r="F3" s="2" t="s">
        <v>129</v>
      </c>
      <c r="G3" s="2" t="s">
        <v>1730</v>
      </c>
      <c r="H3" s="1" t="s">
        <v>1731</v>
      </c>
      <c r="I3" s="1" t="s">
        <v>1732</v>
      </c>
      <c r="J3" s="1" t="s">
        <v>1733</v>
      </c>
      <c r="K3" s="1" t="s">
        <v>1734</v>
      </c>
      <c r="L3" s="1" t="s">
        <v>1735</v>
      </c>
      <c r="M3" s="1" t="s">
        <v>1602</v>
      </c>
      <c r="N3" s="1" t="s">
        <v>414</v>
      </c>
      <c r="O3" s="1" t="s">
        <v>1736</v>
      </c>
      <c r="P3" s="1" t="s">
        <v>286</v>
      </c>
    </row>
    <row r="4" spans="1:18">
      <c r="A4" s="1">
        <v>1</v>
      </c>
      <c r="B4" s="6"/>
      <c r="C4" s="5"/>
      <c r="D4" s="1"/>
      <c r="E4" s="1"/>
      <c r="F4" s="2">
        <f>IFERROR(INDEX('Incident'!$H$4:$H$100003,MATCH(D4,'Incident'!$B$4:$B$100003,0)),IFERROR(INDEX('NC Management'!$G$4:$G$100003,MATCH(E4,'NC Management'!$B$4:$B$100003,0)),""))</f>
        <v>0</v>
      </c>
      <c r="G4" s="2">
        <f>IFERROR(INDEX('Incident'!$N$4:$N$100003,MATCH(D4,'Incident'!$B$4:$B$100003,0)),IFERROR(INDEX('NC Management'!$F$4:$F$100003,MATCH(E4,'NC Management'!$B$4:$B$100003,0)),""))</f>
        <v>0</v>
      </c>
      <c r="H4" s="6"/>
      <c r="I4" s="6"/>
      <c r="J4" s="6"/>
      <c r="K4" s="6"/>
      <c r="L4" s="6"/>
      <c r="M4" s="6"/>
      <c r="N4" s="6"/>
      <c r="O4" s="6"/>
      <c r="P4" s="1"/>
    </row>
    <row r="5" spans="1:18">
      <c r="A5" s="1">
        <v>2</v>
      </c>
      <c r="B5" s="6"/>
      <c r="C5" s="5"/>
      <c r="D5" s="1"/>
      <c r="E5" s="1"/>
      <c r="F5" s="2">
        <f>IFERROR(INDEX('Incident'!$H$4:$H$100003,MATCH(D5,'Incident'!$B$4:$B$100003,0)),IFERROR(INDEX('NC Management'!$G$4:$G$100003,MATCH(E5,'NC Management'!$B$4:$B$100003,0)),""))</f>
        <v>0</v>
      </c>
      <c r="G5" s="2">
        <f>IFERROR(INDEX('Incident'!$N$4:$N$100003,MATCH(D5,'Incident'!$B$4:$B$100003,0)),IFERROR(INDEX('NC Management'!$F$4:$F$100003,MATCH(E5,'NC Management'!$B$4:$B$100003,0)),""))</f>
        <v>0</v>
      </c>
      <c r="H5" s="6"/>
      <c r="I5" s="6"/>
      <c r="J5" s="6"/>
      <c r="K5" s="6"/>
      <c r="L5" s="6"/>
      <c r="M5" s="6"/>
      <c r="N5" s="6"/>
      <c r="O5" s="6"/>
      <c r="P5" s="1"/>
    </row>
    <row r="6" spans="1:18">
      <c r="A6" s="1">
        <v>3</v>
      </c>
      <c r="B6" s="6"/>
      <c r="C6" s="5"/>
      <c r="D6" s="1"/>
      <c r="E6" s="1"/>
      <c r="F6" s="2">
        <f>IFERROR(INDEX('Incident'!$H$4:$H$100003,MATCH(D6,'Incident'!$B$4:$B$100003,0)),IFERROR(INDEX('NC Management'!$G$4:$G$100003,MATCH(E6,'NC Management'!$B$4:$B$100003,0)),""))</f>
        <v>0</v>
      </c>
      <c r="G6" s="2">
        <f>IFERROR(INDEX('Incident'!$N$4:$N$100003,MATCH(D6,'Incident'!$B$4:$B$100003,0)),IFERROR(INDEX('NC Management'!$F$4:$F$100003,MATCH(E6,'NC Management'!$B$4:$B$100003,0)),""))</f>
        <v>0</v>
      </c>
      <c r="H6" s="6"/>
      <c r="I6" s="6"/>
      <c r="J6" s="6"/>
      <c r="K6" s="6"/>
      <c r="L6" s="6"/>
      <c r="M6" s="6"/>
      <c r="N6" s="6"/>
      <c r="O6" s="6"/>
      <c r="P6" s="1"/>
    </row>
    <row r="7" spans="1:18">
      <c r="A7" s="1">
        <v>4</v>
      </c>
      <c r="B7" s="6"/>
      <c r="C7" s="5"/>
      <c r="D7" s="1"/>
      <c r="E7" s="1"/>
      <c r="F7" s="2">
        <f>IFERROR(INDEX('Incident'!$H$4:$H$100003,MATCH(D7,'Incident'!$B$4:$B$100003,0)),IFERROR(INDEX('NC Management'!$G$4:$G$100003,MATCH(E7,'NC Management'!$B$4:$B$100003,0)),""))</f>
        <v>0</v>
      </c>
      <c r="G7" s="2">
        <f>IFERROR(INDEX('Incident'!$N$4:$N$100003,MATCH(D7,'Incident'!$B$4:$B$100003,0)),IFERROR(INDEX('NC Management'!$F$4:$F$100003,MATCH(E7,'NC Management'!$B$4:$B$100003,0)),""))</f>
        <v>0</v>
      </c>
      <c r="H7" s="6"/>
      <c r="I7" s="6"/>
      <c r="J7" s="6"/>
      <c r="K7" s="6"/>
      <c r="L7" s="6"/>
      <c r="M7" s="6"/>
      <c r="N7" s="6"/>
      <c r="O7" s="6"/>
      <c r="P7" s="1"/>
    </row>
    <row r="8" spans="1:18">
      <c r="A8" s="1">
        <v>5</v>
      </c>
      <c r="B8" s="6"/>
      <c r="C8" s="5"/>
      <c r="D8" s="1"/>
      <c r="E8" s="1"/>
      <c r="F8" s="2">
        <f>IFERROR(INDEX('Incident'!$H$4:$H$100003,MATCH(D8,'Incident'!$B$4:$B$100003,0)),IFERROR(INDEX('NC Management'!$G$4:$G$100003,MATCH(E8,'NC Management'!$B$4:$B$100003,0)),""))</f>
        <v>0</v>
      </c>
      <c r="G8" s="2">
        <f>IFERROR(INDEX('Incident'!$N$4:$N$100003,MATCH(D8,'Incident'!$B$4:$B$100003,0)),IFERROR(INDEX('NC Management'!$F$4:$F$100003,MATCH(E8,'NC Management'!$B$4:$B$100003,0)),""))</f>
        <v>0</v>
      </c>
      <c r="H8" s="6"/>
      <c r="I8" s="6"/>
      <c r="J8" s="6"/>
      <c r="K8" s="6"/>
      <c r="L8" s="6"/>
      <c r="M8" s="6"/>
      <c r="N8" s="6"/>
      <c r="O8" s="6"/>
      <c r="P8" s="1"/>
    </row>
    <row r="9" spans="1:18">
      <c r="A9" s="1">
        <v>6</v>
      </c>
      <c r="B9" s="6"/>
      <c r="C9" s="5"/>
      <c r="D9" s="1"/>
      <c r="E9" s="1"/>
      <c r="F9" s="2">
        <f>IFERROR(INDEX('Incident'!$H$4:$H$100003,MATCH(D9,'Incident'!$B$4:$B$100003,0)),IFERROR(INDEX('NC Management'!$G$4:$G$100003,MATCH(E9,'NC Management'!$B$4:$B$100003,0)),""))</f>
        <v>0</v>
      </c>
      <c r="G9" s="2">
        <f>IFERROR(INDEX('Incident'!$N$4:$N$100003,MATCH(D9,'Incident'!$B$4:$B$100003,0)),IFERROR(INDEX('NC Management'!$F$4:$F$100003,MATCH(E9,'NC Management'!$B$4:$B$100003,0)),""))</f>
        <v>0</v>
      </c>
      <c r="H9" s="6"/>
      <c r="I9" s="6"/>
      <c r="J9" s="6"/>
      <c r="K9" s="6"/>
      <c r="L9" s="6"/>
      <c r="M9" s="6"/>
      <c r="N9" s="6"/>
      <c r="O9" s="6"/>
      <c r="P9" s="1"/>
    </row>
    <row r="10" spans="1:18">
      <c r="A10" s="1">
        <v>7</v>
      </c>
      <c r="B10" s="6"/>
      <c r="C10" s="5"/>
      <c r="D10" s="1"/>
      <c r="E10" s="1"/>
      <c r="F10" s="2">
        <f>IFERROR(INDEX('Incident'!$H$4:$H$100003,MATCH(D10,'Incident'!$B$4:$B$100003,0)),IFERROR(INDEX('NC Management'!$G$4:$G$100003,MATCH(E10,'NC Management'!$B$4:$B$100003,0)),""))</f>
        <v>0</v>
      </c>
      <c r="G10" s="2">
        <f>IFERROR(INDEX('Incident'!$N$4:$N$100003,MATCH(D10,'Incident'!$B$4:$B$100003,0)),IFERROR(INDEX('NC Management'!$F$4:$F$100003,MATCH(E10,'NC Management'!$B$4:$B$100003,0)),""))</f>
        <v>0</v>
      </c>
      <c r="H10" s="6"/>
      <c r="I10" s="6"/>
      <c r="J10" s="6"/>
      <c r="K10" s="6"/>
      <c r="L10" s="6"/>
      <c r="M10" s="6"/>
      <c r="N10" s="6"/>
      <c r="O10" s="6"/>
      <c r="P10" s="1"/>
    </row>
    <row r="11" spans="1:18">
      <c r="A11" s="1">
        <v>8</v>
      </c>
      <c r="B11" s="6"/>
      <c r="C11" s="5"/>
      <c r="D11" s="1"/>
      <c r="E11" s="1"/>
      <c r="F11" s="2">
        <f>IFERROR(INDEX('Incident'!$H$4:$H$100003,MATCH(D11,'Incident'!$B$4:$B$100003,0)),IFERROR(INDEX('NC Management'!$G$4:$G$100003,MATCH(E11,'NC Management'!$B$4:$B$100003,0)),""))</f>
        <v>0</v>
      </c>
      <c r="G11" s="2">
        <f>IFERROR(INDEX('Incident'!$N$4:$N$100003,MATCH(D11,'Incident'!$B$4:$B$100003,0)),IFERROR(INDEX('NC Management'!$F$4:$F$100003,MATCH(E11,'NC Management'!$B$4:$B$100003,0)),""))</f>
        <v>0</v>
      </c>
      <c r="H11" s="6"/>
      <c r="I11" s="6"/>
      <c r="J11" s="6"/>
      <c r="K11" s="6"/>
      <c r="L11" s="6"/>
      <c r="M11" s="6"/>
      <c r="N11" s="6"/>
      <c r="O11" s="6"/>
      <c r="P11" s="1"/>
    </row>
    <row r="12" spans="1:18">
      <c r="A12" s="1">
        <v>9</v>
      </c>
      <c r="B12" s="6"/>
      <c r="C12" s="5"/>
      <c r="D12" s="1"/>
      <c r="E12" s="1"/>
      <c r="F12" s="2">
        <f>IFERROR(INDEX('Incident'!$H$4:$H$100003,MATCH(D12,'Incident'!$B$4:$B$100003,0)),IFERROR(INDEX('NC Management'!$G$4:$G$100003,MATCH(E12,'NC Management'!$B$4:$B$100003,0)),""))</f>
        <v>0</v>
      </c>
      <c r="G12" s="2">
        <f>IFERROR(INDEX('Incident'!$N$4:$N$100003,MATCH(D12,'Incident'!$B$4:$B$100003,0)),IFERROR(INDEX('NC Management'!$F$4:$F$100003,MATCH(E12,'NC Management'!$B$4:$B$100003,0)),""))</f>
        <v>0</v>
      </c>
      <c r="H12" s="6"/>
      <c r="I12" s="6"/>
      <c r="J12" s="6"/>
      <c r="K12" s="6"/>
      <c r="L12" s="6"/>
      <c r="M12" s="6"/>
      <c r="N12" s="6"/>
      <c r="O12" s="6"/>
      <c r="P12" s="1"/>
    </row>
    <row r="13" spans="1:18">
      <c r="A13" s="1">
        <v>10</v>
      </c>
      <c r="B13" s="6"/>
      <c r="C13" s="5"/>
      <c r="D13" s="1"/>
      <c r="E13" s="1"/>
      <c r="F13" s="2">
        <f>IFERROR(INDEX('Incident'!$H$4:$H$100003,MATCH(D13,'Incident'!$B$4:$B$100003,0)),IFERROR(INDEX('NC Management'!$G$4:$G$100003,MATCH(E13,'NC Management'!$B$4:$B$100003,0)),""))</f>
        <v>0</v>
      </c>
      <c r="G13" s="2">
        <f>IFERROR(INDEX('Incident'!$N$4:$N$100003,MATCH(D13,'Incident'!$B$4:$B$100003,0)),IFERROR(INDEX('NC Management'!$F$4:$F$100003,MATCH(E13,'NC Management'!$B$4:$B$100003,0)),""))</f>
        <v>0</v>
      </c>
      <c r="H13" s="6"/>
      <c r="I13" s="6"/>
      <c r="J13" s="6"/>
      <c r="K13" s="6"/>
      <c r="L13" s="6"/>
      <c r="M13" s="6"/>
      <c r="N13" s="6"/>
      <c r="O13" s="6"/>
      <c r="P13" s="1"/>
    </row>
    <row r="14" spans="1:18">
      <c r="A14" s="1">
        <v>11</v>
      </c>
      <c r="B14" s="6"/>
      <c r="C14" s="5"/>
      <c r="D14" s="1"/>
      <c r="E14" s="1"/>
      <c r="F14" s="2">
        <f>IFERROR(INDEX('Incident'!$H$4:$H$100003,MATCH(D14,'Incident'!$B$4:$B$100003,0)),IFERROR(INDEX('NC Management'!$G$4:$G$100003,MATCH(E14,'NC Management'!$B$4:$B$100003,0)),""))</f>
        <v>0</v>
      </c>
      <c r="G14" s="2">
        <f>IFERROR(INDEX('Incident'!$N$4:$N$100003,MATCH(D14,'Incident'!$B$4:$B$100003,0)),IFERROR(INDEX('NC Management'!$F$4:$F$100003,MATCH(E14,'NC Management'!$B$4:$B$100003,0)),""))</f>
        <v>0</v>
      </c>
      <c r="H14" s="6"/>
      <c r="I14" s="6"/>
      <c r="J14" s="6"/>
      <c r="K14" s="6"/>
      <c r="L14" s="6"/>
      <c r="M14" s="6"/>
      <c r="N14" s="6"/>
      <c r="O14" s="6"/>
      <c r="P14" s="1"/>
    </row>
    <row r="15" spans="1:18">
      <c r="A15" s="1">
        <v>12</v>
      </c>
      <c r="B15" s="6"/>
      <c r="C15" s="5"/>
      <c r="D15" s="1"/>
      <c r="E15" s="1"/>
      <c r="F15" s="2">
        <f>IFERROR(INDEX('Incident'!$H$4:$H$100003,MATCH(D15,'Incident'!$B$4:$B$100003,0)),IFERROR(INDEX('NC Management'!$G$4:$G$100003,MATCH(E15,'NC Management'!$B$4:$B$100003,0)),""))</f>
        <v>0</v>
      </c>
      <c r="G15" s="2">
        <f>IFERROR(INDEX('Incident'!$N$4:$N$100003,MATCH(D15,'Incident'!$B$4:$B$100003,0)),IFERROR(INDEX('NC Management'!$F$4:$F$100003,MATCH(E15,'NC Management'!$B$4:$B$100003,0)),""))</f>
        <v>0</v>
      </c>
      <c r="H15" s="6"/>
      <c r="I15" s="6"/>
      <c r="J15" s="6"/>
      <c r="K15" s="6"/>
      <c r="L15" s="6"/>
      <c r="M15" s="6"/>
      <c r="N15" s="6"/>
      <c r="O15" s="6"/>
      <c r="P15" s="1"/>
    </row>
    <row r="16" spans="1:18">
      <c r="A16" s="1">
        <v>13</v>
      </c>
      <c r="B16" s="6"/>
      <c r="C16" s="5"/>
      <c r="D16" s="1"/>
      <c r="E16" s="1"/>
      <c r="F16" s="2">
        <f>IFERROR(INDEX('Incident'!$H$4:$H$100003,MATCH(D16,'Incident'!$B$4:$B$100003,0)),IFERROR(INDEX('NC Management'!$G$4:$G$100003,MATCH(E16,'NC Management'!$B$4:$B$100003,0)),""))</f>
        <v>0</v>
      </c>
      <c r="G16" s="2">
        <f>IFERROR(INDEX('Incident'!$N$4:$N$100003,MATCH(D16,'Incident'!$B$4:$B$100003,0)),IFERROR(INDEX('NC Management'!$F$4:$F$100003,MATCH(E16,'NC Management'!$B$4:$B$100003,0)),""))</f>
        <v>0</v>
      </c>
      <c r="H16" s="6"/>
      <c r="I16" s="6"/>
      <c r="J16" s="6"/>
      <c r="K16" s="6"/>
      <c r="L16" s="6"/>
      <c r="M16" s="6"/>
      <c r="N16" s="6"/>
      <c r="O16" s="6"/>
      <c r="P16" s="1"/>
    </row>
    <row r="17" spans="1:16">
      <c r="A17" s="1">
        <v>14</v>
      </c>
      <c r="B17" s="6"/>
      <c r="C17" s="5"/>
      <c r="D17" s="1"/>
      <c r="E17" s="1"/>
      <c r="F17" s="2">
        <f>IFERROR(INDEX('Incident'!$H$4:$H$100003,MATCH(D17,'Incident'!$B$4:$B$100003,0)),IFERROR(INDEX('NC Management'!$G$4:$G$100003,MATCH(E17,'NC Management'!$B$4:$B$100003,0)),""))</f>
        <v>0</v>
      </c>
      <c r="G17" s="2">
        <f>IFERROR(INDEX('Incident'!$N$4:$N$100003,MATCH(D17,'Incident'!$B$4:$B$100003,0)),IFERROR(INDEX('NC Management'!$F$4:$F$100003,MATCH(E17,'NC Management'!$B$4:$B$100003,0)),""))</f>
        <v>0</v>
      </c>
      <c r="H17" s="6"/>
      <c r="I17" s="6"/>
      <c r="J17" s="6"/>
      <c r="K17" s="6"/>
      <c r="L17" s="6"/>
      <c r="M17" s="6"/>
      <c r="N17" s="6"/>
      <c r="O17" s="6"/>
      <c r="P17" s="1"/>
    </row>
    <row r="18" spans="1:16">
      <c r="A18" s="1">
        <v>15</v>
      </c>
      <c r="B18" s="6"/>
      <c r="C18" s="5"/>
      <c r="D18" s="1"/>
      <c r="E18" s="1"/>
      <c r="F18" s="2">
        <f>IFERROR(INDEX('Incident'!$H$4:$H$100003,MATCH(D18,'Incident'!$B$4:$B$100003,0)),IFERROR(INDEX('NC Management'!$G$4:$G$100003,MATCH(E18,'NC Management'!$B$4:$B$100003,0)),""))</f>
        <v>0</v>
      </c>
      <c r="G18" s="2">
        <f>IFERROR(INDEX('Incident'!$N$4:$N$100003,MATCH(D18,'Incident'!$B$4:$B$100003,0)),IFERROR(INDEX('NC Management'!$F$4:$F$100003,MATCH(E18,'NC Management'!$B$4:$B$100003,0)),""))</f>
        <v>0</v>
      </c>
      <c r="H18" s="6"/>
      <c r="I18" s="6"/>
      <c r="J18" s="6"/>
      <c r="K18" s="6"/>
      <c r="L18" s="6"/>
      <c r="M18" s="6"/>
      <c r="N18" s="6"/>
      <c r="O18" s="6"/>
      <c r="P18" s="1"/>
    </row>
    <row r="19" spans="1:16">
      <c r="A19" s="1">
        <v>16</v>
      </c>
      <c r="B19" s="6"/>
      <c r="C19" s="5"/>
      <c r="D19" s="1"/>
      <c r="E19" s="1"/>
      <c r="F19" s="2">
        <f>IFERROR(INDEX('Incident'!$H$4:$H$100003,MATCH(D19,'Incident'!$B$4:$B$100003,0)),IFERROR(INDEX('NC Management'!$G$4:$G$100003,MATCH(E19,'NC Management'!$B$4:$B$100003,0)),""))</f>
        <v>0</v>
      </c>
      <c r="G19" s="2">
        <f>IFERROR(INDEX('Incident'!$N$4:$N$100003,MATCH(D19,'Incident'!$B$4:$B$100003,0)),IFERROR(INDEX('NC Management'!$F$4:$F$100003,MATCH(E19,'NC Management'!$B$4:$B$100003,0)),""))</f>
        <v>0</v>
      </c>
      <c r="H19" s="6"/>
      <c r="I19" s="6"/>
      <c r="J19" s="6"/>
      <c r="K19" s="6"/>
      <c r="L19" s="6"/>
      <c r="M19" s="6"/>
      <c r="N19" s="6"/>
      <c r="O19" s="6"/>
      <c r="P19" s="1"/>
    </row>
    <row r="20" spans="1:16">
      <c r="A20" s="1">
        <v>17</v>
      </c>
      <c r="B20" s="6"/>
      <c r="C20" s="5"/>
      <c r="D20" s="1"/>
      <c r="E20" s="1"/>
      <c r="F20" s="2">
        <f>IFERROR(INDEX('Incident'!$H$4:$H$100003,MATCH(D20,'Incident'!$B$4:$B$100003,0)),IFERROR(INDEX('NC Management'!$G$4:$G$100003,MATCH(E20,'NC Management'!$B$4:$B$100003,0)),""))</f>
        <v>0</v>
      </c>
      <c r="G20" s="2">
        <f>IFERROR(INDEX('Incident'!$N$4:$N$100003,MATCH(D20,'Incident'!$B$4:$B$100003,0)),IFERROR(INDEX('NC Management'!$F$4:$F$100003,MATCH(E20,'NC Management'!$B$4:$B$100003,0)),""))</f>
        <v>0</v>
      </c>
      <c r="H20" s="6"/>
      <c r="I20" s="6"/>
      <c r="J20" s="6"/>
      <c r="K20" s="6"/>
      <c r="L20" s="6"/>
      <c r="M20" s="6"/>
      <c r="N20" s="6"/>
      <c r="O20" s="6"/>
      <c r="P20" s="1"/>
    </row>
    <row r="21" spans="1:16">
      <c r="A21" s="1">
        <v>18</v>
      </c>
      <c r="B21" s="6"/>
      <c r="C21" s="5"/>
      <c r="D21" s="1"/>
      <c r="E21" s="1"/>
      <c r="F21" s="2">
        <f>IFERROR(INDEX('Incident'!$H$4:$H$100003,MATCH(D21,'Incident'!$B$4:$B$100003,0)),IFERROR(INDEX('NC Management'!$G$4:$G$100003,MATCH(E21,'NC Management'!$B$4:$B$100003,0)),""))</f>
        <v>0</v>
      </c>
      <c r="G21" s="2">
        <f>IFERROR(INDEX('Incident'!$N$4:$N$100003,MATCH(D21,'Incident'!$B$4:$B$100003,0)),IFERROR(INDEX('NC Management'!$F$4:$F$100003,MATCH(E21,'NC Management'!$B$4:$B$100003,0)),""))</f>
        <v>0</v>
      </c>
      <c r="H21" s="6"/>
      <c r="I21" s="6"/>
      <c r="J21" s="6"/>
      <c r="K21" s="6"/>
      <c r="L21" s="6"/>
      <c r="M21" s="6"/>
      <c r="N21" s="6"/>
      <c r="O21" s="6"/>
      <c r="P21" s="1"/>
    </row>
    <row r="22" spans="1:16">
      <c r="A22" s="1">
        <v>19</v>
      </c>
      <c r="B22" s="6"/>
      <c r="C22" s="5"/>
      <c r="D22" s="1"/>
      <c r="E22" s="1"/>
      <c r="F22" s="2">
        <f>IFERROR(INDEX('Incident'!$H$4:$H$100003,MATCH(D22,'Incident'!$B$4:$B$100003,0)),IFERROR(INDEX('NC Management'!$G$4:$G$100003,MATCH(E22,'NC Management'!$B$4:$B$100003,0)),""))</f>
        <v>0</v>
      </c>
      <c r="G22" s="2">
        <f>IFERROR(INDEX('Incident'!$N$4:$N$100003,MATCH(D22,'Incident'!$B$4:$B$100003,0)),IFERROR(INDEX('NC Management'!$F$4:$F$100003,MATCH(E22,'NC Management'!$B$4:$B$100003,0)),""))</f>
        <v>0</v>
      </c>
      <c r="H22" s="6"/>
      <c r="I22" s="6"/>
      <c r="J22" s="6"/>
      <c r="K22" s="6"/>
      <c r="L22" s="6"/>
      <c r="M22" s="6"/>
      <c r="N22" s="6"/>
      <c r="O22" s="6"/>
      <c r="P22" s="1"/>
    </row>
    <row r="23" spans="1:16">
      <c r="A23" s="1">
        <v>20</v>
      </c>
      <c r="B23" s="6"/>
      <c r="C23" s="5"/>
      <c r="D23" s="1"/>
      <c r="E23" s="1"/>
      <c r="F23" s="2">
        <f>IFERROR(INDEX('Incident'!$H$4:$H$100003,MATCH(D23,'Incident'!$B$4:$B$100003,0)),IFERROR(INDEX('NC Management'!$G$4:$G$100003,MATCH(E23,'NC Management'!$B$4:$B$100003,0)),""))</f>
        <v>0</v>
      </c>
      <c r="G23" s="2">
        <f>IFERROR(INDEX('Incident'!$N$4:$N$100003,MATCH(D23,'Incident'!$B$4:$B$100003,0)),IFERROR(INDEX('NC Management'!$F$4:$F$100003,MATCH(E23,'NC Management'!$B$4:$B$100003,0)),""))</f>
        <v>0</v>
      </c>
      <c r="H23" s="6"/>
      <c r="I23" s="6"/>
      <c r="J23" s="6"/>
      <c r="K23" s="6"/>
      <c r="L23" s="6"/>
      <c r="M23" s="6"/>
      <c r="N23" s="6"/>
      <c r="O23" s="6"/>
      <c r="P23" s="1"/>
    </row>
    <row r="24" spans="1:16">
      <c r="A24" s="1">
        <v>21</v>
      </c>
      <c r="B24" s="6"/>
      <c r="C24" s="5"/>
      <c r="D24" s="1"/>
      <c r="E24" s="1"/>
      <c r="F24" s="2">
        <f>IFERROR(INDEX('Incident'!$H$4:$H$100003,MATCH(D24,'Incident'!$B$4:$B$100003,0)),IFERROR(INDEX('NC Management'!$G$4:$G$100003,MATCH(E24,'NC Management'!$B$4:$B$100003,0)),""))</f>
        <v>0</v>
      </c>
      <c r="G24" s="2">
        <f>IFERROR(INDEX('Incident'!$N$4:$N$100003,MATCH(D24,'Incident'!$B$4:$B$100003,0)),IFERROR(INDEX('NC Management'!$F$4:$F$100003,MATCH(E24,'NC Management'!$B$4:$B$100003,0)),""))</f>
        <v>0</v>
      </c>
      <c r="H24" s="6"/>
      <c r="I24" s="6"/>
      <c r="J24" s="6"/>
      <c r="K24" s="6"/>
      <c r="L24" s="6"/>
      <c r="M24" s="6"/>
      <c r="N24" s="6"/>
      <c r="O24" s="6"/>
      <c r="P24" s="1"/>
    </row>
    <row r="25" spans="1:16">
      <c r="A25" s="1">
        <v>22</v>
      </c>
      <c r="B25" s="6"/>
      <c r="C25" s="5"/>
      <c r="D25" s="1"/>
      <c r="E25" s="1"/>
      <c r="F25" s="2">
        <f>IFERROR(INDEX('Incident'!$H$4:$H$100003,MATCH(D25,'Incident'!$B$4:$B$100003,0)),IFERROR(INDEX('NC Management'!$G$4:$G$100003,MATCH(E25,'NC Management'!$B$4:$B$100003,0)),""))</f>
        <v>0</v>
      </c>
      <c r="G25" s="2">
        <f>IFERROR(INDEX('Incident'!$N$4:$N$100003,MATCH(D25,'Incident'!$B$4:$B$100003,0)),IFERROR(INDEX('NC Management'!$F$4:$F$100003,MATCH(E25,'NC Management'!$B$4:$B$100003,0)),""))</f>
        <v>0</v>
      </c>
      <c r="H25" s="6"/>
      <c r="I25" s="6"/>
      <c r="J25" s="6"/>
      <c r="K25" s="6"/>
      <c r="L25" s="6"/>
      <c r="M25" s="6"/>
      <c r="N25" s="6"/>
      <c r="O25" s="6"/>
      <c r="P25" s="1"/>
    </row>
    <row r="26" spans="1:16">
      <c r="A26" s="1">
        <v>23</v>
      </c>
      <c r="B26" s="6"/>
      <c r="C26" s="5"/>
      <c r="D26" s="1"/>
      <c r="E26" s="1"/>
      <c r="F26" s="2">
        <f>IFERROR(INDEX('Incident'!$H$4:$H$100003,MATCH(D26,'Incident'!$B$4:$B$100003,0)),IFERROR(INDEX('NC Management'!$G$4:$G$100003,MATCH(E26,'NC Management'!$B$4:$B$100003,0)),""))</f>
        <v>0</v>
      </c>
      <c r="G26" s="2">
        <f>IFERROR(INDEX('Incident'!$N$4:$N$100003,MATCH(D26,'Incident'!$B$4:$B$100003,0)),IFERROR(INDEX('NC Management'!$F$4:$F$100003,MATCH(E26,'NC Management'!$B$4:$B$100003,0)),""))</f>
        <v>0</v>
      </c>
      <c r="H26" s="6"/>
      <c r="I26" s="6"/>
      <c r="J26" s="6"/>
      <c r="K26" s="6"/>
      <c r="L26" s="6"/>
      <c r="M26" s="6"/>
      <c r="N26" s="6"/>
      <c r="O26" s="6"/>
      <c r="P26" s="1"/>
    </row>
    <row r="27" spans="1:16">
      <c r="A27" s="1">
        <v>24</v>
      </c>
      <c r="B27" s="6"/>
      <c r="C27" s="5"/>
      <c r="D27" s="1"/>
      <c r="E27" s="1"/>
      <c r="F27" s="2">
        <f>IFERROR(INDEX('Incident'!$H$4:$H$100003,MATCH(D27,'Incident'!$B$4:$B$100003,0)),IFERROR(INDEX('NC Management'!$G$4:$G$100003,MATCH(E27,'NC Management'!$B$4:$B$100003,0)),""))</f>
        <v>0</v>
      </c>
      <c r="G27" s="2">
        <f>IFERROR(INDEX('Incident'!$N$4:$N$100003,MATCH(D27,'Incident'!$B$4:$B$100003,0)),IFERROR(INDEX('NC Management'!$F$4:$F$100003,MATCH(E27,'NC Management'!$B$4:$B$100003,0)),""))</f>
        <v>0</v>
      </c>
      <c r="H27" s="6"/>
      <c r="I27" s="6"/>
      <c r="J27" s="6"/>
      <c r="K27" s="6"/>
      <c r="L27" s="6"/>
      <c r="M27" s="6"/>
      <c r="N27" s="6"/>
      <c r="O27" s="6"/>
      <c r="P27" s="1"/>
    </row>
    <row r="28" spans="1:16">
      <c r="A28" s="1">
        <v>25</v>
      </c>
      <c r="B28" s="6"/>
      <c r="C28" s="5"/>
      <c r="D28" s="1"/>
      <c r="E28" s="1"/>
      <c r="F28" s="2">
        <f>IFERROR(INDEX('Incident'!$H$4:$H$100003,MATCH(D28,'Incident'!$B$4:$B$100003,0)),IFERROR(INDEX('NC Management'!$G$4:$G$100003,MATCH(E28,'NC Management'!$B$4:$B$100003,0)),""))</f>
        <v>0</v>
      </c>
      <c r="G28" s="2">
        <f>IFERROR(INDEX('Incident'!$N$4:$N$100003,MATCH(D28,'Incident'!$B$4:$B$100003,0)),IFERROR(INDEX('NC Management'!$F$4:$F$100003,MATCH(E28,'NC Management'!$B$4:$B$100003,0)),""))</f>
        <v>0</v>
      </c>
      <c r="H28" s="6"/>
      <c r="I28" s="6"/>
      <c r="J28" s="6"/>
      <c r="K28" s="6"/>
      <c r="L28" s="6"/>
      <c r="M28" s="6"/>
      <c r="N28" s="6"/>
      <c r="O28" s="6"/>
      <c r="P28" s="1"/>
    </row>
    <row r="29" spans="1:16">
      <c r="A29" s="1">
        <v>26</v>
      </c>
      <c r="B29" s="6"/>
      <c r="C29" s="5"/>
      <c r="D29" s="1"/>
      <c r="E29" s="1"/>
      <c r="F29" s="2">
        <f>IFERROR(INDEX('Incident'!$H$4:$H$100003,MATCH(D29,'Incident'!$B$4:$B$100003,0)),IFERROR(INDEX('NC Management'!$G$4:$G$100003,MATCH(E29,'NC Management'!$B$4:$B$100003,0)),""))</f>
        <v>0</v>
      </c>
      <c r="G29" s="2">
        <f>IFERROR(INDEX('Incident'!$N$4:$N$100003,MATCH(D29,'Incident'!$B$4:$B$100003,0)),IFERROR(INDEX('NC Management'!$F$4:$F$100003,MATCH(E29,'NC Management'!$B$4:$B$100003,0)),""))</f>
        <v>0</v>
      </c>
      <c r="H29" s="6"/>
      <c r="I29" s="6"/>
      <c r="J29" s="6"/>
      <c r="K29" s="6"/>
      <c r="L29" s="6"/>
      <c r="M29" s="6"/>
      <c r="N29" s="6"/>
      <c r="O29" s="6"/>
      <c r="P29" s="1"/>
    </row>
    <row r="30" spans="1:16">
      <c r="A30" s="1">
        <v>27</v>
      </c>
      <c r="B30" s="6"/>
      <c r="C30" s="5"/>
      <c r="D30" s="1"/>
      <c r="E30" s="1"/>
      <c r="F30" s="2">
        <f>IFERROR(INDEX('Incident'!$H$4:$H$100003,MATCH(D30,'Incident'!$B$4:$B$100003,0)),IFERROR(INDEX('NC Management'!$G$4:$G$100003,MATCH(E30,'NC Management'!$B$4:$B$100003,0)),""))</f>
        <v>0</v>
      </c>
      <c r="G30" s="2">
        <f>IFERROR(INDEX('Incident'!$N$4:$N$100003,MATCH(D30,'Incident'!$B$4:$B$100003,0)),IFERROR(INDEX('NC Management'!$F$4:$F$100003,MATCH(E30,'NC Management'!$B$4:$B$100003,0)),""))</f>
        <v>0</v>
      </c>
      <c r="H30" s="6"/>
      <c r="I30" s="6"/>
      <c r="J30" s="6"/>
      <c r="K30" s="6"/>
      <c r="L30" s="6"/>
      <c r="M30" s="6"/>
      <c r="N30" s="6"/>
      <c r="O30" s="6"/>
      <c r="P30" s="1"/>
    </row>
    <row r="31" spans="1:16">
      <c r="A31" s="1">
        <v>28</v>
      </c>
      <c r="B31" s="6"/>
      <c r="C31" s="5"/>
      <c r="D31" s="1"/>
      <c r="E31" s="1"/>
      <c r="F31" s="2">
        <f>IFERROR(INDEX('Incident'!$H$4:$H$100003,MATCH(D31,'Incident'!$B$4:$B$100003,0)),IFERROR(INDEX('NC Management'!$G$4:$G$100003,MATCH(E31,'NC Management'!$B$4:$B$100003,0)),""))</f>
        <v>0</v>
      </c>
      <c r="G31" s="2">
        <f>IFERROR(INDEX('Incident'!$N$4:$N$100003,MATCH(D31,'Incident'!$B$4:$B$100003,0)),IFERROR(INDEX('NC Management'!$F$4:$F$100003,MATCH(E31,'NC Management'!$B$4:$B$100003,0)),""))</f>
        <v>0</v>
      </c>
      <c r="H31" s="6"/>
      <c r="I31" s="6"/>
      <c r="J31" s="6"/>
      <c r="K31" s="6"/>
      <c r="L31" s="6"/>
      <c r="M31" s="6"/>
      <c r="N31" s="6"/>
      <c r="O31" s="6"/>
      <c r="P31" s="1"/>
    </row>
    <row r="32" spans="1:16">
      <c r="A32" s="1">
        <v>29</v>
      </c>
      <c r="B32" s="6"/>
      <c r="C32" s="5"/>
      <c r="D32" s="1"/>
      <c r="E32" s="1"/>
      <c r="F32" s="2">
        <f>IFERROR(INDEX('Incident'!$H$4:$H$100003,MATCH(D32,'Incident'!$B$4:$B$100003,0)),IFERROR(INDEX('NC Management'!$G$4:$G$100003,MATCH(E32,'NC Management'!$B$4:$B$100003,0)),""))</f>
        <v>0</v>
      </c>
      <c r="G32" s="2">
        <f>IFERROR(INDEX('Incident'!$N$4:$N$100003,MATCH(D32,'Incident'!$B$4:$B$100003,0)),IFERROR(INDEX('NC Management'!$F$4:$F$100003,MATCH(E32,'NC Management'!$B$4:$B$100003,0)),""))</f>
        <v>0</v>
      </c>
      <c r="H32" s="6"/>
      <c r="I32" s="6"/>
      <c r="J32" s="6"/>
      <c r="K32" s="6"/>
      <c r="L32" s="6"/>
      <c r="M32" s="6"/>
      <c r="N32" s="6"/>
      <c r="O32" s="6"/>
      <c r="P32" s="1"/>
    </row>
    <row r="33" spans="1:16">
      <c r="A33" s="1">
        <v>30</v>
      </c>
      <c r="B33" s="6"/>
      <c r="C33" s="5"/>
      <c r="D33" s="1"/>
      <c r="E33" s="1"/>
      <c r="F33" s="2">
        <f>IFERROR(INDEX('Incident'!$H$4:$H$100003,MATCH(D33,'Incident'!$B$4:$B$100003,0)),IFERROR(INDEX('NC Management'!$G$4:$G$100003,MATCH(E33,'NC Management'!$B$4:$B$100003,0)),""))</f>
        <v>0</v>
      </c>
      <c r="G33" s="2">
        <f>IFERROR(INDEX('Incident'!$N$4:$N$100003,MATCH(D33,'Incident'!$B$4:$B$100003,0)),IFERROR(INDEX('NC Management'!$F$4:$F$100003,MATCH(E33,'NC Management'!$B$4:$B$100003,0)),""))</f>
        <v>0</v>
      </c>
      <c r="H33" s="6"/>
      <c r="I33" s="6"/>
      <c r="J33" s="6"/>
      <c r="K33" s="6"/>
      <c r="L33" s="6"/>
      <c r="M33" s="6"/>
      <c r="N33" s="6"/>
      <c r="O33" s="6"/>
      <c r="P33" s="1"/>
    </row>
    <row r="34" spans="1:16">
      <c r="A34" s="1">
        <v>31</v>
      </c>
      <c r="B34" s="6"/>
      <c r="C34" s="5"/>
      <c r="D34" s="1"/>
      <c r="E34" s="1"/>
      <c r="F34" s="2">
        <f>IFERROR(INDEX('Incident'!$H$4:$H$100003,MATCH(D34,'Incident'!$B$4:$B$100003,0)),IFERROR(INDEX('NC Management'!$G$4:$G$100003,MATCH(E34,'NC Management'!$B$4:$B$100003,0)),""))</f>
        <v>0</v>
      </c>
      <c r="G34" s="2">
        <f>IFERROR(INDEX('Incident'!$N$4:$N$100003,MATCH(D34,'Incident'!$B$4:$B$100003,0)),IFERROR(INDEX('NC Management'!$F$4:$F$100003,MATCH(E34,'NC Management'!$B$4:$B$100003,0)),""))</f>
        <v>0</v>
      </c>
      <c r="H34" s="6"/>
      <c r="I34" s="6"/>
      <c r="J34" s="6"/>
      <c r="K34" s="6"/>
      <c r="L34" s="6"/>
      <c r="M34" s="6"/>
      <c r="N34" s="6"/>
      <c r="O34" s="6"/>
      <c r="P34" s="1"/>
    </row>
    <row r="35" spans="1:16">
      <c r="A35" s="1">
        <v>32</v>
      </c>
      <c r="B35" s="6"/>
      <c r="C35" s="5"/>
      <c r="D35" s="1"/>
      <c r="E35" s="1"/>
      <c r="F35" s="2">
        <f>IFERROR(INDEX('Incident'!$H$4:$H$100003,MATCH(D35,'Incident'!$B$4:$B$100003,0)),IFERROR(INDEX('NC Management'!$G$4:$G$100003,MATCH(E35,'NC Management'!$B$4:$B$100003,0)),""))</f>
        <v>0</v>
      </c>
      <c r="G35" s="2">
        <f>IFERROR(INDEX('Incident'!$N$4:$N$100003,MATCH(D35,'Incident'!$B$4:$B$100003,0)),IFERROR(INDEX('NC Management'!$F$4:$F$100003,MATCH(E35,'NC Management'!$B$4:$B$100003,0)),""))</f>
        <v>0</v>
      </c>
      <c r="H35" s="6"/>
      <c r="I35" s="6"/>
      <c r="J35" s="6"/>
      <c r="K35" s="6"/>
      <c r="L35" s="6"/>
      <c r="M35" s="6"/>
      <c r="N35" s="6"/>
      <c r="O35" s="6"/>
      <c r="P35" s="1"/>
    </row>
    <row r="36" spans="1:16">
      <c r="A36" s="1">
        <v>33</v>
      </c>
      <c r="B36" s="6"/>
      <c r="C36" s="5"/>
      <c r="D36" s="1"/>
      <c r="E36" s="1"/>
      <c r="F36" s="2">
        <f>IFERROR(INDEX('Incident'!$H$4:$H$100003,MATCH(D36,'Incident'!$B$4:$B$100003,0)),IFERROR(INDEX('NC Management'!$G$4:$G$100003,MATCH(E36,'NC Management'!$B$4:$B$100003,0)),""))</f>
        <v>0</v>
      </c>
      <c r="G36" s="2">
        <f>IFERROR(INDEX('Incident'!$N$4:$N$100003,MATCH(D36,'Incident'!$B$4:$B$100003,0)),IFERROR(INDEX('NC Management'!$F$4:$F$100003,MATCH(E36,'NC Management'!$B$4:$B$100003,0)),""))</f>
        <v>0</v>
      </c>
      <c r="H36" s="6"/>
      <c r="I36" s="6"/>
      <c r="J36" s="6"/>
      <c r="K36" s="6"/>
      <c r="L36" s="6"/>
      <c r="M36" s="6"/>
      <c r="N36" s="6"/>
      <c r="O36" s="6"/>
      <c r="P36" s="1"/>
    </row>
    <row r="37" spans="1:16">
      <c r="A37" s="1">
        <v>34</v>
      </c>
      <c r="B37" s="6"/>
      <c r="C37" s="5"/>
      <c r="D37" s="1"/>
      <c r="E37" s="1"/>
      <c r="F37" s="2">
        <f>IFERROR(INDEX('Incident'!$H$4:$H$100003,MATCH(D37,'Incident'!$B$4:$B$100003,0)),IFERROR(INDEX('NC Management'!$G$4:$G$100003,MATCH(E37,'NC Management'!$B$4:$B$100003,0)),""))</f>
        <v>0</v>
      </c>
      <c r="G37" s="2">
        <f>IFERROR(INDEX('Incident'!$N$4:$N$100003,MATCH(D37,'Incident'!$B$4:$B$100003,0)),IFERROR(INDEX('NC Management'!$F$4:$F$100003,MATCH(E37,'NC Management'!$B$4:$B$100003,0)),""))</f>
        <v>0</v>
      </c>
      <c r="H37" s="6"/>
      <c r="I37" s="6"/>
      <c r="J37" s="6"/>
      <c r="K37" s="6"/>
      <c r="L37" s="6"/>
      <c r="M37" s="6"/>
      <c r="N37" s="6"/>
      <c r="O37" s="6"/>
      <c r="P37" s="1"/>
    </row>
    <row r="38" spans="1:16">
      <c r="A38" s="1">
        <v>35</v>
      </c>
      <c r="B38" s="6"/>
      <c r="C38" s="5"/>
      <c r="D38" s="1"/>
      <c r="E38" s="1"/>
      <c r="F38" s="2">
        <f>IFERROR(INDEX('Incident'!$H$4:$H$100003,MATCH(D38,'Incident'!$B$4:$B$100003,0)),IFERROR(INDEX('NC Management'!$G$4:$G$100003,MATCH(E38,'NC Management'!$B$4:$B$100003,0)),""))</f>
        <v>0</v>
      </c>
      <c r="G38" s="2">
        <f>IFERROR(INDEX('Incident'!$N$4:$N$100003,MATCH(D38,'Incident'!$B$4:$B$100003,0)),IFERROR(INDEX('NC Management'!$F$4:$F$100003,MATCH(E38,'NC Management'!$B$4:$B$100003,0)),""))</f>
        <v>0</v>
      </c>
      <c r="H38" s="6"/>
      <c r="I38" s="6"/>
      <c r="J38" s="6"/>
      <c r="K38" s="6"/>
      <c r="L38" s="6"/>
      <c r="M38" s="6"/>
      <c r="N38" s="6"/>
      <c r="O38" s="6"/>
      <c r="P38" s="1"/>
    </row>
    <row r="39" spans="1:16">
      <c r="A39" s="1">
        <v>36</v>
      </c>
      <c r="B39" s="6"/>
      <c r="C39" s="5"/>
      <c r="D39" s="1"/>
      <c r="E39" s="1"/>
      <c r="F39" s="2">
        <f>IFERROR(INDEX('Incident'!$H$4:$H$100003,MATCH(D39,'Incident'!$B$4:$B$100003,0)),IFERROR(INDEX('NC Management'!$G$4:$G$100003,MATCH(E39,'NC Management'!$B$4:$B$100003,0)),""))</f>
        <v>0</v>
      </c>
      <c r="G39" s="2">
        <f>IFERROR(INDEX('Incident'!$N$4:$N$100003,MATCH(D39,'Incident'!$B$4:$B$100003,0)),IFERROR(INDEX('NC Management'!$F$4:$F$100003,MATCH(E39,'NC Management'!$B$4:$B$100003,0)),""))</f>
        <v>0</v>
      </c>
      <c r="H39" s="6"/>
      <c r="I39" s="6"/>
      <c r="J39" s="6"/>
      <c r="K39" s="6"/>
      <c r="L39" s="6"/>
      <c r="M39" s="6"/>
      <c r="N39" s="6"/>
      <c r="O39" s="6"/>
      <c r="P39" s="1"/>
    </row>
    <row r="40" spans="1:16">
      <c r="A40" s="1">
        <v>37</v>
      </c>
      <c r="B40" s="6"/>
      <c r="C40" s="5"/>
      <c r="D40" s="1"/>
      <c r="E40" s="1"/>
      <c r="F40" s="2">
        <f>IFERROR(INDEX('Incident'!$H$4:$H$100003,MATCH(D40,'Incident'!$B$4:$B$100003,0)),IFERROR(INDEX('NC Management'!$G$4:$G$100003,MATCH(E40,'NC Management'!$B$4:$B$100003,0)),""))</f>
        <v>0</v>
      </c>
      <c r="G40" s="2">
        <f>IFERROR(INDEX('Incident'!$N$4:$N$100003,MATCH(D40,'Incident'!$B$4:$B$100003,0)),IFERROR(INDEX('NC Management'!$F$4:$F$100003,MATCH(E40,'NC Management'!$B$4:$B$100003,0)),""))</f>
        <v>0</v>
      </c>
      <c r="H40" s="6"/>
      <c r="I40" s="6"/>
      <c r="J40" s="6"/>
      <c r="K40" s="6"/>
      <c r="L40" s="6"/>
      <c r="M40" s="6"/>
      <c r="N40" s="6"/>
      <c r="O40" s="6"/>
      <c r="P40" s="1"/>
    </row>
    <row r="41" spans="1:16">
      <c r="A41" s="1">
        <v>38</v>
      </c>
      <c r="B41" s="6"/>
      <c r="C41" s="5"/>
      <c r="D41" s="1"/>
      <c r="E41" s="1"/>
      <c r="F41" s="2">
        <f>IFERROR(INDEX('Incident'!$H$4:$H$100003,MATCH(D41,'Incident'!$B$4:$B$100003,0)),IFERROR(INDEX('NC Management'!$G$4:$G$100003,MATCH(E41,'NC Management'!$B$4:$B$100003,0)),""))</f>
        <v>0</v>
      </c>
      <c r="G41" s="2">
        <f>IFERROR(INDEX('Incident'!$N$4:$N$100003,MATCH(D41,'Incident'!$B$4:$B$100003,0)),IFERROR(INDEX('NC Management'!$F$4:$F$100003,MATCH(E41,'NC Management'!$B$4:$B$100003,0)),""))</f>
        <v>0</v>
      </c>
      <c r="H41" s="6"/>
      <c r="I41" s="6"/>
      <c r="J41" s="6"/>
      <c r="K41" s="6"/>
      <c r="L41" s="6"/>
      <c r="M41" s="6"/>
      <c r="N41" s="6"/>
      <c r="O41" s="6"/>
      <c r="P41" s="1"/>
    </row>
    <row r="42" spans="1:16">
      <c r="A42" s="1">
        <v>39</v>
      </c>
      <c r="B42" s="6"/>
      <c r="C42" s="5"/>
      <c r="D42" s="1"/>
      <c r="E42" s="1"/>
      <c r="F42" s="2">
        <f>IFERROR(INDEX('Incident'!$H$4:$H$100003,MATCH(D42,'Incident'!$B$4:$B$100003,0)),IFERROR(INDEX('NC Management'!$G$4:$G$100003,MATCH(E42,'NC Management'!$B$4:$B$100003,0)),""))</f>
        <v>0</v>
      </c>
      <c r="G42" s="2">
        <f>IFERROR(INDEX('Incident'!$N$4:$N$100003,MATCH(D42,'Incident'!$B$4:$B$100003,0)),IFERROR(INDEX('NC Management'!$F$4:$F$100003,MATCH(E42,'NC Management'!$B$4:$B$100003,0)),""))</f>
        <v>0</v>
      </c>
      <c r="H42" s="6"/>
      <c r="I42" s="6"/>
      <c r="J42" s="6"/>
      <c r="K42" s="6"/>
      <c r="L42" s="6"/>
      <c r="M42" s="6"/>
      <c r="N42" s="6"/>
      <c r="O42" s="6"/>
      <c r="P42" s="1"/>
    </row>
    <row r="43" spans="1:16">
      <c r="A43" s="1">
        <v>40</v>
      </c>
      <c r="B43" s="6"/>
      <c r="C43" s="5"/>
      <c r="D43" s="1"/>
      <c r="E43" s="1"/>
      <c r="F43" s="2">
        <f>IFERROR(INDEX('Incident'!$H$4:$H$100003,MATCH(D43,'Incident'!$B$4:$B$100003,0)),IFERROR(INDEX('NC Management'!$G$4:$G$100003,MATCH(E43,'NC Management'!$B$4:$B$100003,0)),""))</f>
        <v>0</v>
      </c>
      <c r="G43" s="2">
        <f>IFERROR(INDEX('Incident'!$N$4:$N$100003,MATCH(D43,'Incident'!$B$4:$B$100003,0)),IFERROR(INDEX('NC Management'!$F$4:$F$100003,MATCH(E43,'NC Management'!$B$4:$B$100003,0)),""))</f>
        <v>0</v>
      </c>
      <c r="H43" s="6"/>
      <c r="I43" s="6"/>
      <c r="J43" s="6"/>
      <c r="K43" s="6"/>
      <c r="L43" s="6"/>
      <c r="M43" s="6"/>
      <c r="N43" s="6"/>
      <c r="O43" s="6"/>
      <c r="P43" s="1"/>
    </row>
    <row r="44" spans="1:16">
      <c r="A44" s="1">
        <v>41</v>
      </c>
      <c r="B44" s="6"/>
      <c r="C44" s="5"/>
      <c r="D44" s="1"/>
      <c r="E44" s="1"/>
      <c r="F44" s="2">
        <f>IFERROR(INDEX('Incident'!$H$4:$H$100003,MATCH(D44,'Incident'!$B$4:$B$100003,0)),IFERROR(INDEX('NC Management'!$G$4:$G$100003,MATCH(E44,'NC Management'!$B$4:$B$100003,0)),""))</f>
        <v>0</v>
      </c>
      <c r="G44" s="2">
        <f>IFERROR(INDEX('Incident'!$N$4:$N$100003,MATCH(D44,'Incident'!$B$4:$B$100003,0)),IFERROR(INDEX('NC Management'!$F$4:$F$100003,MATCH(E44,'NC Management'!$B$4:$B$100003,0)),""))</f>
        <v>0</v>
      </c>
      <c r="H44" s="6"/>
      <c r="I44" s="6"/>
      <c r="J44" s="6"/>
      <c r="K44" s="6"/>
      <c r="L44" s="6"/>
      <c r="M44" s="6"/>
      <c r="N44" s="6"/>
      <c r="O44" s="6"/>
      <c r="P44" s="1"/>
    </row>
    <row r="45" spans="1:16">
      <c r="A45" s="1">
        <v>42</v>
      </c>
      <c r="B45" s="6"/>
      <c r="C45" s="5"/>
      <c r="D45" s="1"/>
      <c r="E45" s="1"/>
      <c r="F45" s="2">
        <f>IFERROR(INDEX('Incident'!$H$4:$H$100003,MATCH(D45,'Incident'!$B$4:$B$100003,0)),IFERROR(INDEX('NC Management'!$G$4:$G$100003,MATCH(E45,'NC Management'!$B$4:$B$100003,0)),""))</f>
        <v>0</v>
      </c>
      <c r="G45" s="2">
        <f>IFERROR(INDEX('Incident'!$N$4:$N$100003,MATCH(D45,'Incident'!$B$4:$B$100003,0)),IFERROR(INDEX('NC Management'!$F$4:$F$100003,MATCH(E45,'NC Management'!$B$4:$B$100003,0)),""))</f>
        <v>0</v>
      </c>
      <c r="H45" s="6"/>
      <c r="I45" s="6"/>
      <c r="J45" s="6"/>
      <c r="K45" s="6"/>
      <c r="L45" s="6"/>
      <c r="M45" s="6"/>
      <c r="N45" s="6"/>
      <c r="O45" s="6"/>
      <c r="P45" s="1"/>
    </row>
    <row r="46" spans="1:16">
      <c r="A46" s="1">
        <v>43</v>
      </c>
      <c r="B46" s="6"/>
      <c r="C46" s="5"/>
      <c r="D46" s="1"/>
      <c r="E46" s="1"/>
      <c r="F46" s="2">
        <f>IFERROR(INDEX('Incident'!$H$4:$H$100003,MATCH(D46,'Incident'!$B$4:$B$100003,0)),IFERROR(INDEX('NC Management'!$G$4:$G$100003,MATCH(E46,'NC Management'!$B$4:$B$100003,0)),""))</f>
        <v>0</v>
      </c>
      <c r="G46" s="2">
        <f>IFERROR(INDEX('Incident'!$N$4:$N$100003,MATCH(D46,'Incident'!$B$4:$B$100003,0)),IFERROR(INDEX('NC Management'!$F$4:$F$100003,MATCH(E46,'NC Management'!$B$4:$B$100003,0)),""))</f>
        <v>0</v>
      </c>
      <c r="H46" s="6"/>
      <c r="I46" s="6"/>
      <c r="J46" s="6"/>
      <c r="K46" s="6"/>
      <c r="L46" s="6"/>
      <c r="M46" s="6"/>
      <c r="N46" s="6"/>
      <c r="O46" s="6"/>
      <c r="P46" s="1"/>
    </row>
    <row r="47" spans="1:16">
      <c r="A47" s="1">
        <v>44</v>
      </c>
      <c r="B47" s="6"/>
      <c r="C47" s="5"/>
      <c r="D47" s="1"/>
      <c r="E47" s="1"/>
      <c r="F47" s="2">
        <f>IFERROR(INDEX('Incident'!$H$4:$H$100003,MATCH(D47,'Incident'!$B$4:$B$100003,0)),IFERROR(INDEX('NC Management'!$G$4:$G$100003,MATCH(E47,'NC Management'!$B$4:$B$100003,0)),""))</f>
        <v>0</v>
      </c>
      <c r="G47" s="2">
        <f>IFERROR(INDEX('Incident'!$N$4:$N$100003,MATCH(D47,'Incident'!$B$4:$B$100003,0)),IFERROR(INDEX('NC Management'!$F$4:$F$100003,MATCH(E47,'NC Management'!$B$4:$B$100003,0)),""))</f>
        <v>0</v>
      </c>
      <c r="H47" s="6"/>
      <c r="I47" s="6"/>
      <c r="J47" s="6"/>
      <c r="K47" s="6"/>
      <c r="L47" s="6"/>
      <c r="M47" s="6"/>
      <c r="N47" s="6"/>
      <c r="O47" s="6"/>
      <c r="P47" s="1"/>
    </row>
    <row r="48" spans="1:16">
      <c r="A48" s="1">
        <v>45</v>
      </c>
      <c r="B48" s="6"/>
      <c r="C48" s="5"/>
      <c r="D48" s="1"/>
      <c r="E48" s="1"/>
      <c r="F48" s="2">
        <f>IFERROR(INDEX('Incident'!$H$4:$H$100003,MATCH(D48,'Incident'!$B$4:$B$100003,0)),IFERROR(INDEX('NC Management'!$G$4:$G$100003,MATCH(E48,'NC Management'!$B$4:$B$100003,0)),""))</f>
        <v>0</v>
      </c>
      <c r="G48" s="2">
        <f>IFERROR(INDEX('Incident'!$N$4:$N$100003,MATCH(D48,'Incident'!$B$4:$B$100003,0)),IFERROR(INDEX('NC Management'!$F$4:$F$100003,MATCH(E48,'NC Management'!$B$4:$B$100003,0)),""))</f>
        <v>0</v>
      </c>
      <c r="H48" s="6"/>
      <c r="I48" s="6"/>
      <c r="J48" s="6"/>
      <c r="K48" s="6"/>
      <c r="L48" s="6"/>
      <c r="M48" s="6"/>
      <c r="N48" s="6"/>
      <c r="O48" s="6"/>
      <c r="P48" s="1"/>
    </row>
    <row r="49" spans="1:16">
      <c r="A49" s="1">
        <v>46</v>
      </c>
      <c r="B49" s="6"/>
      <c r="C49" s="5"/>
      <c r="D49" s="1"/>
      <c r="E49" s="1"/>
      <c r="F49" s="2">
        <f>IFERROR(INDEX('Incident'!$H$4:$H$100003,MATCH(D49,'Incident'!$B$4:$B$100003,0)),IFERROR(INDEX('NC Management'!$G$4:$G$100003,MATCH(E49,'NC Management'!$B$4:$B$100003,0)),""))</f>
        <v>0</v>
      </c>
      <c r="G49" s="2">
        <f>IFERROR(INDEX('Incident'!$N$4:$N$100003,MATCH(D49,'Incident'!$B$4:$B$100003,0)),IFERROR(INDEX('NC Management'!$F$4:$F$100003,MATCH(E49,'NC Management'!$B$4:$B$100003,0)),""))</f>
        <v>0</v>
      </c>
      <c r="H49" s="6"/>
      <c r="I49" s="6"/>
      <c r="J49" s="6"/>
      <c r="K49" s="6"/>
      <c r="L49" s="6"/>
      <c r="M49" s="6"/>
      <c r="N49" s="6"/>
      <c r="O49" s="6"/>
      <c r="P49" s="1"/>
    </row>
    <row r="50" spans="1:16">
      <c r="A50" s="1">
        <v>47</v>
      </c>
      <c r="B50" s="6"/>
      <c r="C50" s="5"/>
      <c r="D50" s="1"/>
      <c r="E50" s="1"/>
      <c r="F50" s="2">
        <f>IFERROR(INDEX('Incident'!$H$4:$H$100003,MATCH(D50,'Incident'!$B$4:$B$100003,0)),IFERROR(INDEX('NC Management'!$G$4:$G$100003,MATCH(E50,'NC Management'!$B$4:$B$100003,0)),""))</f>
        <v>0</v>
      </c>
      <c r="G50" s="2">
        <f>IFERROR(INDEX('Incident'!$N$4:$N$100003,MATCH(D50,'Incident'!$B$4:$B$100003,0)),IFERROR(INDEX('NC Management'!$F$4:$F$100003,MATCH(E50,'NC Management'!$B$4:$B$100003,0)),""))</f>
        <v>0</v>
      </c>
      <c r="H50" s="6"/>
      <c r="I50" s="6"/>
      <c r="J50" s="6"/>
      <c r="K50" s="6"/>
      <c r="L50" s="6"/>
      <c r="M50" s="6"/>
      <c r="N50" s="6"/>
      <c r="O50" s="6"/>
      <c r="P50" s="1"/>
    </row>
    <row r="51" spans="1:16">
      <c r="A51" s="1">
        <v>48</v>
      </c>
      <c r="B51" s="6"/>
      <c r="C51" s="5"/>
      <c r="D51" s="1"/>
      <c r="E51" s="1"/>
      <c r="F51" s="2">
        <f>IFERROR(INDEX('Incident'!$H$4:$H$100003,MATCH(D51,'Incident'!$B$4:$B$100003,0)),IFERROR(INDEX('NC Management'!$G$4:$G$100003,MATCH(E51,'NC Management'!$B$4:$B$100003,0)),""))</f>
        <v>0</v>
      </c>
      <c r="G51" s="2">
        <f>IFERROR(INDEX('Incident'!$N$4:$N$100003,MATCH(D51,'Incident'!$B$4:$B$100003,0)),IFERROR(INDEX('NC Management'!$F$4:$F$100003,MATCH(E51,'NC Management'!$B$4:$B$100003,0)),""))</f>
        <v>0</v>
      </c>
      <c r="H51" s="6"/>
      <c r="I51" s="6"/>
      <c r="J51" s="6"/>
      <c r="K51" s="6"/>
      <c r="L51" s="6"/>
      <c r="M51" s="6"/>
      <c r="N51" s="6"/>
      <c r="O51" s="6"/>
      <c r="P51" s="1"/>
    </row>
    <row r="52" spans="1:16">
      <c r="A52" s="1">
        <v>49</v>
      </c>
      <c r="B52" s="6"/>
      <c r="C52" s="5"/>
      <c r="D52" s="1"/>
      <c r="E52" s="1"/>
      <c r="F52" s="2">
        <f>IFERROR(INDEX('Incident'!$H$4:$H$100003,MATCH(D52,'Incident'!$B$4:$B$100003,0)),IFERROR(INDEX('NC Management'!$G$4:$G$100003,MATCH(E52,'NC Management'!$B$4:$B$100003,0)),""))</f>
        <v>0</v>
      </c>
      <c r="G52" s="2">
        <f>IFERROR(INDEX('Incident'!$N$4:$N$100003,MATCH(D52,'Incident'!$B$4:$B$100003,0)),IFERROR(INDEX('NC Management'!$F$4:$F$100003,MATCH(E52,'NC Management'!$B$4:$B$100003,0)),""))</f>
        <v>0</v>
      </c>
      <c r="H52" s="6"/>
      <c r="I52" s="6"/>
      <c r="J52" s="6"/>
      <c r="K52" s="6"/>
      <c r="L52" s="6"/>
      <c r="M52" s="6"/>
      <c r="N52" s="6"/>
      <c r="O52" s="6"/>
      <c r="P52" s="1"/>
    </row>
    <row r="53" spans="1:16">
      <c r="A53" s="1">
        <v>50</v>
      </c>
      <c r="B53" s="6"/>
      <c r="C53" s="5"/>
      <c r="D53" s="1"/>
      <c r="E53" s="1"/>
      <c r="F53" s="2">
        <f>IFERROR(INDEX('Incident'!$H$4:$H$100003,MATCH(D53,'Incident'!$B$4:$B$100003,0)),IFERROR(INDEX('NC Management'!$G$4:$G$100003,MATCH(E53,'NC Management'!$B$4:$B$100003,0)),""))</f>
        <v>0</v>
      </c>
      <c r="G53" s="2">
        <f>IFERROR(INDEX('Incident'!$N$4:$N$100003,MATCH(D53,'Incident'!$B$4:$B$100003,0)),IFERROR(INDEX('NC Management'!$F$4:$F$100003,MATCH(E53,'NC Management'!$B$4:$B$100003,0)),""))</f>
        <v>0</v>
      </c>
      <c r="H53" s="6"/>
      <c r="I53" s="6"/>
      <c r="J53" s="6"/>
      <c r="K53" s="6"/>
      <c r="L53" s="6"/>
      <c r="M53" s="6"/>
      <c r="N53" s="6"/>
      <c r="O53" s="6"/>
      <c r="P53" s="1"/>
    </row>
    <row r="54" spans="1:16">
      <c r="A54" s="1">
        <v>51</v>
      </c>
      <c r="B54" s="6"/>
      <c r="C54" s="5"/>
      <c r="D54" s="1"/>
      <c r="E54" s="1"/>
      <c r="F54" s="2">
        <f>IFERROR(INDEX('Incident'!$H$4:$H$100003,MATCH(D54,'Incident'!$B$4:$B$100003,0)),IFERROR(INDEX('NC Management'!$G$4:$G$100003,MATCH(E54,'NC Management'!$B$4:$B$100003,0)),""))</f>
        <v>0</v>
      </c>
      <c r="G54" s="2">
        <f>IFERROR(INDEX('Incident'!$N$4:$N$100003,MATCH(D54,'Incident'!$B$4:$B$100003,0)),IFERROR(INDEX('NC Management'!$F$4:$F$100003,MATCH(E54,'NC Management'!$B$4:$B$100003,0)),""))</f>
        <v>0</v>
      </c>
      <c r="H54" s="6"/>
      <c r="I54" s="6"/>
      <c r="J54" s="6"/>
      <c r="K54" s="6"/>
      <c r="L54" s="6"/>
      <c r="M54" s="6"/>
      <c r="N54" s="6"/>
      <c r="O54" s="6"/>
      <c r="P54" s="1"/>
    </row>
    <row r="55" spans="1:16">
      <c r="A55" s="1">
        <v>52</v>
      </c>
      <c r="B55" s="6"/>
      <c r="C55" s="5"/>
      <c r="D55" s="1"/>
      <c r="E55" s="1"/>
      <c r="F55" s="2">
        <f>IFERROR(INDEX('Incident'!$H$4:$H$100003,MATCH(D55,'Incident'!$B$4:$B$100003,0)),IFERROR(INDEX('NC Management'!$G$4:$G$100003,MATCH(E55,'NC Management'!$B$4:$B$100003,0)),""))</f>
        <v>0</v>
      </c>
      <c r="G55" s="2">
        <f>IFERROR(INDEX('Incident'!$N$4:$N$100003,MATCH(D55,'Incident'!$B$4:$B$100003,0)),IFERROR(INDEX('NC Management'!$F$4:$F$100003,MATCH(E55,'NC Management'!$B$4:$B$100003,0)),""))</f>
        <v>0</v>
      </c>
      <c r="H55" s="6"/>
      <c r="I55" s="6"/>
      <c r="J55" s="6"/>
      <c r="K55" s="6"/>
      <c r="L55" s="6"/>
      <c r="M55" s="6"/>
      <c r="N55" s="6"/>
      <c r="O55" s="6"/>
      <c r="P55" s="1"/>
    </row>
    <row r="56" spans="1:16">
      <c r="A56" s="1">
        <v>53</v>
      </c>
      <c r="B56" s="6"/>
      <c r="C56" s="5"/>
      <c r="D56" s="1"/>
      <c r="E56" s="1"/>
      <c r="F56" s="2">
        <f>IFERROR(INDEX('Incident'!$H$4:$H$100003,MATCH(D56,'Incident'!$B$4:$B$100003,0)),IFERROR(INDEX('NC Management'!$G$4:$G$100003,MATCH(E56,'NC Management'!$B$4:$B$100003,0)),""))</f>
        <v>0</v>
      </c>
      <c r="G56" s="2">
        <f>IFERROR(INDEX('Incident'!$N$4:$N$100003,MATCH(D56,'Incident'!$B$4:$B$100003,0)),IFERROR(INDEX('NC Management'!$F$4:$F$100003,MATCH(E56,'NC Management'!$B$4:$B$100003,0)),""))</f>
        <v>0</v>
      </c>
      <c r="H56" s="6"/>
      <c r="I56" s="6"/>
      <c r="J56" s="6"/>
      <c r="K56" s="6"/>
      <c r="L56" s="6"/>
      <c r="M56" s="6"/>
      <c r="N56" s="6"/>
      <c r="O56" s="6"/>
      <c r="P56" s="1"/>
    </row>
    <row r="57" spans="1:16">
      <c r="A57" s="1">
        <v>54</v>
      </c>
      <c r="B57" s="6"/>
      <c r="C57" s="5"/>
      <c r="D57" s="1"/>
      <c r="E57" s="1"/>
      <c r="F57" s="2">
        <f>IFERROR(INDEX('Incident'!$H$4:$H$100003,MATCH(D57,'Incident'!$B$4:$B$100003,0)),IFERROR(INDEX('NC Management'!$G$4:$G$100003,MATCH(E57,'NC Management'!$B$4:$B$100003,0)),""))</f>
        <v>0</v>
      </c>
      <c r="G57" s="2">
        <f>IFERROR(INDEX('Incident'!$N$4:$N$100003,MATCH(D57,'Incident'!$B$4:$B$100003,0)),IFERROR(INDEX('NC Management'!$F$4:$F$100003,MATCH(E57,'NC Management'!$B$4:$B$100003,0)),""))</f>
        <v>0</v>
      </c>
      <c r="H57" s="6"/>
      <c r="I57" s="6"/>
      <c r="J57" s="6"/>
      <c r="K57" s="6"/>
      <c r="L57" s="6"/>
      <c r="M57" s="6"/>
      <c r="N57" s="6"/>
      <c r="O57" s="6"/>
      <c r="P57" s="1"/>
    </row>
    <row r="58" spans="1:16">
      <c r="A58" s="1">
        <v>55</v>
      </c>
      <c r="B58" s="6"/>
      <c r="C58" s="5"/>
      <c r="D58" s="1"/>
      <c r="E58" s="1"/>
      <c r="F58" s="2">
        <f>IFERROR(INDEX('Incident'!$H$4:$H$100003,MATCH(D58,'Incident'!$B$4:$B$100003,0)),IFERROR(INDEX('NC Management'!$G$4:$G$100003,MATCH(E58,'NC Management'!$B$4:$B$100003,0)),""))</f>
        <v>0</v>
      </c>
      <c r="G58" s="2">
        <f>IFERROR(INDEX('Incident'!$N$4:$N$100003,MATCH(D58,'Incident'!$B$4:$B$100003,0)),IFERROR(INDEX('NC Management'!$F$4:$F$100003,MATCH(E58,'NC Management'!$B$4:$B$100003,0)),""))</f>
        <v>0</v>
      </c>
      <c r="H58" s="6"/>
      <c r="I58" s="6"/>
      <c r="J58" s="6"/>
      <c r="K58" s="6"/>
      <c r="L58" s="6"/>
      <c r="M58" s="6"/>
      <c r="N58" s="6"/>
      <c r="O58" s="6"/>
      <c r="P58" s="1"/>
    </row>
    <row r="59" spans="1:16">
      <c r="A59" s="1">
        <v>56</v>
      </c>
      <c r="B59" s="6"/>
      <c r="C59" s="5"/>
      <c r="D59" s="1"/>
      <c r="E59" s="1"/>
      <c r="F59" s="2">
        <f>IFERROR(INDEX('Incident'!$H$4:$H$100003,MATCH(D59,'Incident'!$B$4:$B$100003,0)),IFERROR(INDEX('NC Management'!$G$4:$G$100003,MATCH(E59,'NC Management'!$B$4:$B$100003,0)),""))</f>
        <v>0</v>
      </c>
      <c r="G59" s="2">
        <f>IFERROR(INDEX('Incident'!$N$4:$N$100003,MATCH(D59,'Incident'!$B$4:$B$100003,0)),IFERROR(INDEX('NC Management'!$F$4:$F$100003,MATCH(E59,'NC Management'!$B$4:$B$100003,0)),""))</f>
        <v>0</v>
      </c>
      <c r="H59" s="6"/>
      <c r="I59" s="6"/>
      <c r="J59" s="6"/>
      <c r="K59" s="6"/>
      <c r="L59" s="6"/>
      <c r="M59" s="6"/>
      <c r="N59" s="6"/>
      <c r="O59" s="6"/>
      <c r="P59" s="1"/>
    </row>
    <row r="60" spans="1:16">
      <c r="A60" s="1">
        <v>57</v>
      </c>
      <c r="B60" s="6"/>
      <c r="C60" s="5"/>
      <c r="D60" s="1"/>
      <c r="E60" s="1"/>
      <c r="F60" s="2">
        <f>IFERROR(INDEX('Incident'!$H$4:$H$100003,MATCH(D60,'Incident'!$B$4:$B$100003,0)),IFERROR(INDEX('NC Management'!$G$4:$G$100003,MATCH(E60,'NC Management'!$B$4:$B$100003,0)),""))</f>
        <v>0</v>
      </c>
      <c r="G60" s="2">
        <f>IFERROR(INDEX('Incident'!$N$4:$N$100003,MATCH(D60,'Incident'!$B$4:$B$100003,0)),IFERROR(INDEX('NC Management'!$F$4:$F$100003,MATCH(E60,'NC Management'!$B$4:$B$100003,0)),""))</f>
        <v>0</v>
      </c>
      <c r="H60" s="6"/>
      <c r="I60" s="6"/>
      <c r="J60" s="6"/>
      <c r="K60" s="6"/>
      <c r="L60" s="6"/>
      <c r="M60" s="6"/>
      <c r="N60" s="6"/>
      <c r="O60" s="6"/>
      <c r="P60" s="1"/>
    </row>
    <row r="61" spans="1:16">
      <c r="A61" s="1">
        <v>58</v>
      </c>
      <c r="B61" s="6"/>
      <c r="C61" s="5"/>
      <c r="D61" s="1"/>
      <c r="E61" s="1"/>
      <c r="F61" s="2">
        <f>IFERROR(INDEX('Incident'!$H$4:$H$100003,MATCH(D61,'Incident'!$B$4:$B$100003,0)),IFERROR(INDEX('NC Management'!$G$4:$G$100003,MATCH(E61,'NC Management'!$B$4:$B$100003,0)),""))</f>
        <v>0</v>
      </c>
      <c r="G61" s="2">
        <f>IFERROR(INDEX('Incident'!$N$4:$N$100003,MATCH(D61,'Incident'!$B$4:$B$100003,0)),IFERROR(INDEX('NC Management'!$F$4:$F$100003,MATCH(E61,'NC Management'!$B$4:$B$100003,0)),""))</f>
        <v>0</v>
      </c>
      <c r="H61" s="6"/>
      <c r="I61" s="6"/>
      <c r="J61" s="6"/>
      <c r="K61" s="6"/>
      <c r="L61" s="6"/>
      <c r="M61" s="6"/>
      <c r="N61" s="6"/>
      <c r="O61" s="6"/>
      <c r="P61" s="1"/>
    </row>
    <row r="62" spans="1:16">
      <c r="A62" s="1">
        <v>59</v>
      </c>
      <c r="B62" s="6"/>
      <c r="C62" s="5"/>
      <c r="D62" s="1"/>
      <c r="E62" s="1"/>
      <c r="F62" s="2">
        <f>IFERROR(INDEX('Incident'!$H$4:$H$100003,MATCH(D62,'Incident'!$B$4:$B$100003,0)),IFERROR(INDEX('NC Management'!$G$4:$G$100003,MATCH(E62,'NC Management'!$B$4:$B$100003,0)),""))</f>
        <v>0</v>
      </c>
      <c r="G62" s="2">
        <f>IFERROR(INDEX('Incident'!$N$4:$N$100003,MATCH(D62,'Incident'!$B$4:$B$100003,0)),IFERROR(INDEX('NC Management'!$F$4:$F$100003,MATCH(E62,'NC Management'!$B$4:$B$100003,0)),""))</f>
        <v>0</v>
      </c>
      <c r="H62" s="6"/>
      <c r="I62" s="6"/>
      <c r="J62" s="6"/>
      <c r="K62" s="6"/>
      <c r="L62" s="6"/>
      <c r="M62" s="6"/>
      <c r="N62" s="6"/>
      <c r="O62" s="6"/>
      <c r="P62" s="1"/>
    </row>
    <row r="63" spans="1:16">
      <c r="A63" s="1">
        <v>60</v>
      </c>
      <c r="B63" s="6"/>
      <c r="C63" s="5"/>
      <c r="D63" s="1"/>
      <c r="E63" s="1"/>
      <c r="F63" s="2">
        <f>IFERROR(INDEX('Incident'!$H$4:$H$100003,MATCH(D63,'Incident'!$B$4:$B$100003,0)),IFERROR(INDEX('NC Management'!$G$4:$G$100003,MATCH(E63,'NC Management'!$B$4:$B$100003,0)),""))</f>
        <v>0</v>
      </c>
      <c r="G63" s="2">
        <f>IFERROR(INDEX('Incident'!$N$4:$N$100003,MATCH(D63,'Incident'!$B$4:$B$100003,0)),IFERROR(INDEX('NC Management'!$F$4:$F$100003,MATCH(E63,'NC Management'!$B$4:$B$100003,0)),""))</f>
        <v>0</v>
      </c>
      <c r="H63" s="6"/>
      <c r="I63" s="6"/>
      <c r="J63" s="6"/>
      <c r="K63" s="6"/>
      <c r="L63" s="6"/>
      <c r="M63" s="6"/>
      <c r="N63" s="6"/>
      <c r="O63" s="6"/>
      <c r="P63" s="1"/>
    </row>
    <row r="64" spans="1:16">
      <c r="A64" s="1">
        <v>61</v>
      </c>
      <c r="B64" s="6"/>
      <c r="C64" s="5"/>
      <c r="D64" s="1"/>
      <c r="E64" s="1"/>
      <c r="F64" s="2">
        <f>IFERROR(INDEX('Incident'!$H$4:$H$100003,MATCH(D64,'Incident'!$B$4:$B$100003,0)),IFERROR(INDEX('NC Management'!$G$4:$G$100003,MATCH(E64,'NC Management'!$B$4:$B$100003,0)),""))</f>
        <v>0</v>
      </c>
      <c r="G64" s="2">
        <f>IFERROR(INDEX('Incident'!$N$4:$N$100003,MATCH(D64,'Incident'!$B$4:$B$100003,0)),IFERROR(INDEX('NC Management'!$F$4:$F$100003,MATCH(E64,'NC Management'!$B$4:$B$100003,0)),""))</f>
        <v>0</v>
      </c>
      <c r="H64" s="6"/>
      <c r="I64" s="6"/>
      <c r="J64" s="6"/>
      <c r="K64" s="6"/>
      <c r="L64" s="6"/>
      <c r="M64" s="6"/>
      <c r="N64" s="6"/>
      <c r="O64" s="6"/>
      <c r="P64" s="1"/>
    </row>
    <row r="65" spans="1:16">
      <c r="A65" s="1">
        <v>62</v>
      </c>
      <c r="B65" s="6"/>
      <c r="C65" s="5"/>
      <c r="D65" s="1"/>
      <c r="E65" s="1"/>
      <c r="F65" s="2">
        <f>IFERROR(INDEX('Incident'!$H$4:$H$100003,MATCH(D65,'Incident'!$B$4:$B$100003,0)),IFERROR(INDEX('NC Management'!$G$4:$G$100003,MATCH(E65,'NC Management'!$B$4:$B$100003,0)),""))</f>
        <v>0</v>
      </c>
      <c r="G65" s="2">
        <f>IFERROR(INDEX('Incident'!$N$4:$N$100003,MATCH(D65,'Incident'!$B$4:$B$100003,0)),IFERROR(INDEX('NC Management'!$F$4:$F$100003,MATCH(E65,'NC Management'!$B$4:$B$100003,0)),""))</f>
        <v>0</v>
      </c>
      <c r="H65" s="6"/>
      <c r="I65" s="6"/>
      <c r="J65" s="6"/>
      <c r="K65" s="6"/>
      <c r="L65" s="6"/>
      <c r="M65" s="6"/>
      <c r="N65" s="6"/>
      <c r="O65" s="6"/>
      <c r="P65" s="1"/>
    </row>
    <row r="66" spans="1:16">
      <c r="A66" s="1">
        <v>63</v>
      </c>
      <c r="B66" s="6"/>
      <c r="C66" s="5"/>
      <c r="D66" s="1"/>
      <c r="E66" s="1"/>
      <c r="F66" s="2">
        <f>IFERROR(INDEX('Incident'!$H$4:$H$100003,MATCH(D66,'Incident'!$B$4:$B$100003,0)),IFERROR(INDEX('NC Management'!$G$4:$G$100003,MATCH(E66,'NC Management'!$B$4:$B$100003,0)),""))</f>
        <v>0</v>
      </c>
      <c r="G66" s="2">
        <f>IFERROR(INDEX('Incident'!$N$4:$N$100003,MATCH(D66,'Incident'!$B$4:$B$100003,0)),IFERROR(INDEX('NC Management'!$F$4:$F$100003,MATCH(E66,'NC Management'!$B$4:$B$100003,0)),""))</f>
        <v>0</v>
      </c>
      <c r="H66" s="6"/>
      <c r="I66" s="6"/>
      <c r="J66" s="6"/>
      <c r="K66" s="6"/>
      <c r="L66" s="6"/>
      <c r="M66" s="6"/>
      <c r="N66" s="6"/>
      <c r="O66" s="6"/>
      <c r="P66" s="1"/>
    </row>
    <row r="67" spans="1:16">
      <c r="A67" s="1">
        <v>64</v>
      </c>
      <c r="B67" s="6"/>
      <c r="C67" s="5"/>
      <c r="D67" s="1"/>
      <c r="E67" s="1"/>
      <c r="F67" s="2">
        <f>IFERROR(INDEX('Incident'!$H$4:$H$100003,MATCH(D67,'Incident'!$B$4:$B$100003,0)),IFERROR(INDEX('NC Management'!$G$4:$G$100003,MATCH(E67,'NC Management'!$B$4:$B$100003,0)),""))</f>
        <v>0</v>
      </c>
      <c r="G67" s="2">
        <f>IFERROR(INDEX('Incident'!$N$4:$N$100003,MATCH(D67,'Incident'!$B$4:$B$100003,0)),IFERROR(INDEX('NC Management'!$F$4:$F$100003,MATCH(E67,'NC Management'!$B$4:$B$100003,0)),""))</f>
        <v>0</v>
      </c>
      <c r="H67" s="6"/>
      <c r="I67" s="6"/>
      <c r="J67" s="6"/>
      <c r="K67" s="6"/>
      <c r="L67" s="6"/>
      <c r="M67" s="6"/>
      <c r="N67" s="6"/>
      <c r="O67" s="6"/>
      <c r="P67" s="1"/>
    </row>
    <row r="68" spans="1:16">
      <c r="A68" s="1">
        <v>65</v>
      </c>
      <c r="B68" s="6"/>
      <c r="C68" s="5"/>
      <c r="D68" s="1"/>
      <c r="E68" s="1"/>
      <c r="F68" s="2">
        <f>IFERROR(INDEX('Incident'!$H$4:$H$100003,MATCH(D68,'Incident'!$B$4:$B$100003,0)),IFERROR(INDEX('NC Management'!$G$4:$G$100003,MATCH(E68,'NC Management'!$B$4:$B$100003,0)),""))</f>
        <v>0</v>
      </c>
      <c r="G68" s="2">
        <f>IFERROR(INDEX('Incident'!$N$4:$N$100003,MATCH(D68,'Incident'!$B$4:$B$100003,0)),IFERROR(INDEX('NC Management'!$F$4:$F$100003,MATCH(E68,'NC Management'!$B$4:$B$100003,0)),""))</f>
        <v>0</v>
      </c>
      <c r="H68" s="6"/>
      <c r="I68" s="6"/>
      <c r="J68" s="6"/>
      <c r="K68" s="6"/>
      <c r="L68" s="6"/>
      <c r="M68" s="6"/>
      <c r="N68" s="6"/>
      <c r="O68" s="6"/>
      <c r="P68" s="1"/>
    </row>
    <row r="69" spans="1:16">
      <c r="A69" s="1">
        <v>66</v>
      </c>
      <c r="B69" s="6"/>
      <c r="C69" s="5"/>
      <c r="D69" s="1"/>
      <c r="E69" s="1"/>
      <c r="F69" s="2">
        <f>IFERROR(INDEX('Incident'!$H$4:$H$100003,MATCH(D69,'Incident'!$B$4:$B$100003,0)),IFERROR(INDEX('NC Management'!$G$4:$G$100003,MATCH(E69,'NC Management'!$B$4:$B$100003,0)),""))</f>
        <v>0</v>
      </c>
      <c r="G69" s="2">
        <f>IFERROR(INDEX('Incident'!$N$4:$N$100003,MATCH(D69,'Incident'!$B$4:$B$100003,0)),IFERROR(INDEX('NC Management'!$F$4:$F$100003,MATCH(E69,'NC Management'!$B$4:$B$100003,0)),""))</f>
        <v>0</v>
      </c>
      <c r="H69" s="6"/>
      <c r="I69" s="6"/>
      <c r="J69" s="6"/>
      <c r="K69" s="6"/>
      <c r="L69" s="6"/>
      <c r="M69" s="6"/>
      <c r="N69" s="6"/>
      <c r="O69" s="6"/>
      <c r="P69" s="1"/>
    </row>
    <row r="70" spans="1:16">
      <c r="A70" s="1">
        <v>67</v>
      </c>
      <c r="B70" s="6"/>
      <c r="C70" s="5"/>
      <c r="D70" s="1"/>
      <c r="E70" s="1"/>
      <c r="F70" s="2">
        <f>IFERROR(INDEX('Incident'!$H$4:$H$100003,MATCH(D70,'Incident'!$B$4:$B$100003,0)),IFERROR(INDEX('NC Management'!$G$4:$G$100003,MATCH(E70,'NC Management'!$B$4:$B$100003,0)),""))</f>
        <v>0</v>
      </c>
      <c r="G70" s="2">
        <f>IFERROR(INDEX('Incident'!$N$4:$N$100003,MATCH(D70,'Incident'!$B$4:$B$100003,0)),IFERROR(INDEX('NC Management'!$F$4:$F$100003,MATCH(E70,'NC Management'!$B$4:$B$100003,0)),""))</f>
        <v>0</v>
      </c>
      <c r="H70" s="6"/>
      <c r="I70" s="6"/>
      <c r="J70" s="6"/>
      <c r="K70" s="6"/>
      <c r="L70" s="6"/>
      <c r="M70" s="6"/>
      <c r="N70" s="6"/>
      <c r="O70" s="6"/>
      <c r="P70" s="1"/>
    </row>
    <row r="71" spans="1:16">
      <c r="A71" s="1">
        <v>68</v>
      </c>
      <c r="B71" s="6"/>
      <c r="C71" s="5"/>
      <c r="D71" s="1"/>
      <c r="E71" s="1"/>
      <c r="F71" s="2">
        <f>IFERROR(INDEX('Incident'!$H$4:$H$100003,MATCH(D71,'Incident'!$B$4:$B$100003,0)),IFERROR(INDEX('NC Management'!$G$4:$G$100003,MATCH(E71,'NC Management'!$B$4:$B$100003,0)),""))</f>
        <v>0</v>
      </c>
      <c r="G71" s="2">
        <f>IFERROR(INDEX('Incident'!$N$4:$N$100003,MATCH(D71,'Incident'!$B$4:$B$100003,0)),IFERROR(INDEX('NC Management'!$F$4:$F$100003,MATCH(E71,'NC Management'!$B$4:$B$100003,0)),""))</f>
        <v>0</v>
      </c>
      <c r="H71" s="6"/>
      <c r="I71" s="6"/>
      <c r="J71" s="6"/>
      <c r="K71" s="6"/>
      <c r="L71" s="6"/>
      <c r="M71" s="6"/>
      <c r="N71" s="6"/>
      <c r="O71" s="6"/>
      <c r="P71" s="1"/>
    </row>
    <row r="72" spans="1:16">
      <c r="A72" s="1">
        <v>69</v>
      </c>
      <c r="B72" s="6"/>
      <c r="C72" s="5"/>
      <c r="D72" s="1"/>
      <c r="E72" s="1"/>
      <c r="F72" s="2">
        <f>IFERROR(INDEX('Incident'!$H$4:$H$100003,MATCH(D72,'Incident'!$B$4:$B$100003,0)),IFERROR(INDEX('NC Management'!$G$4:$G$100003,MATCH(E72,'NC Management'!$B$4:$B$100003,0)),""))</f>
        <v>0</v>
      </c>
      <c r="G72" s="2">
        <f>IFERROR(INDEX('Incident'!$N$4:$N$100003,MATCH(D72,'Incident'!$B$4:$B$100003,0)),IFERROR(INDEX('NC Management'!$F$4:$F$100003,MATCH(E72,'NC Management'!$B$4:$B$100003,0)),""))</f>
        <v>0</v>
      </c>
      <c r="H72" s="6"/>
      <c r="I72" s="6"/>
      <c r="J72" s="6"/>
      <c r="K72" s="6"/>
      <c r="L72" s="6"/>
      <c r="M72" s="6"/>
      <c r="N72" s="6"/>
      <c r="O72" s="6"/>
      <c r="P72" s="1"/>
    </row>
    <row r="73" spans="1:16">
      <c r="A73" s="1">
        <v>70</v>
      </c>
      <c r="B73" s="6"/>
      <c r="C73" s="5"/>
      <c r="D73" s="1"/>
      <c r="E73" s="1"/>
      <c r="F73" s="2">
        <f>IFERROR(INDEX('Incident'!$H$4:$H$100003,MATCH(D73,'Incident'!$B$4:$B$100003,0)),IFERROR(INDEX('NC Management'!$G$4:$G$100003,MATCH(E73,'NC Management'!$B$4:$B$100003,0)),""))</f>
        <v>0</v>
      </c>
      <c r="G73" s="2">
        <f>IFERROR(INDEX('Incident'!$N$4:$N$100003,MATCH(D73,'Incident'!$B$4:$B$100003,0)),IFERROR(INDEX('NC Management'!$F$4:$F$100003,MATCH(E73,'NC Management'!$B$4:$B$100003,0)),""))</f>
        <v>0</v>
      </c>
      <c r="H73" s="6"/>
      <c r="I73" s="6"/>
      <c r="J73" s="6"/>
      <c r="K73" s="6"/>
      <c r="L73" s="6"/>
      <c r="M73" s="6"/>
      <c r="N73" s="6"/>
      <c r="O73" s="6"/>
      <c r="P73" s="1"/>
    </row>
    <row r="74" spans="1:16">
      <c r="A74" s="1">
        <v>71</v>
      </c>
      <c r="B74" s="6"/>
      <c r="C74" s="5"/>
      <c r="D74" s="1"/>
      <c r="E74" s="1"/>
      <c r="F74" s="2">
        <f>IFERROR(INDEX('Incident'!$H$4:$H$100003,MATCH(D74,'Incident'!$B$4:$B$100003,0)),IFERROR(INDEX('NC Management'!$G$4:$G$100003,MATCH(E74,'NC Management'!$B$4:$B$100003,0)),""))</f>
        <v>0</v>
      </c>
      <c r="G74" s="2">
        <f>IFERROR(INDEX('Incident'!$N$4:$N$100003,MATCH(D74,'Incident'!$B$4:$B$100003,0)),IFERROR(INDEX('NC Management'!$F$4:$F$100003,MATCH(E74,'NC Management'!$B$4:$B$100003,0)),""))</f>
        <v>0</v>
      </c>
      <c r="H74" s="6"/>
      <c r="I74" s="6"/>
      <c r="J74" s="6"/>
      <c r="K74" s="6"/>
      <c r="L74" s="6"/>
      <c r="M74" s="6"/>
      <c r="N74" s="6"/>
      <c r="O74" s="6"/>
      <c r="P74" s="1"/>
    </row>
    <row r="75" spans="1:16">
      <c r="A75" s="1">
        <v>72</v>
      </c>
      <c r="B75" s="6"/>
      <c r="C75" s="5"/>
      <c r="D75" s="1"/>
      <c r="E75" s="1"/>
      <c r="F75" s="2">
        <f>IFERROR(INDEX('Incident'!$H$4:$H$100003,MATCH(D75,'Incident'!$B$4:$B$100003,0)),IFERROR(INDEX('NC Management'!$G$4:$G$100003,MATCH(E75,'NC Management'!$B$4:$B$100003,0)),""))</f>
        <v>0</v>
      </c>
      <c r="G75" s="2">
        <f>IFERROR(INDEX('Incident'!$N$4:$N$100003,MATCH(D75,'Incident'!$B$4:$B$100003,0)),IFERROR(INDEX('NC Management'!$F$4:$F$100003,MATCH(E75,'NC Management'!$B$4:$B$100003,0)),""))</f>
        <v>0</v>
      </c>
      <c r="H75" s="6"/>
      <c r="I75" s="6"/>
      <c r="J75" s="6"/>
      <c r="K75" s="6"/>
      <c r="L75" s="6"/>
      <c r="M75" s="6"/>
      <c r="N75" s="6"/>
      <c r="O75" s="6"/>
      <c r="P75" s="1"/>
    </row>
    <row r="76" spans="1:16">
      <c r="A76" s="1">
        <v>73</v>
      </c>
      <c r="B76" s="6"/>
      <c r="C76" s="5"/>
      <c r="D76" s="1"/>
      <c r="E76" s="1"/>
      <c r="F76" s="2">
        <f>IFERROR(INDEX('Incident'!$H$4:$H$100003,MATCH(D76,'Incident'!$B$4:$B$100003,0)),IFERROR(INDEX('NC Management'!$G$4:$G$100003,MATCH(E76,'NC Management'!$B$4:$B$100003,0)),""))</f>
        <v>0</v>
      </c>
      <c r="G76" s="2">
        <f>IFERROR(INDEX('Incident'!$N$4:$N$100003,MATCH(D76,'Incident'!$B$4:$B$100003,0)),IFERROR(INDEX('NC Management'!$F$4:$F$100003,MATCH(E76,'NC Management'!$B$4:$B$100003,0)),""))</f>
        <v>0</v>
      </c>
      <c r="H76" s="6"/>
      <c r="I76" s="6"/>
      <c r="J76" s="6"/>
      <c r="K76" s="6"/>
      <c r="L76" s="6"/>
      <c r="M76" s="6"/>
      <c r="N76" s="6"/>
      <c r="O76" s="6"/>
      <c r="P76" s="1"/>
    </row>
    <row r="77" spans="1:16">
      <c r="A77" s="1">
        <v>74</v>
      </c>
      <c r="B77" s="6"/>
      <c r="C77" s="5"/>
      <c r="D77" s="1"/>
      <c r="E77" s="1"/>
      <c r="F77" s="2">
        <f>IFERROR(INDEX('Incident'!$H$4:$H$100003,MATCH(D77,'Incident'!$B$4:$B$100003,0)),IFERROR(INDEX('NC Management'!$G$4:$G$100003,MATCH(E77,'NC Management'!$B$4:$B$100003,0)),""))</f>
        <v>0</v>
      </c>
      <c r="G77" s="2">
        <f>IFERROR(INDEX('Incident'!$N$4:$N$100003,MATCH(D77,'Incident'!$B$4:$B$100003,0)),IFERROR(INDEX('NC Management'!$F$4:$F$100003,MATCH(E77,'NC Management'!$B$4:$B$100003,0)),""))</f>
        <v>0</v>
      </c>
      <c r="H77" s="6"/>
      <c r="I77" s="6"/>
      <c r="J77" s="6"/>
      <c r="K77" s="6"/>
      <c r="L77" s="6"/>
      <c r="M77" s="6"/>
      <c r="N77" s="6"/>
      <c r="O77" s="6"/>
      <c r="P77" s="1"/>
    </row>
    <row r="78" spans="1:16">
      <c r="A78" s="1">
        <v>75</v>
      </c>
      <c r="B78" s="6"/>
      <c r="C78" s="5"/>
      <c r="D78" s="1"/>
      <c r="E78" s="1"/>
      <c r="F78" s="2">
        <f>IFERROR(INDEX('Incident'!$H$4:$H$100003,MATCH(D78,'Incident'!$B$4:$B$100003,0)),IFERROR(INDEX('NC Management'!$G$4:$G$100003,MATCH(E78,'NC Management'!$B$4:$B$100003,0)),""))</f>
        <v>0</v>
      </c>
      <c r="G78" s="2">
        <f>IFERROR(INDEX('Incident'!$N$4:$N$100003,MATCH(D78,'Incident'!$B$4:$B$100003,0)),IFERROR(INDEX('NC Management'!$F$4:$F$100003,MATCH(E78,'NC Management'!$B$4:$B$100003,0)),""))</f>
        <v>0</v>
      </c>
      <c r="H78" s="6"/>
      <c r="I78" s="6"/>
      <c r="J78" s="6"/>
      <c r="K78" s="6"/>
      <c r="L78" s="6"/>
      <c r="M78" s="6"/>
      <c r="N78" s="6"/>
      <c r="O78" s="6"/>
      <c r="P78" s="1"/>
    </row>
    <row r="79" spans="1:16">
      <c r="A79" s="1">
        <v>76</v>
      </c>
      <c r="B79" s="6"/>
      <c r="C79" s="5"/>
      <c r="D79" s="1"/>
      <c r="E79" s="1"/>
      <c r="F79" s="2">
        <f>IFERROR(INDEX('Incident'!$H$4:$H$100003,MATCH(D79,'Incident'!$B$4:$B$100003,0)),IFERROR(INDEX('NC Management'!$G$4:$G$100003,MATCH(E79,'NC Management'!$B$4:$B$100003,0)),""))</f>
        <v>0</v>
      </c>
      <c r="G79" s="2">
        <f>IFERROR(INDEX('Incident'!$N$4:$N$100003,MATCH(D79,'Incident'!$B$4:$B$100003,0)),IFERROR(INDEX('NC Management'!$F$4:$F$100003,MATCH(E79,'NC Management'!$B$4:$B$100003,0)),""))</f>
        <v>0</v>
      </c>
      <c r="H79" s="6"/>
      <c r="I79" s="6"/>
      <c r="J79" s="6"/>
      <c r="K79" s="6"/>
      <c r="L79" s="6"/>
      <c r="M79" s="6"/>
      <c r="N79" s="6"/>
      <c r="O79" s="6"/>
      <c r="P79" s="1"/>
    </row>
    <row r="80" spans="1:16">
      <c r="A80" s="1">
        <v>77</v>
      </c>
      <c r="B80" s="6"/>
      <c r="C80" s="5"/>
      <c r="D80" s="1"/>
      <c r="E80" s="1"/>
      <c r="F80" s="2">
        <f>IFERROR(INDEX('Incident'!$H$4:$H$100003,MATCH(D80,'Incident'!$B$4:$B$100003,0)),IFERROR(INDEX('NC Management'!$G$4:$G$100003,MATCH(E80,'NC Management'!$B$4:$B$100003,0)),""))</f>
        <v>0</v>
      </c>
      <c r="G80" s="2">
        <f>IFERROR(INDEX('Incident'!$N$4:$N$100003,MATCH(D80,'Incident'!$B$4:$B$100003,0)),IFERROR(INDEX('NC Management'!$F$4:$F$100003,MATCH(E80,'NC Management'!$B$4:$B$100003,0)),""))</f>
        <v>0</v>
      </c>
      <c r="H80" s="6"/>
      <c r="I80" s="6"/>
      <c r="J80" s="6"/>
      <c r="K80" s="6"/>
      <c r="L80" s="6"/>
      <c r="M80" s="6"/>
      <c r="N80" s="6"/>
      <c r="O80" s="6"/>
      <c r="P80" s="1"/>
    </row>
    <row r="81" spans="1:16">
      <c r="A81" s="1">
        <v>78</v>
      </c>
      <c r="B81" s="6"/>
      <c r="C81" s="5"/>
      <c r="D81" s="1"/>
      <c r="E81" s="1"/>
      <c r="F81" s="2">
        <f>IFERROR(INDEX('Incident'!$H$4:$H$100003,MATCH(D81,'Incident'!$B$4:$B$100003,0)),IFERROR(INDEX('NC Management'!$G$4:$G$100003,MATCH(E81,'NC Management'!$B$4:$B$100003,0)),""))</f>
        <v>0</v>
      </c>
      <c r="G81" s="2">
        <f>IFERROR(INDEX('Incident'!$N$4:$N$100003,MATCH(D81,'Incident'!$B$4:$B$100003,0)),IFERROR(INDEX('NC Management'!$F$4:$F$100003,MATCH(E81,'NC Management'!$B$4:$B$100003,0)),""))</f>
        <v>0</v>
      </c>
      <c r="H81" s="6"/>
      <c r="I81" s="6"/>
      <c r="J81" s="6"/>
      <c r="K81" s="6"/>
      <c r="L81" s="6"/>
      <c r="M81" s="6"/>
      <c r="N81" s="6"/>
      <c r="O81" s="6"/>
      <c r="P81" s="1"/>
    </row>
    <row r="82" spans="1:16">
      <c r="A82" s="1">
        <v>79</v>
      </c>
      <c r="B82" s="6"/>
      <c r="C82" s="5"/>
      <c r="D82" s="1"/>
      <c r="E82" s="1"/>
      <c r="F82" s="2">
        <f>IFERROR(INDEX('Incident'!$H$4:$H$100003,MATCH(D82,'Incident'!$B$4:$B$100003,0)),IFERROR(INDEX('NC Management'!$G$4:$G$100003,MATCH(E82,'NC Management'!$B$4:$B$100003,0)),""))</f>
        <v>0</v>
      </c>
      <c r="G82" s="2">
        <f>IFERROR(INDEX('Incident'!$N$4:$N$100003,MATCH(D82,'Incident'!$B$4:$B$100003,0)),IFERROR(INDEX('NC Management'!$F$4:$F$100003,MATCH(E82,'NC Management'!$B$4:$B$100003,0)),""))</f>
        <v>0</v>
      </c>
      <c r="H82" s="6"/>
      <c r="I82" s="6"/>
      <c r="J82" s="6"/>
      <c r="K82" s="6"/>
      <c r="L82" s="6"/>
      <c r="M82" s="6"/>
      <c r="N82" s="6"/>
      <c r="O82" s="6"/>
      <c r="P82" s="1"/>
    </row>
    <row r="83" spans="1:16">
      <c r="A83" s="1">
        <v>80</v>
      </c>
      <c r="B83" s="6"/>
      <c r="C83" s="5"/>
      <c r="D83" s="1"/>
      <c r="E83" s="1"/>
      <c r="F83" s="2">
        <f>IFERROR(INDEX('Incident'!$H$4:$H$100003,MATCH(D83,'Incident'!$B$4:$B$100003,0)),IFERROR(INDEX('NC Management'!$G$4:$G$100003,MATCH(E83,'NC Management'!$B$4:$B$100003,0)),""))</f>
        <v>0</v>
      </c>
      <c r="G83" s="2">
        <f>IFERROR(INDEX('Incident'!$N$4:$N$100003,MATCH(D83,'Incident'!$B$4:$B$100003,0)),IFERROR(INDEX('NC Management'!$F$4:$F$100003,MATCH(E83,'NC Management'!$B$4:$B$100003,0)),""))</f>
        <v>0</v>
      </c>
      <c r="H83" s="6"/>
      <c r="I83" s="6"/>
      <c r="J83" s="6"/>
      <c r="K83" s="6"/>
      <c r="L83" s="6"/>
      <c r="M83" s="6"/>
      <c r="N83" s="6"/>
      <c r="O83" s="6"/>
      <c r="P83" s="1"/>
    </row>
    <row r="84" spans="1:16">
      <c r="A84" s="1">
        <v>81</v>
      </c>
      <c r="B84" s="6"/>
      <c r="C84" s="5"/>
      <c r="D84" s="1"/>
      <c r="E84" s="1"/>
      <c r="F84" s="2">
        <f>IFERROR(INDEX('Incident'!$H$4:$H$100003,MATCH(D84,'Incident'!$B$4:$B$100003,0)),IFERROR(INDEX('NC Management'!$G$4:$G$100003,MATCH(E84,'NC Management'!$B$4:$B$100003,0)),""))</f>
        <v>0</v>
      </c>
      <c r="G84" s="2">
        <f>IFERROR(INDEX('Incident'!$N$4:$N$100003,MATCH(D84,'Incident'!$B$4:$B$100003,0)),IFERROR(INDEX('NC Management'!$F$4:$F$100003,MATCH(E84,'NC Management'!$B$4:$B$100003,0)),""))</f>
        <v>0</v>
      </c>
      <c r="H84" s="6"/>
      <c r="I84" s="6"/>
      <c r="J84" s="6"/>
      <c r="K84" s="6"/>
      <c r="L84" s="6"/>
      <c r="M84" s="6"/>
      <c r="N84" s="6"/>
      <c r="O84" s="6"/>
      <c r="P84" s="1"/>
    </row>
    <row r="85" spans="1:16">
      <c r="A85" s="1">
        <v>82</v>
      </c>
      <c r="B85" s="6"/>
      <c r="C85" s="5"/>
      <c r="D85" s="1"/>
      <c r="E85" s="1"/>
      <c r="F85" s="2">
        <f>IFERROR(INDEX('Incident'!$H$4:$H$100003,MATCH(D85,'Incident'!$B$4:$B$100003,0)),IFERROR(INDEX('NC Management'!$G$4:$G$100003,MATCH(E85,'NC Management'!$B$4:$B$100003,0)),""))</f>
        <v>0</v>
      </c>
      <c r="G85" s="2">
        <f>IFERROR(INDEX('Incident'!$N$4:$N$100003,MATCH(D85,'Incident'!$B$4:$B$100003,0)),IFERROR(INDEX('NC Management'!$F$4:$F$100003,MATCH(E85,'NC Management'!$B$4:$B$100003,0)),""))</f>
        <v>0</v>
      </c>
      <c r="H85" s="6"/>
      <c r="I85" s="6"/>
      <c r="J85" s="6"/>
      <c r="K85" s="6"/>
      <c r="L85" s="6"/>
      <c r="M85" s="6"/>
      <c r="N85" s="6"/>
      <c r="O85" s="6"/>
      <c r="P85" s="1"/>
    </row>
    <row r="86" spans="1:16">
      <c r="A86" s="1">
        <v>83</v>
      </c>
      <c r="B86" s="6"/>
      <c r="C86" s="5"/>
      <c r="D86" s="1"/>
      <c r="E86" s="1"/>
      <c r="F86" s="2">
        <f>IFERROR(INDEX('Incident'!$H$4:$H$100003,MATCH(D86,'Incident'!$B$4:$B$100003,0)),IFERROR(INDEX('NC Management'!$G$4:$G$100003,MATCH(E86,'NC Management'!$B$4:$B$100003,0)),""))</f>
        <v>0</v>
      </c>
      <c r="G86" s="2">
        <f>IFERROR(INDEX('Incident'!$N$4:$N$100003,MATCH(D86,'Incident'!$B$4:$B$100003,0)),IFERROR(INDEX('NC Management'!$F$4:$F$100003,MATCH(E86,'NC Management'!$B$4:$B$100003,0)),""))</f>
        <v>0</v>
      </c>
      <c r="H86" s="6"/>
      <c r="I86" s="6"/>
      <c r="J86" s="6"/>
      <c r="K86" s="6"/>
      <c r="L86" s="6"/>
      <c r="M86" s="6"/>
      <c r="N86" s="6"/>
      <c r="O86" s="6"/>
      <c r="P86" s="1"/>
    </row>
    <row r="87" spans="1:16">
      <c r="A87" s="1">
        <v>84</v>
      </c>
      <c r="B87" s="6"/>
      <c r="C87" s="5"/>
      <c r="D87" s="1"/>
      <c r="E87" s="1"/>
      <c r="F87" s="2">
        <f>IFERROR(INDEX('Incident'!$H$4:$H$100003,MATCH(D87,'Incident'!$B$4:$B$100003,0)),IFERROR(INDEX('NC Management'!$G$4:$G$100003,MATCH(E87,'NC Management'!$B$4:$B$100003,0)),""))</f>
        <v>0</v>
      </c>
      <c r="G87" s="2">
        <f>IFERROR(INDEX('Incident'!$N$4:$N$100003,MATCH(D87,'Incident'!$B$4:$B$100003,0)),IFERROR(INDEX('NC Management'!$F$4:$F$100003,MATCH(E87,'NC Management'!$B$4:$B$100003,0)),""))</f>
        <v>0</v>
      </c>
      <c r="H87" s="6"/>
      <c r="I87" s="6"/>
      <c r="J87" s="6"/>
      <c r="K87" s="6"/>
      <c r="L87" s="6"/>
      <c r="M87" s="6"/>
      <c r="N87" s="6"/>
      <c r="O87" s="6"/>
      <c r="P87" s="1"/>
    </row>
    <row r="88" spans="1:16">
      <c r="A88" s="1">
        <v>85</v>
      </c>
      <c r="B88" s="6"/>
      <c r="C88" s="5"/>
      <c r="D88" s="1"/>
      <c r="E88" s="1"/>
      <c r="F88" s="2">
        <f>IFERROR(INDEX('Incident'!$H$4:$H$100003,MATCH(D88,'Incident'!$B$4:$B$100003,0)),IFERROR(INDEX('NC Management'!$G$4:$G$100003,MATCH(E88,'NC Management'!$B$4:$B$100003,0)),""))</f>
        <v>0</v>
      </c>
      <c r="G88" s="2">
        <f>IFERROR(INDEX('Incident'!$N$4:$N$100003,MATCH(D88,'Incident'!$B$4:$B$100003,0)),IFERROR(INDEX('NC Management'!$F$4:$F$100003,MATCH(E88,'NC Management'!$B$4:$B$100003,0)),""))</f>
        <v>0</v>
      </c>
      <c r="H88" s="6"/>
      <c r="I88" s="6"/>
      <c r="J88" s="6"/>
      <c r="K88" s="6"/>
      <c r="L88" s="6"/>
      <c r="M88" s="6"/>
      <c r="N88" s="6"/>
      <c r="O88" s="6"/>
      <c r="P88" s="1"/>
    </row>
    <row r="89" spans="1:16">
      <c r="A89" s="1">
        <v>86</v>
      </c>
      <c r="B89" s="6"/>
      <c r="C89" s="5"/>
      <c r="D89" s="1"/>
      <c r="E89" s="1"/>
      <c r="F89" s="2">
        <f>IFERROR(INDEX('Incident'!$H$4:$H$100003,MATCH(D89,'Incident'!$B$4:$B$100003,0)),IFERROR(INDEX('NC Management'!$G$4:$G$100003,MATCH(E89,'NC Management'!$B$4:$B$100003,0)),""))</f>
        <v>0</v>
      </c>
      <c r="G89" s="2">
        <f>IFERROR(INDEX('Incident'!$N$4:$N$100003,MATCH(D89,'Incident'!$B$4:$B$100003,0)),IFERROR(INDEX('NC Management'!$F$4:$F$100003,MATCH(E89,'NC Management'!$B$4:$B$100003,0)),""))</f>
        <v>0</v>
      </c>
      <c r="H89" s="6"/>
      <c r="I89" s="6"/>
      <c r="J89" s="6"/>
      <c r="K89" s="6"/>
      <c r="L89" s="6"/>
      <c r="M89" s="6"/>
      <c r="N89" s="6"/>
      <c r="O89" s="6"/>
      <c r="P89" s="1"/>
    </row>
    <row r="90" spans="1:16">
      <c r="A90" s="1">
        <v>87</v>
      </c>
      <c r="B90" s="6"/>
      <c r="C90" s="5"/>
      <c r="D90" s="1"/>
      <c r="E90" s="1"/>
      <c r="F90" s="2">
        <f>IFERROR(INDEX('Incident'!$H$4:$H$100003,MATCH(D90,'Incident'!$B$4:$B$100003,0)),IFERROR(INDEX('NC Management'!$G$4:$G$100003,MATCH(E90,'NC Management'!$B$4:$B$100003,0)),""))</f>
        <v>0</v>
      </c>
      <c r="G90" s="2">
        <f>IFERROR(INDEX('Incident'!$N$4:$N$100003,MATCH(D90,'Incident'!$B$4:$B$100003,0)),IFERROR(INDEX('NC Management'!$F$4:$F$100003,MATCH(E90,'NC Management'!$B$4:$B$100003,0)),""))</f>
        <v>0</v>
      </c>
      <c r="H90" s="6"/>
      <c r="I90" s="6"/>
      <c r="J90" s="6"/>
      <c r="K90" s="6"/>
      <c r="L90" s="6"/>
      <c r="M90" s="6"/>
      <c r="N90" s="6"/>
      <c r="O90" s="6"/>
      <c r="P90" s="1"/>
    </row>
    <row r="91" spans="1:16">
      <c r="A91" s="1">
        <v>88</v>
      </c>
      <c r="B91" s="6"/>
      <c r="C91" s="5"/>
      <c r="D91" s="1"/>
      <c r="E91" s="1"/>
      <c r="F91" s="2">
        <f>IFERROR(INDEX('Incident'!$H$4:$H$100003,MATCH(D91,'Incident'!$B$4:$B$100003,0)),IFERROR(INDEX('NC Management'!$G$4:$G$100003,MATCH(E91,'NC Management'!$B$4:$B$100003,0)),""))</f>
        <v>0</v>
      </c>
      <c r="G91" s="2">
        <f>IFERROR(INDEX('Incident'!$N$4:$N$100003,MATCH(D91,'Incident'!$B$4:$B$100003,0)),IFERROR(INDEX('NC Management'!$F$4:$F$100003,MATCH(E91,'NC Management'!$B$4:$B$100003,0)),""))</f>
        <v>0</v>
      </c>
      <c r="H91" s="6"/>
      <c r="I91" s="6"/>
      <c r="J91" s="6"/>
      <c r="K91" s="6"/>
      <c r="L91" s="6"/>
      <c r="M91" s="6"/>
      <c r="N91" s="6"/>
      <c r="O91" s="6"/>
      <c r="P91" s="1"/>
    </row>
    <row r="92" spans="1:16">
      <c r="A92" s="1">
        <v>89</v>
      </c>
      <c r="B92" s="6"/>
      <c r="C92" s="5"/>
      <c r="D92" s="1"/>
      <c r="E92" s="1"/>
      <c r="F92" s="2">
        <f>IFERROR(INDEX('Incident'!$H$4:$H$100003,MATCH(D92,'Incident'!$B$4:$B$100003,0)),IFERROR(INDEX('NC Management'!$G$4:$G$100003,MATCH(E92,'NC Management'!$B$4:$B$100003,0)),""))</f>
        <v>0</v>
      </c>
      <c r="G92" s="2">
        <f>IFERROR(INDEX('Incident'!$N$4:$N$100003,MATCH(D92,'Incident'!$B$4:$B$100003,0)),IFERROR(INDEX('NC Management'!$F$4:$F$100003,MATCH(E92,'NC Management'!$B$4:$B$100003,0)),""))</f>
        <v>0</v>
      </c>
      <c r="H92" s="6"/>
      <c r="I92" s="6"/>
      <c r="J92" s="6"/>
      <c r="K92" s="6"/>
      <c r="L92" s="6"/>
      <c r="M92" s="6"/>
      <c r="N92" s="6"/>
      <c r="O92" s="6"/>
      <c r="P92" s="1"/>
    </row>
    <row r="93" spans="1:16">
      <c r="A93" s="1">
        <v>90</v>
      </c>
      <c r="B93" s="6"/>
      <c r="C93" s="5"/>
      <c r="D93" s="1"/>
      <c r="E93" s="1"/>
      <c r="F93" s="2">
        <f>IFERROR(INDEX('Incident'!$H$4:$H$100003,MATCH(D93,'Incident'!$B$4:$B$100003,0)),IFERROR(INDEX('NC Management'!$G$4:$G$100003,MATCH(E93,'NC Management'!$B$4:$B$100003,0)),""))</f>
        <v>0</v>
      </c>
      <c r="G93" s="2">
        <f>IFERROR(INDEX('Incident'!$N$4:$N$100003,MATCH(D93,'Incident'!$B$4:$B$100003,0)),IFERROR(INDEX('NC Management'!$F$4:$F$100003,MATCH(E93,'NC Management'!$B$4:$B$100003,0)),""))</f>
        <v>0</v>
      </c>
      <c r="H93" s="6"/>
      <c r="I93" s="6"/>
      <c r="J93" s="6"/>
      <c r="K93" s="6"/>
      <c r="L93" s="6"/>
      <c r="M93" s="6"/>
      <c r="N93" s="6"/>
      <c r="O93" s="6"/>
      <c r="P93" s="1"/>
    </row>
    <row r="94" spans="1:16">
      <c r="A94" s="1">
        <v>91</v>
      </c>
      <c r="B94" s="6"/>
      <c r="C94" s="5"/>
      <c r="D94" s="1"/>
      <c r="E94" s="1"/>
      <c r="F94" s="2">
        <f>IFERROR(INDEX('Incident'!$H$4:$H$100003,MATCH(D94,'Incident'!$B$4:$B$100003,0)),IFERROR(INDEX('NC Management'!$G$4:$G$100003,MATCH(E94,'NC Management'!$B$4:$B$100003,0)),""))</f>
        <v>0</v>
      </c>
      <c r="G94" s="2">
        <f>IFERROR(INDEX('Incident'!$N$4:$N$100003,MATCH(D94,'Incident'!$B$4:$B$100003,0)),IFERROR(INDEX('NC Management'!$F$4:$F$100003,MATCH(E94,'NC Management'!$B$4:$B$100003,0)),""))</f>
        <v>0</v>
      </c>
      <c r="H94" s="6"/>
      <c r="I94" s="6"/>
      <c r="J94" s="6"/>
      <c r="K94" s="6"/>
      <c r="L94" s="6"/>
      <c r="M94" s="6"/>
      <c r="N94" s="6"/>
      <c r="O94" s="6"/>
      <c r="P94" s="1"/>
    </row>
    <row r="95" spans="1:16">
      <c r="A95" s="1">
        <v>92</v>
      </c>
      <c r="B95" s="6"/>
      <c r="C95" s="5"/>
      <c r="D95" s="1"/>
      <c r="E95" s="1"/>
      <c r="F95" s="2">
        <f>IFERROR(INDEX('Incident'!$H$4:$H$100003,MATCH(D95,'Incident'!$B$4:$B$100003,0)),IFERROR(INDEX('NC Management'!$G$4:$G$100003,MATCH(E95,'NC Management'!$B$4:$B$100003,0)),""))</f>
        <v>0</v>
      </c>
      <c r="G95" s="2">
        <f>IFERROR(INDEX('Incident'!$N$4:$N$100003,MATCH(D95,'Incident'!$B$4:$B$100003,0)),IFERROR(INDEX('NC Management'!$F$4:$F$100003,MATCH(E95,'NC Management'!$B$4:$B$100003,0)),""))</f>
        <v>0</v>
      </c>
      <c r="H95" s="6"/>
      <c r="I95" s="6"/>
      <c r="J95" s="6"/>
      <c r="K95" s="6"/>
      <c r="L95" s="6"/>
      <c r="M95" s="6"/>
      <c r="N95" s="6"/>
      <c r="O95" s="6"/>
      <c r="P95" s="1"/>
    </row>
    <row r="96" spans="1:16">
      <c r="A96" s="1">
        <v>93</v>
      </c>
      <c r="B96" s="6"/>
      <c r="C96" s="5"/>
      <c r="D96" s="1"/>
      <c r="E96" s="1"/>
      <c r="F96" s="2">
        <f>IFERROR(INDEX('Incident'!$H$4:$H$100003,MATCH(D96,'Incident'!$B$4:$B$100003,0)),IFERROR(INDEX('NC Management'!$G$4:$G$100003,MATCH(E96,'NC Management'!$B$4:$B$100003,0)),""))</f>
        <v>0</v>
      </c>
      <c r="G96" s="2">
        <f>IFERROR(INDEX('Incident'!$N$4:$N$100003,MATCH(D96,'Incident'!$B$4:$B$100003,0)),IFERROR(INDEX('NC Management'!$F$4:$F$100003,MATCH(E96,'NC Management'!$B$4:$B$100003,0)),""))</f>
        <v>0</v>
      </c>
      <c r="H96" s="6"/>
      <c r="I96" s="6"/>
      <c r="J96" s="6"/>
      <c r="K96" s="6"/>
      <c r="L96" s="6"/>
      <c r="M96" s="6"/>
      <c r="N96" s="6"/>
      <c r="O96" s="6"/>
      <c r="P96" s="1"/>
    </row>
    <row r="97" spans="1:16">
      <c r="A97" s="1">
        <v>94</v>
      </c>
      <c r="B97" s="6"/>
      <c r="C97" s="5"/>
      <c r="D97" s="1"/>
      <c r="E97" s="1"/>
      <c r="F97" s="2">
        <f>IFERROR(INDEX('Incident'!$H$4:$H$100003,MATCH(D97,'Incident'!$B$4:$B$100003,0)),IFERROR(INDEX('NC Management'!$G$4:$G$100003,MATCH(E97,'NC Management'!$B$4:$B$100003,0)),""))</f>
        <v>0</v>
      </c>
      <c r="G97" s="2">
        <f>IFERROR(INDEX('Incident'!$N$4:$N$100003,MATCH(D97,'Incident'!$B$4:$B$100003,0)),IFERROR(INDEX('NC Management'!$F$4:$F$100003,MATCH(E97,'NC Management'!$B$4:$B$100003,0)),""))</f>
        <v>0</v>
      </c>
      <c r="H97" s="6"/>
      <c r="I97" s="6"/>
      <c r="J97" s="6"/>
      <c r="K97" s="6"/>
      <c r="L97" s="6"/>
      <c r="M97" s="6"/>
      <c r="N97" s="6"/>
      <c r="O97" s="6"/>
      <c r="P97" s="1"/>
    </row>
    <row r="98" spans="1:16">
      <c r="A98" s="1">
        <v>95</v>
      </c>
      <c r="B98" s="6"/>
      <c r="C98" s="5"/>
      <c r="D98" s="1"/>
      <c r="E98" s="1"/>
      <c r="F98" s="2">
        <f>IFERROR(INDEX('Incident'!$H$4:$H$100003,MATCH(D98,'Incident'!$B$4:$B$100003,0)),IFERROR(INDEX('NC Management'!$G$4:$G$100003,MATCH(E98,'NC Management'!$B$4:$B$100003,0)),""))</f>
        <v>0</v>
      </c>
      <c r="G98" s="2">
        <f>IFERROR(INDEX('Incident'!$N$4:$N$100003,MATCH(D98,'Incident'!$B$4:$B$100003,0)),IFERROR(INDEX('NC Management'!$F$4:$F$100003,MATCH(E98,'NC Management'!$B$4:$B$100003,0)),""))</f>
        <v>0</v>
      </c>
      <c r="H98" s="6"/>
      <c r="I98" s="6"/>
      <c r="J98" s="6"/>
      <c r="K98" s="6"/>
      <c r="L98" s="6"/>
      <c r="M98" s="6"/>
      <c r="N98" s="6"/>
      <c r="O98" s="6"/>
      <c r="P98" s="1"/>
    </row>
    <row r="99" spans="1:16">
      <c r="A99" s="1">
        <v>96</v>
      </c>
      <c r="B99" s="6"/>
      <c r="C99" s="5"/>
      <c r="D99" s="1"/>
      <c r="E99" s="1"/>
      <c r="F99" s="2">
        <f>IFERROR(INDEX('Incident'!$H$4:$H$100003,MATCH(D99,'Incident'!$B$4:$B$100003,0)),IFERROR(INDEX('NC Management'!$G$4:$G$100003,MATCH(E99,'NC Management'!$B$4:$B$100003,0)),""))</f>
        <v>0</v>
      </c>
      <c r="G99" s="2">
        <f>IFERROR(INDEX('Incident'!$N$4:$N$100003,MATCH(D99,'Incident'!$B$4:$B$100003,0)),IFERROR(INDEX('NC Management'!$F$4:$F$100003,MATCH(E99,'NC Management'!$B$4:$B$100003,0)),""))</f>
        <v>0</v>
      </c>
      <c r="H99" s="6"/>
      <c r="I99" s="6"/>
      <c r="J99" s="6"/>
      <c r="K99" s="6"/>
      <c r="L99" s="6"/>
      <c r="M99" s="6"/>
      <c r="N99" s="6"/>
      <c r="O99" s="6"/>
      <c r="P99" s="1"/>
    </row>
    <row r="100" spans="1:16">
      <c r="A100" s="1">
        <v>97</v>
      </c>
      <c r="B100" s="6"/>
      <c r="C100" s="5"/>
      <c r="D100" s="1"/>
      <c r="E100" s="1"/>
      <c r="F100" s="2">
        <f>IFERROR(INDEX('Incident'!$H$4:$H$100003,MATCH(D100,'Incident'!$B$4:$B$100003,0)),IFERROR(INDEX('NC Management'!$G$4:$G$100003,MATCH(E100,'NC Management'!$B$4:$B$100003,0)),""))</f>
        <v>0</v>
      </c>
      <c r="G100" s="2">
        <f>IFERROR(INDEX('Incident'!$N$4:$N$100003,MATCH(D100,'Incident'!$B$4:$B$100003,0)),IFERROR(INDEX('NC Management'!$F$4:$F$100003,MATCH(E100,'NC Management'!$B$4:$B$100003,0)),""))</f>
        <v>0</v>
      </c>
      <c r="H100" s="6"/>
      <c r="I100" s="6"/>
      <c r="J100" s="6"/>
      <c r="K100" s="6"/>
      <c r="L100" s="6"/>
      <c r="M100" s="6"/>
      <c r="N100" s="6"/>
      <c r="O100" s="6"/>
      <c r="P100" s="1"/>
    </row>
    <row r="101" spans="1:16">
      <c r="A101" s="1">
        <v>98</v>
      </c>
      <c r="B101" s="6"/>
      <c r="C101" s="5"/>
      <c r="D101" s="1"/>
      <c r="E101" s="1"/>
      <c r="F101" s="2">
        <f>IFERROR(INDEX('Incident'!$H$4:$H$100003,MATCH(D101,'Incident'!$B$4:$B$100003,0)),IFERROR(INDEX('NC Management'!$G$4:$G$100003,MATCH(E101,'NC Management'!$B$4:$B$100003,0)),""))</f>
        <v>0</v>
      </c>
      <c r="G101" s="2">
        <f>IFERROR(INDEX('Incident'!$N$4:$N$100003,MATCH(D101,'Incident'!$B$4:$B$100003,0)),IFERROR(INDEX('NC Management'!$F$4:$F$100003,MATCH(E101,'NC Management'!$B$4:$B$100003,0)),""))</f>
        <v>0</v>
      </c>
      <c r="H101" s="6"/>
      <c r="I101" s="6"/>
      <c r="J101" s="6"/>
      <c r="K101" s="6"/>
      <c r="L101" s="6"/>
      <c r="M101" s="6"/>
      <c r="N101" s="6"/>
      <c r="O101" s="6"/>
      <c r="P101" s="1"/>
    </row>
    <row r="102" spans="1:16">
      <c r="A102" s="1">
        <v>99</v>
      </c>
      <c r="B102" s="6"/>
      <c r="C102" s="5"/>
      <c r="D102" s="1"/>
      <c r="E102" s="1"/>
      <c r="F102" s="2">
        <f>IFERROR(INDEX('Incident'!$H$4:$H$100003,MATCH(D102,'Incident'!$B$4:$B$100003,0)),IFERROR(INDEX('NC Management'!$G$4:$G$100003,MATCH(E102,'NC Management'!$B$4:$B$100003,0)),""))</f>
        <v>0</v>
      </c>
      <c r="G102" s="2">
        <f>IFERROR(INDEX('Incident'!$N$4:$N$100003,MATCH(D102,'Incident'!$B$4:$B$100003,0)),IFERROR(INDEX('NC Management'!$F$4:$F$100003,MATCH(E102,'NC Management'!$B$4:$B$100003,0)),""))</f>
        <v>0</v>
      </c>
      <c r="H102" s="6"/>
      <c r="I102" s="6"/>
      <c r="J102" s="6"/>
      <c r="K102" s="6"/>
      <c r="L102" s="6"/>
      <c r="M102" s="6"/>
      <c r="N102" s="6"/>
      <c r="O102" s="6"/>
      <c r="P102" s="1"/>
    </row>
    <row r="103" spans="1:16">
      <c r="A103" s="1">
        <v>100</v>
      </c>
      <c r="B103" s="6"/>
      <c r="C103" s="5"/>
      <c r="D103" s="1"/>
      <c r="E103" s="1"/>
      <c r="F103" s="2">
        <f>IFERROR(INDEX('Incident'!$H$4:$H$100003,MATCH(D103,'Incident'!$B$4:$B$100003,0)),IFERROR(INDEX('NC Management'!$G$4:$G$100003,MATCH(E103,'NC Management'!$B$4:$B$100003,0)),""))</f>
        <v>0</v>
      </c>
      <c r="G103" s="2">
        <f>IFERROR(INDEX('Incident'!$N$4:$N$100003,MATCH(D103,'Incident'!$B$4:$B$100003,0)),IFERROR(INDEX('NC Management'!$F$4:$F$100003,MATCH(E103,'NC Management'!$B$4:$B$100003,0)),""))</f>
        <v>0</v>
      </c>
      <c r="H103" s="6"/>
      <c r="I103" s="6"/>
      <c r="J103" s="6"/>
      <c r="K103" s="6"/>
      <c r="L103" s="6"/>
      <c r="M103" s="6"/>
      <c r="N103" s="6"/>
      <c r="O103" s="6"/>
      <c r="P103" s="1"/>
    </row>
    <row r="104" spans="1:16">
      <c r="A104" s="1">
        <v>101</v>
      </c>
      <c r="B104" s="6"/>
      <c r="C104" s="5"/>
      <c r="D104" s="1"/>
      <c r="E104" s="1"/>
      <c r="F104" s="2">
        <f>IFERROR(INDEX('Incident'!$H$4:$H$100003,MATCH(D104,'Incident'!$B$4:$B$100003,0)),IFERROR(INDEX('NC Management'!$G$4:$G$100003,MATCH(E104,'NC Management'!$B$4:$B$100003,0)),""))</f>
        <v>0</v>
      </c>
      <c r="G104" s="2">
        <f>IFERROR(INDEX('Incident'!$N$4:$N$100003,MATCH(D104,'Incident'!$B$4:$B$100003,0)),IFERROR(INDEX('NC Management'!$F$4:$F$100003,MATCH(E104,'NC Management'!$B$4:$B$100003,0)),""))</f>
        <v>0</v>
      </c>
      <c r="H104" s="6"/>
      <c r="I104" s="6"/>
      <c r="J104" s="6"/>
      <c r="K104" s="6"/>
      <c r="L104" s="6"/>
      <c r="M104" s="6"/>
      <c r="N104" s="6"/>
      <c r="O104" s="6"/>
      <c r="P104" s="1"/>
    </row>
    <row r="105" spans="1:16">
      <c r="A105" s="1">
        <v>102</v>
      </c>
      <c r="B105" s="6"/>
      <c r="C105" s="5"/>
      <c r="D105" s="1"/>
      <c r="E105" s="1"/>
      <c r="F105" s="2">
        <f>IFERROR(INDEX('Incident'!$H$4:$H$100003,MATCH(D105,'Incident'!$B$4:$B$100003,0)),IFERROR(INDEX('NC Management'!$G$4:$G$100003,MATCH(E105,'NC Management'!$B$4:$B$100003,0)),""))</f>
        <v>0</v>
      </c>
      <c r="G105" s="2">
        <f>IFERROR(INDEX('Incident'!$N$4:$N$100003,MATCH(D105,'Incident'!$B$4:$B$100003,0)),IFERROR(INDEX('NC Management'!$F$4:$F$100003,MATCH(E105,'NC Management'!$B$4:$B$100003,0)),""))</f>
        <v>0</v>
      </c>
      <c r="H105" s="6"/>
      <c r="I105" s="6"/>
      <c r="J105" s="6"/>
      <c r="K105" s="6"/>
      <c r="L105" s="6"/>
      <c r="M105" s="6"/>
      <c r="N105" s="6"/>
      <c r="O105" s="6"/>
      <c r="P105" s="1"/>
    </row>
    <row r="106" spans="1:16">
      <c r="A106" s="1">
        <v>103</v>
      </c>
      <c r="B106" s="6"/>
      <c r="C106" s="5"/>
      <c r="D106" s="1"/>
      <c r="E106" s="1"/>
      <c r="F106" s="2">
        <f>IFERROR(INDEX('Incident'!$H$4:$H$100003,MATCH(D106,'Incident'!$B$4:$B$100003,0)),IFERROR(INDEX('NC Management'!$G$4:$G$100003,MATCH(E106,'NC Management'!$B$4:$B$100003,0)),""))</f>
        <v>0</v>
      </c>
      <c r="G106" s="2">
        <f>IFERROR(INDEX('Incident'!$N$4:$N$100003,MATCH(D106,'Incident'!$B$4:$B$100003,0)),IFERROR(INDEX('NC Management'!$F$4:$F$100003,MATCH(E106,'NC Management'!$B$4:$B$100003,0)),""))</f>
        <v>0</v>
      </c>
      <c r="H106" s="6"/>
      <c r="I106" s="6"/>
      <c r="J106" s="6"/>
      <c r="K106" s="6"/>
      <c r="L106" s="6"/>
      <c r="M106" s="6"/>
      <c r="N106" s="6"/>
      <c r="O106" s="6"/>
      <c r="P106" s="1"/>
    </row>
    <row r="107" spans="1:16">
      <c r="A107" s="1">
        <v>104</v>
      </c>
      <c r="B107" s="6"/>
      <c r="C107" s="5"/>
      <c r="D107" s="1"/>
      <c r="E107" s="1"/>
      <c r="F107" s="2">
        <f>IFERROR(INDEX('Incident'!$H$4:$H$100003,MATCH(D107,'Incident'!$B$4:$B$100003,0)),IFERROR(INDEX('NC Management'!$G$4:$G$100003,MATCH(E107,'NC Management'!$B$4:$B$100003,0)),""))</f>
        <v>0</v>
      </c>
      <c r="G107" s="2">
        <f>IFERROR(INDEX('Incident'!$N$4:$N$100003,MATCH(D107,'Incident'!$B$4:$B$100003,0)),IFERROR(INDEX('NC Management'!$F$4:$F$100003,MATCH(E107,'NC Management'!$B$4:$B$100003,0)),""))</f>
        <v>0</v>
      </c>
      <c r="H107" s="6"/>
      <c r="I107" s="6"/>
      <c r="J107" s="6"/>
      <c r="K107" s="6"/>
      <c r="L107" s="6"/>
      <c r="M107" s="6"/>
      <c r="N107" s="6"/>
      <c r="O107" s="6"/>
      <c r="P107" s="1"/>
    </row>
    <row r="108" spans="1:16">
      <c r="A108" s="1">
        <v>105</v>
      </c>
      <c r="B108" s="6"/>
      <c r="C108" s="5"/>
      <c r="D108" s="1"/>
      <c r="E108" s="1"/>
      <c r="F108" s="2">
        <f>IFERROR(INDEX('Incident'!$H$4:$H$100003,MATCH(D108,'Incident'!$B$4:$B$100003,0)),IFERROR(INDEX('NC Management'!$G$4:$G$100003,MATCH(E108,'NC Management'!$B$4:$B$100003,0)),""))</f>
        <v>0</v>
      </c>
      <c r="G108" s="2">
        <f>IFERROR(INDEX('Incident'!$N$4:$N$100003,MATCH(D108,'Incident'!$B$4:$B$100003,0)),IFERROR(INDEX('NC Management'!$F$4:$F$100003,MATCH(E108,'NC Management'!$B$4:$B$100003,0)),""))</f>
        <v>0</v>
      </c>
      <c r="H108" s="6"/>
      <c r="I108" s="6"/>
      <c r="J108" s="6"/>
      <c r="K108" s="6"/>
      <c r="L108" s="6"/>
      <c r="M108" s="6"/>
      <c r="N108" s="6"/>
      <c r="O108" s="6"/>
      <c r="P108" s="1"/>
    </row>
    <row r="109" spans="1:16">
      <c r="A109" s="1">
        <v>106</v>
      </c>
      <c r="B109" s="6"/>
      <c r="C109" s="5"/>
      <c r="D109" s="1"/>
      <c r="E109" s="1"/>
      <c r="F109" s="2">
        <f>IFERROR(INDEX('Incident'!$H$4:$H$100003,MATCH(D109,'Incident'!$B$4:$B$100003,0)),IFERROR(INDEX('NC Management'!$G$4:$G$100003,MATCH(E109,'NC Management'!$B$4:$B$100003,0)),""))</f>
        <v>0</v>
      </c>
      <c r="G109" s="2">
        <f>IFERROR(INDEX('Incident'!$N$4:$N$100003,MATCH(D109,'Incident'!$B$4:$B$100003,0)),IFERROR(INDEX('NC Management'!$F$4:$F$100003,MATCH(E109,'NC Management'!$B$4:$B$100003,0)),""))</f>
        <v>0</v>
      </c>
      <c r="H109" s="6"/>
      <c r="I109" s="6"/>
      <c r="J109" s="6"/>
      <c r="K109" s="6"/>
      <c r="L109" s="6"/>
      <c r="M109" s="6"/>
      <c r="N109" s="6"/>
      <c r="O109" s="6"/>
      <c r="P109" s="1"/>
    </row>
    <row r="110" spans="1:16">
      <c r="A110" s="1">
        <v>107</v>
      </c>
      <c r="B110" s="6"/>
      <c r="C110" s="5"/>
      <c r="D110" s="1"/>
      <c r="E110" s="1"/>
      <c r="F110" s="2">
        <f>IFERROR(INDEX('Incident'!$H$4:$H$100003,MATCH(D110,'Incident'!$B$4:$B$100003,0)),IFERROR(INDEX('NC Management'!$G$4:$G$100003,MATCH(E110,'NC Management'!$B$4:$B$100003,0)),""))</f>
        <v>0</v>
      </c>
      <c r="G110" s="2">
        <f>IFERROR(INDEX('Incident'!$N$4:$N$100003,MATCH(D110,'Incident'!$B$4:$B$100003,0)),IFERROR(INDEX('NC Management'!$F$4:$F$100003,MATCH(E110,'NC Management'!$B$4:$B$100003,0)),""))</f>
        <v>0</v>
      </c>
      <c r="H110" s="6"/>
      <c r="I110" s="6"/>
      <c r="J110" s="6"/>
      <c r="K110" s="6"/>
      <c r="L110" s="6"/>
      <c r="M110" s="6"/>
      <c r="N110" s="6"/>
      <c r="O110" s="6"/>
      <c r="P110" s="1"/>
    </row>
    <row r="111" spans="1:16">
      <c r="A111" s="1">
        <v>108</v>
      </c>
      <c r="B111" s="6"/>
      <c r="C111" s="5"/>
      <c r="D111" s="1"/>
      <c r="E111" s="1"/>
      <c r="F111" s="2">
        <f>IFERROR(INDEX('Incident'!$H$4:$H$100003,MATCH(D111,'Incident'!$B$4:$B$100003,0)),IFERROR(INDEX('NC Management'!$G$4:$G$100003,MATCH(E111,'NC Management'!$B$4:$B$100003,0)),""))</f>
        <v>0</v>
      </c>
      <c r="G111" s="2">
        <f>IFERROR(INDEX('Incident'!$N$4:$N$100003,MATCH(D111,'Incident'!$B$4:$B$100003,0)),IFERROR(INDEX('NC Management'!$F$4:$F$100003,MATCH(E111,'NC Management'!$B$4:$B$100003,0)),""))</f>
        <v>0</v>
      </c>
      <c r="H111" s="6"/>
      <c r="I111" s="6"/>
      <c r="J111" s="6"/>
      <c r="K111" s="6"/>
      <c r="L111" s="6"/>
      <c r="M111" s="6"/>
      <c r="N111" s="6"/>
      <c r="O111" s="6"/>
      <c r="P111" s="1"/>
    </row>
    <row r="112" spans="1:16">
      <c r="A112" s="1">
        <v>109</v>
      </c>
      <c r="B112" s="6"/>
      <c r="C112" s="5"/>
      <c r="D112" s="1"/>
      <c r="E112" s="1"/>
      <c r="F112" s="2">
        <f>IFERROR(INDEX('Incident'!$H$4:$H$100003,MATCH(D112,'Incident'!$B$4:$B$100003,0)),IFERROR(INDEX('NC Management'!$G$4:$G$100003,MATCH(E112,'NC Management'!$B$4:$B$100003,0)),""))</f>
        <v>0</v>
      </c>
      <c r="G112" s="2">
        <f>IFERROR(INDEX('Incident'!$N$4:$N$100003,MATCH(D112,'Incident'!$B$4:$B$100003,0)),IFERROR(INDEX('NC Management'!$F$4:$F$100003,MATCH(E112,'NC Management'!$B$4:$B$100003,0)),""))</f>
        <v>0</v>
      </c>
      <c r="H112" s="6"/>
      <c r="I112" s="6"/>
      <c r="J112" s="6"/>
      <c r="K112" s="6"/>
      <c r="L112" s="6"/>
      <c r="M112" s="6"/>
      <c r="N112" s="6"/>
      <c r="O112" s="6"/>
      <c r="P112" s="1"/>
    </row>
    <row r="113" spans="1:16">
      <c r="A113" s="1">
        <v>110</v>
      </c>
      <c r="B113" s="6"/>
      <c r="C113" s="5"/>
      <c r="D113" s="1"/>
      <c r="E113" s="1"/>
      <c r="F113" s="2">
        <f>IFERROR(INDEX('Incident'!$H$4:$H$100003,MATCH(D113,'Incident'!$B$4:$B$100003,0)),IFERROR(INDEX('NC Management'!$G$4:$G$100003,MATCH(E113,'NC Management'!$B$4:$B$100003,0)),""))</f>
        <v>0</v>
      </c>
      <c r="G113" s="2">
        <f>IFERROR(INDEX('Incident'!$N$4:$N$100003,MATCH(D113,'Incident'!$B$4:$B$100003,0)),IFERROR(INDEX('NC Management'!$F$4:$F$100003,MATCH(E113,'NC Management'!$B$4:$B$100003,0)),""))</f>
        <v>0</v>
      </c>
      <c r="H113" s="6"/>
      <c r="I113" s="6"/>
      <c r="J113" s="6"/>
      <c r="K113" s="6"/>
      <c r="L113" s="6"/>
      <c r="M113" s="6"/>
      <c r="N113" s="6"/>
      <c r="O113" s="6"/>
      <c r="P113" s="1"/>
    </row>
    <row r="114" spans="1:16">
      <c r="A114" s="1">
        <v>111</v>
      </c>
      <c r="B114" s="6"/>
      <c r="C114" s="5"/>
      <c r="D114" s="1"/>
      <c r="E114" s="1"/>
      <c r="F114" s="2">
        <f>IFERROR(INDEX('Incident'!$H$4:$H$100003,MATCH(D114,'Incident'!$B$4:$B$100003,0)),IFERROR(INDEX('NC Management'!$G$4:$G$100003,MATCH(E114,'NC Management'!$B$4:$B$100003,0)),""))</f>
        <v>0</v>
      </c>
      <c r="G114" s="2">
        <f>IFERROR(INDEX('Incident'!$N$4:$N$100003,MATCH(D114,'Incident'!$B$4:$B$100003,0)),IFERROR(INDEX('NC Management'!$F$4:$F$100003,MATCH(E114,'NC Management'!$B$4:$B$100003,0)),""))</f>
        <v>0</v>
      </c>
      <c r="H114" s="6"/>
      <c r="I114" s="6"/>
      <c r="J114" s="6"/>
      <c r="K114" s="6"/>
      <c r="L114" s="6"/>
      <c r="M114" s="6"/>
      <c r="N114" s="6"/>
      <c r="O114" s="6"/>
      <c r="P114" s="1"/>
    </row>
    <row r="115" spans="1:16">
      <c r="A115" s="1">
        <v>112</v>
      </c>
      <c r="B115" s="6"/>
      <c r="C115" s="5"/>
      <c r="D115" s="1"/>
      <c r="E115" s="1"/>
      <c r="F115" s="2">
        <f>IFERROR(INDEX('Incident'!$H$4:$H$100003,MATCH(D115,'Incident'!$B$4:$B$100003,0)),IFERROR(INDEX('NC Management'!$G$4:$G$100003,MATCH(E115,'NC Management'!$B$4:$B$100003,0)),""))</f>
        <v>0</v>
      </c>
      <c r="G115" s="2">
        <f>IFERROR(INDEX('Incident'!$N$4:$N$100003,MATCH(D115,'Incident'!$B$4:$B$100003,0)),IFERROR(INDEX('NC Management'!$F$4:$F$100003,MATCH(E115,'NC Management'!$B$4:$B$100003,0)),""))</f>
        <v>0</v>
      </c>
      <c r="H115" s="6"/>
      <c r="I115" s="6"/>
      <c r="J115" s="6"/>
      <c r="K115" s="6"/>
      <c r="L115" s="6"/>
      <c r="M115" s="6"/>
      <c r="N115" s="6"/>
      <c r="O115" s="6"/>
      <c r="P115" s="1"/>
    </row>
    <row r="116" spans="1:16">
      <c r="A116" s="1">
        <v>113</v>
      </c>
      <c r="B116" s="6"/>
      <c r="C116" s="5"/>
      <c r="D116" s="1"/>
      <c r="E116" s="1"/>
      <c r="F116" s="2">
        <f>IFERROR(INDEX('Incident'!$H$4:$H$100003,MATCH(D116,'Incident'!$B$4:$B$100003,0)),IFERROR(INDEX('NC Management'!$G$4:$G$100003,MATCH(E116,'NC Management'!$B$4:$B$100003,0)),""))</f>
        <v>0</v>
      </c>
      <c r="G116" s="2">
        <f>IFERROR(INDEX('Incident'!$N$4:$N$100003,MATCH(D116,'Incident'!$B$4:$B$100003,0)),IFERROR(INDEX('NC Management'!$F$4:$F$100003,MATCH(E116,'NC Management'!$B$4:$B$100003,0)),""))</f>
        <v>0</v>
      </c>
      <c r="H116" s="6"/>
      <c r="I116" s="6"/>
      <c r="J116" s="6"/>
      <c r="K116" s="6"/>
      <c r="L116" s="6"/>
      <c r="M116" s="6"/>
      <c r="N116" s="6"/>
      <c r="O116" s="6"/>
      <c r="P116" s="1"/>
    </row>
    <row r="117" spans="1:16">
      <c r="A117" s="1">
        <v>114</v>
      </c>
      <c r="B117" s="6"/>
      <c r="C117" s="5"/>
      <c r="D117" s="1"/>
      <c r="E117" s="1"/>
      <c r="F117" s="2">
        <f>IFERROR(INDEX('Incident'!$H$4:$H$100003,MATCH(D117,'Incident'!$B$4:$B$100003,0)),IFERROR(INDEX('NC Management'!$G$4:$G$100003,MATCH(E117,'NC Management'!$B$4:$B$100003,0)),""))</f>
        <v>0</v>
      </c>
      <c r="G117" s="2">
        <f>IFERROR(INDEX('Incident'!$N$4:$N$100003,MATCH(D117,'Incident'!$B$4:$B$100003,0)),IFERROR(INDEX('NC Management'!$F$4:$F$100003,MATCH(E117,'NC Management'!$B$4:$B$100003,0)),""))</f>
        <v>0</v>
      </c>
      <c r="H117" s="6"/>
      <c r="I117" s="6"/>
      <c r="J117" s="6"/>
      <c r="K117" s="6"/>
      <c r="L117" s="6"/>
      <c r="M117" s="6"/>
      <c r="N117" s="6"/>
      <c r="O117" s="6"/>
      <c r="P117" s="1"/>
    </row>
    <row r="118" spans="1:16">
      <c r="A118" s="1">
        <v>115</v>
      </c>
      <c r="B118" s="6"/>
      <c r="C118" s="5"/>
      <c r="D118" s="1"/>
      <c r="E118" s="1"/>
      <c r="F118" s="2">
        <f>IFERROR(INDEX('Incident'!$H$4:$H$100003,MATCH(D118,'Incident'!$B$4:$B$100003,0)),IFERROR(INDEX('NC Management'!$G$4:$G$100003,MATCH(E118,'NC Management'!$B$4:$B$100003,0)),""))</f>
        <v>0</v>
      </c>
      <c r="G118" s="2">
        <f>IFERROR(INDEX('Incident'!$N$4:$N$100003,MATCH(D118,'Incident'!$B$4:$B$100003,0)),IFERROR(INDEX('NC Management'!$F$4:$F$100003,MATCH(E118,'NC Management'!$B$4:$B$100003,0)),""))</f>
        <v>0</v>
      </c>
      <c r="H118" s="6"/>
      <c r="I118" s="6"/>
      <c r="J118" s="6"/>
      <c r="K118" s="6"/>
      <c r="L118" s="6"/>
      <c r="M118" s="6"/>
      <c r="N118" s="6"/>
      <c r="O118" s="6"/>
      <c r="P118" s="1"/>
    </row>
    <row r="119" spans="1:16">
      <c r="A119" s="1">
        <v>116</v>
      </c>
      <c r="B119" s="6"/>
      <c r="C119" s="5"/>
      <c r="D119" s="1"/>
      <c r="E119" s="1"/>
      <c r="F119" s="2">
        <f>IFERROR(INDEX('Incident'!$H$4:$H$100003,MATCH(D119,'Incident'!$B$4:$B$100003,0)),IFERROR(INDEX('NC Management'!$G$4:$G$100003,MATCH(E119,'NC Management'!$B$4:$B$100003,0)),""))</f>
        <v>0</v>
      </c>
      <c r="G119" s="2">
        <f>IFERROR(INDEX('Incident'!$N$4:$N$100003,MATCH(D119,'Incident'!$B$4:$B$100003,0)),IFERROR(INDEX('NC Management'!$F$4:$F$100003,MATCH(E119,'NC Management'!$B$4:$B$100003,0)),""))</f>
        <v>0</v>
      </c>
      <c r="H119" s="6"/>
      <c r="I119" s="6"/>
      <c r="J119" s="6"/>
      <c r="K119" s="6"/>
      <c r="L119" s="6"/>
      <c r="M119" s="6"/>
      <c r="N119" s="6"/>
      <c r="O119" s="6"/>
      <c r="P119" s="1"/>
    </row>
    <row r="120" spans="1:16">
      <c r="A120" s="1">
        <v>117</v>
      </c>
      <c r="B120" s="6"/>
      <c r="C120" s="5"/>
      <c r="D120" s="1"/>
      <c r="E120" s="1"/>
      <c r="F120" s="2">
        <f>IFERROR(INDEX('Incident'!$H$4:$H$100003,MATCH(D120,'Incident'!$B$4:$B$100003,0)),IFERROR(INDEX('NC Management'!$G$4:$G$100003,MATCH(E120,'NC Management'!$B$4:$B$100003,0)),""))</f>
        <v>0</v>
      </c>
      <c r="G120" s="2">
        <f>IFERROR(INDEX('Incident'!$N$4:$N$100003,MATCH(D120,'Incident'!$B$4:$B$100003,0)),IFERROR(INDEX('NC Management'!$F$4:$F$100003,MATCH(E120,'NC Management'!$B$4:$B$100003,0)),""))</f>
        <v>0</v>
      </c>
      <c r="H120" s="6"/>
      <c r="I120" s="6"/>
      <c r="J120" s="6"/>
      <c r="K120" s="6"/>
      <c r="L120" s="6"/>
      <c r="M120" s="6"/>
      <c r="N120" s="6"/>
      <c r="O120" s="6"/>
      <c r="P120" s="1"/>
    </row>
    <row r="121" spans="1:16">
      <c r="A121" s="1">
        <v>118</v>
      </c>
      <c r="B121" s="6"/>
      <c r="C121" s="5"/>
      <c r="D121" s="1"/>
      <c r="E121" s="1"/>
      <c r="F121" s="2">
        <f>IFERROR(INDEX('Incident'!$H$4:$H$100003,MATCH(D121,'Incident'!$B$4:$B$100003,0)),IFERROR(INDEX('NC Management'!$G$4:$G$100003,MATCH(E121,'NC Management'!$B$4:$B$100003,0)),""))</f>
        <v>0</v>
      </c>
      <c r="G121" s="2">
        <f>IFERROR(INDEX('Incident'!$N$4:$N$100003,MATCH(D121,'Incident'!$B$4:$B$100003,0)),IFERROR(INDEX('NC Management'!$F$4:$F$100003,MATCH(E121,'NC Management'!$B$4:$B$100003,0)),""))</f>
        <v>0</v>
      </c>
      <c r="H121" s="6"/>
      <c r="I121" s="6"/>
      <c r="J121" s="6"/>
      <c r="K121" s="6"/>
      <c r="L121" s="6"/>
      <c r="M121" s="6"/>
      <c r="N121" s="6"/>
      <c r="O121" s="6"/>
      <c r="P121" s="1"/>
    </row>
    <row r="122" spans="1:16">
      <c r="A122" s="1">
        <v>119</v>
      </c>
      <c r="B122" s="6"/>
      <c r="C122" s="5"/>
      <c r="D122" s="1"/>
      <c r="E122" s="1"/>
      <c r="F122" s="2">
        <f>IFERROR(INDEX('Incident'!$H$4:$H$100003,MATCH(D122,'Incident'!$B$4:$B$100003,0)),IFERROR(INDEX('NC Management'!$G$4:$G$100003,MATCH(E122,'NC Management'!$B$4:$B$100003,0)),""))</f>
        <v>0</v>
      </c>
      <c r="G122" s="2">
        <f>IFERROR(INDEX('Incident'!$N$4:$N$100003,MATCH(D122,'Incident'!$B$4:$B$100003,0)),IFERROR(INDEX('NC Management'!$F$4:$F$100003,MATCH(E122,'NC Management'!$B$4:$B$100003,0)),""))</f>
        <v>0</v>
      </c>
      <c r="H122" s="6"/>
      <c r="I122" s="6"/>
      <c r="J122" s="6"/>
      <c r="K122" s="6"/>
      <c r="L122" s="6"/>
      <c r="M122" s="6"/>
      <c r="N122" s="6"/>
      <c r="O122" s="6"/>
      <c r="P122" s="1"/>
    </row>
    <row r="123" spans="1:16">
      <c r="A123" s="1">
        <v>120</v>
      </c>
      <c r="B123" s="6"/>
      <c r="C123" s="5"/>
      <c r="D123" s="1"/>
      <c r="E123" s="1"/>
      <c r="F123" s="2">
        <f>IFERROR(INDEX('Incident'!$H$4:$H$100003,MATCH(D123,'Incident'!$B$4:$B$100003,0)),IFERROR(INDEX('NC Management'!$G$4:$G$100003,MATCH(E123,'NC Management'!$B$4:$B$100003,0)),""))</f>
        <v>0</v>
      </c>
      <c r="G123" s="2">
        <f>IFERROR(INDEX('Incident'!$N$4:$N$100003,MATCH(D123,'Incident'!$B$4:$B$100003,0)),IFERROR(INDEX('NC Management'!$F$4:$F$100003,MATCH(E123,'NC Management'!$B$4:$B$100003,0)),""))</f>
        <v>0</v>
      </c>
      <c r="H123" s="6"/>
      <c r="I123" s="6"/>
      <c r="J123" s="6"/>
      <c r="K123" s="6"/>
      <c r="L123" s="6"/>
      <c r="M123" s="6"/>
      <c r="N123" s="6"/>
      <c r="O123" s="6"/>
      <c r="P123" s="1"/>
    </row>
    <row r="124" spans="1:16">
      <c r="A124" s="1">
        <v>121</v>
      </c>
      <c r="B124" s="6"/>
      <c r="C124" s="5"/>
      <c r="D124" s="1"/>
      <c r="E124" s="1"/>
      <c r="F124" s="2">
        <f>IFERROR(INDEX('Incident'!$H$4:$H$100003,MATCH(D124,'Incident'!$B$4:$B$100003,0)),IFERROR(INDEX('NC Management'!$G$4:$G$100003,MATCH(E124,'NC Management'!$B$4:$B$100003,0)),""))</f>
        <v>0</v>
      </c>
      <c r="G124" s="2">
        <f>IFERROR(INDEX('Incident'!$N$4:$N$100003,MATCH(D124,'Incident'!$B$4:$B$100003,0)),IFERROR(INDEX('NC Management'!$F$4:$F$100003,MATCH(E124,'NC Management'!$B$4:$B$100003,0)),""))</f>
        <v>0</v>
      </c>
      <c r="H124" s="6"/>
      <c r="I124" s="6"/>
      <c r="J124" s="6"/>
      <c r="K124" s="6"/>
      <c r="L124" s="6"/>
      <c r="M124" s="6"/>
      <c r="N124" s="6"/>
      <c r="O124" s="6"/>
      <c r="P124" s="1"/>
    </row>
    <row r="125" spans="1:16">
      <c r="A125" s="1">
        <v>122</v>
      </c>
      <c r="B125" s="6"/>
      <c r="C125" s="5"/>
      <c r="D125" s="1"/>
      <c r="E125" s="1"/>
      <c r="F125" s="2">
        <f>IFERROR(INDEX('Incident'!$H$4:$H$100003,MATCH(D125,'Incident'!$B$4:$B$100003,0)),IFERROR(INDEX('NC Management'!$G$4:$G$100003,MATCH(E125,'NC Management'!$B$4:$B$100003,0)),""))</f>
        <v>0</v>
      </c>
      <c r="G125" s="2">
        <f>IFERROR(INDEX('Incident'!$N$4:$N$100003,MATCH(D125,'Incident'!$B$4:$B$100003,0)),IFERROR(INDEX('NC Management'!$F$4:$F$100003,MATCH(E125,'NC Management'!$B$4:$B$100003,0)),""))</f>
        <v>0</v>
      </c>
      <c r="H125" s="6"/>
      <c r="I125" s="6"/>
      <c r="J125" s="6"/>
      <c r="K125" s="6"/>
      <c r="L125" s="6"/>
      <c r="M125" s="6"/>
      <c r="N125" s="6"/>
      <c r="O125" s="6"/>
      <c r="P125" s="1"/>
    </row>
    <row r="126" spans="1:16">
      <c r="A126" s="1">
        <v>123</v>
      </c>
      <c r="B126" s="6"/>
      <c r="C126" s="5"/>
      <c r="D126" s="1"/>
      <c r="E126" s="1"/>
      <c r="F126" s="2">
        <f>IFERROR(INDEX('Incident'!$H$4:$H$100003,MATCH(D126,'Incident'!$B$4:$B$100003,0)),IFERROR(INDEX('NC Management'!$G$4:$G$100003,MATCH(E126,'NC Management'!$B$4:$B$100003,0)),""))</f>
        <v>0</v>
      </c>
      <c r="G126" s="2">
        <f>IFERROR(INDEX('Incident'!$N$4:$N$100003,MATCH(D126,'Incident'!$B$4:$B$100003,0)),IFERROR(INDEX('NC Management'!$F$4:$F$100003,MATCH(E126,'NC Management'!$B$4:$B$100003,0)),""))</f>
        <v>0</v>
      </c>
      <c r="H126" s="6"/>
      <c r="I126" s="6"/>
      <c r="J126" s="6"/>
      <c r="K126" s="6"/>
      <c r="L126" s="6"/>
      <c r="M126" s="6"/>
      <c r="N126" s="6"/>
      <c r="O126" s="6"/>
      <c r="P126" s="1"/>
    </row>
    <row r="127" spans="1:16">
      <c r="A127" s="1">
        <v>124</v>
      </c>
      <c r="B127" s="6"/>
      <c r="C127" s="5"/>
      <c r="D127" s="1"/>
      <c r="E127" s="1"/>
      <c r="F127" s="2">
        <f>IFERROR(INDEX('Incident'!$H$4:$H$100003,MATCH(D127,'Incident'!$B$4:$B$100003,0)),IFERROR(INDEX('NC Management'!$G$4:$G$100003,MATCH(E127,'NC Management'!$B$4:$B$100003,0)),""))</f>
        <v>0</v>
      </c>
      <c r="G127" s="2">
        <f>IFERROR(INDEX('Incident'!$N$4:$N$100003,MATCH(D127,'Incident'!$B$4:$B$100003,0)),IFERROR(INDEX('NC Management'!$F$4:$F$100003,MATCH(E127,'NC Management'!$B$4:$B$100003,0)),""))</f>
        <v>0</v>
      </c>
      <c r="H127" s="6"/>
      <c r="I127" s="6"/>
      <c r="J127" s="6"/>
      <c r="K127" s="6"/>
      <c r="L127" s="6"/>
      <c r="M127" s="6"/>
      <c r="N127" s="6"/>
      <c r="O127" s="6"/>
      <c r="P127" s="1"/>
    </row>
    <row r="128" spans="1:16">
      <c r="A128" s="1">
        <v>125</v>
      </c>
      <c r="B128" s="6"/>
      <c r="C128" s="5"/>
      <c r="D128" s="1"/>
      <c r="E128" s="1"/>
      <c r="F128" s="2">
        <f>IFERROR(INDEX('Incident'!$H$4:$H$100003,MATCH(D128,'Incident'!$B$4:$B$100003,0)),IFERROR(INDEX('NC Management'!$G$4:$G$100003,MATCH(E128,'NC Management'!$B$4:$B$100003,0)),""))</f>
        <v>0</v>
      </c>
      <c r="G128" s="2">
        <f>IFERROR(INDEX('Incident'!$N$4:$N$100003,MATCH(D128,'Incident'!$B$4:$B$100003,0)),IFERROR(INDEX('NC Management'!$F$4:$F$100003,MATCH(E128,'NC Management'!$B$4:$B$100003,0)),""))</f>
        <v>0</v>
      </c>
      <c r="H128" s="6"/>
      <c r="I128" s="6"/>
      <c r="J128" s="6"/>
      <c r="K128" s="6"/>
      <c r="L128" s="6"/>
      <c r="M128" s="6"/>
      <c r="N128" s="6"/>
      <c r="O128" s="6"/>
      <c r="P128" s="1"/>
    </row>
    <row r="129" spans="1:16">
      <c r="A129" s="1">
        <v>126</v>
      </c>
      <c r="B129" s="6"/>
      <c r="C129" s="5"/>
      <c r="D129" s="1"/>
      <c r="E129" s="1"/>
      <c r="F129" s="2">
        <f>IFERROR(INDEX('Incident'!$H$4:$H$100003,MATCH(D129,'Incident'!$B$4:$B$100003,0)),IFERROR(INDEX('NC Management'!$G$4:$G$100003,MATCH(E129,'NC Management'!$B$4:$B$100003,0)),""))</f>
        <v>0</v>
      </c>
      <c r="G129" s="2">
        <f>IFERROR(INDEX('Incident'!$N$4:$N$100003,MATCH(D129,'Incident'!$B$4:$B$100003,0)),IFERROR(INDEX('NC Management'!$F$4:$F$100003,MATCH(E129,'NC Management'!$B$4:$B$100003,0)),""))</f>
        <v>0</v>
      </c>
      <c r="H129" s="6"/>
      <c r="I129" s="6"/>
      <c r="J129" s="6"/>
      <c r="K129" s="6"/>
      <c r="L129" s="6"/>
      <c r="M129" s="6"/>
      <c r="N129" s="6"/>
      <c r="O129" s="6"/>
      <c r="P129" s="1"/>
    </row>
    <row r="130" spans="1:16">
      <c r="A130" s="1">
        <v>127</v>
      </c>
      <c r="B130" s="6"/>
      <c r="C130" s="5"/>
      <c r="D130" s="1"/>
      <c r="E130" s="1"/>
      <c r="F130" s="2">
        <f>IFERROR(INDEX('Incident'!$H$4:$H$100003,MATCH(D130,'Incident'!$B$4:$B$100003,0)),IFERROR(INDEX('NC Management'!$G$4:$G$100003,MATCH(E130,'NC Management'!$B$4:$B$100003,0)),""))</f>
        <v>0</v>
      </c>
      <c r="G130" s="2">
        <f>IFERROR(INDEX('Incident'!$N$4:$N$100003,MATCH(D130,'Incident'!$B$4:$B$100003,0)),IFERROR(INDEX('NC Management'!$F$4:$F$100003,MATCH(E130,'NC Management'!$B$4:$B$100003,0)),""))</f>
        <v>0</v>
      </c>
      <c r="H130" s="6"/>
      <c r="I130" s="6"/>
      <c r="J130" s="6"/>
      <c r="K130" s="6"/>
      <c r="L130" s="6"/>
      <c r="M130" s="6"/>
      <c r="N130" s="6"/>
      <c r="O130" s="6"/>
      <c r="P130" s="1"/>
    </row>
    <row r="131" spans="1:16">
      <c r="A131" s="1">
        <v>128</v>
      </c>
      <c r="B131" s="6"/>
      <c r="C131" s="5"/>
      <c r="D131" s="1"/>
      <c r="E131" s="1"/>
      <c r="F131" s="2">
        <f>IFERROR(INDEX('Incident'!$H$4:$H$100003,MATCH(D131,'Incident'!$B$4:$B$100003,0)),IFERROR(INDEX('NC Management'!$G$4:$G$100003,MATCH(E131,'NC Management'!$B$4:$B$100003,0)),""))</f>
        <v>0</v>
      </c>
      <c r="G131" s="2">
        <f>IFERROR(INDEX('Incident'!$N$4:$N$100003,MATCH(D131,'Incident'!$B$4:$B$100003,0)),IFERROR(INDEX('NC Management'!$F$4:$F$100003,MATCH(E131,'NC Management'!$B$4:$B$100003,0)),""))</f>
        <v>0</v>
      </c>
      <c r="H131" s="6"/>
      <c r="I131" s="6"/>
      <c r="J131" s="6"/>
      <c r="K131" s="6"/>
      <c r="L131" s="6"/>
      <c r="M131" s="6"/>
      <c r="N131" s="6"/>
      <c r="O131" s="6"/>
      <c r="P131" s="1"/>
    </row>
    <row r="132" spans="1:16">
      <c r="A132" s="1">
        <v>129</v>
      </c>
      <c r="B132" s="6"/>
      <c r="C132" s="5"/>
      <c r="D132" s="1"/>
      <c r="E132" s="1"/>
      <c r="F132" s="2">
        <f>IFERROR(INDEX('Incident'!$H$4:$H$100003,MATCH(D132,'Incident'!$B$4:$B$100003,0)),IFERROR(INDEX('NC Management'!$G$4:$G$100003,MATCH(E132,'NC Management'!$B$4:$B$100003,0)),""))</f>
        <v>0</v>
      </c>
      <c r="G132" s="2">
        <f>IFERROR(INDEX('Incident'!$N$4:$N$100003,MATCH(D132,'Incident'!$B$4:$B$100003,0)),IFERROR(INDEX('NC Management'!$F$4:$F$100003,MATCH(E132,'NC Management'!$B$4:$B$100003,0)),""))</f>
        <v>0</v>
      </c>
      <c r="H132" s="6"/>
      <c r="I132" s="6"/>
      <c r="J132" s="6"/>
      <c r="K132" s="6"/>
      <c r="L132" s="6"/>
      <c r="M132" s="6"/>
      <c r="N132" s="6"/>
      <c r="O132" s="6"/>
      <c r="P132" s="1"/>
    </row>
    <row r="133" spans="1:16">
      <c r="A133" s="1">
        <v>130</v>
      </c>
      <c r="B133" s="6"/>
      <c r="C133" s="5"/>
      <c r="D133" s="1"/>
      <c r="E133" s="1"/>
      <c r="F133" s="2">
        <f>IFERROR(INDEX('Incident'!$H$4:$H$100003,MATCH(D133,'Incident'!$B$4:$B$100003,0)),IFERROR(INDEX('NC Management'!$G$4:$G$100003,MATCH(E133,'NC Management'!$B$4:$B$100003,0)),""))</f>
        <v>0</v>
      </c>
      <c r="G133" s="2">
        <f>IFERROR(INDEX('Incident'!$N$4:$N$100003,MATCH(D133,'Incident'!$B$4:$B$100003,0)),IFERROR(INDEX('NC Management'!$F$4:$F$100003,MATCH(E133,'NC Management'!$B$4:$B$100003,0)),""))</f>
        <v>0</v>
      </c>
      <c r="H133" s="6"/>
      <c r="I133" s="6"/>
      <c r="J133" s="6"/>
      <c r="K133" s="6"/>
      <c r="L133" s="6"/>
      <c r="M133" s="6"/>
      <c r="N133" s="6"/>
      <c r="O133" s="6"/>
      <c r="P133" s="1"/>
    </row>
    <row r="134" spans="1:16">
      <c r="A134" s="1">
        <v>131</v>
      </c>
      <c r="B134" s="6"/>
      <c r="C134" s="5"/>
      <c r="D134" s="1"/>
      <c r="E134" s="1"/>
      <c r="F134" s="2">
        <f>IFERROR(INDEX('Incident'!$H$4:$H$100003,MATCH(D134,'Incident'!$B$4:$B$100003,0)),IFERROR(INDEX('NC Management'!$G$4:$G$100003,MATCH(E134,'NC Management'!$B$4:$B$100003,0)),""))</f>
        <v>0</v>
      </c>
      <c r="G134" s="2">
        <f>IFERROR(INDEX('Incident'!$N$4:$N$100003,MATCH(D134,'Incident'!$B$4:$B$100003,0)),IFERROR(INDEX('NC Management'!$F$4:$F$100003,MATCH(E134,'NC Management'!$B$4:$B$100003,0)),""))</f>
        <v>0</v>
      </c>
      <c r="H134" s="6"/>
      <c r="I134" s="6"/>
      <c r="J134" s="6"/>
      <c r="K134" s="6"/>
      <c r="L134" s="6"/>
      <c r="M134" s="6"/>
      <c r="N134" s="6"/>
      <c r="O134" s="6"/>
      <c r="P134" s="1"/>
    </row>
    <row r="135" spans="1:16">
      <c r="A135" s="1">
        <v>132</v>
      </c>
      <c r="B135" s="6"/>
      <c r="C135" s="5"/>
      <c r="D135" s="1"/>
      <c r="E135" s="1"/>
      <c r="F135" s="2">
        <f>IFERROR(INDEX('Incident'!$H$4:$H$100003,MATCH(D135,'Incident'!$B$4:$B$100003,0)),IFERROR(INDEX('NC Management'!$G$4:$G$100003,MATCH(E135,'NC Management'!$B$4:$B$100003,0)),""))</f>
        <v>0</v>
      </c>
      <c r="G135" s="2">
        <f>IFERROR(INDEX('Incident'!$N$4:$N$100003,MATCH(D135,'Incident'!$B$4:$B$100003,0)),IFERROR(INDEX('NC Management'!$F$4:$F$100003,MATCH(E135,'NC Management'!$B$4:$B$100003,0)),""))</f>
        <v>0</v>
      </c>
      <c r="H135" s="6"/>
      <c r="I135" s="6"/>
      <c r="J135" s="6"/>
      <c r="K135" s="6"/>
      <c r="L135" s="6"/>
      <c r="M135" s="6"/>
      <c r="N135" s="6"/>
      <c r="O135" s="6"/>
      <c r="P135" s="1"/>
    </row>
    <row r="136" spans="1:16">
      <c r="A136" s="1">
        <v>133</v>
      </c>
      <c r="B136" s="6"/>
      <c r="C136" s="5"/>
      <c r="D136" s="1"/>
      <c r="E136" s="1"/>
      <c r="F136" s="2">
        <f>IFERROR(INDEX('Incident'!$H$4:$H$100003,MATCH(D136,'Incident'!$B$4:$B$100003,0)),IFERROR(INDEX('NC Management'!$G$4:$G$100003,MATCH(E136,'NC Management'!$B$4:$B$100003,0)),""))</f>
        <v>0</v>
      </c>
      <c r="G136" s="2">
        <f>IFERROR(INDEX('Incident'!$N$4:$N$100003,MATCH(D136,'Incident'!$B$4:$B$100003,0)),IFERROR(INDEX('NC Management'!$F$4:$F$100003,MATCH(E136,'NC Management'!$B$4:$B$100003,0)),""))</f>
        <v>0</v>
      </c>
      <c r="H136" s="6"/>
      <c r="I136" s="6"/>
      <c r="J136" s="6"/>
      <c r="K136" s="6"/>
      <c r="L136" s="6"/>
      <c r="M136" s="6"/>
      <c r="N136" s="6"/>
      <c r="O136" s="6"/>
      <c r="P136" s="1"/>
    </row>
    <row r="137" spans="1:16">
      <c r="A137" s="1">
        <v>134</v>
      </c>
      <c r="B137" s="6"/>
      <c r="C137" s="5"/>
      <c r="D137" s="1"/>
      <c r="E137" s="1"/>
      <c r="F137" s="2">
        <f>IFERROR(INDEX('Incident'!$H$4:$H$100003,MATCH(D137,'Incident'!$B$4:$B$100003,0)),IFERROR(INDEX('NC Management'!$G$4:$G$100003,MATCH(E137,'NC Management'!$B$4:$B$100003,0)),""))</f>
        <v>0</v>
      </c>
      <c r="G137" s="2">
        <f>IFERROR(INDEX('Incident'!$N$4:$N$100003,MATCH(D137,'Incident'!$B$4:$B$100003,0)),IFERROR(INDEX('NC Management'!$F$4:$F$100003,MATCH(E137,'NC Management'!$B$4:$B$100003,0)),""))</f>
        <v>0</v>
      </c>
      <c r="H137" s="6"/>
      <c r="I137" s="6"/>
      <c r="J137" s="6"/>
      <c r="K137" s="6"/>
      <c r="L137" s="6"/>
      <c r="M137" s="6"/>
      <c r="N137" s="6"/>
      <c r="O137" s="6"/>
      <c r="P137" s="1"/>
    </row>
    <row r="138" spans="1:16">
      <c r="A138" s="1">
        <v>135</v>
      </c>
      <c r="B138" s="6"/>
      <c r="C138" s="5"/>
      <c r="D138" s="1"/>
      <c r="E138" s="1"/>
      <c r="F138" s="2">
        <f>IFERROR(INDEX('Incident'!$H$4:$H$100003,MATCH(D138,'Incident'!$B$4:$B$100003,0)),IFERROR(INDEX('NC Management'!$G$4:$G$100003,MATCH(E138,'NC Management'!$B$4:$B$100003,0)),""))</f>
        <v>0</v>
      </c>
      <c r="G138" s="2">
        <f>IFERROR(INDEX('Incident'!$N$4:$N$100003,MATCH(D138,'Incident'!$B$4:$B$100003,0)),IFERROR(INDEX('NC Management'!$F$4:$F$100003,MATCH(E138,'NC Management'!$B$4:$B$100003,0)),""))</f>
        <v>0</v>
      </c>
      <c r="H138" s="6"/>
      <c r="I138" s="6"/>
      <c r="J138" s="6"/>
      <c r="K138" s="6"/>
      <c r="L138" s="6"/>
      <c r="M138" s="6"/>
      <c r="N138" s="6"/>
      <c r="O138" s="6"/>
      <c r="P138" s="1"/>
    </row>
    <row r="139" spans="1:16">
      <c r="A139" s="1">
        <v>136</v>
      </c>
      <c r="B139" s="6"/>
      <c r="C139" s="5"/>
      <c r="D139" s="1"/>
      <c r="E139" s="1"/>
      <c r="F139" s="2">
        <f>IFERROR(INDEX('Incident'!$H$4:$H$100003,MATCH(D139,'Incident'!$B$4:$B$100003,0)),IFERROR(INDEX('NC Management'!$G$4:$G$100003,MATCH(E139,'NC Management'!$B$4:$B$100003,0)),""))</f>
        <v>0</v>
      </c>
      <c r="G139" s="2">
        <f>IFERROR(INDEX('Incident'!$N$4:$N$100003,MATCH(D139,'Incident'!$B$4:$B$100003,0)),IFERROR(INDEX('NC Management'!$F$4:$F$100003,MATCH(E139,'NC Management'!$B$4:$B$100003,0)),""))</f>
        <v>0</v>
      </c>
      <c r="H139" s="6"/>
      <c r="I139" s="6"/>
      <c r="J139" s="6"/>
      <c r="K139" s="6"/>
      <c r="L139" s="6"/>
      <c r="M139" s="6"/>
      <c r="N139" s="6"/>
      <c r="O139" s="6"/>
      <c r="P139" s="1"/>
    </row>
    <row r="140" spans="1:16">
      <c r="A140" s="1">
        <v>137</v>
      </c>
      <c r="B140" s="6"/>
      <c r="C140" s="5"/>
      <c r="D140" s="1"/>
      <c r="E140" s="1"/>
      <c r="F140" s="2">
        <f>IFERROR(INDEX('Incident'!$H$4:$H$100003,MATCH(D140,'Incident'!$B$4:$B$100003,0)),IFERROR(INDEX('NC Management'!$G$4:$G$100003,MATCH(E140,'NC Management'!$B$4:$B$100003,0)),""))</f>
        <v>0</v>
      </c>
      <c r="G140" s="2">
        <f>IFERROR(INDEX('Incident'!$N$4:$N$100003,MATCH(D140,'Incident'!$B$4:$B$100003,0)),IFERROR(INDEX('NC Management'!$F$4:$F$100003,MATCH(E140,'NC Management'!$B$4:$B$100003,0)),""))</f>
        <v>0</v>
      </c>
      <c r="H140" s="6"/>
      <c r="I140" s="6"/>
      <c r="J140" s="6"/>
      <c r="K140" s="6"/>
      <c r="L140" s="6"/>
      <c r="M140" s="6"/>
      <c r="N140" s="6"/>
      <c r="O140" s="6"/>
      <c r="P140" s="1"/>
    </row>
    <row r="141" spans="1:16">
      <c r="A141" s="1">
        <v>138</v>
      </c>
      <c r="B141" s="6"/>
      <c r="C141" s="5"/>
      <c r="D141" s="1"/>
      <c r="E141" s="1"/>
      <c r="F141" s="2">
        <f>IFERROR(INDEX('Incident'!$H$4:$H$100003,MATCH(D141,'Incident'!$B$4:$B$100003,0)),IFERROR(INDEX('NC Management'!$G$4:$G$100003,MATCH(E141,'NC Management'!$B$4:$B$100003,0)),""))</f>
        <v>0</v>
      </c>
      <c r="G141" s="2">
        <f>IFERROR(INDEX('Incident'!$N$4:$N$100003,MATCH(D141,'Incident'!$B$4:$B$100003,0)),IFERROR(INDEX('NC Management'!$F$4:$F$100003,MATCH(E141,'NC Management'!$B$4:$B$100003,0)),""))</f>
        <v>0</v>
      </c>
      <c r="H141" s="6"/>
      <c r="I141" s="6"/>
      <c r="J141" s="6"/>
      <c r="K141" s="6"/>
      <c r="L141" s="6"/>
      <c r="M141" s="6"/>
      <c r="N141" s="6"/>
      <c r="O141" s="6"/>
      <c r="P141" s="1"/>
    </row>
    <row r="142" spans="1:16">
      <c r="A142" s="1">
        <v>139</v>
      </c>
      <c r="B142" s="6"/>
      <c r="C142" s="5"/>
      <c r="D142" s="1"/>
      <c r="E142" s="1"/>
      <c r="F142" s="2">
        <f>IFERROR(INDEX('Incident'!$H$4:$H$100003,MATCH(D142,'Incident'!$B$4:$B$100003,0)),IFERROR(INDEX('NC Management'!$G$4:$G$100003,MATCH(E142,'NC Management'!$B$4:$B$100003,0)),""))</f>
        <v>0</v>
      </c>
      <c r="G142" s="2">
        <f>IFERROR(INDEX('Incident'!$N$4:$N$100003,MATCH(D142,'Incident'!$B$4:$B$100003,0)),IFERROR(INDEX('NC Management'!$F$4:$F$100003,MATCH(E142,'NC Management'!$B$4:$B$100003,0)),""))</f>
        <v>0</v>
      </c>
      <c r="H142" s="6"/>
      <c r="I142" s="6"/>
      <c r="J142" s="6"/>
      <c r="K142" s="6"/>
      <c r="L142" s="6"/>
      <c r="M142" s="6"/>
      <c r="N142" s="6"/>
      <c r="O142" s="6"/>
      <c r="P142" s="1"/>
    </row>
    <row r="143" spans="1:16">
      <c r="A143" s="1">
        <v>140</v>
      </c>
      <c r="B143" s="6"/>
      <c r="C143" s="5"/>
      <c r="D143" s="1"/>
      <c r="E143" s="1"/>
      <c r="F143" s="2">
        <f>IFERROR(INDEX('Incident'!$H$4:$H$100003,MATCH(D143,'Incident'!$B$4:$B$100003,0)),IFERROR(INDEX('NC Management'!$G$4:$G$100003,MATCH(E143,'NC Management'!$B$4:$B$100003,0)),""))</f>
        <v>0</v>
      </c>
      <c r="G143" s="2">
        <f>IFERROR(INDEX('Incident'!$N$4:$N$100003,MATCH(D143,'Incident'!$B$4:$B$100003,0)),IFERROR(INDEX('NC Management'!$F$4:$F$100003,MATCH(E143,'NC Management'!$B$4:$B$100003,0)),""))</f>
        <v>0</v>
      </c>
      <c r="H143" s="6"/>
      <c r="I143" s="6"/>
      <c r="J143" s="6"/>
      <c r="K143" s="6"/>
      <c r="L143" s="6"/>
      <c r="M143" s="6"/>
      <c r="N143" s="6"/>
      <c r="O143" s="6"/>
      <c r="P143" s="1"/>
    </row>
    <row r="144" spans="1:16">
      <c r="A144" s="1">
        <v>141</v>
      </c>
      <c r="B144" s="6"/>
      <c r="C144" s="5"/>
      <c r="D144" s="1"/>
      <c r="E144" s="1"/>
      <c r="F144" s="2">
        <f>IFERROR(INDEX('Incident'!$H$4:$H$100003,MATCH(D144,'Incident'!$B$4:$B$100003,0)),IFERROR(INDEX('NC Management'!$G$4:$G$100003,MATCH(E144,'NC Management'!$B$4:$B$100003,0)),""))</f>
        <v>0</v>
      </c>
      <c r="G144" s="2">
        <f>IFERROR(INDEX('Incident'!$N$4:$N$100003,MATCH(D144,'Incident'!$B$4:$B$100003,0)),IFERROR(INDEX('NC Management'!$F$4:$F$100003,MATCH(E144,'NC Management'!$B$4:$B$100003,0)),""))</f>
        <v>0</v>
      </c>
      <c r="H144" s="6"/>
      <c r="I144" s="6"/>
      <c r="J144" s="6"/>
      <c r="K144" s="6"/>
      <c r="L144" s="6"/>
      <c r="M144" s="6"/>
      <c r="N144" s="6"/>
      <c r="O144" s="6"/>
      <c r="P144" s="1"/>
    </row>
    <row r="145" spans="1:16">
      <c r="A145" s="1">
        <v>142</v>
      </c>
      <c r="B145" s="6"/>
      <c r="C145" s="5"/>
      <c r="D145" s="1"/>
      <c r="E145" s="1"/>
      <c r="F145" s="2">
        <f>IFERROR(INDEX('Incident'!$H$4:$H$100003,MATCH(D145,'Incident'!$B$4:$B$100003,0)),IFERROR(INDEX('NC Management'!$G$4:$G$100003,MATCH(E145,'NC Management'!$B$4:$B$100003,0)),""))</f>
        <v>0</v>
      </c>
      <c r="G145" s="2">
        <f>IFERROR(INDEX('Incident'!$N$4:$N$100003,MATCH(D145,'Incident'!$B$4:$B$100003,0)),IFERROR(INDEX('NC Management'!$F$4:$F$100003,MATCH(E145,'NC Management'!$B$4:$B$100003,0)),""))</f>
        <v>0</v>
      </c>
      <c r="H145" s="6"/>
      <c r="I145" s="6"/>
      <c r="J145" s="6"/>
      <c r="K145" s="6"/>
      <c r="L145" s="6"/>
      <c r="M145" s="6"/>
      <c r="N145" s="6"/>
      <c r="O145" s="6"/>
      <c r="P145" s="1"/>
    </row>
    <row r="146" spans="1:16">
      <c r="A146" s="1">
        <v>143</v>
      </c>
      <c r="B146" s="6"/>
      <c r="C146" s="5"/>
      <c r="D146" s="1"/>
      <c r="E146" s="1"/>
      <c r="F146" s="2">
        <f>IFERROR(INDEX('Incident'!$H$4:$H$100003,MATCH(D146,'Incident'!$B$4:$B$100003,0)),IFERROR(INDEX('NC Management'!$G$4:$G$100003,MATCH(E146,'NC Management'!$B$4:$B$100003,0)),""))</f>
        <v>0</v>
      </c>
      <c r="G146" s="2">
        <f>IFERROR(INDEX('Incident'!$N$4:$N$100003,MATCH(D146,'Incident'!$B$4:$B$100003,0)),IFERROR(INDEX('NC Management'!$F$4:$F$100003,MATCH(E146,'NC Management'!$B$4:$B$100003,0)),""))</f>
        <v>0</v>
      </c>
      <c r="H146" s="6"/>
      <c r="I146" s="6"/>
      <c r="J146" s="6"/>
      <c r="K146" s="6"/>
      <c r="L146" s="6"/>
      <c r="M146" s="6"/>
      <c r="N146" s="6"/>
      <c r="O146" s="6"/>
      <c r="P146" s="1"/>
    </row>
    <row r="147" spans="1:16">
      <c r="A147" s="1">
        <v>144</v>
      </c>
      <c r="B147" s="6"/>
      <c r="C147" s="5"/>
      <c r="D147" s="1"/>
      <c r="E147" s="1"/>
      <c r="F147" s="2">
        <f>IFERROR(INDEX('Incident'!$H$4:$H$100003,MATCH(D147,'Incident'!$B$4:$B$100003,0)),IFERROR(INDEX('NC Management'!$G$4:$G$100003,MATCH(E147,'NC Management'!$B$4:$B$100003,0)),""))</f>
        <v>0</v>
      </c>
      <c r="G147" s="2">
        <f>IFERROR(INDEX('Incident'!$N$4:$N$100003,MATCH(D147,'Incident'!$B$4:$B$100003,0)),IFERROR(INDEX('NC Management'!$F$4:$F$100003,MATCH(E147,'NC Management'!$B$4:$B$100003,0)),""))</f>
        <v>0</v>
      </c>
      <c r="H147" s="6"/>
      <c r="I147" s="6"/>
      <c r="J147" s="6"/>
      <c r="K147" s="6"/>
      <c r="L147" s="6"/>
      <c r="M147" s="6"/>
      <c r="N147" s="6"/>
      <c r="O147" s="6"/>
      <c r="P147" s="1"/>
    </row>
    <row r="148" spans="1:16">
      <c r="A148" s="1">
        <v>145</v>
      </c>
      <c r="B148" s="6"/>
      <c r="C148" s="5"/>
      <c r="D148" s="1"/>
      <c r="E148" s="1"/>
      <c r="F148" s="2">
        <f>IFERROR(INDEX('Incident'!$H$4:$H$100003,MATCH(D148,'Incident'!$B$4:$B$100003,0)),IFERROR(INDEX('NC Management'!$G$4:$G$100003,MATCH(E148,'NC Management'!$B$4:$B$100003,0)),""))</f>
        <v>0</v>
      </c>
      <c r="G148" s="2">
        <f>IFERROR(INDEX('Incident'!$N$4:$N$100003,MATCH(D148,'Incident'!$B$4:$B$100003,0)),IFERROR(INDEX('NC Management'!$F$4:$F$100003,MATCH(E148,'NC Management'!$B$4:$B$100003,0)),""))</f>
        <v>0</v>
      </c>
      <c r="H148" s="6"/>
      <c r="I148" s="6"/>
      <c r="J148" s="6"/>
      <c r="K148" s="6"/>
      <c r="L148" s="6"/>
      <c r="M148" s="6"/>
      <c r="N148" s="6"/>
      <c r="O148" s="6"/>
      <c r="P148" s="1"/>
    </row>
    <row r="149" spans="1:16">
      <c r="A149" s="1">
        <v>146</v>
      </c>
      <c r="B149" s="6"/>
      <c r="C149" s="5"/>
      <c r="D149" s="1"/>
      <c r="E149" s="1"/>
      <c r="F149" s="2">
        <f>IFERROR(INDEX('Incident'!$H$4:$H$100003,MATCH(D149,'Incident'!$B$4:$B$100003,0)),IFERROR(INDEX('NC Management'!$G$4:$G$100003,MATCH(E149,'NC Management'!$B$4:$B$100003,0)),""))</f>
        <v>0</v>
      </c>
      <c r="G149" s="2">
        <f>IFERROR(INDEX('Incident'!$N$4:$N$100003,MATCH(D149,'Incident'!$B$4:$B$100003,0)),IFERROR(INDEX('NC Management'!$F$4:$F$100003,MATCH(E149,'NC Management'!$B$4:$B$100003,0)),""))</f>
        <v>0</v>
      </c>
      <c r="H149" s="6"/>
      <c r="I149" s="6"/>
      <c r="J149" s="6"/>
      <c r="K149" s="6"/>
      <c r="L149" s="6"/>
      <c r="M149" s="6"/>
      <c r="N149" s="6"/>
      <c r="O149" s="6"/>
      <c r="P149" s="1"/>
    </row>
    <row r="150" spans="1:16">
      <c r="A150" s="1">
        <v>147</v>
      </c>
      <c r="B150" s="6"/>
      <c r="C150" s="5"/>
      <c r="D150" s="1"/>
      <c r="E150" s="1"/>
      <c r="F150" s="2">
        <f>IFERROR(INDEX('Incident'!$H$4:$H$100003,MATCH(D150,'Incident'!$B$4:$B$100003,0)),IFERROR(INDEX('NC Management'!$G$4:$G$100003,MATCH(E150,'NC Management'!$B$4:$B$100003,0)),""))</f>
        <v>0</v>
      </c>
      <c r="G150" s="2">
        <f>IFERROR(INDEX('Incident'!$N$4:$N$100003,MATCH(D150,'Incident'!$B$4:$B$100003,0)),IFERROR(INDEX('NC Management'!$F$4:$F$100003,MATCH(E150,'NC Management'!$B$4:$B$100003,0)),""))</f>
        <v>0</v>
      </c>
      <c r="H150" s="6"/>
      <c r="I150" s="6"/>
      <c r="J150" s="6"/>
      <c r="K150" s="6"/>
      <c r="L150" s="6"/>
      <c r="M150" s="6"/>
      <c r="N150" s="6"/>
      <c r="O150" s="6"/>
      <c r="P150" s="1"/>
    </row>
    <row r="151" spans="1:16">
      <c r="A151" s="1">
        <v>148</v>
      </c>
      <c r="B151" s="6"/>
      <c r="C151" s="5"/>
      <c r="D151" s="1"/>
      <c r="E151" s="1"/>
      <c r="F151" s="2">
        <f>IFERROR(INDEX('Incident'!$H$4:$H$100003,MATCH(D151,'Incident'!$B$4:$B$100003,0)),IFERROR(INDEX('NC Management'!$G$4:$G$100003,MATCH(E151,'NC Management'!$B$4:$B$100003,0)),""))</f>
        <v>0</v>
      </c>
      <c r="G151" s="2">
        <f>IFERROR(INDEX('Incident'!$N$4:$N$100003,MATCH(D151,'Incident'!$B$4:$B$100003,0)),IFERROR(INDEX('NC Management'!$F$4:$F$100003,MATCH(E151,'NC Management'!$B$4:$B$100003,0)),""))</f>
        <v>0</v>
      </c>
      <c r="H151" s="6"/>
      <c r="I151" s="6"/>
      <c r="J151" s="6"/>
      <c r="K151" s="6"/>
      <c r="L151" s="6"/>
      <c r="M151" s="6"/>
      <c r="N151" s="6"/>
      <c r="O151" s="6"/>
      <c r="P151" s="1"/>
    </row>
    <row r="152" spans="1:16">
      <c r="A152" s="1">
        <v>149</v>
      </c>
      <c r="B152" s="6"/>
      <c r="C152" s="5"/>
      <c r="D152" s="1"/>
      <c r="E152" s="1"/>
      <c r="F152" s="2">
        <f>IFERROR(INDEX('Incident'!$H$4:$H$100003,MATCH(D152,'Incident'!$B$4:$B$100003,0)),IFERROR(INDEX('NC Management'!$G$4:$G$100003,MATCH(E152,'NC Management'!$B$4:$B$100003,0)),""))</f>
        <v>0</v>
      </c>
      <c r="G152" s="2">
        <f>IFERROR(INDEX('Incident'!$N$4:$N$100003,MATCH(D152,'Incident'!$B$4:$B$100003,0)),IFERROR(INDEX('NC Management'!$F$4:$F$100003,MATCH(E152,'NC Management'!$B$4:$B$100003,0)),""))</f>
        <v>0</v>
      </c>
      <c r="H152" s="6"/>
      <c r="I152" s="6"/>
      <c r="J152" s="6"/>
      <c r="K152" s="6"/>
      <c r="L152" s="6"/>
      <c r="M152" s="6"/>
      <c r="N152" s="6"/>
      <c r="O152" s="6"/>
      <c r="P152" s="1"/>
    </row>
    <row r="153" spans="1:16">
      <c r="A153" s="1">
        <v>150</v>
      </c>
      <c r="B153" s="6"/>
      <c r="C153" s="5"/>
      <c r="D153" s="1"/>
      <c r="E153" s="1"/>
      <c r="F153" s="2">
        <f>IFERROR(INDEX('Incident'!$H$4:$H$100003,MATCH(D153,'Incident'!$B$4:$B$100003,0)),IFERROR(INDEX('NC Management'!$G$4:$G$100003,MATCH(E153,'NC Management'!$B$4:$B$100003,0)),""))</f>
        <v>0</v>
      </c>
      <c r="G153" s="2">
        <f>IFERROR(INDEX('Incident'!$N$4:$N$100003,MATCH(D153,'Incident'!$B$4:$B$100003,0)),IFERROR(INDEX('NC Management'!$F$4:$F$100003,MATCH(E153,'NC Management'!$B$4:$B$100003,0)),""))</f>
        <v>0</v>
      </c>
      <c r="H153" s="6"/>
      <c r="I153" s="6"/>
      <c r="J153" s="6"/>
      <c r="K153" s="6"/>
      <c r="L153" s="6"/>
      <c r="M153" s="6"/>
      <c r="N153" s="6"/>
      <c r="O153" s="6"/>
      <c r="P153" s="1"/>
    </row>
    <row r="154" spans="1:16">
      <c r="A154" s="1">
        <v>151</v>
      </c>
      <c r="B154" s="6"/>
      <c r="C154" s="5"/>
      <c r="D154" s="1"/>
      <c r="E154" s="1"/>
      <c r="F154" s="2">
        <f>IFERROR(INDEX('Incident'!$H$4:$H$100003,MATCH(D154,'Incident'!$B$4:$B$100003,0)),IFERROR(INDEX('NC Management'!$G$4:$G$100003,MATCH(E154,'NC Management'!$B$4:$B$100003,0)),""))</f>
        <v>0</v>
      </c>
      <c r="G154" s="2">
        <f>IFERROR(INDEX('Incident'!$N$4:$N$100003,MATCH(D154,'Incident'!$B$4:$B$100003,0)),IFERROR(INDEX('NC Management'!$F$4:$F$100003,MATCH(E154,'NC Management'!$B$4:$B$100003,0)),""))</f>
        <v>0</v>
      </c>
      <c r="H154" s="6"/>
      <c r="I154" s="6"/>
      <c r="J154" s="6"/>
      <c r="K154" s="6"/>
      <c r="L154" s="6"/>
      <c r="M154" s="6"/>
      <c r="N154" s="6"/>
      <c r="O154" s="6"/>
      <c r="P154" s="1"/>
    </row>
    <row r="155" spans="1:16">
      <c r="A155" s="1">
        <v>152</v>
      </c>
      <c r="B155" s="6"/>
      <c r="C155" s="5"/>
      <c r="D155" s="1"/>
      <c r="E155" s="1"/>
      <c r="F155" s="2">
        <f>IFERROR(INDEX('Incident'!$H$4:$H$100003,MATCH(D155,'Incident'!$B$4:$B$100003,0)),IFERROR(INDEX('NC Management'!$G$4:$G$100003,MATCH(E155,'NC Management'!$B$4:$B$100003,0)),""))</f>
        <v>0</v>
      </c>
      <c r="G155" s="2">
        <f>IFERROR(INDEX('Incident'!$N$4:$N$100003,MATCH(D155,'Incident'!$B$4:$B$100003,0)),IFERROR(INDEX('NC Management'!$F$4:$F$100003,MATCH(E155,'NC Management'!$B$4:$B$100003,0)),""))</f>
        <v>0</v>
      </c>
      <c r="H155" s="6"/>
      <c r="I155" s="6"/>
      <c r="J155" s="6"/>
      <c r="K155" s="6"/>
      <c r="L155" s="6"/>
      <c r="M155" s="6"/>
      <c r="N155" s="6"/>
      <c r="O155" s="6"/>
      <c r="P155" s="1"/>
    </row>
    <row r="156" spans="1:16">
      <c r="A156" s="1">
        <v>153</v>
      </c>
      <c r="B156" s="6"/>
      <c r="C156" s="5"/>
      <c r="D156" s="1"/>
      <c r="E156" s="1"/>
      <c r="F156" s="2">
        <f>IFERROR(INDEX('Incident'!$H$4:$H$100003,MATCH(D156,'Incident'!$B$4:$B$100003,0)),IFERROR(INDEX('NC Management'!$G$4:$G$100003,MATCH(E156,'NC Management'!$B$4:$B$100003,0)),""))</f>
        <v>0</v>
      </c>
      <c r="G156" s="2">
        <f>IFERROR(INDEX('Incident'!$N$4:$N$100003,MATCH(D156,'Incident'!$B$4:$B$100003,0)),IFERROR(INDEX('NC Management'!$F$4:$F$100003,MATCH(E156,'NC Management'!$B$4:$B$100003,0)),""))</f>
        <v>0</v>
      </c>
      <c r="H156" s="6"/>
      <c r="I156" s="6"/>
      <c r="J156" s="6"/>
      <c r="K156" s="6"/>
      <c r="L156" s="6"/>
      <c r="M156" s="6"/>
      <c r="N156" s="6"/>
      <c r="O156" s="6"/>
      <c r="P156" s="1"/>
    </row>
    <row r="157" spans="1:16">
      <c r="A157" s="1">
        <v>154</v>
      </c>
      <c r="B157" s="6"/>
      <c r="C157" s="5"/>
      <c r="D157" s="1"/>
      <c r="E157" s="1"/>
      <c r="F157" s="2">
        <f>IFERROR(INDEX('Incident'!$H$4:$H$100003,MATCH(D157,'Incident'!$B$4:$B$100003,0)),IFERROR(INDEX('NC Management'!$G$4:$G$100003,MATCH(E157,'NC Management'!$B$4:$B$100003,0)),""))</f>
        <v>0</v>
      </c>
      <c r="G157" s="2">
        <f>IFERROR(INDEX('Incident'!$N$4:$N$100003,MATCH(D157,'Incident'!$B$4:$B$100003,0)),IFERROR(INDEX('NC Management'!$F$4:$F$100003,MATCH(E157,'NC Management'!$B$4:$B$100003,0)),""))</f>
        <v>0</v>
      </c>
      <c r="H157" s="6"/>
      <c r="I157" s="6"/>
      <c r="J157" s="6"/>
      <c r="K157" s="6"/>
      <c r="L157" s="6"/>
      <c r="M157" s="6"/>
      <c r="N157" s="6"/>
      <c r="O157" s="6"/>
      <c r="P157" s="1"/>
    </row>
    <row r="158" spans="1:16">
      <c r="A158" s="1">
        <v>155</v>
      </c>
      <c r="B158" s="6"/>
      <c r="C158" s="5"/>
      <c r="D158" s="1"/>
      <c r="E158" s="1"/>
      <c r="F158" s="2">
        <f>IFERROR(INDEX('Incident'!$H$4:$H$100003,MATCH(D158,'Incident'!$B$4:$B$100003,0)),IFERROR(INDEX('NC Management'!$G$4:$G$100003,MATCH(E158,'NC Management'!$B$4:$B$100003,0)),""))</f>
        <v>0</v>
      </c>
      <c r="G158" s="2">
        <f>IFERROR(INDEX('Incident'!$N$4:$N$100003,MATCH(D158,'Incident'!$B$4:$B$100003,0)),IFERROR(INDEX('NC Management'!$F$4:$F$100003,MATCH(E158,'NC Management'!$B$4:$B$100003,0)),""))</f>
        <v>0</v>
      </c>
      <c r="H158" s="6"/>
      <c r="I158" s="6"/>
      <c r="J158" s="6"/>
      <c r="K158" s="6"/>
      <c r="L158" s="6"/>
      <c r="M158" s="6"/>
      <c r="N158" s="6"/>
      <c r="O158" s="6"/>
      <c r="P158" s="1"/>
    </row>
    <row r="159" spans="1:16">
      <c r="A159" s="1">
        <v>156</v>
      </c>
      <c r="B159" s="6"/>
      <c r="C159" s="5"/>
      <c r="D159" s="1"/>
      <c r="E159" s="1"/>
      <c r="F159" s="2">
        <f>IFERROR(INDEX('Incident'!$H$4:$H$100003,MATCH(D159,'Incident'!$B$4:$B$100003,0)),IFERROR(INDEX('NC Management'!$G$4:$G$100003,MATCH(E159,'NC Management'!$B$4:$B$100003,0)),""))</f>
        <v>0</v>
      </c>
      <c r="G159" s="2">
        <f>IFERROR(INDEX('Incident'!$N$4:$N$100003,MATCH(D159,'Incident'!$B$4:$B$100003,0)),IFERROR(INDEX('NC Management'!$F$4:$F$100003,MATCH(E159,'NC Management'!$B$4:$B$100003,0)),""))</f>
        <v>0</v>
      </c>
      <c r="H159" s="6"/>
      <c r="I159" s="6"/>
      <c r="J159" s="6"/>
      <c r="K159" s="6"/>
      <c r="L159" s="6"/>
      <c r="M159" s="6"/>
      <c r="N159" s="6"/>
      <c r="O159" s="6"/>
      <c r="P159" s="1"/>
    </row>
    <row r="160" spans="1:16">
      <c r="A160" s="1">
        <v>157</v>
      </c>
      <c r="B160" s="6"/>
      <c r="C160" s="5"/>
      <c r="D160" s="1"/>
      <c r="E160" s="1"/>
      <c r="F160" s="2">
        <f>IFERROR(INDEX('Incident'!$H$4:$H$100003,MATCH(D160,'Incident'!$B$4:$B$100003,0)),IFERROR(INDEX('NC Management'!$G$4:$G$100003,MATCH(E160,'NC Management'!$B$4:$B$100003,0)),""))</f>
        <v>0</v>
      </c>
      <c r="G160" s="2">
        <f>IFERROR(INDEX('Incident'!$N$4:$N$100003,MATCH(D160,'Incident'!$B$4:$B$100003,0)),IFERROR(INDEX('NC Management'!$F$4:$F$100003,MATCH(E160,'NC Management'!$B$4:$B$100003,0)),""))</f>
        <v>0</v>
      </c>
      <c r="H160" s="6"/>
      <c r="I160" s="6"/>
      <c r="J160" s="6"/>
      <c r="K160" s="6"/>
      <c r="L160" s="6"/>
      <c r="M160" s="6"/>
      <c r="N160" s="6"/>
      <c r="O160" s="6"/>
      <c r="P160" s="1"/>
    </row>
    <row r="161" spans="1:16">
      <c r="A161" s="1">
        <v>158</v>
      </c>
      <c r="B161" s="6"/>
      <c r="C161" s="5"/>
      <c r="D161" s="1"/>
      <c r="E161" s="1"/>
      <c r="F161" s="2">
        <f>IFERROR(INDEX('Incident'!$H$4:$H$100003,MATCH(D161,'Incident'!$B$4:$B$100003,0)),IFERROR(INDEX('NC Management'!$G$4:$G$100003,MATCH(E161,'NC Management'!$B$4:$B$100003,0)),""))</f>
        <v>0</v>
      </c>
      <c r="G161" s="2">
        <f>IFERROR(INDEX('Incident'!$N$4:$N$100003,MATCH(D161,'Incident'!$B$4:$B$100003,0)),IFERROR(INDEX('NC Management'!$F$4:$F$100003,MATCH(E161,'NC Management'!$B$4:$B$100003,0)),""))</f>
        <v>0</v>
      </c>
      <c r="H161" s="6"/>
      <c r="I161" s="6"/>
      <c r="J161" s="6"/>
      <c r="K161" s="6"/>
      <c r="L161" s="6"/>
      <c r="M161" s="6"/>
      <c r="N161" s="6"/>
      <c r="O161" s="6"/>
      <c r="P161" s="1"/>
    </row>
    <row r="162" spans="1:16">
      <c r="A162" s="1">
        <v>159</v>
      </c>
      <c r="B162" s="6"/>
      <c r="C162" s="5"/>
      <c r="D162" s="1"/>
      <c r="E162" s="1"/>
      <c r="F162" s="2">
        <f>IFERROR(INDEX('Incident'!$H$4:$H$100003,MATCH(D162,'Incident'!$B$4:$B$100003,0)),IFERROR(INDEX('NC Management'!$G$4:$G$100003,MATCH(E162,'NC Management'!$B$4:$B$100003,0)),""))</f>
        <v>0</v>
      </c>
      <c r="G162" s="2">
        <f>IFERROR(INDEX('Incident'!$N$4:$N$100003,MATCH(D162,'Incident'!$B$4:$B$100003,0)),IFERROR(INDEX('NC Management'!$F$4:$F$100003,MATCH(E162,'NC Management'!$B$4:$B$100003,0)),""))</f>
        <v>0</v>
      </c>
      <c r="H162" s="6"/>
      <c r="I162" s="6"/>
      <c r="J162" s="6"/>
      <c r="K162" s="6"/>
      <c r="L162" s="6"/>
      <c r="M162" s="6"/>
      <c r="N162" s="6"/>
      <c r="O162" s="6"/>
      <c r="P162" s="1"/>
    </row>
    <row r="163" spans="1:16">
      <c r="A163" s="1">
        <v>160</v>
      </c>
      <c r="B163" s="6"/>
      <c r="C163" s="5"/>
      <c r="D163" s="1"/>
      <c r="E163" s="1"/>
      <c r="F163" s="2">
        <f>IFERROR(INDEX('Incident'!$H$4:$H$100003,MATCH(D163,'Incident'!$B$4:$B$100003,0)),IFERROR(INDEX('NC Management'!$G$4:$G$100003,MATCH(E163,'NC Management'!$B$4:$B$100003,0)),""))</f>
        <v>0</v>
      </c>
      <c r="G163" s="2">
        <f>IFERROR(INDEX('Incident'!$N$4:$N$100003,MATCH(D163,'Incident'!$B$4:$B$100003,0)),IFERROR(INDEX('NC Management'!$F$4:$F$100003,MATCH(E163,'NC Management'!$B$4:$B$100003,0)),""))</f>
        <v>0</v>
      </c>
      <c r="H163" s="6"/>
      <c r="I163" s="6"/>
      <c r="J163" s="6"/>
      <c r="K163" s="6"/>
      <c r="L163" s="6"/>
      <c r="M163" s="6"/>
      <c r="N163" s="6"/>
      <c r="O163" s="6"/>
      <c r="P163" s="1"/>
    </row>
    <row r="164" spans="1:16">
      <c r="A164" s="1">
        <v>161</v>
      </c>
      <c r="B164" s="6"/>
      <c r="C164" s="5"/>
      <c r="D164" s="1"/>
      <c r="E164" s="1"/>
      <c r="F164" s="2">
        <f>IFERROR(INDEX('Incident'!$H$4:$H$100003,MATCH(D164,'Incident'!$B$4:$B$100003,0)),IFERROR(INDEX('NC Management'!$G$4:$G$100003,MATCH(E164,'NC Management'!$B$4:$B$100003,0)),""))</f>
        <v>0</v>
      </c>
      <c r="G164" s="2">
        <f>IFERROR(INDEX('Incident'!$N$4:$N$100003,MATCH(D164,'Incident'!$B$4:$B$100003,0)),IFERROR(INDEX('NC Management'!$F$4:$F$100003,MATCH(E164,'NC Management'!$B$4:$B$100003,0)),""))</f>
        <v>0</v>
      </c>
      <c r="H164" s="6"/>
      <c r="I164" s="6"/>
      <c r="J164" s="6"/>
      <c r="K164" s="6"/>
      <c r="L164" s="6"/>
      <c r="M164" s="6"/>
      <c r="N164" s="6"/>
      <c r="O164" s="6"/>
      <c r="P164" s="1"/>
    </row>
    <row r="165" spans="1:16">
      <c r="A165" s="1">
        <v>162</v>
      </c>
      <c r="B165" s="6"/>
      <c r="C165" s="5"/>
      <c r="D165" s="1"/>
      <c r="E165" s="1"/>
      <c r="F165" s="2">
        <f>IFERROR(INDEX('Incident'!$H$4:$H$100003,MATCH(D165,'Incident'!$B$4:$B$100003,0)),IFERROR(INDEX('NC Management'!$G$4:$G$100003,MATCH(E165,'NC Management'!$B$4:$B$100003,0)),""))</f>
        <v>0</v>
      </c>
      <c r="G165" s="2">
        <f>IFERROR(INDEX('Incident'!$N$4:$N$100003,MATCH(D165,'Incident'!$B$4:$B$100003,0)),IFERROR(INDEX('NC Management'!$F$4:$F$100003,MATCH(E165,'NC Management'!$B$4:$B$100003,0)),""))</f>
        <v>0</v>
      </c>
      <c r="H165" s="6"/>
      <c r="I165" s="6"/>
      <c r="J165" s="6"/>
      <c r="K165" s="6"/>
      <c r="L165" s="6"/>
      <c r="M165" s="6"/>
      <c r="N165" s="6"/>
      <c r="O165" s="6"/>
      <c r="P165" s="1"/>
    </row>
    <row r="166" spans="1:16">
      <c r="A166" s="1">
        <v>163</v>
      </c>
      <c r="B166" s="6"/>
      <c r="C166" s="5"/>
      <c r="D166" s="1"/>
      <c r="E166" s="1"/>
      <c r="F166" s="2">
        <f>IFERROR(INDEX('Incident'!$H$4:$H$100003,MATCH(D166,'Incident'!$B$4:$B$100003,0)),IFERROR(INDEX('NC Management'!$G$4:$G$100003,MATCH(E166,'NC Management'!$B$4:$B$100003,0)),""))</f>
        <v>0</v>
      </c>
      <c r="G166" s="2">
        <f>IFERROR(INDEX('Incident'!$N$4:$N$100003,MATCH(D166,'Incident'!$B$4:$B$100003,0)),IFERROR(INDEX('NC Management'!$F$4:$F$100003,MATCH(E166,'NC Management'!$B$4:$B$100003,0)),""))</f>
        <v>0</v>
      </c>
      <c r="H166" s="6"/>
      <c r="I166" s="6"/>
      <c r="J166" s="6"/>
      <c r="K166" s="6"/>
      <c r="L166" s="6"/>
      <c r="M166" s="6"/>
      <c r="N166" s="6"/>
      <c r="O166" s="6"/>
      <c r="P166" s="1"/>
    </row>
    <row r="167" spans="1:16">
      <c r="A167" s="1">
        <v>164</v>
      </c>
      <c r="B167" s="6"/>
      <c r="C167" s="5"/>
      <c r="D167" s="1"/>
      <c r="E167" s="1"/>
      <c r="F167" s="2">
        <f>IFERROR(INDEX('Incident'!$H$4:$H$100003,MATCH(D167,'Incident'!$B$4:$B$100003,0)),IFERROR(INDEX('NC Management'!$G$4:$G$100003,MATCH(E167,'NC Management'!$B$4:$B$100003,0)),""))</f>
        <v>0</v>
      </c>
      <c r="G167" s="2">
        <f>IFERROR(INDEX('Incident'!$N$4:$N$100003,MATCH(D167,'Incident'!$B$4:$B$100003,0)),IFERROR(INDEX('NC Management'!$F$4:$F$100003,MATCH(E167,'NC Management'!$B$4:$B$100003,0)),""))</f>
        <v>0</v>
      </c>
      <c r="H167" s="6"/>
      <c r="I167" s="6"/>
      <c r="J167" s="6"/>
      <c r="K167" s="6"/>
      <c r="L167" s="6"/>
      <c r="M167" s="6"/>
      <c r="N167" s="6"/>
      <c r="O167" s="6"/>
      <c r="P167" s="1"/>
    </row>
    <row r="168" spans="1:16">
      <c r="A168" s="1">
        <v>165</v>
      </c>
      <c r="B168" s="6"/>
      <c r="C168" s="5"/>
      <c r="D168" s="1"/>
      <c r="E168" s="1"/>
      <c r="F168" s="2">
        <f>IFERROR(INDEX('Incident'!$H$4:$H$100003,MATCH(D168,'Incident'!$B$4:$B$100003,0)),IFERROR(INDEX('NC Management'!$G$4:$G$100003,MATCH(E168,'NC Management'!$B$4:$B$100003,0)),""))</f>
        <v>0</v>
      </c>
      <c r="G168" s="2">
        <f>IFERROR(INDEX('Incident'!$N$4:$N$100003,MATCH(D168,'Incident'!$B$4:$B$100003,0)),IFERROR(INDEX('NC Management'!$F$4:$F$100003,MATCH(E168,'NC Management'!$B$4:$B$100003,0)),""))</f>
        <v>0</v>
      </c>
      <c r="H168" s="6"/>
      <c r="I168" s="6"/>
      <c r="J168" s="6"/>
      <c r="K168" s="6"/>
      <c r="L168" s="6"/>
      <c r="M168" s="6"/>
      <c r="N168" s="6"/>
      <c r="O168" s="6"/>
      <c r="P168" s="1"/>
    </row>
    <row r="169" spans="1:16">
      <c r="A169" s="1">
        <v>166</v>
      </c>
      <c r="B169" s="6"/>
      <c r="C169" s="5"/>
      <c r="D169" s="1"/>
      <c r="E169" s="1"/>
      <c r="F169" s="2">
        <f>IFERROR(INDEX('Incident'!$H$4:$H$100003,MATCH(D169,'Incident'!$B$4:$B$100003,0)),IFERROR(INDEX('NC Management'!$G$4:$G$100003,MATCH(E169,'NC Management'!$B$4:$B$100003,0)),""))</f>
        <v>0</v>
      </c>
      <c r="G169" s="2">
        <f>IFERROR(INDEX('Incident'!$N$4:$N$100003,MATCH(D169,'Incident'!$B$4:$B$100003,0)),IFERROR(INDEX('NC Management'!$F$4:$F$100003,MATCH(E169,'NC Management'!$B$4:$B$100003,0)),""))</f>
        <v>0</v>
      </c>
      <c r="H169" s="6"/>
      <c r="I169" s="6"/>
      <c r="J169" s="6"/>
      <c r="K169" s="6"/>
      <c r="L169" s="6"/>
      <c r="M169" s="6"/>
      <c r="N169" s="6"/>
      <c r="O169" s="6"/>
      <c r="P169" s="1"/>
    </row>
    <row r="170" spans="1:16">
      <c r="A170" s="1">
        <v>167</v>
      </c>
      <c r="B170" s="6"/>
      <c r="C170" s="5"/>
      <c r="D170" s="1"/>
      <c r="E170" s="1"/>
      <c r="F170" s="2">
        <f>IFERROR(INDEX('Incident'!$H$4:$H$100003,MATCH(D170,'Incident'!$B$4:$B$100003,0)),IFERROR(INDEX('NC Management'!$G$4:$G$100003,MATCH(E170,'NC Management'!$B$4:$B$100003,0)),""))</f>
        <v>0</v>
      </c>
      <c r="G170" s="2">
        <f>IFERROR(INDEX('Incident'!$N$4:$N$100003,MATCH(D170,'Incident'!$B$4:$B$100003,0)),IFERROR(INDEX('NC Management'!$F$4:$F$100003,MATCH(E170,'NC Management'!$B$4:$B$100003,0)),""))</f>
        <v>0</v>
      </c>
      <c r="H170" s="6"/>
      <c r="I170" s="6"/>
      <c r="J170" s="6"/>
      <c r="K170" s="6"/>
      <c r="L170" s="6"/>
      <c r="M170" s="6"/>
      <c r="N170" s="6"/>
      <c r="O170" s="6"/>
      <c r="P170" s="1"/>
    </row>
    <row r="171" spans="1:16">
      <c r="A171" s="1">
        <v>168</v>
      </c>
      <c r="B171" s="6"/>
      <c r="C171" s="5"/>
      <c r="D171" s="1"/>
      <c r="E171" s="1"/>
      <c r="F171" s="2">
        <f>IFERROR(INDEX('Incident'!$H$4:$H$100003,MATCH(D171,'Incident'!$B$4:$B$100003,0)),IFERROR(INDEX('NC Management'!$G$4:$G$100003,MATCH(E171,'NC Management'!$B$4:$B$100003,0)),""))</f>
        <v>0</v>
      </c>
      <c r="G171" s="2">
        <f>IFERROR(INDEX('Incident'!$N$4:$N$100003,MATCH(D171,'Incident'!$B$4:$B$100003,0)),IFERROR(INDEX('NC Management'!$F$4:$F$100003,MATCH(E171,'NC Management'!$B$4:$B$100003,0)),""))</f>
        <v>0</v>
      </c>
      <c r="H171" s="6"/>
      <c r="I171" s="6"/>
      <c r="J171" s="6"/>
      <c r="K171" s="6"/>
      <c r="L171" s="6"/>
      <c r="M171" s="6"/>
      <c r="N171" s="6"/>
      <c r="O171" s="6"/>
      <c r="P171" s="1"/>
    </row>
    <row r="172" spans="1:16">
      <c r="A172" s="1">
        <v>169</v>
      </c>
      <c r="B172" s="6"/>
      <c r="C172" s="5"/>
      <c r="D172" s="1"/>
      <c r="E172" s="1"/>
      <c r="F172" s="2">
        <f>IFERROR(INDEX('Incident'!$H$4:$H$100003,MATCH(D172,'Incident'!$B$4:$B$100003,0)),IFERROR(INDEX('NC Management'!$G$4:$G$100003,MATCH(E172,'NC Management'!$B$4:$B$100003,0)),""))</f>
        <v>0</v>
      </c>
      <c r="G172" s="2">
        <f>IFERROR(INDEX('Incident'!$N$4:$N$100003,MATCH(D172,'Incident'!$B$4:$B$100003,0)),IFERROR(INDEX('NC Management'!$F$4:$F$100003,MATCH(E172,'NC Management'!$B$4:$B$100003,0)),""))</f>
        <v>0</v>
      </c>
      <c r="H172" s="6"/>
      <c r="I172" s="6"/>
      <c r="J172" s="6"/>
      <c r="K172" s="6"/>
      <c r="L172" s="6"/>
      <c r="M172" s="6"/>
      <c r="N172" s="6"/>
      <c r="O172" s="6"/>
      <c r="P172" s="1"/>
    </row>
    <row r="173" spans="1:16">
      <c r="A173" s="1">
        <v>170</v>
      </c>
      <c r="B173" s="6"/>
      <c r="C173" s="5"/>
      <c r="D173" s="1"/>
      <c r="E173" s="1"/>
      <c r="F173" s="2">
        <f>IFERROR(INDEX('Incident'!$H$4:$H$100003,MATCH(D173,'Incident'!$B$4:$B$100003,0)),IFERROR(INDEX('NC Management'!$G$4:$G$100003,MATCH(E173,'NC Management'!$B$4:$B$100003,0)),""))</f>
        <v>0</v>
      </c>
      <c r="G173" s="2">
        <f>IFERROR(INDEX('Incident'!$N$4:$N$100003,MATCH(D173,'Incident'!$B$4:$B$100003,0)),IFERROR(INDEX('NC Management'!$F$4:$F$100003,MATCH(E173,'NC Management'!$B$4:$B$100003,0)),""))</f>
        <v>0</v>
      </c>
      <c r="H173" s="6"/>
      <c r="I173" s="6"/>
      <c r="J173" s="6"/>
      <c r="K173" s="6"/>
      <c r="L173" s="6"/>
      <c r="M173" s="6"/>
      <c r="N173" s="6"/>
      <c r="O173" s="6"/>
      <c r="P173" s="1"/>
    </row>
    <row r="174" spans="1:16">
      <c r="A174" s="1">
        <v>171</v>
      </c>
      <c r="B174" s="6"/>
      <c r="C174" s="5"/>
      <c r="D174" s="1"/>
      <c r="E174" s="1"/>
      <c r="F174" s="2">
        <f>IFERROR(INDEX('Incident'!$H$4:$H$100003,MATCH(D174,'Incident'!$B$4:$B$100003,0)),IFERROR(INDEX('NC Management'!$G$4:$G$100003,MATCH(E174,'NC Management'!$B$4:$B$100003,0)),""))</f>
        <v>0</v>
      </c>
      <c r="G174" s="2">
        <f>IFERROR(INDEX('Incident'!$N$4:$N$100003,MATCH(D174,'Incident'!$B$4:$B$100003,0)),IFERROR(INDEX('NC Management'!$F$4:$F$100003,MATCH(E174,'NC Management'!$B$4:$B$100003,0)),""))</f>
        <v>0</v>
      </c>
      <c r="H174" s="6"/>
      <c r="I174" s="6"/>
      <c r="J174" s="6"/>
      <c r="K174" s="6"/>
      <c r="L174" s="6"/>
      <c r="M174" s="6"/>
      <c r="N174" s="6"/>
      <c r="O174" s="6"/>
      <c r="P174" s="1"/>
    </row>
    <row r="175" spans="1:16">
      <c r="A175" s="1">
        <v>172</v>
      </c>
      <c r="B175" s="6"/>
      <c r="C175" s="5"/>
      <c r="D175" s="1"/>
      <c r="E175" s="1"/>
      <c r="F175" s="2">
        <f>IFERROR(INDEX('Incident'!$H$4:$H$100003,MATCH(D175,'Incident'!$B$4:$B$100003,0)),IFERROR(INDEX('NC Management'!$G$4:$G$100003,MATCH(E175,'NC Management'!$B$4:$B$100003,0)),""))</f>
        <v>0</v>
      </c>
      <c r="G175" s="2">
        <f>IFERROR(INDEX('Incident'!$N$4:$N$100003,MATCH(D175,'Incident'!$B$4:$B$100003,0)),IFERROR(INDEX('NC Management'!$F$4:$F$100003,MATCH(E175,'NC Management'!$B$4:$B$100003,0)),""))</f>
        <v>0</v>
      </c>
      <c r="H175" s="6"/>
      <c r="I175" s="6"/>
      <c r="J175" s="6"/>
      <c r="K175" s="6"/>
      <c r="L175" s="6"/>
      <c r="M175" s="6"/>
      <c r="N175" s="6"/>
      <c r="O175" s="6"/>
      <c r="P175" s="1"/>
    </row>
    <row r="176" spans="1:16">
      <c r="A176" s="1">
        <v>173</v>
      </c>
      <c r="B176" s="6"/>
      <c r="C176" s="5"/>
      <c r="D176" s="1"/>
      <c r="E176" s="1"/>
      <c r="F176" s="2">
        <f>IFERROR(INDEX('Incident'!$H$4:$H$100003,MATCH(D176,'Incident'!$B$4:$B$100003,0)),IFERROR(INDEX('NC Management'!$G$4:$G$100003,MATCH(E176,'NC Management'!$B$4:$B$100003,0)),""))</f>
        <v>0</v>
      </c>
      <c r="G176" s="2">
        <f>IFERROR(INDEX('Incident'!$N$4:$N$100003,MATCH(D176,'Incident'!$B$4:$B$100003,0)),IFERROR(INDEX('NC Management'!$F$4:$F$100003,MATCH(E176,'NC Management'!$B$4:$B$100003,0)),""))</f>
        <v>0</v>
      </c>
      <c r="H176" s="6"/>
      <c r="I176" s="6"/>
      <c r="J176" s="6"/>
      <c r="K176" s="6"/>
      <c r="L176" s="6"/>
      <c r="M176" s="6"/>
      <c r="N176" s="6"/>
      <c r="O176" s="6"/>
      <c r="P176" s="1"/>
    </row>
    <row r="177" spans="1:16">
      <c r="A177" s="1">
        <v>174</v>
      </c>
      <c r="B177" s="6"/>
      <c r="C177" s="5"/>
      <c r="D177" s="1"/>
      <c r="E177" s="1"/>
      <c r="F177" s="2">
        <f>IFERROR(INDEX('Incident'!$H$4:$H$100003,MATCH(D177,'Incident'!$B$4:$B$100003,0)),IFERROR(INDEX('NC Management'!$G$4:$G$100003,MATCH(E177,'NC Management'!$B$4:$B$100003,0)),""))</f>
        <v>0</v>
      </c>
      <c r="G177" s="2">
        <f>IFERROR(INDEX('Incident'!$N$4:$N$100003,MATCH(D177,'Incident'!$B$4:$B$100003,0)),IFERROR(INDEX('NC Management'!$F$4:$F$100003,MATCH(E177,'NC Management'!$B$4:$B$100003,0)),""))</f>
        <v>0</v>
      </c>
      <c r="H177" s="6"/>
      <c r="I177" s="6"/>
      <c r="J177" s="6"/>
      <c r="K177" s="6"/>
      <c r="L177" s="6"/>
      <c r="M177" s="6"/>
      <c r="N177" s="6"/>
      <c r="O177" s="6"/>
      <c r="P177" s="1"/>
    </row>
    <row r="178" spans="1:16">
      <c r="A178" s="1">
        <v>175</v>
      </c>
      <c r="B178" s="6"/>
      <c r="C178" s="5"/>
      <c r="D178" s="1"/>
      <c r="E178" s="1"/>
      <c r="F178" s="2">
        <f>IFERROR(INDEX('Incident'!$H$4:$H$100003,MATCH(D178,'Incident'!$B$4:$B$100003,0)),IFERROR(INDEX('NC Management'!$G$4:$G$100003,MATCH(E178,'NC Management'!$B$4:$B$100003,0)),""))</f>
        <v>0</v>
      </c>
      <c r="G178" s="2">
        <f>IFERROR(INDEX('Incident'!$N$4:$N$100003,MATCH(D178,'Incident'!$B$4:$B$100003,0)),IFERROR(INDEX('NC Management'!$F$4:$F$100003,MATCH(E178,'NC Management'!$B$4:$B$100003,0)),""))</f>
        <v>0</v>
      </c>
      <c r="H178" s="6"/>
      <c r="I178" s="6"/>
      <c r="J178" s="6"/>
      <c r="K178" s="6"/>
      <c r="L178" s="6"/>
      <c r="M178" s="6"/>
      <c r="N178" s="6"/>
      <c r="O178" s="6"/>
      <c r="P178" s="1"/>
    </row>
    <row r="179" spans="1:16">
      <c r="A179" s="1">
        <v>176</v>
      </c>
      <c r="B179" s="6"/>
      <c r="C179" s="5"/>
      <c r="D179" s="1"/>
      <c r="E179" s="1"/>
      <c r="F179" s="2">
        <f>IFERROR(INDEX('Incident'!$H$4:$H$100003,MATCH(D179,'Incident'!$B$4:$B$100003,0)),IFERROR(INDEX('NC Management'!$G$4:$G$100003,MATCH(E179,'NC Management'!$B$4:$B$100003,0)),""))</f>
        <v>0</v>
      </c>
      <c r="G179" s="2">
        <f>IFERROR(INDEX('Incident'!$N$4:$N$100003,MATCH(D179,'Incident'!$B$4:$B$100003,0)),IFERROR(INDEX('NC Management'!$F$4:$F$100003,MATCH(E179,'NC Management'!$B$4:$B$100003,0)),""))</f>
        <v>0</v>
      </c>
      <c r="H179" s="6"/>
      <c r="I179" s="6"/>
      <c r="J179" s="6"/>
      <c r="K179" s="6"/>
      <c r="L179" s="6"/>
      <c r="M179" s="6"/>
      <c r="N179" s="6"/>
      <c r="O179" s="6"/>
      <c r="P179" s="1"/>
    </row>
    <row r="180" spans="1:16">
      <c r="A180" s="1">
        <v>177</v>
      </c>
      <c r="B180" s="6"/>
      <c r="C180" s="5"/>
      <c r="D180" s="1"/>
      <c r="E180" s="1"/>
      <c r="F180" s="2">
        <f>IFERROR(INDEX('Incident'!$H$4:$H$100003,MATCH(D180,'Incident'!$B$4:$B$100003,0)),IFERROR(INDEX('NC Management'!$G$4:$G$100003,MATCH(E180,'NC Management'!$B$4:$B$100003,0)),""))</f>
        <v>0</v>
      </c>
      <c r="G180" s="2">
        <f>IFERROR(INDEX('Incident'!$N$4:$N$100003,MATCH(D180,'Incident'!$B$4:$B$100003,0)),IFERROR(INDEX('NC Management'!$F$4:$F$100003,MATCH(E180,'NC Management'!$B$4:$B$100003,0)),""))</f>
        <v>0</v>
      </c>
      <c r="H180" s="6"/>
      <c r="I180" s="6"/>
      <c r="J180" s="6"/>
      <c r="K180" s="6"/>
      <c r="L180" s="6"/>
      <c r="M180" s="6"/>
      <c r="N180" s="6"/>
      <c r="O180" s="6"/>
      <c r="P180" s="1"/>
    </row>
    <row r="181" spans="1:16">
      <c r="A181" s="1">
        <v>178</v>
      </c>
      <c r="B181" s="6"/>
      <c r="C181" s="5"/>
      <c r="D181" s="1"/>
      <c r="E181" s="1"/>
      <c r="F181" s="2">
        <f>IFERROR(INDEX('Incident'!$H$4:$H$100003,MATCH(D181,'Incident'!$B$4:$B$100003,0)),IFERROR(INDEX('NC Management'!$G$4:$G$100003,MATCH(E181,'NC Management'!$B$4:$B$100003,0)),""))</f>
        <v>0</v>
      </c>
      <c r="G181" s="2">
        <f>IFERROR(INDEX('Incident'!$N$4:$N$100003,MATCH(D181,'Incident'!$B$4:$B$100003,0)),IFERROR(INDEX('NC Management'!$F$4:$F$100003,MATCH(E181,'NC Management'!$B$4:$B$100003,0)),""))</f>
        <v>0</v>
      </c>
      <c r="H181" s="6"/>
      <c r="I181" s="6"/>
      <c r="J181" s="6"/>
      <c r="K181" s="6"/>
      <c r="L181" s="6"/>
      <c r="M181" s="6"/>
      <c r="N181" s="6"/>
      <c r="O181" s="6"/>
      <c r="P181" s="1"/>
    </row>
    <row r="182" spans="1:16">
      <c r="A182" s="1">
        <v>179</v>
      </c>
      <c r="B182" s="6"/>
      <c r="C182" s="5"/>
      <c r="D182" s="1"/>
      <c r="E182" s="1"/>
      <c r="F182" s="2">
        <f>IFERROR(INDEX('Incident'!$H$4:$H$100003,MATCH(D182,'Incident'!$B$4:$B$100003,0)),IFERROR(INDEX('NC Management'!$G$4:$G$100003,MATCH(E182,'NC Management'!$B$4:$B$100003,0)),""))</f>
        <v>0</v>
      </c>
      <c r="G182" s="2">
        <f>IFERROR(INDEX('Incident'!$N$4:$N$100003,MATCH(D182,'Incident'!$B$4:$B$100003,0)),IFERROR(INDEX('NC Management'!$F$4:$F$100003,MATCH(E182,'NC Management'!$B$4:$B$100003,0)),""))</f>
        <v>0</v>
      </c>
      <c r="H182" s="6"/>
      <c r="I182" s="6"/>
      <c r="J182" s="6"/>
      <c r="K182" s="6"/>
      <c r="L182" s="6"/>
      <c r="M182" s="6"/>
      <c r="N182" s="6"/>
      <c r="O182" s="6"/>
      <c r="P182" s="1"/>
    </row>
    <row r="183" spans="1:16">
      <c r="A183" s="1">
        <v>180</v>
      </c>
      <c r="B183" s="6"/>
      <c r="C183" s="5"/>
      <c r="D183" s="1"/>
      <c r="E183" s="1"/>
      <c r="F183" s="2">
        <f>IFERROR(INDEX('Incident'!$H$4:$H$100003,MATCH(D183,'Incident'!$B$4:$B$100003,0)),IFERROR(INDEX('NC Management'!$G$4:$G$100003,MATCH(E183,'NC Management'!$B$4:$B$100003,0)),""))</f>
        <v>0</v>
      </c>
      <c r="G183" s="2">
        <f>IFERROR(INDEX('Incident'!$N$4:$N$100003,MATCH(D183,'Incident'!$B$4:$B$100003,0)),IFERROR(INDEX('NC Management'!$F$4:$F$100003,MATCH(E183,'NC Management'!$B$4:$B$100003,0)),""))</f>
        <v>0</v>
      </c>
      <c r="H183" s="6"/>
      <c r="I183" s="6"/>
      <c r="J183" s="6"/>
      <c r="K183" s="6"/>
      <c r="L183" s="6"/>
      <c r="M183" s="6"/>
      <c r="N183" s="6"/>
      <c r="O183" s="6"/>
      <c r="P183" s="1"/>
    </row>
    <row r="184" spans="1:16">
      <c r="A184" s="1">
        <v>181</v>
      </c>
      <c r="B184" s="6"/>
      <c r="C184" s="5"/>
      <c r="D184" s="1"/>
      <c r="E184" s="1"/>
      <c r="F184" s="2">
        <f>IFERROR(INDEX('Incident'!$H$4:$H$100003,MATCH(D184,'Incident'!$B$4:$B$100003,0)),IFERROR(INDEX('NC Management'!$G$4:$G$100003,MATCH(E184,'NC Management'!$B$4:$B$100003,0)),""))</f>
        <v>0</v>
      </c>
      <c r="G184" s="2">
        <f>IFERROR(INDEX('Incident'!$N$4:$N$100003,MATCH(D184,'Incident'!$B$4:$B$100003,0)),IFERROR(INDEX('NC Management'!$F$4:$F$100003,MATCH(E184,'NC Management'!$B$4:$B$100003,0)),""))</f>
        <v>0</v>
      </c>
      <c r="H184" s="6"/>
      <c r="I184" s="6"/>
      <c r="J184" s="6"/>
      <c r="K184" s="6"/>
      <c r="L184" s="6"/>
      <c r="M184" s="6"/>
      <c r="N184" s="6"/>
      <c r="O184" s="6"/>
      <c r="P184" s="1"/>
    </row>
    <row r="185" spans="1:16">
      <c r="A185" s="1">
        <v>182</v>
      </c>
      <c r="B185" s="6"/>
      <c r="C185" s="5"/>
      <c r="D185" s="1"/>
      <c r="E185" s="1"/>
      <c r="F185" s="2">
        <f>IFERROR(INDEX('Incident'!$H$4:$H$100003,MATCH(D185,'Incident'!$B$4:$B$100003,0)),IFERROR(INDEX('NC Management'!$G$4:$G$100003,MATCH(E185,'NC Management'!$B$4:$B$100003,0)),""))</f>
        <v>0</v>
      </c>
      <c r="G185" s="2">
        <f>IFERROR(INDEX('Incident'!$N$4:$N$100003,MATCH(D185,'Incident'!$B$4:$B$100003,0)),IFERROR(INDEX('NC Management'!$F$4:$F$100003,MATCH(E185,'NC Management'!$B$4:$B$100003,0)),""))</f>
        <v>0</v>
      </c>
      <c r="H185" s="6"/>
      <c r="I185" s="6"/>
      <c r="J185" s="6"/>
      <c r="K185" s="6"/>
      <c r="L185" s="6"/>
      <c r="M185" s="6"/>
      <c r="N185" s="6"/>
      <c r="O185" s="6"/>
      <c r="P185" s="1"/>
    </row>
    <row r="186" spans="1:16">
      <c r="A186" s="1">
        <v>183</v>
      </c>
      <c r="B186" s="6"/>
      <c r="C186" s="5"/>
      <c r="D186" s="1"/>
      <c r="E186" s="1"/>
      <c r="F186" s="2">
        <f>IFERROR(INDEX('Incident'!$H$4:$H$100003,MATCH(D186,'Incident'!$B$4:$B$100003,0)),IFERROR(INDEX('NC Management'!$G$4:$G$100003,MATCH(E186,'NC Management'!$B$4:$B$100003,0)),""))</f>
        <v>0</v>
      </c>
      <c r="G186" s="2">
        <f>IFERROR(INDEX('Incident'!$N$4:$N$100003,MATCH(D186,'Incident'!$B$4:$B$100003,0)),IFERROR(INDEX('NC Management'!$F$4:$F$100003,MATCH(E186,'NC Management'!$B$4:$B$100003,0)),""))</f>
        <v>0</v>
      </c>
      <c r="H186" s="6"/>
      <c r="I186" s="6"/>
      <c r="J186" s="6"/>
      <c r="K186" s="6"/>
      <c r="L186" s="6"/>
      <c r="M186" s="6"/>
      <c r="N186" s="6"/>
      <c r="O186" s="6"/>
      <c r="P186" s="1"/>
    </row>
    <row r="187" spans="1:16">
      <c r="A187" s="1">
        <v>184</v>
      </c>
      <c r="B187" s="6"/>
      <c r="C187" s="5"/>
      <c r="D187" s="1"/>
      <c r="E187" s="1"/>
      <c r="F187" s="2">
        <f>IFERROR(INDEX('Incident'!$H$4:$H$100003,MATCH(D187,'Incident'!$B$4:$B$100003,0)),IFERROR(INDEX('NC Management'!$G$4:$G$100003,MATCH(E187,'NC Management'!$B$4:$B$100003,0)),""))</f>
        <v>0</v>
      </c>
      <c r="G187" s="2">
        <f>IFERROR(INDEX('Incident'!$N$4:$N$100003,MATCH(D187,'Incident'!$B$4:$B$100003,0)),IFERROR(INDEX('NC Management'!$F$4:$F$100003,MATCH(E187,'NC Management'!$B$4:$B$100003,0)),""))</f>
        <v>0</v>
      </c>
      <c r="H187" s="6"/>
      <c r="I187" s="6"/>
      <c r="J187" s="6"/>
      <c r="K187" s="6"/>
      <c r="L187" s="6"/>
      <c r="M187" s="6"/>
      <c r="N187" s="6"/>
      <c r="O187" s="6"/>
      <c r="P187" s="1"/>
    </row>
    <row r="188" spans="1:16">
      <c r="A188" s="1">
        <v>185</v>
      </c>
      <c r="B188" s="6"/>
      <c r="C188" s="5"/>
      <c r="D188" s="1"/>
      <c r="E188" s="1"/>
      <c r="F188" s="2">
        <f>IFERROR(INDEX('Incident'!$H$4:$H$100003,MATCH(D188,'Incident'!$B$4:$B$100003,0)),IFERROR(INDEX('NC Management'!$G$4:$G$100003,MATCH(E188,'NC Management'!$B$4:$B$100003,0)),""))</f>
        <v>0</v>
      </c>
      <c r="G188" s="2">
        <f>IFERROR(INDEX('Incident'!$N$4:$N$100003,MATCH(D188,'Incident'!$B$4:$B$100003,0)),IFERROR(INDEX('NC Management'!$F$4:$F$100003,MATCH(E188,'NC Management'!$B$4:$B$100003,0)),""))</f>
        <v>0</v>
      </c>
      <c r="H188" s="6"/>
      <c r="I188" s="6"/>
      <c r="J188" s="6"/>
      <c r="K188" s="6"/>
      <c r="L188" s="6"/>
      <c r="M188" s="6"/>
      <c r="N188" s="6"/>
      <c r="O188" s="6"/>
      <c r="P188" s="1"/>
    </row>
    <row r="189" spans="1:16">
      <c r="A189" s="1">
        <v>186</v>
      </c>
      <c r="B189" s="6"/>
      <c r="C189" s="5"/>
      <c r="D189" s="1"/>
      <c r="E189" s="1"/>
      <c r="F189" s="2">
        <f>IFERROR(INDEX('Incident'!$H$4:$H$100003,MATCH(D189,'Incident'!$B$4:$B$100003,0)),IFERROR(INDEX('NC Management'!$G$4:$G$100003,MATCH(E189,'NC Management'!$B$4:$B$100003,0)),""))</f>
        <v>0</v>
      </c>
      <c r="G189" s="2">
        <f>IFERROR(INDEX('Incident'!$N$4:$N$100003,MATCH(D189,'Incident'!$B$4:$B$100003,0)),IFERROR(INDEX('NC Management'!$F$4:$F$100003,MATCH(E189,'NC Management'!$B$4:$B$100003,0)),""))</f>
        <v>0</v>
      </c>
      <c r="H189" s="6"/>
      <c r="I189" s="6"/>
      <c r="J189" s="6"/>
      <c r="K189" s="6"/>
      <c r="L189" s="6"/>
      <c r="M189" s="6"/>
      <c r="N189" s="6"/>
      <c r="O189" s="6"/>
      <c r="P189" s="1"/>
    </row>
    <row r="190" spans="1:16">
      <c r="A190" s="1">
        <v>187</v>
      </c>
      <c r="B190" s="6"/>
      <c r="C190" s="5"/>
      <c r="D190" s="1"/>
      <c r="E190" s="1"/>
      <c r="F190" s="2">
        <f>IFERROR(INDEX('Incident'!$H$4:$H$100003,MATCH(D190,'Incident'!$B$4:$B$100003,0)),IFERROR(INDEX('NC Management'!$G$4:$G$100003,MATCH(E190,'NC Management'!$B$4:$B$100003,0)),""))</f>
        <v>0</v>
      </c>
      <c r="G190" s="2">
        <f>IFERROR(INDEX('Incident'!$N$4:$N$100003,MATCH(D190,'Incident'!$B$4:$B$100003,0)),IFERROR(INDEX('NC Management'!$F$4:$F$100003,MATCH(E190,'NC Management'!$B$4:$B$100003,0)),""))</f>
        <v>0</v>
      </c>
      <c r="H190" s="6"/>
      <c r="I190" s="6"/>
      <c r="J190" s="6"/>
      <c r="K190" s="6"/>
      <c r="L190" s="6"/>
      <c r="M190" s="6"/>
      <c r="N190" s="6"/>
      <c r="O190" s="6"/>
      <c r="P190" s="1"/>
    </row>
    <row r="191" spans="1:16">
      <c r="A191" s="1">
        <v>188</v>
      </c>
      <c r="B191" s="6"/>
      <c r="C191" s="5"/>
      <c r="D191" s="1"/>
      <c r="E191" s="1"/>
      <c r="F191" s="2">
        <f>IFERROR(INDEX('Incident'!$H$4:$H$100003,MATCH(D191,'Incident'!$B$4:$B$100003,0)),IFERROR(INDEX('NC Management'!$G$4:$G$100003,MATCH(E191,'NC Management'!$B$4:$B$100003,0)),""))</f>
        <v>0</v>
      </c>
      <c r="G191" s="2">
        <f>IFERROR(INDEX('Incident'!$N$4:$N$100003,MATCH(D191,'Incident'!$B$4:$B$100003,0)),IFERROR(INDEX('NC Management'!$F$4:$F$100003,MATCH(E191,'NC Management'!$B$4:$B$100003,0)),""))</f>
        <v>0</v>
      </c>
      <c r="H191" s="6"/>
      <c r="I191" s="6"/>
      <c r="J191" s="6"/>
      <c r="K191" s="6"/>
      <c r="L191" s="6"/>
      <c r="M191" s="6"/>
      <c r="N191" s="6"/>
      <c r="O191" s="6"/>
      <c r="P191" s="1"/>
    </row>
    <row r="192" spans="1:16">
      <c r="A192" s="1">
        <v>189</v>
      </c>
      <c r="B192" s="6"/>
      <c r="C192" s="5"/>
      <c r="D192" s="1"/>
      <c r="E192" s="1"/>
      <c r="F192" s="2">
        <f>IFERROR(INDEX('Incident'!$H$4:$H$100003,MATCH(D192,'Incident'!$B$4:$B$100003,0)),IFERROR(INDEX('NC Management'!$G$4:$G$100003,MATCH(E192,'NC Management'!$B$4:$B$100003,0)),""))</f>
        <v>0</v>
      </c>
      <c r="G192" s="2">
        <f>IFERROR(INDEX('Incident'!$N$4:$N$100003,MATCH(D192,'Incident'!$B$4:$B$100003,0)),IFERROR(INDEX('NC Management'!$F$4:$F$100003,MATCH(E192,'NC Management'!$B$4:$B$100003,0)),""))</f>
        <v>0</v>
      </c>
      <c r="H192" s="6"/>
      <c r="I192" s="6"/>
      <c r="J192" s="6"/>
      <c r="K192" s="6"/>
      <c r="L192" s="6"/>
      <c r="M192" s="6"/>
      <c r="N192" s="6"/>
      <c r="O192" s="6"/>
      <c r="P192" s="1"/>
    </row>
    <row r="193" spans="1:16">
      <c r="A193" s="1">
        <v>190</v>
      </c>
      <c r="B193" s="6"/>
      <c r="C193" s="5"/>
      <c r="D193" s="1"/>
      <c r="E193" s="1"/>
      <c r="F193" s="2">
        <f>IFERROR(INDEX('Incident'!$H$4:$H$100003,MATCH(D193,'Incident'!$B$4:$B$100003,0)),IFERROR(INDEX('NC Management'!$G$4:$G$100003,MATCH(E193,'NC Management'!$B$4:$B$100003,0)),""))</f>
        <v>0</v>
      </c>
      <c r="G193" s="2">
        <f>IFERROR(INDEX('Incident'!$N$4:$N$100003,MATCH(D193,'Incident'!$B$4:$B$100003,0)),IFERROR(INDEX('NC Management'!$F$4:$F$100003,MATCH(E193,'NC Management'!$B$4:$B$100003,0)),""))</f>
        <v>0</v>
      </c>
      <c r="H193" s="6"/>
      <c r="I193" s="6"/>
      <c r="J193" s="6"/>
      <c r="K193" s="6"/>
      <c r="L193" s="6"/>
      <c r="M193" s="6"/>
      <c r="N193" s="6"/>
      <c r="O193" s="6"/>
      <c r="P193" s="1"/>
    </row>
    <row r="194" spans="1:16">
      <c r="A194" s="1">
        <v>191</v>
      </c>
      <c r="B194" s="6"/>
      <c r="C194" s="5"/>
      <c r="D194" s="1"/>
      <c r="E194" s="1"/>
      <c r="F194" s="2">
        <f>IFERROR(INDEX('Incident'!$H$4:$H$100003,MATCH(D194,'Incident'!$B$4:$B$100003,0)),IFERROR(INDEX('NC Management'!$G$4:$G$100003,MATCH(E194,'NC Management'!$B$4:$B$100003,0)),""))</f>
        <v>0</v>
      </c>
      <c r="G194" s="2">
        <f>IFERROR(INDEX('Incident'!$N$4:$N$100003,MATCH(D194,'Incident'!$B$4:$B$100003,0)),IFERROR(INDEX('NC Management'!$F$4:$F$100003,MATCH(E194,'NC Management'!$B$4:$B$100003,0)),""))</f>
        <v>0</v>
      </c>
      <c r="H194" s="6"/>
      <c r="I194" s="6"/>
      <c r="J194" s="6"/>
      <c r="K194" s="6"/>
      <c r="L194" s="6"/>
      <c r="M194" s="6"/>
      <c r="N194" s="6"/>
      <c r="O194" s="6"/>
      <c r="P194" s="1"/>
    </row>
    <row r="195" spans="1:16">
      <c r="A195" s="1">
        <v>192</v>
      </c>
      <c r="B195" s="6"/>
      <c r="C195" s="5"/>
      <c r="D195" s="1"/>
      <c r="E195" s="1"/>
      <c r="F195" s="2">
        <f>IFERROR(INDEX('Incident'!$H$4:$H$100003,MATCH(D195,'Incident'!$B$4:$B$100003,0)),IFERROR(INDEX('NC Management'!$G$4:$G$100003,MATCH(E195,'NC Management'!$B$4:$B$100003,0)),""))</f>
        <v>0</v>
      </c>
      <c r="G195" s="2">
        <f>IFERROR(INDEX('Incident'!$N$4:$N$100003,MATCH(D195,'Incident'!$B$4:$B$100003,0)),IFERROR(INDEX('NC Management'!$F$4:$F$100003,MATCH(E195,'NC Management'!$B$4:$B$100003,0)),""))</f>
        <v>0</v>
      </c>
      <c r="H195" s="6"/>
      <c r="I195" s="6"/>
      <c r="J195" s="6"/>
      <c r="K195" s="6"/>
      <c r="L195" s="6"/>
      <c r="M195" s="6"/>
      <c r="N195" s="6"/>
      <c r="O195" s="6"/>
      <c r="P195" s="1"/>
    </row>
    <row r="196" spans="1:16">
      <c r="A196" s="1">
        <v>193</v>
      </c>
      <c r="B196" s="6"/>
      <c r="C196" s="5"/>
      <c r="D196" s="1"/>
      <c r="E196" s="1"/>
      <c r="F196" s="2">
        <f>IFERROR(INDEX('Incident'!$H$4:$H$100003,MATCH(D196,'Incident'!$B$4:$B$100003,0)),IFERROR(INDEX('NC Management'!$G$4:$G$100003,MATCH(E196,'NC Management'!$B$4:$B$100003,0)),""))</f>
        <v>0</v>
      </c>
      <c r="G196" s="2">
        <f>IFERROR(INDEX('Incident'!$N$4:$N$100003,MATCH(D196,'Incident'!$B$4:$B$100003,0)),IFERROR(INDEX('NC Management'!$F$4:$F$100003,MATCH(E196,'NC Management'!$B$4:$B$100003,0)),""))</f>
        <v>0</v>
      </c>
      <c r="H196" s="6"/>
      <c r="I196" s="6"/>
      <c r="J196" s="6"/>
      <c r="K196" s="6"/>
      <c r="L196" s="6"/>
      <c r="M196" s="6"/>
      <c r="N196" s="6"/>
      <c r="O196" s="6"/>
      <c r="P196" s="1"/>
    </row>
    <row r="197" spans="1:16">
      <c r="A197" s="1">
        <v>194</v>
      </c>
      <c r="B197" s="6"/>
      <c r="C197" s="5"/>
      <c r="D197" s="1"/>
      <c r="E197" s="1"/>
      <c r="F197" s="2">
        <f>IFERROR(INDEX('Incident'!$H$4:$H$100003,MATCH(D197,'Incident'!$B$4:$B$100003,0)),IFERROR(INDEX('NC Management'!$G$4:$G$100003,MATCH(E197,'NC Management'!$B$4:$B$100003,0)),""))</f>
        <v>0</v>
      </c>
      <c r="G197" s="2">
        <f>IFERROR(INDEX('Incident'!$N$4:$N$100003,MATCH(D197,'Incident'!$B$4:$B$100003,0)),IFERROR(INDEX('NC Management'!$F$4:$F$100003,MATCH(E197,'NC Management'!$B$4:$B$100003,0)),""))</f>
        <v>0</v>
      </c>
      <c r="H197" s="6"/>
      <c r="I197" s="6"/>
      <c r="J197" s="6"/>
      <c r="K197" s="6"/>
      <c r="L197" s="6"/>
      <c r="M197" s="6"/>
      <c r="N197" s="6"/>
      <c r="O197" s="6"/>
      <c r="P197" s="1"/>
    </row>
    <row r="198" spans="1:16">
      <c r="A198" s="1">
        <v>195</v>
      </c>
      <c r="B198" s="6"/>
      <c r="C198" s="5"/>
      <c r="D198" s="1"/>
      <c r="E198" s="1"/>
      <c r="F198" s="2">
        <f>IFERROR(INDEX('Incident'!$H$4:$H$100003,MATCH(D198,'Incident'!$B$4:$B$100003,0)),IFERROR(INDEX('NC Management'!$G$4:$G$100003,MATCH(E198,'NC Management'!$B$4:$B$100003,0)),""))</f>
        <v>0</v>
      </c>
      <c r="G198" s="2">
        <f>IFERROR(INDEX('Incident'!$N$4:$N$100003,MATCH(D198,'Incident'!$B$4:$B$100003,0)),IFERROR(INDEX('NC Management'!$F$4:$F$100003,MATCH(E198,'NC Management'!$B$4:$B$100003,0)),""))</f>
        <v>0</v>
      </c>
      <c r="H198" s="6"/>
      <c r="I198" s="6"/>
      <c r="J198" s="6"/>
      <c r="K198" s="6"/>
      <c r="L198" s="6"/>
      <c r="M198" s="6"/>
      <c r="N198" s="6"/>
      <c r="O198" s="6"/>
      <c r="P198" s="1"/>
    </row>
    <row r="199" spans="1:16">
      <c r="A199" s="1">
        <v>196</v>
      </c>
      <c r="B199" s="6"/>
      <c r="C199" s="5"/>
      <c r="D199" s="1"/>
      <c r="E199" s="1"/>
      <c r="F199" s="2">
        <f>IFERROR(INDEX('Incident'!$H$4:$H$100003,MATCH(D199,'Incident'!$B$4:$B$100003,0)),IFERROR(INDEX('NC Management'!$G$4:$G$100003,MATCH(E199,'NC Management'!$B$4:$B$100003,0)),""))</f>
        <v>0</v>
      </c>
      <c r="G199" s="2">
        <f>IFERROR(INDEX('Incident'!$N$4:$N$100003,MATCH(D199,'Incident'!$B$4:$B$100003,0)),IFERROR(INDEX('NC Management'!$F$4:$F$100003,MATCH(E199,'NC Management'!$B$4:$B$100003,0)),""))</f>
        <v>0</v>
      </c>
      <c r="H199" s="6"/>
      <c r="I199" s="6"/>
      <c r="J199" s="6"/>
      <c r="K199" s="6"/>
      <c r="L199" s="6"/>
      <c r="M199" s="6"/>
      <c r="N199" s="6"/>
      <c r="O199" s="6"/>
      <c r="P199" s="1"/>
    </row>
    <row r="200" spans="1:16">
      <c r="A200" s="1">
        <v>197</v>
      </c>
      <c r="B200" s="6"/>
      <c r="C200" s="5"/>
      <c r="D200" s="1"/>
      <c r="E200" s="1"/>
      <c r="F200" s="2">
        <f>IFERROR(INDEX('Incident'!$H$4:$H$100003,MATCH(D200,'Incident'!$B$4:$B$100003,0)),IFERROR(INDEX('NC Management'!$G$4:$G$100003,MATCH(E200,'NC Management'!$B$4:$B$100003,0)),""))</f>
        <v>0</v>
      </c>
      <c r="G200" s="2">
        <f>IFERROR(INDEX('Incident'!$N$4:$N$100003,MATCH(D200,'Incident'!$B$4:$B$100003,0)),IFERROR(INDEX('NC Management'!$F$4:$F$100003,MATCH(E200,'NC Management'!$B$4:$B$100003,0)),""))</f>
        <v>0</v>
      </c>
      <c r="H200" s="6"/>
      <c r="I200" s="6"/>
      <c r="J200" s="6"/>
      <c r="K200" s="6"/>
      <c r="L200" s="6"/>
      <c r="M200" s="6"/>
      <c r="N200" s="6"/>
      <c r="O200" s="6"/>
      <c r="P200" s="1"/>
    </row>
    <row r="201" spans="1:16">
      <c r="A201" s="1">
        <v>198</v>
      </c>
      <c r="B201" s="6"/>
      <c r="C201" s="5"/>
      <c r="D201" s="1"/>
      <c r="E201" s="1"/>
      <c r="F201" s="2">
        <f>IFERROR(INDEX('Incident'!$H$4:$H$100003,MATCH(D201,'Incident'!$B$4:$B$100003,0)),IFERROR(INDEX('NC Management'!$G$4:$G$100003,MATCH(E201,'NC Management'!$B$4:$B$100003,0)),""))</f>
        <v>0</v>
      </c>
      <c r="G201" s="2">
        <f>IFERROR(INDEX('Incident'!$N$4:$N$100003,MATCH(D201,'Incident'!$B$4:$B$100003,0)),IFERROR(INDEX('NC Management'!$F$4:$F$100003,MATCH(E201,'NC Management'!$B$4:$B$100003,0)),""))</f>
        <v>0</v>
      </c>
      <c r="H201" s="6"/>
      <c r="I201" s="6"/>
      <c r="J201" s="6"/>
      <c r="K201" s="6"/>
      <c r="L201" s="6"/>
      <c r="M201" s="6"/>
      <c r="N201" s="6"/>
      <c r="O201" s="6"/>
      <c r="P201" s="1"/>
    </row>
    <row r="202" spans="1:16">
      <c r="A202" s="1">
        <v>199</v>
      </c>
      <c r="B202" s="6"/>
      <c r="C202" s="5"/>
      <c r="D202" s="1"/>
      <c r="E202" s="1"/>
      <c r="F202" s="2">
        <f>IFERROR(INDEX('Incident'!$H$4:$H$100003,MATCH(D202,'Incident'!$B$4:$B$100003,0)),IFERROR(INDEX('NC Management'!$G$4:$G$100003,MATCH(E202,'NC Management'!$B$4:$B$100003,0)),""))</f>
        <v>0</v>
      </c>
      <c r="G202" s="2">
        <f>IFERROR(INDEX('Incident'!$N$4:$N$100003,MATCH(D202,'Incident'!$B$4:$B$100003,0)),IFERROR(INDEX('NC Management'!$F$4:$F$100003,MATCH(E202,'NC Management'!$B$4:$B$100003,0)),""))</f>
        <v>0</v>
      </c>
      <c r="H202" s="6"/>
      <c r="I202" s="6"/>
      <c r="J202" s="6"/>
      <c r="K202" s="6"/>
      <c r="L202" s="6"/>
      <c r="M202" s="6"/>
      <c r="N202" s="6"/>
      <c r="O202" s="6"/>
      <c r="P202" s="1"/>
    </row>
    <row r="203" spans="1:16">
      <c r="A203" s="1">
        <v>200</v>
      </c>
      <c r="B203" s="6"/>
      <c r="C203" s="5"/>
      <c r="D203" s="1"/>
      <c r="E203" s="1"/>
      <c r="F203" s="2">
        <f>IFERROR(INDEX('Incident'!$H$4:$H$100003,MATCH(D203,'Incident'!$B$4:$B$100003,0)),IFERROR(INDEX('NC Management'!$G$4:$G$100003,MATCH(E203,'NC Management'!$B$4:$B$100003,0)),""))</f>
        <v>0</v>
      </c>
      <c r="G203" s="2">
        <f>IFERROR(INDEX('Incident'!$N$4:$N$100003,MATCH(D203,'Incident'!$B$4:$B$100003,0)),IFERROR(INDEX('NC Management'!$F$4:$F$100003,MATCH(E203,'NC Management'!$B$4:$B$100003,0)),""))</f>
        <v>0</v>
      </c>
      <c r="H203" s="6"/>
      <c r="I203" s="6"/>
      <c r="J203" s="6"/>
      <c r="K203" s="6"/>
      <c r="L203" s="6"/>
      <c r="M203" s="6"/>
      <c r="N203" s="6"/>
      <c r="O203" s="6"/>
      <c r="P203" s="1"/>
    </row>
    <row r="204" spans="1:16">
      <c r="A204" s="1">
        <v>201</v>
      </c>
      <c r="B204" s="6"/>
      <c r="C204" s="5"/>
      <c r="D204" s="1"/>
      <c r="E204" s="1"/>
      <c r="F204" s="2">
        <f>IFERROR(INDEX('Incident'!$H$4:$H$100003,MATCH(D204,'Incident'!$B$4:$B$100003,0)),IFERROR(INDEX('NC Management'!$G$4:$G$100003,MATCH(E204,'NC Management'!$B$4:$B$100003,0)),""))</f>
        <v>0</v>
      </c>
      <c r="G204" s="2">
        <f>IFERROR(INDEX('Incident'!$N$4:$N$100003,MATCH(D204,'Incident'!$B$4:$B$100003,0)),IFERROR(INDEX('NC Management'!$F$4:$F$100003,MATCH(E204,'NC Management'!$B$4:$B$100003,0)),""))</f>
        <v>0</v>
      </c>
      <c r="H204" s="6"/>
      <c r="I204" s="6"/>
      <c r="J204" s="6"/>
      <c r="K204" s="6"/>
      <c r="L204" s="6"/>
      <c r="M204" s="6"/>
      <c r="N204" s="6"/>
      <c r="O204" s="6"/>
      <c r="P204" s="1"/>
    </row>
    <row r="205" spans="1:16">
      <c r="A205" s="1">
        <v>202</v>
      </c>
      <c r="B205" s="6"/>
      <c r="C205" s="5"/>
      <c r="D205" s="1"/>
      <c r="E205" s="1"/>
      <c r="F205" s="2">
        <f>IFERROR(INDEX('Incident'!$H$4:$H$100003,MATCH(D205,'Incident'!$B$4:$B$100003,0)),IFERROR(INDEX('NC Management'!$G$4:$G$100003,MATCH(E205,'NC Management'!$B$4:$B$100003,0)),""))</f>
        <v>0</v>
      </c>
      <c r="G205" s="2">
        <f>IFERROR(INDEX('Incident'!$N$4:$N$100003,MATCH(D205,'Incident'!$B$4:$B$100003,0)),IFERROR(INDEX('NC Management'!$F$4:$F$100003,MATCH(E205,'NC Management'!$B$4:$B$100003,0)),""))</f>
        <v>0</v>
      </c>
      <c r="H205" s="6"/>
      <c r="I205" s="6"/>
      <c r="J205" s="6"/>
      <c r="K205" s="6"/>
      <c r="L205" s="6"/>
      <c r="M205" s="6"/>
      <c r="N205" s="6"/>
      <c r="O205" s="6"/>
      <c r="P205" s="1"/>
    </row>
    <row r="206" spans="1:16">
      <c r="A206" s="1">
        <v>203</v>
      </c>
      <c r="B206" s="6"/>
      <c r="C206" s="5"/>
      <c r="D206" s="1"/>
      <c r="E206" s="1"/>
      <c r="F206" s="2">
        <f>IFERROR(INDEX('Incident'!$H$4:$H$100003,MATCH(D206,'Incident'!$B$4:$B$100003,0)),IFERROR(INDEX('NC Management'!$G$4:$G$100003,MATCH(E206,'NC Management'!$B$4:$B$100003,0)),""))</f>
        <v>0</v>
      </c>
      <c r="G206" s="2">
        <f>IFERROR(INDEX('Incident'!$N$4:$N$100003,MATCH(D206,'Incident'!$B$4:$B$100003,0)),IFERROR(INDEX('NC Management'!$F$4:$F$100003,MATCH(E206,'NC Management'!$B$4:$B$100003,0)),""))</f>
        <v>0</v>
      </c>
      <c r="H206" s="6"/>
      <c r="I206" s="6"/>
      <c r="J206" s="6"/>
      <c r="K206" s="6"/>
      <c r="L206" s="6"/>
      <c r="M206" s="6"/>
      <c r="N206" s="6"/>
      <c r="O206" s="6"/>
      <c r="P206" s="1"/>
    </row>
    <row r="207" spans="1:16">
      <c r="A207" s="1">
        <v>204</v>
      </c>
      <c r="B207" s="6"/>
      <c r="C207" s="5"/>
      <c r="D207" s="1"/>
      <c r="E207" s="1"/>
      <c r="F207" s="2">
        <f>IFERROR(INDEX('Incident'!$H$4:$H$100003,MATCH(D207,'Incident'!$B$4:$B$100003,0)),IFERROR(INDEX('NC Management'!$G$4:$G$100003,MATCH(E207,'NC Management'!$B$4:$B$100003,0)),""))</f>
        <v>0</v>
      </c>
      <c r="G207" s="2">
        <f>IFERROR(INDEX('Incident'!$N$4:$N$100003,MATCH(D207,'Incident'!$B$4:$B$100003,0)),IFERROR(INDEX('NC Management'!$F$4:$F$100003,MATCH(E207,'NC Management'!$B$4:$B$100003,0)),""))</f>
        <v>0</v>
      </c>
      <c r="H207" s="6"/>
      <c r="I207" s="6"/>
      <c r="J207" s="6"/>
      <c r="K207" s="6"/>
      <c r="L207" s="6"/>
      <c r="M207" s="6"/>
      <c r="N207" s="6"/>
      <c r="O207" s="6"/>
      <c r="P207" s="1"/>
    </row>
    <row r="208" spans="1:16">
      <c r="A208" s="1">
        <v>205</v>
      </c>
      <c r="B208" s="6"/>
      <c r="C208" s="5"/>
      <c r="D208" s="1"/>
      <c r="E208" s="1"/>
      <c r="F208" s="2">
        <f>IFERROR(INDEX('Incident'!$H$4:$H$100003,MATCH(D208,'Incident'!$B$4:$B$100003,0)),IFERROR(INDEX('NC Management'!$G$4:$G$100003,MATCH(E208,'NC Management'!$B$4:$B$100003,0)),""))</f>
        <v>0</v>
      </c>
      <c r="G208" s="2">
        <f>IFERROR(INDEX('Incident'!$N$4:$N$100003,MATCH(D208,'Incident'!$B$4:$B$100003,0)),IFERROR(INDEX('NC Management'!$F$4:$F$100003,MATCH(E208,'NC Management'!$B$4:$B$100003,0)),""))</f>
        <v>0</v>
      </c>
      <c r="H208" s="6"/>
      <c r="I208" s="6"/>
      <c r="J208" s="6"/>
      <c r="K208" s="6"/>
      <c r="L208" s="6"/>
      <c r="M208" s="6"/>
      <c r="N208" s="6"/>
      <c r="O208" s="6"/>
      <c r="P208" s="1"/>
    </row>
    <row r="209" spans="1:16">
      <c r="A209" s="1">
        <v>206</v>
      </c>
      <c r="B209" s="6"/>
      <c r="C209" s="5"/>
      <c r="D209" s="1"/>
      <c r="E209" s="1"/>
      <c r="F209" s="2">
        <f>IFERROR(INDEX('Incident'!$H$4:$H$100003,MATCH(D209,'Incident'!$B$4:$B$100003,0)),IFERROR(INDEX('NC Management'!$G$4:$G$100003,MATCH(E209,'NC Management'!$B$4:$B$100003,0)),""))</f>
        <v>0</v>
      </c>
      <c r="G209" s="2">
        <f>IFERROR(INDEX('Incident'!$N$4:$N$100003,MATCH(D209,'Incident'!$B$4:$B$100003,0)),IFERROR(INDEX('NC Management'!$F$4:$F$100003,MATCH(E209,'NC Management'!$B$4:$B$100003,0)),""))</f>
        <v>0</v>
      </c>
      <c r="H209" s="6"/>
      <c r="I209" s="6"/>
      <c r="J209" s="6"/>
      <c r="K209" s="6"/>
      <c r="L209" s="6"/>
      <c r="M209" s="6"/>
      <c r="N209" s="6"/>
      <c r="O209" s="6"/>
      <c r="P209" s="1"/>
    </row>
    <row r="210" spans="1:16">
      <c r="A210" s="1">
        <v>207</v>
      </c>
      <c r="B210" s="6"/>
      <c r="C210" s="5"/>
      <c r="D210" s="1"/>
      <c r="E210" s="1"/>
      <c r="F210" s="2">
        <f>IFERROR(INDEX('Incident'!$H$4:$H$100003,MATCH(D210,'Incident'!$B$4:$B$100003,0)),IFERROR(INDEX('NC Management'!$G$4:$G$100003,MATCH(E210,'NC Management'!$B$4:$B$100003,0)),""))</f>
        <v>0</v>
      </c>
      <c r="G210" s="2">
        <f>IFERROR(INDEX('Incident'!$N$4:$N$100003,MATCH(D210,'Incident'!$B$4:$B$100003,0)),IFERROR(INDEX('NC Management'!$F$4:$F$100003,MATCH(E210,'NC Management'!$B$4:$B$100003,0)),""))</f>
        <v>0</v>
      </c>
      <c r="H210" s="6"/>
      <c r="I210" s="6"/>
      <c r="J210" s="6"/>
      <c r="K210" s="6"/>
      <c r="L210" s="6"/>
      <c r="M210" s="6"/>
      <c r="N210" s="6"/>
      <c r="O210" s="6"/>
      <c r="P210" s="1"/>
    </row>
    <row r="211" spans="1:16">
      <c r="A211" s="1">
        <v>208</v>
      </c>
      <c r="B211" s="6"/>
      <c r="C211" s="5"/>
      <c r="D211" s="1"/>
      <c r="E211" s="1"/>
      <c r="F211" s="2">
        <f>IFERROR(INDEX('Incident'!$H$4:$H$100003,MATCH(D211,'Incident'!$B$4:$B$100003,0)),IFERROR(INDEX('NC Management'!$G$4:$G$100003,MATCH(E211,'NC Management'!$B$4:$B$100003,0)),""))</f>
        <v>0</v>
      </c>
      <c r="G211" s="2">
        <f>IFERROR(INDEX('Incident'!$N$4:$N$100003,MATCH(D211,'Incident'!$B$4:$B$100003,0)),IFERROR(INDEX('NC Management'!$F$4:$F$100003,MATCH(E211,'NC Management'!$B$4:$B$100003,0)),""))</f>
        <v>0</v>
      </c>
      <c r="H211" s="6"/>
      <c r="I211" s="6"/>
      <c r="J211" s="6"/>
      <c r="K211" s="6"/>
      <c r="L211" s="6"/>
      <c r="M211" s="6"/>
      <c r="N211" s="6"/>
      <c r="O211" s="6"/>
      <c r="P211" s="1"/>
    </row>
    <row r="212" spans="1:16">
      <c r="A212" s="1">
        <v>209</v>
      </c>
      <c r="B212" s="6"/>
      <c r="C212" s="5"/>
      <c r="D212" s="1"/>
      <c r="E212" s="1"/>
      <c r="F212" s="2">
        <f>IFERROR(INDEX('Incident'!$H$4:$H$100003,MATCH(D212,'Incident'!$B$4:$B$100003,0)),IFERROR(INDEX('NC Management'!$G$4:$G$100003,MATCH(E212,'NC Management'!$B$4:$B$100003,0)),""))</f>
        <v>0</v>
      </c>
      <c r="G212" s="2">
        <f>IFERROR(INDEX('Incident'!$N$4:$N$100003,MATCH(D212,'Incident'!$B$4:$B$100003,0)),IFERROR(INDEX('NC Management'!$F$4:$F$100003,MATCH(E212,'NC Management'!$B$4:$B$100003,0)),""))</f>
        <v>0</v>
      </c>
      <c r="H212" s="6"/>
      <c r="I212" s="6"/>
      <c r="J212" s="6"/>
      <c r="K212" s="6"/>
      <c r="L212" s="6"/>
      <c r="M212" s="6"/>
      <c r="N212" s="6"/>
      <c r="O212" s="6"/>
      <c r="P212" s="1"/>
    </row>
    <row r="213" spans="1:16">
      <c r="A213" s="1">
        <v>210</v>
      </c>
      <c r="B213" s="6"/>
      <c r="C213" s="5"/>
      <c r="D213" s="1"/>
      <c r="E213" s="1"/>
      <c r="F213" s="2">
        <f>IFERROR(INDEX('Incident'!$H$4:$H$100003,MATCH(D213,'Incident'!$B$4:$B$100003,0)),IFERROR(INDEX('NC Management'!$G$4:$G$100003,MATCH(E213,'NC Management'!$B$4:$B$100003,0)),""))</f>
        <v>0</v>
      </c>
      <c r="G213" s="2">
        <f>IFERROR(INDEX('Incident'!$N$4:$N$100003,MATCH(D213,'Incident'!$B$4:$B$100003,0)),IFERROR(INDEX('NC Management'!$F$4:$F$100003,MATCH(E213,'NC Management'!$B$4:$B$100003,0)),""))</f>
        <v>0</v>
      </c>
      <c r="H213" s="6"/>
      <c r="I213" s="6"/>
      <c r="J213" s="6"/>
      <c r="K213" s="6"/>
      <c r="L213" s="6"/>
      <c r="M213" s="6"/>
      <c r="N213" s="6"/>
      <c r="O213" s="6"/>
      <c r="P213" s="1"/>
    </row>
    <row r="214" spans="1:16">
      <c r="A214" s="1">
        <v>211</v>
      </c>
      <c r="B214" s="6"/>
      <c r="C214" s="5"/>
      <c r="D214" s="1"/>
      <c r="E214" s="1"/>
      <c r="F214" s="2">
        <f>IFERROR(INDEX('Incident'!$H$4:$H$100003,MATCH(D214,'Incident'!$B$4:$B$100003,0)),IFERROR(INDEX('NC Management'!$G$4:$G$100003,MATCH(E214,'NC Management'!$B$4:$B$100003,0)),""))</f>
        <v>0</v>
      </c>
      <c r="G214" s="2">
        <f>IFERROR(INDEX('Incident'!$N$4:$N$100003,MATCH(D214,'Incident'!$B$4:$B$100003,0)),IFERROR(INDEX('NC Management'!$F$4:$F$100003,MATCH(E214,'NC Management'!$B$4:$B$100003,0)),""))</f>
        <v>0</v>
      </c>
      <c r="H214" s="6"/>
      <c r="I214" s="6"/>
      <c r="J214" s="6"/>
      <c r="K214" s="6"/>
      <c r="L214" s="6"/>
      <c r="M214" s="6"/>
      <c r="N214" s="6"/>
      <c r="O214" s="6"/>
      <c r="P214" s="1"/>
    </row>
    <row r="215" spans="1:16">
      <c r="A215" s="1">
        <v>212</v>
      </c>
      <c r="B215" s="6"/>
      <c r="C215" s="5"/>
      <c r="D215" s="1"/>
      <c r="E215" s="1"/>
      <c r="F215" s="2">
        <f>IFERROR(INDEX('Incident'!$H$4:$H$100003,MATCH(D215,'Incident'!$B$4:$B$100003,0)),IFERROR(INDEX('NC Management'!$G$4:$G$100003,MATCH(E215,'NC Management'!$B$4:$B$100003,0)),""))</f>
        <v>0</v>
      </c>
      <c r="G215" s="2">
        <f>IFERROR(INDEX('Incident'!$N$4:$N$100003,MATCH(D215,'Incident'!$B$4:$B$100003,0)),IFERROR(INDEX('NC Management'!$F$4:$F$100003,MATCH(E215,'NC Management'!$B$4:$B$100003,0)),""))</f>
        <v>0</v>
      </c>
      <c r="H215" s="6"/>
      <c r="I215" s="6"/>
      <c r="J215" s="6"/>
      <c r="K215" s="6"/>
      <c r="L215" s="6"/>
      <c r="M215" s="6"/>
      <c r="N215" s="6"/>
      <c r="O215" s="6"/>
      <c r="P215" s="1"/>
    </row>
    <row r="216" spans="1:16">
      <c r="A216" s="1">
        <v>213</v>
      </c>
      <c r="B216" s="6"/>
      <c r="C216" s="5"/>
      <c r="D216" s="1"/>
      <c r="E216" s="1"/>
      <c r="F216" s="2">
        <f>IFERROR(INDEX('Incident'!$H$4:$H$100003,MATCH(D216,'Incident'!$B$4:$B$100003,0)),IFERROR(INDEX('NC Management'!$G$4:$G$100003,MATCH(E216,'NC Management'!$B$4:$B$100003,0)),""))</f>
        <v>0</v>
      </c>
      <c r="G216" s="2">
        <f>IFERROR(INDEX('Incident'!$N$4:$N$100003,MATCH(D216,'Incident'!$B$4:$B$100003,0)),IFERROR(INDEX('NC Management'!$F$4:$F$100003,MATCH(E216,'NC Management'!$B$4:$B$100003,0)),""))</f>
        <v>0</v>
      </c>
      <c r="H216" s="6"/>
      <c r="I216" s="6"/>
      <c r="J216" s="6"/>
      <c r="K216" s="6"/>
      <c r="L216" s="6"/>
      <c r="M216" s="6"/>
      <c r="N216" s="6"/>
      <c r="O216" s="6"/>
      <c r="P216" s="1"/>
    </row>
    <row r="217" spans="1:16">
      <c r="A217" s="1">
        <v>214</v>
      </c>
      <c r="B217" s="6"/>
      <c r="C217" s="5"/>
      <c r="D217" s="1"/>
      <c r="E217" s="1"/>
      <c r="F217" s="2">
        <f>IFERROR(INDEX('Incident'!$H$4:$H$100003,MATCH(D217,'Incident'!$B$4:$B$100003,0)),IFERROR(INDEX('NC Management'!$G$4:$G$100003,MATCH(E217,'NC Management'!$B$4:$B$100003,0)),""))</f>
        <v>0</v>
      </c>
      <c r="G217" s="2">
        <f>IFERROR(INDEX('Incident'!$N$4:$N$100003,MATCH(D217,'Incident'!$B$4:$B$100003,0)),IFERROR(INDEX('NC Management'!$F$4:$F$100003,MATCH(E217,'NC Management'!$B$4:$B$100003,0)),""))</f>
        <v>0</v>
      </c>
      <c r="H217" s="6"/>
      <c r="I217" s="6"/>
      <c r="J217" s="6"/>
      <c r="K217" s="6"/>
      <c r="L217" s="6"/>
      <c r="M217" s="6"/>
      <c r="N217" s="6"/>
      <c r="O217" s="6"/>
      <c r="P217" s="1"/>
    </row>
    <row r="218" spans="1:16">
      <c r="A218" s="1">
        <v>215</v>
      </c>
      <c r="B218" s="6"/>
      <c r="C218" s="5"/>
      <c r="D218" s="1"/>
      <c r="E218" s="1"/>
      <c r="F218" s="2">
        <f>IFERROR(INDEX('Incident'!$H$4:$H$100003,MATCH(D218,'Incident'!$B$4:$B$100003,0)),IFERROR(INDEX('NC Management'!$G$4:$G$100003,MATCH(E218,'NC Management'!$B$4:$B$100003,0)),""))</f>
        <v>0</v>
      </c>
      <c r="G218" s="2">
        <f>IFERROR(INDEX('Incident'!$N$4:$N$100003,MATCH(D218,'Incident'!$B$4:$B$100003,0)),IFERROR(INDEX('NC Management'!$F$4:$F$100003,MATCH(E218,'NC Management'!$B$4:$B$100003,0)),""))</f>
        <v>0</v>
      </c>
      <c r="H218" s="6"/>
      <c r="I218" s="6"/>
      <c r="J218" s="6"/>
      <c r="K218" s="6"/>
      <c r="L218" s="6"/>
      <c r="M218" s="6"/>
      <c r="N218" s="6"/>
      <c r="O218" s="6"/>
      <c r="P218" s="1"/>
    </row>
    <row r="219" spans="1:16">
      <c r="A219" s="1">
        <v>216</v>
      </c>
      <c r="B219" s="6"/>
      <c r="C219" s="5"/>
      <c r="D219" s="1"/>
      <c r="E219" s="1"/>
      <c r="F219" s="2">
        <f>IFERROR(INDEX('Incident'!$H$4:$H$100003,MATCH(D219,'Incident'!$B$4:$B$100003,0)),IFERROR(INDEX('NC Management'!$G$4:$G$100003,MATCH(E219,'NC Management'!$B$4:$B$100003,0)),""))</f>
        <v>0</v>
      </c>
      <c r="G219" s="2">
        <f>IFERROR(INDEX('Incident'!$N$4:$N$100003,MATCH(D219,'Incident'!$B$4:$B$100003,0)),IFERROR(INDEX('NC Management'!$F$4:$F$100003,MATCH(E219,'NC Management'!$B$4:$B$100003,0)),""))</f>
        <v>0</v>
      </c>
      <c r="H219" s="6"/>
      <c r="I219" s="6"/>
      <c r="J219" s="6"/>
      <c r="K219" s="6"/>
      <c r="L219" s="6"/>
      <c r="M219" s="6"/>
      <c r="N219" s="6"/>
      <c r="O219" s="6"/>
      <c r="P219" s="1"/>
    </row>
    <row r="220" spans="1:16">
      <c r="A220" s="1">
        <v>217</v>
      </c>
      <c r="B220" s="6"/>
      <c r="C220" s="5"/>
      <c r="D220" s="1"/>
      <c r="E220" s="1"/>
      <c r="F220" s="2">
        <f>IFERROR(INDEX('Incident'!$H$4:$H$100003,MATCH(D220,'Incident'!$B$4:$B$100003,0)),IFERROR(INDEX('NC Management'!$G$4:$G$100003,MATCH(E220,'NC Management'!$B$4:$B$100003,0)),""))</f>
        <v>0</v>
      </c>
      <c r="G220" s="2">
        <f>IFERROR(INDEX('Incident'!$N$4:$N$100003,MATCH(D220,'Incident'!$B$4:$B$100003,0)),IFERROR(INDEX('NC Management'!$F$4:$F$100003,MATCH(E220,'NC Management'!$B$4:$B$100003,0)),""))</f>
        <v>0</v>
      </c>
      <c r="H220" s="6"/>
      <c r="I220" s="6"/>
      <c r="J220" s="6"/>
      <c r="K220" s="6"/>
      <c r="L220" s="6"/>
      <c r="M220" s="6"/>
      <c r="N220" s="6"/>
      <c r="O220" s="6"/>
      <c r="P220" s="1"/>
    </row>
    <row r="221" spans="1:16">
      <c r="A221" s="1">
        <v>218</v>
      </c>
      <c r="B221" s="6"/>
      <c r="C221" s="5"/>
      <c r="D221" s="1"/>
      <c r="E221" s="1"/>
      <c r="F221" s="2">
        <f>IFERROR(INDEX('Incident'!$H$4:$H$100003,MATCH(D221,'Incident'!$B$4:$B$100003,0)),IFERROR(INDEX('NC Management'!$G$4:$G$100003,MATCH(E221,'NC Management'!$B$4:$B$100003,0)),""))</f>
        <v>0</v>
      </c>
      <c r="G221" s="2">
        <f>IFERROR(INDEX('Incident'!$N$4:$N$100003,MATCH(D221,'Incident'!$B$4:$B$100003,0)),IFERROR(INDEX('NC Management'!$F$4:$F$100003,MATCH(E221,'NC Management'!$B$4:$B$100003,0)),""))</f>
        <v>0</v>
      </c>
      <c r="H221" s="6"/>
      <c r="I221" s="6"/>
      <c r="J221" s="6"/>
      <c r="K221" s="6"/>
      <c r="L221" s="6"/>
      <c r="M221" s="6"/>
      <c r="N221" s="6"/>
      <c r="O221" s="6"/>
      <c r="P221" s="1"/>
    </row>
    <row r="222" spans="1:16">
      <c r="A222" s="1">
        <v>219</v>
      </c>
      <c r="B222" s="6"/>
      <c r="C222" s="5"/>
      <c r="D222" s="1"/>
      <c r="E222" s="1"/>
      <c r="F222" s="2">
        <f>IFERROR(INDEX('Incident'!$H$4:$H$100003,MATCH(D222,'Incident'!$B$4:$B$100003,0)),IFERROR(INDEX('NC Management'!$G$4:$G$100003,MATCH(E222,'NC Management'!$B$4:$B$100003,0)),""))</f>
        <v>0</v>
      </c>
      <c r="G222" s="2">
        <f>IFERROR(INDEX('Incident'!$N$4:$N$100003,MATCH(D222,'Incident'!$B$4:$B$100003,0)),IFERROR(INDEX('NC Management'!$F$4:$F$100003,MATCH(E222,'NC Management'!$B$4:$B$100003,0)),""))</f>
        <v>0</v>
      </c>
      <c r="H222" s="6"/>
      <c r="I222" s="6"/>
      <c r="J222" s="6"/>
      <c r="K222" s="6"/>
      <c r="L222" s="6"/>
      <c r="M222" s="6"/>
      <c r="N222" s="6"/>
      <c r="O222" s="6"/>
      <c r="P222" s="1"/>
    </row>
    <row r="223" spans="1:16">
      <c r="A223" s="1">
        <v>220</v>
      </c>
      <c r="B223" s="6"/>
      <c r="C223" s="5"/>
      <c r="D223" s="1"/>
      <c r="E223" s="1"/>
      <c r="F223" s="2">
        <f>IFERROR(INDEX('Incident'!$H$4:$H$100003,MATCH(D223,'Incident'!$B$4:$B$100003,0)),IFERROR(INDEX('NC Management'!$G$4:$G$100003,MATCH(E223,'NC Management'!$B$4:$B$100003,0)),""))</f>
        <v>0</v>
      </c>
      <c r="G223" s="2">
        <f>IFERROR(INDEX('Incident'!$N$4:$N$100003,MATCH(D223,'Incident'!$B$4:$B$100003,0)),IFERROR(INDEX('NC Management'!$F$4:$F$100003,MATCH(E223,'NC Management'!$B$4:$B$100003,0)),""))</f>
        <v>0</v>
      </c>
      <c r="H223" s="6"/>
      <c r="I223" s="6"/>
      <c r="J223" s="6"/>
      <c r="K223" s="6"/>
      <c r="L223" s="6"/>
      <c r="M223" s="6"/>
      <c r="N223" s="6"/>
      <c r="O223" s="6"/>
      <c r="P223" s="1"/>
    </row>
    <row r="224" spans="1:16">
      <c r="A224" s="1">
        <v>221</v>
      </c>
      <c r="B224" s="6"/>
      <c r="C224" s="5"/>
      <c r="D224" s="1"/>
      <c r="E224" s="1"/>
      <c r="F224" s="2">
        <f>IFERROR(INDEX('Incident'!$H$4:$H$100003,MATCH(D224,'Incident'!$B$4:$B$100003,0)),IFERROR(INDEX('NC Management'!$G$4:$G$100003,MATCH(E224,'NC Management'!$B$4:$B$100003,0)),""))</f>
        <v>0</v>
      </c>
      <c r="G224" s="2">
        <f>IFERROR(INDEX('Incident'!$N$4:$N$100003,MATCH(D224,'Incident'!$B$4:$B$100003,0)),IFERROR(INDEX('NC Management'!$F$4:$F$100003,MATCH(E224,'NC Management'!$B$4:$B$100003,0)),""))</f>
        <v>0</v>
      </c>
      <c r="H224" s="6"/>
      <c r="I224" s="6"/>
      <c r="J224" s="6"/>
      <c r="K224" s="6"/>
      <c r="L224" s="6"/>
      <c r="M224" s="6"/>
      <c r="N224" s="6"/>
      <c r="O224" s="6"/>
      <c r="P224" s="1"/>
    </row>
    <row r="225" spans="1:16">
      <c r="A225" s="1">
        <v>222</v>
      </c>
      <c r="B225" s="6"/>
      <c r="C225" s="5"/>
      <c r="D225" s="1"/>
      <c r="E225" s="1"/>
      <c r="F225" s="2">
        <f>IFERROR(INDEX('Incident'!$H$4:$H$100003,MATCH(D225,'Incident'!$B$4:$B$100003,0)),IFERROR(INDEX('NC Management'!$G$4:$G$100003,MATCH(E225,'NC Management'!$B$4:$B$100003,0)),""))</f>
        <v>0</v>
      </c>
      <c r="G225" s="2">
        <f>IFERROR(INDEX('Incident'!$N$4:$N$100003,MATCH(D225,'Incident'!$B$4:$B$100003,0)),IFERROR(INDEX('NC Management'!$F$4:$F$100003,MATCH(E225,'NC Management'!$B$4:$B$100003,0)),""))</f>
        <v>0</v>
      </c>
      <c r="H225" s="6"/>
      <c r="I225" s="6"/>
      <c r="J225" s="6"/>
      <c r="K225" s="6"/>
      <c r="L225" s="6"/>
      <c r="M225" s="6"/>
      <c r="N225" s="6"/>
      <c r="O225" s="6"/>
      <c r="P225" s="1"/>
    </row>
    <row r="226" spans="1:16">
      <c r="A226" s="1">
        <v>223</v>
      </c>
      <c r="B226" s="6"/>
      <c r="C226" s="5"/>
      <c r="D226" s="1"/>
      <c r="E226" s="1"/>
      <c r="F226" s="2">
        <f>IFERROR(INDEX('Incident'!$H$4:$H$100003,MATCH(D226,'Incident'!$B$4:$B$100003,0)),IFERROR(INDEX('NC Management'!$G$4:$G$100003,MATCH(E226,'NC Management'!$B$4:$B$100003,0)),""))</f>
        <v>0</v>
      </c>
      <c r="G226" s="2">
        <f>IFERROR(INDEX('Incident'!$N$4:$N$100003,MATCH(D226,'Incident'!$B$4:$B$100003,0)),IFERROR(INDEX('NC Management'!$F$4:$F$100003,MATCH(E226,'NC Management'!$B$4:$B$100003,0)),""))</f>
        <v>0</v>
      </c>
      <c r="H226" s="6"/>
      <c r="I226" s="6"/>
      <c r="J226" s="6"/>
      <c r="K226" s="6"/>
      <c r="L226" s="6"/>
      <c r="M226" s="6"/>
      <c r="N226" s="6"/>
      <c r="O226" s="6"/>
      <c r="P226" s="1"/>
    </row>
    <row r="227" spans="1:16">
      <c r="A227" s="1">
        <v>224</v>
      </c>
      <c r="B227" s="6"/>
      <c r="C227" s="5"/>
      <c r="D227" s="1"/>
      <c r="E227" s="1"/>
      <c r="F227" s="2">
        <f>IFERROR(INDEX('Incident'!$H$4:$H$100003,MATCH(D227,'Incident'!$B$4:$B$100003,0)),IFERROR(INDEX('NC Management'!$G$4:$G$100003,MATCH(E227,'NC Management'!$B$4:$B$100003,0)),""))</f>
        <v>0</v>
      </c>
      <c r="G227" s="2">
        <f>IFERROR(INDEX('Incident'!$N$4:$N$100003,MATCH(D227,'Incident'!$B$4:$B$100003,0)),IFERROR(INDEX('NC Management'!$F$4:$F$100003,MATCH(E227,'NC Management'!$B$4:$B$100003,0)),""))</f>
        <v>0</v>
      </c>
      <c r="H227" s="6"/>
      <c r="I227" s="6"/>
      <c r="J227" s="6"/>
      <c r="K227" s="6"/>
      <c r="L227" s="6"/>
      <c r="M227" s="6"/>
      <c r="N227" s="6"/>
      <c r="O227" s="6"/>
      <c r="P227" s="1"/>
    </row>
    <row r="228" spans="1:16">
      <c r="A228" s="1">
        <v>225</v>
      </c>
      <c r="B228" s="6"/>
      <c r="C228" s="5"/>
      <c r="D228" s="1"/>
      <c r="E228" s="1"/>
      <c r="F228" s="2">
        <f>IFERROR(INDEX('Incident'!$H$4:$H$100003,MATCH(D228,'Incident'!$B$4:$B$100003,0)),IFERROR(INDEX('NC Management'!$G$4:$G$100003,MATCH(E228,'NC Management'!$B$4:$B$100003,0)),""))</f>
        <v>0</v>
      </c>
      <c r="G228" s="2">
        <f>IFERROR(INDEX('Incident'!$N$4:$N$100003,MATCH(D228,'Incident'!$B$4:$B$100003,0)),IFERROR(INDEX('NC Management'!$F$4:$F$100003,MATCH(E228,'NC Management'!$B$4:$B$100003,0)),""))</f>
        <v>0</v>
      </c>
      <c r="H228" s="6"/>
      <c r="I228" s="6"/>
      <c r="J228" s="6"/>
      <c r="K228" s="6"/>
      <c r="L228" s="6"/>
      <c r="M228" s="6"/>
      <c r="N228" s="6"/>
      <c r="O228" s="6"/>
      <c r="P228" s="1"/>
    </row>
    <row r="229" spans="1:16">
      <c r="A229" s="1">
        <v>226</v>
      </c>
      <c r="B229" s="6"/>
      <c r="C229" s="5"/>
      <c r="D229" s="1"/>
      <c r="E229" s="1"/>
      <c r="F229" s="2">
        <f>IFERROR(INDEX('Incident'!$H$4:$H$100003,MATCH(D229,'Incident'!$B$4:$B$100003,0)),IFERROR(INDEX('NC Management'!$G$4:$G$100003,MATCH(E229,'NC Management'!$B$4:$B$100003,0)),""))</f>
        <v>0</v>
      </c>
      <c r="G229" s="2">
        <f>IFERROR(INDEX('Incident'!$N$4:$N$100003,MATCH(D229,'Incident'!$B$4:$B$100003,0)),IFERROR(INDEX('NC Management'!$F$4:$F$100003,MATCH(E229,'NC Management'!$B$4:$B$100003,0)),""))</f>
        <v>0</v>
      </c>
      <c r="H229" s="6"/>
      <c r="I229" s="6"/>
      <c r="J229" s="6"/>
      <c r="K229" s="6"/>
      <c r="L229" s="6"/>
      <c r="M229" s="6"/>
      <c r="N229" s="6"/>
      <c r="O229" s="6"/>
      <c r="P229" s="1"/>
    </row>
    <row r="230" spans="1:16">
      <c r="A230" s="1">
        <v>227</v>
      </c>
      <c r="B230" s="6"/>
      <c r="C230" s="5"/>
      <c r="D230" s="1"/>
      <c r="E230" s="1"/>
      <c r="F230" s="2">
        <f>IFERROR(INDEX('Incident'!$H$4:$H$100003,MATCH(D230,'Incident'!$B$4:$B$100003,0)),IFERROR(INDEX('NC Management'!$G$4:$G$100003,MATCH(E230,'NC Management'!$B$4:$B$100003,0)),""))</f>
        <v>0</v>
      </c>
      <c r="G230" s="2">
        <f>IFERROR(INDEX('Incident'!$N$4:$N$100003,MATCH(D230,'Incident'!$B$4:$B$100003,0)),IFERROR(INDEX('NC Management'!$F$4:$F$100003,MATCH(E230,'NC Management'!$B$4:$B$100003,0)),""))</f>
        <v>0</v>
      </c>
      <c r="H230" s="6"/>
      <c r="I230" s="6"/>
      <c r="J230" s="6"/>
      <c r="K230" s="6"/>
      <c r="L230" s="6"/>
      <c r="M230" s="6"/>
      <c r="N230" s="6"/>
      <c r="O230" s="6"/>
      <c r="P230" s="1"/>
    </row>
    <row r="231" spans="1:16">
      <c r="A231" s="1">
        <v>228</v>
      </c>
      <c r="B231" s="6"/>
      <c r="C231" s="5"/>
      <c r="D231" s="1"/>
      <c r="E231" s="1"/>
      <c r="F231" s="2">
        <f>IFERROR(INDEX('Incident'!$H$4:$H$100003,MATCH(D231,'Incident'!$B$4:$B$100003,0)),IFERROR(INDEX('NC Management'!$G$4:$G$100003,MATCH(E231,'NC Management'!$B$4:$B$100003,0)),""))</f>
        <v>0</v>
      </c>
      <c r="G231" s="2">
        <f>IFERROR(INDEX('Incident'!$N$4:$N$100003,MATCH(D231,'Incident'!$B$4:$B$100003,0)),IFERROR(INDEX('NC Management'!$F$4:$F$100003,MATCH(E231,'NC Management'!$B$4:$B$100003,0)),""))</f>
        <v>0</v>
      </c>
      <c r="H231" s="6"/>
      <c r="I231" s="6"/>
      <c r="J231" s="6"/>
      <c r="K231" s="6"/>
      <c r="L231" s="6"/>
      <c r="M231" s="6"/>
      <c r="N231" s="6"/>
      <c r="O231" s="6"/>
      <c r="P231" s="1"/>
    </row>
    <row r="232" spans="1:16">
      <c r="A232" s="1">
        <v>229</v>
      </c>
      <c r="B232" s="6"/>
      <c r="C232" s="5"/>
      <c r="D232" s="1"/>
      <c r="E232" s="1"/>
      <c r="F232" s="2">
        <f>IFERROR(INDEX('Incident'!$H$4:$H$100003,MATCH(D232,'Incident'!$B$4:$B$100003,0)),IFERROR(INDEX('NC Management'!$G$4:$G$100003,MATCH(E232,'NC Management'!$B$4:$B$100003,0)),""))</f>
        <v>0</v>
      </c>
      <c r="G232" s="2">
        <f>IFERROR(INDEX('Incident'!$N$4:$N$100003,MATCH(D232,'Incident'!$B$4:$B$100003,0)),IFERROR(INDEX('NC Management'!$F$4:$F$100003,MATCH(E232,'NC Management'!$B$4:$B$100003,0)),""))</f>
        <v>0</v>
      </c>
      <c r="H232" s="6"/>
      <c r="I232" s="6"/>
      <c r="J232" s="6"/>
      <c r="K232" s="6"/>
      <c r="L232" s="6"/>
      <c r="M232" s="6"/>
      <c r="N232" s="6"/>
      <c r="O232" s="6"/>
      <c r="P232" s="1"/>
    </row>
    <row r="233" spans="1:16">
      <c r="A233" s="1">
        <v>230</v>
      </c>
      <c r="B233" s="6"/>
      <c r="C233" s="5"/>
      <c r="D233" s="1"/>
      <c r="E233" s="1"/>
      <c r="F233" s="2">
        <f>IFERROR(INDEX('Incident'!$H$4:$H$100003,MATCH(D233,'Incident'!$B$4:$B$100003,0)),IFERROR(INDEX('NC Management'!$G$4:$G$100003,MATCH(E233,'NC Management'!$B$4:$B$100003,0)),""))</f>
        <v>0</v>
      </c>
      <c r="G233" s="2">
        <f>IFERROR(INDEX('Incident'!$N$4:$N$100003,MATCH(D233,'Incident'!$B$4:$B$100003,0)),IFERROR(INDEX('NC Management'!$F$4:$F$100003,MATCH(E233,'NC Management'!$B$4:$B$100003,0)),""))</f>
        <v>0</v>
      </c>
      <c r="H233" s="6"/>
      <c r="I233" s="6"/>
      <c r="J233" s="6"/>
      <c r="K233" s="6"/>
      <c r="L233" s="6"/>
      <c r="M233" s="6"/>
      <c r="N233" s="6"/>
      <c r="O233" s="6"/>
      <c r="P233" s="1"/>
    </row>
    <row r="234" spans="1:16">
      <c r="A234" s="1">
        <v>231</v>
      </c>
      <c r="B234" s="6"/>
      <c r="C234" s="5"/>
      <c r="D234" s="1"/>
      <c r="E234" s="1"/>
      <c r="F234" s="2">
        <f>IFERROR(INDEX('Incident'!$H$4:$H$100003,MATCH(D234,'Incident'!$B$4:$B$100003,0)),IFERROR(INDEX('NC Management'!$G$4:$G$100003,MATCH(E234,'NC Management'!$B$4:$B$100003,0)),""))</f>
        <v>0</v>
      </c>
      <c r="G234" s="2">
        <f>IFERROR(INDEX('Incident'!$N$4:$N$100003,MATCH(D234,'Incident'!$B$4:$B$100003,0)),IFERROR(INDEX('NC Management'!$F$4:$F$100003,MATCH(E234,'NC Management'!$B$4:$B$100003,0)),""))</f>
        <v>0</v>
      </c>
      <c r="H234" s="6"/>
      <c r="I234" s="6"/>
      <c r="J234" s="6"/>
      <c r="K234" s="6"/>
      <c r="L234" s="6"/>
      <c r="M234" s="6"/>
      <c r="N234" s="6"/>
      <c r="O234" s="6"/>
      <c r="P234" s="1"/>
    </row>
    <row r="235" spans="1:16">
      <c r="A235" s="1">
        <v>232</v>
      </c>
      <c r="B235" s="6"/>
      <c r="C235" s="5"/>
      <c r="D235" s="1"/>
      <c r="E235" s="1"/>
      <c r="F235" s="2">
        <f>IFERROR(INDEX('Incident'!$H$4:$H$100003,MATCH(D235,'Incident'!$B$4:$B$100003,0)),IFERROR(INDEX('NC Management'!$G$4:$G$100003,MATCH(E235,'NC Management'!$B$4:$B$100003,0)),""))</f>
        <v>0</v>
      </c>
      <c r="G235" s="2">
        <f>IFERROR(INDEX('Incident'!$N$4:$N$100003,MATCH(D235,'Incident'!$B$4:$B$100003,0)),IFERROR(INDEX('NC Management'!$F$4:$F$100003,MATCH(E235,'NC Management'!$B$4:$B$100003,0)),""))</f>
        <v>0</v>
      </c>
      <c r="H235" s="6"/>
      <c r="I235" s="6"/>
      <c r="J235" s="6"/>
      <c r="K235" s="6"/>
      <c r="L235" s="6"/>
      <c r="M235" s="6"/>
      <c r="N235" s="6"/>
      <c r="O235" s="6"/>
      <c r="P235" s="1"/>
    </row>
    <row r="236" spans="1:16">
      <c r="A236" s="1">
        <v>233</v>
      </c>
      <c r="B236" s="6"/>
      <c r="C236" s="5"/>
      <c r="D236" s="1"/>
      <c r="E236" s="1"/>
      <c r="F236" s="2">
        <f>IFERROR(INDEX('Incident'!$H$4:$H$100003,MATCH(D236,'Incident'!$B$4:$B$100003,0)),IFERROR(INDEX('NC Management'!$G$4:$G$100003,MATCH(E236,'NC Management'!$B$4:$B$100003,0)),""))</f>
        <v>0</v>
      </c>
      <c r="G236" s="2">
        <f>IFERROR(INDEX('Incident'!$N$4:$N$100003,MATCH(D236,'Incident'!$B$4:$B$100003,0)),IFERROR(INDEX('NC Management'!$F$4:$F$100003,MATCH(E236,'NC Management'!$B$4:$B$100003,0)),""))</f>
        <v>0</v>
      </c>
      <c r="H236" s="6"/>
      <c r="I236" s="6"/>
      <c r="J236" s="6"/>
      <c r="K236" s="6"/>
      <c r="L236" s="6"/>
      <c r="M236" s="6"/>
      <c r="N236" s="6"/>
      <c r="O236" s="6"/>
      <c r="P236" s="1"/>
    </row>
    <row r="237" spans="1:16">
      <c r="A237" s="1">
        <v>234</v>
      </c>
      <c r="B237" s="6"/>
      <c r="C237" s="5"/>
      <c r="D237" s="1"/>
      <c r="E237" s="1"/>
      <c r="F237" s="2">
        <f>IFERROR(INDEX('Incident'!$H$4:$H$100003,MATCH(D237,'Incident'!$B$4:$B$100003,0)),IFERROR(INDEX('NC Management'!$G$4:$G$100003,MATCH(E237,'NC Management'!$B$4:$B$100003,0)),""))</f>
        <v>0</v>
      </c>
      <c r="G237" s="2">
        <f>IFERROR(INDEX('Incident'!$N$4:$N$100003,MATCH(D237,'Incident'!$B$4:$B$100003,0)),IFERROR(INDEX('NC Management'!$F$4:$F$100003,MATCH(E237,'NC Management'!$B$4:$B$100003,0)),""))</f>
        <v>0</v>
      </c>
      <c r="H237" s="6"/>
      <c r="I237" s="6"/>
      <c r="J237" s="6"/>
      <c r="K237" s="6"/>
      <c r="L237" s="6"/>
      <c r="M237" s="6"/>
      <c r="N237" s="6"/>
      <c r="O237" s="6"/>
      <c r="P237" s="1"/>
    </row>
    <row r="238" spans="1:16">
      <c r="A238" s="1">
        <v>235</v>
      </c>
      <c r="B238" s="6"/>
      <c r="C238" s="5"/>
      <c r="D238" s="1"/>
      <c r="E238" s="1"/>
      <c r="F238" s="2">
        <f>IFERROR(INDEX('Incident'!$H$4:$H$100003,MATCH(D238,'Incident'!$B$4:$B$100003,0)),IFERROR(INDEX('NC Management'!$G$4:$G$100003,MATCH(E238,'NC Management'!$B$4:$B$100003,0)),""))</f>
        <v>0</v>
      </c>
      <c r="G238" s="2">
        <f>IFERROR(INDEX('Incident'!$N$4:$N$100003,MATCH(D238,'Incident'!$B$4:$B$100003,0)),IFERROR(INDEX('NC Management'!$F$4:$F$100003,MATCH(E238,'NC Management'!$B$4:$B$100003,0)),""))</f>
        <v>0</v>
      </c>
      <c r="H238" s="6"/>
      <c r="I238" s="6"/>
      <c r="J238" s="6"/>
      <c r="K238" s="6"/>
      <c r="L238" s="6"/>
      <c r="M238" s="6"/>
      <c r="N238" s="6"/>
      <c r="O238" s="6"/>
      <c r="P238" s="1"/>
    </row>
    <row r="239" spans="1:16">
      <c r="A239" s="1">
        <v>236</v>
      </c>
      <c r="B239" s="6"/>
      <c r="C239" s="5"/>
      <c r="D239" s="1"/>
      <c r="E239" s="1"/>
      <c r="F239" s="2">
        <f>IFERROR(INDEX('Incident'!$H$4:$H$100003,MATCH(D239,'Incident'!$B$4:$B$100003,0)),IFERROR(INDEX('NC Management'!$G$4:$G$100003,MATCH(E239,'NC Management'!$B$4:$B$100003,0)),""))</f>
        <v>0</v>
      </c>
      <c r="G239" s="2">
        <f>IFERROR(INDEX('Incident'!$N$4:$N$100003,MATCH(D239,'Incident'!$B$4:$B$100003,0)),IFERROR(INDEX('NC Management'!$F$4:$F$100003,MATCH(E239,'NC Management'!$B$4:$B$100003,0)),""))</f>
        <v>0</v>
      </c>
      <c r="H239" s="6"/>
      <c r="I239" s="6"/>
      <c r="J239" s="6"/>
      <c r="K239" s="6"/>
      <c r="L239" s="6"/>
      <c r="M239" s="6"/>
      <c r="N239" s="6"/>
      <c r="O239" s="6"/>
      <c r="P239" s="1"/>
    </row>
    <row r="240" spans="1:16">
      <c r="A240" s="1">
        <v>237</v>
      </c>
      <c r="B240" s="6"/>
      <c r="C240" s="5"/>
      <c r="D240" s="1"/>
      <c r="E240" s="1"/>
      <c r="F240" s="2">
        <f>IFERROR(INDEX('Incident'!$H$4:$H$100003,MATCH(D240,'Incident'!$B$4:$B$100003,0)),IFERROR(INDEX('NC Management'!$G$4:$G$100003,MATCH(E240,'NC Management'!$B$4:$B$100003,0)),""))</f>
        <v>0</v>
      </c>
      <c r="G240" s="2">
        <f>IFERROR(INDEX('Incident'!$N$4:$N$100003,MATCH(D240,'Incident'!$B$4:$B$100003,0)),IFERROR(INDEX('NC Management'!$F$4:$F$100003,MATCH(E240,'NC Management'!$B$4:$B$100003,0)),""))</f>
        <v>0</v>
      </c>
      <c r="H240" s="6"/>
      <c r="I240" s="6"/>
      <c r="J240" s="6"/>
      <c r="K240" s="6"/>
      <c r="L240" s="6"/>
      <c r="M240" s="6"/>
      <c r="N240" s="6"/>
      <c r="O240" s="6"/>
      <c r="P240" s="1"/>
    </row>
    <row r="241" spans="1:16">
      <c r="A241" s="1">
        <v>238</v>
      </c>
      <c r="B241" s="6"/>
      <c r="C241" s="5"/>
      <c r="D241" s="1"/>
      <c r="E241" s="1"/>
      <c r="F241" s="2">
        <f>IFERROR(INDEX('Incident'!$H$4:$H$100003,MATCH(D241,'Incident'!$B$4:$B$100003,0)),IFERROR(INDEX('NC Management'!$G$4:$G$100003,MATCH(E241,'NC Management'!$B$4:$B$100003,0)),""))</f>
        <v>0</v>
      </c>
      <c r="G241" s="2">
        <f>IFERROR(INDEX('Incident'!$N$4:$N$100003,MATCH(D241,'Incident'!$B$4:$B$100003,0)),IFERROR(INDEX('NC Management'!$F$4:$F$100003,MATCH(E241,'NC Management'!$B$4:$B$100003,0)),""))</f>
        <v>0</v>
      </c>
      <c r="H241" s="6"/>
      <c r="I241" s="6"/>
      <c r="J241" s="6"/>
      <c r="K241" s="6"/>
      <c r="L241" s="6"/>
      <c r="M241" s="6"/>
      <c r="N241" s="6"/>
      <c r="O241" s="6"/>
      <c r="P241" s="1"/>
    </row>
    <row r="242" spans="1:16">
      <c r="A242" s="1">
        <v>239</v>
      </c>
      <c r="B242" s="6"/>
      <c r="C242" s="5"/>
      <c r="D242" s="1"/>
      <c r="E242" s="1"/>
      <c r="F242" s="2">
        <f>IFERROR(INDEX('Incident'!$H$4:$H$100003,MATCH(D242,'Incident'!$B$4:$B$100003,0)),IFERROR(INDEX('NC Management'!$G$4:$G$100003,MATCH(E242,'NC Management'!$B$4:$B$100003,0)),""))</f>
        <v>0</v>
      </c>
      <c r="G242" s="2">
        <f>IFERROR(INDEX('Incident'!$N$4:$N$100003,MATCH(D242,'Incident'!$B$4:$B$100003,0)),IFERROR(INDEX('NC Management'!$F$4:$F$100003,MATCH(E242,'NC Management'!$B$4:$B$100003,0)),""))</f>
        <v>0</v>
      </c>
      <c r="H242" s="6"/>
      <c r="I242" s="6"/>
      <c r="J242" s="6"/>
      <c r="K242" s="6"/>
      <c r="L242" s="6"/>
      <c r="M242" s="6"/>
      <c r="N242" s="6"/>
      <c r="O242" s="6"/>
      <c r="P242" s="1"/>
    </row>
    <row r="243" spans="1:16">
      <c r="A243" s="1">
        <v>240</v>
      </c>
      <c r="B243" s="6"/>
      <c r="C243" s="5"/>
      <c r="D243" s="1"/>
      <c r="E243" s="1"/>
      <c r="F243" s="2">
        <f>IFERROR(INDEX('Incident'!$H$4:$H$100003,MATCH(D243,'Incident'!$B$4:$B$100003,0)),IFERROR(INDEX('NC Management'!$G$4:$G$100003,MATCH(E243,'NC Management'!$B$4:$B$100003,0)),""))</f>
        <v>0</v>
      </c>
      <c r="G243" s="2">
        <f>IFERROR(INDEX('Incident'!$N$4:$N$100003,MATCH(D243,'Incident'!$B$4:$B$100003,0)),IFERROR(INDEX('NC Management'!$F$4:$F$100003,MATCH(E243,'NC Management'!$B$4:$B$100003,0)),""))</f>
        <v>0</v>
      </c>
      <c r="H243" s="6"/>
      <c r="I243" s="6"/>
      <c r="J243" s="6"/>
      <c r="K243" s="6"/>
      <c r="L243" s="6"/>
      <c r="M243" s="6"/>
      <c r="N243" s="6"/>
      <c r="O243" s="6"/>
      <c r="P243" s="1"/>
    </row>
    <row r="244" spans="1:16">
      <c r="A244" s="1">
        <v>241</v>
      </c>
      <c r="B244" s="6"/>
      <c r="C244" s="5"/>
      <c r="D244" s="1"/>
      <c r="E244" s="1"/>
      <c r="F244" s="2">
        <f>IFERROR(INDEX('Incident'!$H$4:$H$100003,MATCH(D244,'Incident'!$B$4:$B$100003,0)),IFERROR(INDEX('NC Management'!$G$4:$G$100003,MATCH(E244,'NC Management'!$B$4:$B$100003,0)),""))</f>
        <v>0</v>
      </c>
      <c r="G244" s="2">
        <f>IFERROR(INDEX('Incident'!$N$4:$N$100003,MATCH(D244,'Incident'!$B$4:$B$100003,0)),IFERROR(INDEX('NC Management'!$F$4:$F$100003,MATCH(E244,'NC Management'!$B$4:$B$100003,0)),""))</f>
        <v>0</v>
      </c>
      <c r="H244" s="6"/>
      <c r="I244" s="6"/>
      <c r="J244" s="6"/>
      <c r="K244" s="6"/>
      <c r="L244" s="6"/>
      <c r="M244" s="6"/>
      <c r="N244" s="6"/>
      <c r="O244" s="6"/>
      <c r="P244" s="1"/>
    </row>
    <row r="245" spans="1:16">
      <c r="A245" s="1">
        <v>242</v>
      </c>
      <c r="B245" s="6"/>
      <c r="C245" s="5"/>
      <c r="D245" s="1"/>
      <c r="E245" s="1"/>
      <c r="F245" s="2">
        <f>IFERROR(INDEX('Incident'!$H$4:$H$100003,MATCH(D245,'Incident'!$B$4:$B$100003,0)),IFERROR(INDEX('NC Management'!$G$4:$G$100003,MATCH(E245,'NC Management'!$B$4:$B$100003,0)),""))</f>
        <v>0</v>
      </c>
      <c r="G245" s="2">
        <f>IFERROR(INDEX('Incident'!$N$4:$N$100003,MATCH(D245,'Incident'!$B$4:$B$100003,0)),IFERROR(INDEX('NC Management'!$F$4:$F$100003,MATCH(E245,'NC Management'!$B$4:$B$100003,0)),""))</f>
        <v>0</v>
      </c>
      <c r="H245" s="6"/>
      <c r="I245" s="6"/>
      <c r="J245" s="6"/>
      <c r="K245" s="6"/>
      <c r="L245" s="6"/>
      <c r="M245" s="6"/>
      <c r="N245" s="6"/>
      <c r="O245" s="6"/>
      <c r="P245" s="1"/>
    </row>
    <row r="246" spans="1:16">
      <c r="A246" s="1">
        <v>243</v>
      </c>
      <c r="B246" s="6"/>
      <c r="C246" s="5"/>
      <c r="D246" s="1"/>
      <c r="E246" s="1"/>
      <c r="F246" s="2">
        <f>IFERROR(INDEX('Incident'!$H$4:$H$100003,MATCH(D246,'Incident'!$B$4:$B$100003,0)),IFERROR(INDEX('NC Management'!$G$4:$G$100003,MATCH(E246,'NC Management'!$B$4:$B$100003,0)),""))</f>
        <v>0</v>
      </c>
      <c r="G246" s="2">
        <f>IFERROR(INDEX('Incident'!$N$4:$N$100003,MATCH(D246,'Incident'!$B$4:$B$100003,0)),IFERROR(INDEX('NC Management'!$F$4:$F$100003,MATCH(E246,'NC Management'!$B$4:$B$100003,0)),""))</f>
        <v>0</v>
      </c>
      <c r="H246" s="6"/>
      <c r="I246" s="6"/>
      <c r="J246" s="6"/>
      <c r="K246" s="6"/>
      <c r="L246" s="6"/>
      <c r="M246" s="6"/>
      <c r="N246" s="6"/>
      <c r="O246" s="6"/>
      <c r="P246" s="1"/>
    </row>
    <row r="247" spans="1:16">
      <c r="A247" s="1">
        <v>244</v>
      </c>
      <c r="B247" s="6"/>
      <c r="C247" s="5"/>
      <c r="D247" s="1"/>
      <c r="E247" s="1"/>
      <c r="F247" s="2">
        <f>IFERROR(INDEX('Incident'!$H$4:$H$100003,MATCH(D247,'Incident'!$B$4:$B$100003,0)),IFERROR(INDEX('NC Management'!$G$4:$G$100003,MATCH(E247,'NC Management'!$B$4:$B$100003,0)),""))</f>
        <v>0</v>
      </c>
      <c r="G247" s="2">
        <f>IFERROR(INDEX('Incident'!$N$4:$N$100003,MATCH(D247,'Incident'!$B$4:$B$100003,0)),IFERROR(INDEX('NC Management'!$F$4:$F$100003,MATCH(E247,'NC Management'!$B$4:$B$100003,0)),""))</f>
        <v>0</v>
      </c>
      <c r="H247" s="6"/>
      <c r="I247" s="6"/>
      <c r="J247" s="6"/>
      <c r="K247" s="6"/>
      <c r="L247" s="6"/>
      <c r="M247" s="6"/>
      <c r="N247" s="6"/>
      <c r="O247" s="6"/>
      <c r="P247" s="1"/>
    </row>
    <row r="248" spans="1:16">
      <c r="A248" s="1">
        <v>245</v>
      </c>
      <c r="B248" s="6"/>
      <c r="C248" s="5"/>
      <c r="D248" s="1"/>
      <c r="E248" s="1"/>
      <c r="F248" s="2">
        <f>IFERROR(INDEX('Incident'!$H$4:$H$100003,MATCH(D248,'Incident'!$B$4:$B$100003,0)),IFERROR(INDEX('NC Management'!$G$4:$G$100003,MATCH(E248,'NC Management'!$B$4:$B$100003,0)),""))</f>
        <v>0</v>
      </c>
      <c r="G248" s="2">
        <f>IFERROR(INDEX('Incident'!$N$4:$N$100003,MATCH(D248,'Incident'!$B$4:$B$100003,0)),IFERROR(INDEX('NC Management'!$F$4:$F$100003,MATCH(E248,'NC Management'!$B$4:$B$100003,0)),""))</f>
        <v>0</v>
      </c>
      <c r="H248" s="6"/>
      <c r="I248" s="6"/>
      <c r="J248" s="6"/>
      <c r="K248" s="6"/>
      <c r="L248" s="6"/>
      <c r="M248" s="6"/>
      <c r="N248" s="6"/>
      <c r="O248" s="6"/>
      <c r="P248" s="1"/>
    </row>
    <row r="249" spans="1:16">
      <c r="A249" s="1">
        <v>246</v>
      </c>
      <c r="B249" s="6"/>
      <c r="C249" s="5"/>
      <c r="D249" s="1"/>
      <c r="E249" s="1"/>
      <c r="F249" s="2">
        <f>IFERROR(INDEX('Incident'!$H$4:$H$100003,MATCH(D249,'Incident'!$B$4:$B$100003,0)),IFERROR(INDEX('NC Management'!$G$4:$G$100003,MATCH(E249,'NC Management'!$B$4:$B$100003,0)),""))</f>
        <v>0</v>
      </c>
      <c r="G249" s="2">
        <f>IFERROR(INDEX('Incident'!$N$4:$N$100003,MATCH(D249,'Incident'!$B$4:$B$100003,0)),IFERROR(INDEX('NC Management'!$F$4:$F$100003,MATCH(E249,'NC Management'!$B$4:$B$100003,0)),""))</f>
        <v>0</v>
      </c>
      <c r="H249" s="6"/>
      <c r="I249" s="6"/>
      <c r="J249" s="6"/>
      <c r="K249" s="6"/>
      <c r="L249" s="6"/>
      <c r="M249" s="6"/>
      <c r="N249" s="6"/>
      <c r="O249" s="6"/>
      <c r="P249" s="1"/>
    </row>
    <row r="250" spans="1:16">
      <c r="A250" s="1">
        <v>247</v>
      </c>
      <c r="B250" s="6"/>
      <c r="C250" s="5"/>
      <c r="D250" s="1"/>
      <c r="E250" s="1"/>
      <c r="F250" s="2">
        <f>IFERROR(INDEX('Incident'!$H$4:$H$100003,MATCH(D250,'Incident'!$B$4:$B$100003,0)),IFERROR(INDEX('NC Management'!$G$4:$G$100003,MATCH(E250,'NC Management'!$B$4:$B$100003,0)),""))</f>
        <v>0</v>
      </c>
      <c r="G250" s="2">
        <f>IFERROR(INDEX('Incident'!$N$4:$N$100003,MATCH(D250,'Incident'!$B$4:$B$100003,0)),IFERROR(INDEX('NC Management'!$F$4:$F$100003,MATCH(E250,'NC Management'!$B$4:$B$100003,0)),""))</f>
        <v>0</v>
      </c>
      <c r="H250" s="6"/>
      <c r="I250" s="6"/>
      <c r="J250" s="6"/>
      <c r="K250" s="6"/>
      <c r="L250" s="6"/>
      <c r="M250" s="6"/>
      <c r="N250" s="6"/>
      <c r="O250" s="6"/>
      <c r="P250" s="1"/>
    </row>
    <row r="251" spans="1:16">
      <c r="A251" s="1">
        <v>248</v>
      </c>
      <c r="B251" s="6"/>
      <c r="C251" s="5"/>
      <c r="D251" s="1"/>
      <c r="E251" s="1"/>
      <c r="F251" s="2">
        <f>IFERROR(INDEX('Incident'!$H$4:$H$100003,MATCH(D251,'Incident'!$B$4:$B$100003,0)),IFERROR(INDEX('NC Management'!$G$4:$G$100003,MATCH(E251,'NC Management'!$B$4:$B$100003,0)),""))</f>
        <v>0</v>
      </c>
      <c r="G251" s="2">
        <f>IFERROR(INDEX('Incident'!$N$4:$N$100003,MATCH(D251,'Incident'!$B$4:$B$100003,0)),IFERROR(INDEX('NC Management'!$F$4:$F$100003,MATCH(E251,'NC Management'!$B$4:$B$100003,0)),""))</f>
        <v>0</v>
      </c>
      <c r="H251" s="6"/>
      <c r="I251" s="6"/>
      <c r="J251" s="6"/>
      <c r="K251" s="6"/>
      <c r="L251" s="6"/>
      <c r="M251" s="6"/>
      <c r="N251" s="6"/>
      <c r="O251" s="6"/>
      <c r="P251" s="1"/>
    </row>
    <row r="252" spans="1:16">
      <c r="A252" s="1">
        <v>249</v>
      </c>
      <c r="B252" s="6"/>
      <c r="C252" s="5"/>
      <c r="D252" s="1"/>
      <c r="E252" s="1"/>
      <c r="F252" s="2">
        <f>IFERROR(INDEX('Incident'!$H$4:$H$100003,MATCH(D252,'Incident'!$B$4:$B$100003,0)),IFERROR(INDEX('NC Management'!$G$4:$G$100003,MATCH(E252,'NC Management'!$B$4:$B$100003,0)),""))</f>
        <v>0</v>
      </c>
      <c r="G252" s="2">
        <f>IFERROR(INDEX('Incident'!$N$4:$N$100003,MATCH(D252,'Incident'!$B$4:$B$100003,0)),IFERROR(INDEX('NC Management'!$F$4:$F$100003,MATCH(E252,'NC Management'!$B$4:$B$100003,0)),""))</f>
        <v>0</v>
      </c>
      <c r="H252" s="6"/>
      <c r="I252" s="6"/>
      <c r="J252" s="6"/>
      <c r="K252" s="6"/>
      <c r="L252" s="6"/>
      <c r="M252" s="6"/>
      <c r="N252" s="6"/>
      <c r="O252" s="6"/>
      <c r="P252" s="1"/>
    </row>
    <row r="253" spans="1:16">
      <c r="A253" s="1">
        <v>250</v>
      </c>
      <c r="B253" s="6"/>
      <c r="C253" s="5"/>
      <c r="D253" s="1"/>
      <c r="E253" s="1"/>
      <c r="F253" s="2">
        <f>IFERROR(INDEX('Incident'!$H$4:$H$100003,MATCH(D253,'Incident'!$B$4:$B$100003,0)),IFERROR(INDEX('NC Management'!$G$4:$G$100003,MATCH(E253,'NC Management'!$B$4:$B$100003,0)),""))</f>
        <v>0</v>
      </c>
      <c r="G253" s="2">
        <f>IFERROR(INDEX('Incident'!$N$4:$N$100003,MATCH(D253,'Incident'!$B$4:$B$100003,0)),IFERROR(INDEX('NC Management'!$F$4:$F$100003,MATCH(E253,'NC Management'!$B$4:$B$100003,0)),""))</f>
        <v>0</v>
      </c>
      <c r="H253" s="6"/>
      <c r="I253" s="6"/>
      <c r="J253" s="6"/>
      <c r="K253" s="6"/>
      <c r="L253" s="6"/>
      <c r="M253" s="6"/>
      <c r="N253" s="6"/>
      <c r="O253" s="6"/>
      <c r="P253" s="1"/>
    </row>
    <row r="254" spans="1:16">
      <c r="A254" s="1">
        <v>251</v>
      </c>
      <c r="B254" s="6"/>
      <c r="C254" s="5"/>
      <c r="D254" s="1"/>
      <c r="E254" s="1"/>
      <c r="F254" s="2">
        <f>IFERROR(INDEX('Incident'!$H$4:$H$100003,MATCH(D254,'Incident'!$B$4:$B$100003,0)),IFERROR(INDEX('NC Management'!$G$4:$G$100003,MATCH(E254,'NC Management'!$B$4:$B$100003,0)),""))</f>
        <v>0</v>
      </c>
      <c r="G254" s="2">
        <f>IFERROR(INDEX('Incident'!$N$4:$N$100003,MATCH(D254,'Incident'!$B$4:$B$100003,0)),IFERROR(INDEX('NC Management'!$F$4:$F$100003,MATCH(E254,'NC Management'!$B$4:$B$100003,0)),""))</f>
        <v>0</v>
      </c>
      <c r="H254" s="6"/>
      <c r="I254" s="6"/>
      <c r="J254" s="6"/>
      <c r="K254" s="6"/>
      <c r="L254" s="6"/>
      <c r="M254" s="6"/>
      <c r="N254" s="6"/>
      <c r="O254" s="6"/>
      <c r="P254" s="1"/>
    </row>
    <row r="255" spans="1:16">
      <c r="A255" s="1">
        <v>252</v>
      </c>
      <c r="B255" s="6"/>
      <c r="C255" s="5"/>
      <c r="D255" s="1"/>
      <c r="E255" s="1"/>
      <c r="F255" s="2">
        <f>IFERROR(INDEX('Incident'!$H$4:$H$100003,MATCH(D255,'Incident'!$B$4:$B$100003,0)),IFERROR(INDEX('NC Management'!$G$4:$G$100003,MATCH(E255,'NC Management'!$B$4:$B$100003,0)),""))</f>
        <v>0</v>
      </c>
      <c r="G255" s="2">
        <f>IFERROR(INDEX('Incident'!$N$4:$N$100003,MATCH(D255,'Incident'!$B$4:$B$100003,0)),IFERROR(INDEX('NC Management'!$F$4:$F$100003,MATCH(E255,'NC Management'!$B$4:$B$100003,0)),""))</f>
        <v>0</v>
      </c>
      <c r="H255" s="6"/>
      <c r="I255" s="6"/>
      <c r="J255" s="6"/>
      <c r="K255" s="6"/>
      <c r="L255" s="6"/>
      <c r="M255" s="6"/>
      <c r="N255" s="6"/>
      <c r="O255" s="6"/>
      <c r="P255" s="1"/>
    </row>
    <row r="256" spans="1:16">
      <c r="A256" s="1">
        <v>253</v>
      </c>
      <c r="B256" s="6"/>
      <c r="C256" s="5"/>
      <c r="D256" s="1"/>
      <c r="E256" s="1"/>
      <c r="F256" s="2">
        <f>IFERROR(INDEX('Incident'!$H$4:$H$100003,MATCH(D256,'Incident'!$B$4:$B$100003,0)),IFERROR(INDEX('NC Management'!$G$4:$G$100003,MATCH(E256,'NC Management'!$B$4:$B$100003,0)),""))</f>
        <v>0</v>
      </c>
      <c r="G256" s="2">
        <f>IFERROR(INDEX('Incident'!$N$4:$N$100003,MATCH(D256,'Incident'!$B$4:$B$100003,0)),IFERROR(INDEX('NC Management'!$F$4:$F$100003,MATCH(E256,'NC Management'!$B$4:$B$100003,0)),""))</f>
        <v>0</v>
      </c>
      <c r="H256" s="6"/>
      <c r="I256" s="6"/>
      <c r="J256" s="6"/>
      <c r="K256" s="6"/>
      <c r="L256" s="6"/>
      <c r="M256" s="6"/>
      <c r="N256" s="6"/>
      <c r="O256" s="6"/>
      <c r="P256" s="1"/>
    </row>
    <row r="257" spans="1:16">
      <c r="A257" s="1">
        <v>254</v>
      </c>
      <c r="B257" s="6"/>
      <c r="C257" s="5"/>
      <c r="D257" s="1"/>
      <c r="E257" s="1"/>
      <c r="F257" s="2">
        <f>IFERROR(INDEX('Incident'!$H$4:$H$100003,MATCH(D257,'Incident'!$B$4:$B$100003,0)),IFERROR(INDEX('NC Management'!$G$4:$G$100003,MATCH(E257,'NC Management'!$B$4:$B$100003,0)),""))</f>
        <v>0</v>
      </c>
      <c r="G257" s="2">
        <f>IFERROR(INDEX('Incident'!$N$4:$N$100003,MATCH(D257,'Incident'!$B$4:$B$100003,0)),IFERROR(INDEX('NC Management'!$F$4:$F$100003,MATCH(E257,'NC Management'!$B$4:$B$100003,0)),""))</f>
        <v>0</v>
      </c>
      <c r="H257" s="6"/>
      <c r="I257" s="6"/>
      <c r="J257" s="6"/>
      <c r="K257" s="6"/>
      <c r="L257" s="6"/>
      <c r="M257" s="6"/>
      <c r="N257" s="6"/>
      <c r="O257" s="6"/>
      <c r="P257" s="1"/>
    </row>
    <row r="258" spans="1:16">
      <c r="A258" s="1">
        <v>255</v>
      </c>
      <c r="B258" s="6"/>
      <c r="C258" s="5"/>
      <c r="D258" s="1"/>
      <c r="E258" s="1"/>
      <c r="F258" s="2">
        <f>IFERROR(INDEX('Incident'!$H$4:$H$100003,MATCH(D258,'Incident'!$B$4:$B$100003,0)),IFERROR(INDEX('NC Management'!$G$4:$G$100003,MATCH(E258,'NC Management'!$B$4:$B$100003,0)),""))</f>
        <v>0</v>
      </c>
      <c r="G258" s="2">
        <f>IFERROR(INDEX('Incident'!$N$4:$N$100003,MATCH(D258,'Incident'!$B$4:$B$100003,0)),IFERROR(INDEX('NC Management'!$F$4:$F$100003,MATCH(E258,'NC Management'!$B$4:$B$100003,0)),""))</f>
        <v>0</v>
      </c>
      <c r="H258" s="6"/>
      <c r="I258" s="6"/>
      <c r="J258" s="6"/>
      <c r="K258" s="6"/>
      <c r="L258" s="6"/>
      <c r="M258" s="6"/>
      <c r="N258" s="6"/>
      <c r="O258" s="6"/>
      <c r="P258" s="1"/>
    </row>
    <row r="259" spans="1:16">
      <c r="A259" s="1">
        <v>256</v>
      </c>
      <c r="B259" s="6"/>
      <c r="C259" s="5"/>
      <c r="D259" s="1"/>
      <c r="E259" s="1"/>
      <c r="F259" s="2">
        <f>IFERROR(INDEX('Incident'!$H$4:$H$100003,MATCH(D259,'Incident'!$B$4:$B$100003,0)),IFERROR(INDEX('NC Management'!$G$4:$G$100003,MATCH(E259,'NC Management'!$B$4:$B$100003,0)),""))</f>
        <v>0</v>
      </c>
      <c r="G259" s="2">
        <f>IFERROR(INDEX('Incident'!$N$4:$N$100003,MATCH(D259,'Incident'!$B$4:$B$100003,0)),IFERROR(INDEX('NC Management'!$F$4:$F$100003,MATCH(E259,'NC Management'!$B$4:$B$100003,0)),""))</f>
        <v>0</v>
      </c>
      <c r="H259" s="6"/>
      <c r="I259" s="6"/>
      <c r="J259" s="6"/>
      <c r="K259" s="6"/>
      <c r="L259" s="6"/>
      <c r="M259" s="6"/>
      <c r="N259" s="6"/>
      <c r="O259" s="6"/>
      <c r="P259" s="1"/>
    </row>
    <row r="260" spans="1:16">
      <c r="A260" s="1">
        <v>257</v>
      </c>
      <c r="B260" s="6"/>
      <c r="C260" s="5"/>
      <c r="D260" s="1"/>
      <c r="E260" s="1"/>
      <c r="F260" s="2">
        <f>IFERROR(INDEX('Incident'!$H$4:$H$100003,MATCH(D260,'Incident'!$B$4:$B$100003,0)),IFERROR(INDEX('NC Management'!$G$4:$G$100003,MATCH(E260,'NC Management'!$B$4:$B$100003,0)),""))</f>
        <v>0</v>
      </c>
      <c r="G260" s="2">
        <f>IFERROR(INDEX('Incident'!$N$4:$N$100003,MATCH(D260,'Incident'!$B$4:$B$100003,0)),IFERROR(INDEX('NC Management'!$F$4:$F$100003,MATCH(E260,'NC Management'!$B$4:$B$100003,0)),""))</f>
        <v>0</v>
      </c>
      <c r="H260" s="6"/>
      <c r="I260" s="6"/>
      <c r="J260" s="6"/>
      <c r="K260" s="6"/>
      <c r="L260" s="6"/>
      <c r="M260" s="6"/>
      <c r="N260" s="6"/>
      <c r="O260" s="6"/>
      <c r="P260" s="1"/>
    </row>
    <row r="261" spans="1:16">
      <c r="A261" s="1">
        <v>258</v>
      </c>
      <c r="B261" s="6"/>
      <c r="C261" s="5"/>
      <c r="D261" s="1"/>
      <c r="E261" s="1"/>
      <c r="F261" s="2">
        <f>IFERROR(INDEX('Incident'!$H$4:$H$100003,MATCH(D261,'Incident'!$B$4:$B$100003,0)),IFERROR(INDEX('NC Management'!$G$4:$G$100003,MATCH(E261,'NC Management'!$B$4:$B$100003,0)),""))</f>
        <v>0</v>
      </c>
      <c r="G261" s="2">
        <f>IFERROR(INDEX('Incident'!$N$4:$N$100003,MATCH(D261,'Incident'!$B$4:$B$100003,0)),IFERROR(INDEX('NC Management'!$F$4:$F$100003,MATCH(E261,'NC Management'!$B$4:$B$100003,0)),""))</f>
        <v>0</v>
      </c>
      <c r="H261" s="6"/>
      <c r="I261" s="6"/>
      <c r="J261" s="6"/>
      <c r="K261" s="6"/>
      <c r="L261" s="6"/>
      <c r="M261" s="6"/>
      <c r="N261" s="6"/>
      <c r="O261" s="6"/>
      <c r="P261" s="1"/>
    </row>
    <row r="262" spans="1:16">
      <c r="A262" s="1">
        <v>259</v>
      </c>
      <c r="B262" s="6"/>
      <c r="C262" s="5"/>
      <c r="D262" s="1"/>
      <c r="E262" s="1"/>
      <c r="F262" s="2">
        <f>IFERROR(INDEX('Incident'!$H$4:$H$100003,MATCH(D262,'Incident'!$B$4:$B$100003,0)),IFERROR(INDEX('NC Management'!$G$4:$G$100003,MATCH(E262,'NC Management'!$B$4:$B$100003,0)),""))</f>
        <v>0</v>
      </c>
      <c r="G262" s="2">
        <f>IFERROR(INDEX('Incident'!$N$4:$N$100003,MATCH(D262,'Incident'!$B$4:$B$100003,0)),IFERROR(INDEX('NC Management'!$F$4:$F$100003,MATCH(E262,'NC Management'!$B$4:$B$100003,0)),""))</f>
        <v>0</v>
      </c>
      <c r="H262" s="6"/>
      <c r="I262" s="6"/>
      <c r="J262" s="6"/>
      <c r="K262" s="6"/>
      <c r="L262" s="6"/>
      <c r="M262" s="6"/>
      <c r="N262" s="6"/>
      <c r="O262" s="6"/>
      <c r="P262" s="1"/>
    </row>
    <row r="263" spans="1:16">
      <c r="A263" s="1">
        <v>260</v>
      </c>
      <c r="B263" s="6"/>
      <c r="C263" s="5"/>
      <c r="D263" s="1"/>
      <c r="E263" s="1"/>
      <c r="F263" s="2">
        <f>IFERROR(INDEX('Incident'!$H$4:$H$100003,MATCH(D263,'Incident'!$B$4:$B$100003,0)),IFERROR(INDEX('NC Management'!$G$4:$G$100003,MATCH(E263,'NC Management'!$B$4:$B$100003,0)),""))</f>
        <v>0</v>
      </c>
      <c r="G263" s="2">
        <f>IFERROR(INDEX('Incident'!$N$4:$N$100003,MATCH(D263,'Incident'!$B$4:$B$100003,0)),IFERROR(INDEX('NC Management'!$F$4:$F$100003,MATCH(E263,'NC Management'!$B$4:$B$100003,0)),""))</f>
        <v>0</v>
      </c>
      <c r="H263" s="6"/>
      <c r="I263" s="6"/>
      <c r="J263" s="6"/>
      <c r="K263" s="6"/>
      <c r="L263" s="6"/>
      <c r="M263" s="6"/>
      <c r="N263" s="6"/>
      <c r="O263" s="6"/>
      <c r="P263" s="1"/>
    </row>
    <row r="264" spans="1:16">
      <c r="A264" s="1">
        <v>261</v>
      </c>
      <c r="B264" s="6"/>
      <c r="C264" s="5"/>
      <c r="D264" s="1"/>
      <c r="E264" s="1"/>
      <c r="F264" s="2">
        <f>IFERROR(INDEX('Incident'!$H$4:$H$100003,MATCH(D264,'Incident'!$B$4:$B$100003,0)),IFERROR(INDEX('NC Management'!$G$4:$G$100003,MATCH(E264,'NC Management'!$B$4:$B$100003,0)),""))</f>
        <v>0</v>
      </c>
      <c r="G264" s="2">
        <f>IFERROR(INDEX('Incident'!$N$4:$N$100003,MATCH(D264,'Incident'!$B$4:$B$100003,0)),IFERROR(INDEX('NC Management'!$F$4:$F$100003,MATCH(E264,'NC Management'!$B$4:$B$100003,0)),""))</f>
        <v>0</v>
      </c>
      <c r="H264" s="6"/>
      <c r="I264" s="6"/>
      <c r="J264" s="6"/>
      <c r="K264" s="6"/>
      <c r="L264" s="6"/>
      <c r="M264" s="6"/>
      <c r="N264" s="6"/>
      <c r="O264" s="6"/>
      <c r="P264" s="1"/>
    </row>
    <row r="265" spans="1:16">
      <c r="A265" s="1">
        <v>262</v>
      </c>
      <c r="B265" s="6"/>
      <c r="C265" s="5"/>
      <c r="D265" s="1"/>
      <c r="E265" s="1"/>
      <c r="F265" s="2">
        <f>IFERROR(INDEX('Incident'!$H$4:$H$100003,MATCH(D265,'Incident'!$B$4:$B$100003,0)),IFERROR(INDEX('NC Management'!$G$4:$G$100003,MATCH(E265,'NC Management'!$B$4:$B$100003,0)),""))</f>
        <v>0</v>
      </c>
      <c r="G265" s="2">
        <f>IFERROR(INDEX('Incident'!$N$4:$N$100003,MATCH(D265,'Incident'!$B$4:$B$100003,0)),IFERROR(INDEX('NC Management'!$F$4:$F$100003,MATCH(E265,'NC Management'!$B$4:$B$100003,0)),""))</f>
        <v>0</v>
      </c>
      <c r="H265" s="6"/>
      <c r="I265" s="6"/>
      <c r="J265" s="6"/>
      <c r="K265" s="6"/>
      <c r="L265" s="6"/>
      <c r="M265" s="6"/>
      <c r="N265" s="6"/>
      <c r="O265" s="6"/>
      <c r="P265" s="1"/>
    </row>
    <row r="266" spans="1:16">
      <c r="A266" s="1">
        <v>263</v>
      </c>
      <c r="B266" s="6"/>
      <c r="C266" s="5"/>
      <c r="D266" s="1"/>
      <c r="E266" s="1"/>
      <c r="F266" s="2">
        <f>IFERROR(INDEX('Incident'!$H$4:$H$100003,MATCH(D266,'Incident'!$B$4:$B$100003,0)),IFERROR(INDEX('NC Management'!$G$4:$G$100003,MATCH(E266,'NC Management'!$B$4:$B$100003,0)),""))</f>
        <v>0</v>
      </c>
      <c r="G266" s="2">
        <f>IFERROR(INDEX('Incident'!$N$4:$N$100003,MATCH(D266,'Incident'!$B$4:$B$100003,0)),IFERROR(INDEX('NC Management'!$F$4:$F$100003,MATCH(E266,'NC Management'!$B$4:$B$100003,0)),""))</f>
        <v>0</v>
      </c>
      <c r="H266" s="6"/>
      <c r="I266" s="6"/>
      <c r="J266" s="6"/>
      <c r="K266" s="6"/>
      <c r="L266" s="6"/>
      <c r="M266" s="6"/>
      <c r="N266" s="6"/>
      <c r="O266" s="6"/>
      <c r="P266" s="1"/>
    </row>
    <row r="267" spans="1:16">
      <c r="A267" s="1">
        <v>264</v>
      </c>
      <c r="B267" s="6"/>
      <c r="C267" s="5"/>
      <c r="D267" s="1"/>
      <c r="E267" s="1"/>
      <c r="F267" s="2">
        <f>IFERROR(INDEX('Incident'!$H$4:$H$100003,MATCH(D267,'Incident'!$B$4:$B$100003,0)),IFERROR(INDEX('NC Management'!$G$4:$G$100003,MATCH(E267,'NC Management'!$B$4:$B$100003,0)),""))</f>
        <v>0</v>
      </c>
      <c r="G267" s="2">
        <f>IFERROR(INDEX('Incident'!$N$4:$N$100003,MATCH(D267,'Incident'!$B$4:$B$100003,0)),IFERROR(INDEX('NC Management'!$F$4:$F$100003,MATCH(E267,'NC Management'!$B$4:$B$100003,0)),""))</f>
        <v>0</v>
      </c>
      <c r="H267" s="6"/>
      <c r="I267" s="6"/>
      <c r="J267" s="6"/>
      <c r="K267" s="6"/>
      <c r="L267" s="6"/>
      <c r="M267" s="6"/>
      <c r="N267" s="6"/>
      <c r="O267" s="6"/>
      <c r="P267" s="1"/>
    </row>
    <row r="268" spans="1:16">
      <c r="A268" s="1">
        <v>265</v>
      </c>
      <c r="B268" s="6"/>
      <c r="C268" s="5"/>
      <c r="D268" s="1"/>
      <c r="E268" s="1"/>
      <c r="F268" s="2">
        <f>IFERROR(INDEX('Incident'!$H$4:$H$100003,MATCH(D268,'Incident'!$B$4:$B$100003,0)),IFERROR(INDEX('NC Management'!$G$4:$G$100003,MATCH(E268,'NC Management'!$B$4:$B$100003,0)),""))</f>
        <v>0</v>
      </c>
      <c r="G268" s="2">
        <f>IFERROR(INDEX('Incident'!$N$4:$N$100003,MATCH(D268,'Incident'!$B$4:$B$100003,0)),IFERROR(INDEX('NC Management'!$F$4:$F$100003,MATCH(E268,'NC Management'!$B$4:$B$100003,0)),""))</f>
        <v>0</v>
      </c>
      <c r="H268" s="6"/>
      <c r="I268" s="6"/>
      <c r="J268" s="6"/>
      <c r="K268" s="6"/>
      <c r="L268" s="6"/>
      <c r="M268" s="6"/>
      <c r="N268" s="6"/>
      <c r="O268" s="6"/>
      <c r="P268" s="1"/>
    </row>
    <row r="269" spans="1:16">
      <c r="A269" s="1">
        <v>266</v>
      </c>
      <c r="B269" s="6"/>
      <c r="C269" s="5"/>
      <c r="D269" s="1"/>
      <c r="E269" s="1"/>
      <c r="F269" s="2">
        <f>IFERROR(INDEX('Incident'!$H$4:$H$100003,MATCH(D269,'Incident'!$B$4:$B$100003,0)),IFERROR(INDEX('NC Management'!$G$4:$G$100003,MATCH(E269,'NC Management'!$B$4:$B$100003,0)),""))</f>
        <v>0</v>
      </c>
      <c r="G269" s="2">
        <f>IFERROR(INDEX('Incident'!$N$4:$N$100003,MATCH(D269,'Incident'!$B$4:$B$100003,0)),IFERROR(INDEX('NC Management'!$F$4:$F$100003,MATCH(E269,'NC Management'!$B$4:$B$100003,0)),""))</f>
        <v>0</v>
      </c>
      <c r="H269" s="6"/>
      <c r="I269" s="6"/>
      <c r="J269" s="6"/>
      <c r="K269" s="6"/>
      <c r="L269" s="6"/>
      <c r="M269" s="6"/>
      <c r="N269" s="6"/>
      <c r="O269" s="6"/>
      <c r="P269" s="1"/>
    </row>
    <row r="270" spans="1:16">
      <c r="A270" s="1">
        <v>267</v>
      </c>
      <c r="B270" s="6"/>
      <c r="C270" s="5"/>
      <c r="D270" s="1"/>
      <c r="E270" s="1"/>
      <c r="F270" s="2">
        <f>IFERROR(INDEX('Incident'!$H$4:$H$100003,MATCH(D270,'Incident'!$B$4:$B$100003,0)),IFERROR(INDEX('NC Management'!$G$4:$G$100003,MATCH(E270,'NC Management'!$B$4:$B$100003,0)),""))</f>
        <v>0</v>
      </c>
      <c r="G270" s="2">
        <f>IFERROR(INDEX('Incident'!$N$4:$N$100003,MATCH(D270,'Incident'!$B$4:$B$100003,0)),IFERROR(INDEX('NC Management'!$F$4:$F$100003,MATCH(E270,'NC Management'!$B$4:$B$100003,0)),""))</f>
        <v>0</v>
      </c>
      <c r="H270" s="6"/>
      <c r="I270" s="6"/>
      <c r="J270" s="6"/>
      <c r="K270" s="6"/>
      <c r="L270" s="6"/>
      <c r="M270" s="6"/>
      <c r="N270" s="6"/>
      <c r="O270" s="6"/>
      <c r="P270" s="1"/>
    </row>
    <row r="271" spans="1:16">
      <c r="A271" s="1">
        <v>268</v>
      </c>
      <c r="B271" s="6"/>
      <c r="C271" s="5"/>
      <c r="D271" s="1"/>
      <c r="E271" s="1"/>
      <c r="F271" s="2">
        <f>IFERROR(INDEX('Incident'!$H$4:$H$100003,MATCH(D271,'Incident'!$B$4:$B$100003,0)),IFERROR(INDEX('NC Management'!$G$4:$G$100003,MATCH(E271,'NC Management'!$B$4:$B$100003,0)),""))</f>
        <v>0</v>
      </c>
      <c r="G271" s="2">
        <f>IFERROR(INDEX('Incident'!$N$4:$N$100003,MATCH(D271,'Incident'!$B$4:$B$100003,0)),IFERROR(INDEX('NC Management'!$F$4:$F$100003,MATCH(E271,'NC Management'!$B$4:$B$100003,0)),""))</f>
        <v>0</v>
      </c>
      <c r="H271" s="6"/>
      <c r="I271" s="6"/>
      <c r="J271" s="6"/>
      <c r="K271" s="6"/>
      <c r="L271" s="6"/>
      <c r="M271" s="6"/>
      <c r="N271" s="6"/>
      <c r="O271" s="6"/>
      <c r="P271" s="1"/>
    </row>
    <row r="272" spans="1:16">
      <c r="A272" s="1">
        <v>269</v>
      </c>
      <c r="B272" s="6"/>
      <c r="C272" s="5"/>
      <c r="D272" s="1"/>
      <c r="E272" s="1"/>
      <c r="F272" s="2">
        <f>IFERROR(INDEX('Incident'!$H$4:$H$100003,MATCH(D272,'Incident'!$B$4:$B$100003,0)),IFERROR(INDEX('NC Management'!$G$4:$G$100003,MATCH(E272,'NC Management'!$B$4:$B$100003,0)),""))</f>
        <v>0</v>
      </c>
      <c r="G272" s="2">
        <f>IFERROR(INDEX('Incident'!$N$4:$N$100003,MATCH(D272,'Incident'!$B$4:$B$100003,0)),IFERROR(INDEX('NC Management'!$F$4:$F$100003,MATCH(E272,'NC Management'!$B$4:$B$100003,0)),""))</f>
        <v>0</v>
      </c>
      <c r="H272" s="6"/>
      <c r="I272" s="6"/>
      <c r="J272" s="6"/>
      <c r="K272" s="6"/>
      <c r="L272" s="6"/>
      <c r="M272" s="6"/>
      <c r="N272" s="6"/>
      <c r="O272" s="6"/>
      <c r="P272" s="1"/>
    </row>
    <row r="273" spans="1:16">
      <c r="A273" s="1">
        <v>270</v>
      </c>
      <c r="B273" s="6"/>
      <c r="C273" s="5"/>
      <c r="D273" s="1"/>
      <c r="E273" s="1"/>
      <c r="F273" s="2">
        <f>IFERROR(INDEX('Incident'!$H$4:$H$100003,MATCH(D273,'Incident'!$B$4:$B$100003,0)),IFERROR(INDEX('NC Management'!$G$4:$G$100003,MATCH(E273,'NC Management'!$B$4:$B$100003,0)),""))</f>
        <v>0</v>
      </c>
      <c r="G273" s="2">
        <f>IFERROR(INDEX('Incident'!$N$4:$N$100003,MATCH(D273,'Incident'!$B$4:$B$100003,0)),IFERROR(INDEX('NC Management'!$F$4:$F$100003,MATCH(E273,'NC Management'!$B$4:$B$100003,0)),""))</f>
        <v>0</v>
      </c>
      <c r="H273" s="6"/>
      <c r="I273" s="6"/>
      <c r="J273" s="6"/>
      <c r="K273" s="6"/>
      <c r="L273" s="6"/>
      <c r="M273" s="6"/>
      <c r="N273" s="6"/>
      <c r="O273" s="6"/>
      <c r="P273" s="1"/>
    </row>
    <row r="274" spans="1:16">
      <c r="A274" s="1">
        <v>271</v>
      </c>
      <c r="B274" s="6"/>
      <c r="C274" s="5"/>
      <c r="D274" s="1"/>
      <c r="E274" s="1"/>
      <c r="F274" s="2">
        <f>IFERROR(INDEX('Incident'!$H$4:$H$100003,MATCH(D274,'Incident'!$B$4:$B$100003,0)),IFERROR(INDEX('NC Management'!$G$4:$G$100003,MATCH(E274,'NC Management'!$B$4:$B$100003,0)),""))</f>
        <v>0</v>
      </c>
      <c r="G274" s="2">
        <f>IFERROR(INDEX('Incident'!$N$4:$N$100003,MATCH(D274,'Incident'!$B$4:$B$100003,0)),IFERROR(INDEX('NC Management'!$F$4:$F$100003,MATCH(E274,'NC Management'!$B$4:$B$100003,0)),""))</f>
        <v>0</v>
      </c>
      <c r="H274" s="6"/>
      <c r="I274" s="6"/>
      <c r="J274" s="6"/>
      <c r="K274" s="6"/>
      <c r="L274" s="6"/>
      <c r="M274" s="6"/>
      <c r="N274" s="6"/>
      <c r="O274" s="6"/>
      <c r="P274" s="1"/>
    </row>
    <row r="275" spans="1:16">
      <c r="A275" s="1">
        <v>272</v>
      </c>
      <c r="B275" s="6"/>
      <c r="C275" s="5"/>
      <c r="D275" s="1"/>
      <c r="E275" s="1"/>
      <c r="F275" s="2">
        <f>IFERROR(INDEX('Incident'!$H$4:$H$100003,MATCH(D275,'Incident'!$B$4:$B$100003,0)),IFERROR(INDEX('NC Management'!$G$4:$G$100003,MATCH(E275,'NC Management'!$B$4:$B$100003,0)),""))</f>
        <v>0</v>
      </c>
      <c r="G275" s="2">
        <f>IFERROR(INDEX('Incident'!$N$4:$N$100003,MATCH(D275,'Incident'!$B$4:$B$100003,0)),IFERROR(INDEX('NC Management'!$F$4:$F$100003,MATCH(E275,'NC Management'!$B$4:$B$100003,0)),""))</f>
        <v>0</v>
      </c>
      <c r="H275" s="6"/>
      <c r="I275" s="6"/>
      <c r="J275" s="6"/>
      <c r="K275" s="6"/>
      <c r="L275" s="6"/>
      <c r="M275" s="6"/>
      <c r="N275" s="6"/>
      <c r="O275" s="6"/>
      <c r="P275" s="1"/>
    </row>
    <row r="276" spans="1:16">
      <c r="A276" s="1">
        <v>273</v>
      </c>
      <c r="B276" s="6"/>
      <c r="C276" s="5"/>
      <c r="D276" s="1"/>
      <c r="E276" s="1"/>
      <c r="F276" s="2">
        <f>IFERROR(INDEX('Incident'!$H$4:$H$100003,MATCH(D276,'Incident'!$B$4:$B$100003,0)),IFERROR(INDEX('NC Management'!$G$4:$G$100003,MATCH(E276,'NC Management'!$B$4:$B$100003,0)),""))</f>
        <v>0</v>
      </c>
      <c r="G276" s="2">
        <f>IFERROR(INDEX('Incident'!$N$4:$N$100003,MATCH(D276,'Incident'!$B$4:$B$100003,0)),IFERROR(INDEX('NC Management'!$F$4:$F$100003,MATCH(E276,'NC Management'!$B$4:$B$100003,0)),""))</f>
        <v>0</v>
      </c>
      <c r="H276" s="6"/>
      <c r="I276" s="6"/>
      <c r="J276" s="6"/>
      <c r="K276" s="6"/>
      <c r="L276" s="6"/>
      <c r="M276" s="6"/>
      <c r="N276" s="6"/>
      <c r="O276" s="6"/>
      <c r="P276" s="1"/>
    </row>
    <row r="277" spans="1:16">
      <c r="A277" s="1">
        <v>274</v>
      </c>
      <c r="B277" s="6"/>
      <c r="C277" s="5"/>
      <c r="D277" s="1"/>
      <c r="E277" s="1"/>
      <c r="F277" s="2">
        <f>IFERROR(INDEX('Incident'!$H$4:$H$100003,MATCH(D277,'Incident'!$B$4:$B$100003,0)),IFERROR(INDEX('NC Management'!$G$4:$G$100003,MATCH(E277,'NC Management'!$B$4:$B$100003,0)),""))</f>
        <v>0</v>
      </c>
      <c r="G277" s="2">
        <f>IFERROR(INDEX('Incident'!$N$4:$N$100003,MATCH(D277,'Incident'!$B$4:$B$100003,0)),IFERROR(INDEX('NC Management'!$F$4:$F$100003,MATCH(E277,'NC Management'!$B$4:$B$100003,0)),""))</f>
        <v>0</v>
      </c>
      <c r="H277" s="6"/>
      <c r="I277" s="6"/>
      <c r="J277" s="6"/>
      <c r="K277" s="6"/>
      <c r="L277" s="6"/>
      <c r="M277" s="6"/>
      <c r="N277" s="6"/>
      <c r="O277" s="6"/>
      <c r="P277" s="1"/>
    </row>
    <row r="278" spans="1:16">
      <c r="A278" s="1">
        <v>275</v>
      </c>
      <c r="B278" s="6"/>
      <c r="C278" s="5"/>
      <c r="D278" s="1"/>
      <c r="E278" s="1"/>
      <c r="F278" s="2">
        <f>IFERROR(INDEX('Incident'!$H$4:$H$100003,MATCH(D278,'Incident'!$B$4:$B$100003,0)),IFERROR(INDEX('NC Management'!$G$4:$G$100003,MATCH(E278,'NC Management'!$B$4:$B$100003,0)),""))</f>
        <v>0</v>
      </c>
      <c r="G278" s="2">
        <f>IFERROR(INDEX('Incident'!$N$4:$N$100003,MATCH(D278,'Incident'!$B$4:$B$100003,0)),IFERROR(INDEX('NC Management'!$F$4:$F$100003,MATCH(E278,'NC Management'!$B$4:$B$100003,0)),""))</f>
        <v>0</v>
      </c>
      <c r="H278" s="6"/>
      <c r="I278" s="6"/>
      <c r="J278" s="6"/>
      <c r="K278" s="6"/>
      <c r="L278" s="6"/>
      <c r="M278" s="6"/>
      <c r="N278" s="6"/>
      <c r="O278" s="6"/>
      <c r="P278" s="1"/>
    </row>
    <row r="279" spans="1:16">
      <c r="A279" s="1">
        <v>276</v>
      </c>
      <c r="B279" s="6"/>
      <c r="C279" s="5"/>
      <c r="D279" s="1"/>
      <c r="E279" s="1"/>
      <c r="F279" s="2">
        <f>IFERROR(INDEX('Incident'!$H$4:$H$100003,MATCH(D279,'Incident'!$B$4:$B$100003,0)),IFERROR(INDEX('NC Management'!$G$4:$G$100003,MATCH(E279,'NC Management'!$B$4:$B$100003,0)),""))</f>
        <v>0</v>
      </c>
      <c r="G279" s="2">
        <f>IFERROR(INDEX('Incident'!$N$4:$N$100003,MATCH(D279,'Incident'!$B$4:$B$100003,0)),IFERROR(INDEX('NC Management'!$F$4:$F$100003,MATCH(E279,'NC Management'!$B$4:$B$100003,0)),""))</f>
        <v>0</v>
      </c>
      <c r="H279" s="6"/>
      <c r="I279" s="6"/>
      <c r="J279" s="6"/>
      <c r="K279" s="6"/>
      <c r="L279" s="6"/>
      <c r="M279" s="6"/>
      <c r="N279" s="6"/>
      <c r="O279" s="6"/>
      <c r="P279" s="1"/>
    </row>
    <row r="280" spans="1:16">
      <c r="A280" s="1">
        <v>277</v>
      </c>
      <c r="B280" s="6"/>
      <c r="C280" s="5"/>
      <c r="D280" s="1"/>
      <c r="E280" s="1"/>
      <c r="F280" s="2">
        <f>IFERROR(INDEX('Incident'!$H$4:$H$100003,MATCH(D280,'Incident'!$B$4:$B$100003,0)),IFERROR(INDEX('NC Management'!$G$4:$G$100003,MATCH(E280,'NC Management'!$B$4:$B$100003,0)),""))</f>
        <v>0</v>
      </c>
      <c r="G280" s="2">
        <f>IFERROR(INDEX('Incident'!$N$4:$N$100003,MATCH(D280,'Incident'!$B$4:$B$100003,0)),IFERROR(INDEX('NC Management'!$F$4:$F$100003,MATCH(E280,'NC Management'!$B$4:$B$100003,0)),""))</f>
        <v>0</v>
      </c>
      <c r="H280" s="6"/>
      <c r="I280" s="6"/>
      <c r="J280" s="6"/>
      <c r="K280" s="6"/>
      <c r="L280" s="6"/>
      <c r="M280" s="6"/>
      <c r="N280" s="6"/>
      <c r="O280" s="6"/>
      <c r="P280" s="1"/>
    </row>
    <row r="281" spans="1:16">
      <c r="A281" s="1">
        <v>278</v>
      </c>
      <c r="B281" s="6"/>
      <c r="C281" s="5"/>
      <c r="D281" s="1"/>
      <c r="E281" s="1"/>
      <c r="F281" s="2">
        <f>IFERROR(INDEX('Incident'!$H$4:$H$100003,MATCH(D281,'Incident'!$B$4:$B$100003,0)),IFERROR(INDEX('NC Management'!$G$4:$G$100003,MATCH(E281,'NC Management'!$B$4:$B$100003,0)),""))</f>
        <v>0</v>
      </c>
      <c r="G281" s="2">
        <f>IFERROR(INDEX('Incident'!$N$4:$N$100003,MATCH(D281,'Incident'!$B$4:$B$100003,0)),IFERROR(INDEX('NC Management'!$F$4:$F$100003,MATCH(E281,'NC Management'!$B$4:$B$100003,0)),""))</f>
        <v>0</v>
      </c>
      <c r="H281" s="6"/>
      <c r="I281" s="6"/>
      <c r="J281" s="6"/>
      <c r="K281" s="6"/>
      <c r="L281" s="6"/>
      <c r="M281" s="6"/>
      <c r="N281" s="6"/>
      <c r="O281" s="6"/>
      <c r="P281" s="1"/>
    </row>
    <row r="282" spans="1:16">
      <c r="A282" s="1">
        <v>279</v>
      </c>
      <c r="B282" s="6"/>
      <c r="C282" s="5"/>
      <c r="D282" s="1"/>
      <c r="E282" s="1"/>
      <c r="F282" s="2">
        <f>IFERROR(INDEX('Incident'!$H$4:$H$100003,MATCH(D282,'Incident'!$B$4:$B$100003,0)),IFERROR(INDEX('NC Management'!$G$4:$G$100003,MATCH(E282,'NC Management'!$B$4:$B$100003,0)),""))</f>
        <v>0</v>
      </c>
      <c r="G282" s="2">
        <f>IFERROR(INDEX('Incident'!$N$4:$N$100003,MATCH(D282,'Incident'!$B$4:$B$100003,0)),IFERROR(INDEX('NC Management'!$F$4:$F$100003,MATCH(E282,'NC Management'!$B$4:$B$100003,0)),""))</f>
        <v>0</v>
      </c>
      <c r="H282" s="6"/>
      <c r="I282" s="6"/>
      <c r="J282" s="6"/>
      <c r="K282" s="6"/>
      <c r="L282" s="6"/>
      <c r="M282" s="6"/>
      <c r="N282" s="6"/>
      <c r="O282" s="6"/>
      <c r="P282" s="1"/>
    </row>
    <row r="283" spans="1:16">
      <c r="A283" s="1">
        <v>280</v>
      </c>
      <c r="B283" s="6"/>
      <c r="C283" s="5"/>
      <c r="D283" s="1"/>
      <c r="E283" s="1"/>
      <c r="F283" s="2">
        <f>IFERROR(INDEX('Incident'!$H$4:$H$100003,MATCH(D283,'Incident'!$B$4:$B$100003,0)),IFERROR(INDEX('NC Management'!$G$4:$G$100003,MATCH(E283,'NC Management'!$B$4:$B$100003,0)),""))</f>
        <v>0</v>
      </c>
      <c r="G283" s="2">
        <f>IFERROR(INDEX('Incident'!$N$4:$N$100003,MATCH(D283,'Incident'!$B$4:$B$100003,0)),IFERROR(INDEX('NC Management'!$F$4:$F$100003,MATCH(E283,'NC Management'!$B$4:$B$100003,0)),""))</f>
        <v>0</v>
      </c>
      <c r="H283" s="6"/>
      <c r="I283" s="6"/>
      <c r="J283" s="6"/>
      <c r="K283" s="6"/>
      <c r="L283" s="6"/>
      <c r="M283" s="6"/>
      <c r="N283" s="6"/>
      <c r="O283" s="6"/>
      <c r="P283" s="1"/>
    </row>
    <row r="284" spans="1:16">
      <c r="A284" s="1">
        <v>281</v>
      </c>
      <c r="B284" s="6"/>
      <c r="C284" s="5"/>
      <c r="D284" s="1"/>
      <c r="E284" s="1"/>
      <c r="F284" s="2">
        <f>IFERROR(INDEX('Incident'!$H$4:$H$100003,MATCH(D284,'Incident'!$B$4:$B$100003,0)),IFERROR(INDEX('NC Management'!$G$4:$G$100003,MATCH(E284,'NC Management'!$B$4:$B$100003,0)),""))</f>
        <v>0</v>
      </c>
      <c r="G284" s="2">
        <f>IFERROR(INDEX('Incident'!$N$4:$N$100003,MATCH(D284,'Incident'!$B$4:$B$100003,0)),IFERROR(INDEX('NC Management'!$F$4:$F$100003,MATCH(E284,'NC Management'!$B$4:$B$100003,0)),""))</f>
        <v>0</v>
      </c>
      <c r="H284" s="6"/>
      <c r="I284" s="6"/>
      <c r="J284" s="6"/>
      <c r="K284" s="6"/>
      <c r="L284" s="6"/>
      <c r="M284" s="6"/>
      <c r="N284" s="6"/>
      <c r="O284" s="6"/>
      <c r="P284" s="1"/>
    </row>
    <row r="285" spans="1:16">
      <c r="A285" s="1">
        <v>282</v>
      </c>
      <c r="B285" s="6"/>
      <c r="C285" s="5"/>
      <c r="D285" s="1"/>
      <c r="E285" s="1"/>
      <c r="F285" s="2">
        <f>IFERROR(INDEX('Incident'!$H$4:$H$100003,MATCH(D285,'Incident'!$B$4:$B$100003,0)),IFERROR(INDEX('NC Management'!$G$4:$G$100003,MATCH(E285,'NC Management'!$B$4:$B$100003,0)),""))</f>
        <v>0</v>
      </c>
      <c r="G285" s="2">
        <f>IFERROR(INDEX('Incident'!$N$4:$N$100003,MATCH(D285,'Incident'!$B$4:$B$100003,0)),IFERROR(INDEX('NC Management'!$F$4:$F$100003,MATCH(E285,'NC Management'!$B$4:$B$100003,0)),""))</f>
        <v>0</v>
      </c>
      <c r="H285" s="6"/>
      <c r="I285" s="6"/>
      <c r="J285" s="6"/>
      <c r="K285" s="6"/>
      <c r="L285" s="6"/>
      <c r="M285" s="6"/>
      <c r="N285" s="6"/>
      <c r="O285" s="6"/>
      <c r="P285" s="1"/>
    </row>
    <row r="286" spans="1:16">
      <c r="A286" s="1">
        <v>283</v>
      </c>
      <c r="B286" s="6"/>
      <c r="C286" s="5"/>
      <c r="D286" s="1"/>
      <c r="E286" s="1"/>
      <c r="F286" s="2">
        <f>IFERROR(INDEX('Incident'!$H$4:$H$100003,MATCH(D286,'Incident'!$B$4:$B$100003,0)),IFERROR(INDEX('NC Management'!$G$4:$G$100003,MATCH(E286,'NC Management'!$B$4:$B$100003,0)),""))</f>
        <v>0</v>
      </c>
      <c r="G286" s="2">
        <f>IFERROR(INDEX('Incident'!$N$4:$N$100003,MATCH(D286,'Incident'!$B$4:$B$100003,0)),IFERROR(INDEX('NC Management'!$F$4:$F$100003,MATCH(E286,'NC Management'!$B$4:$B$100003,0)),""))</f>
        <v>0</v>
      </c>
      <c r="H286" s="6"/>
      <c r="I286" s="6"/>
      <c r="J286" s="6"/>
      <c r="K286" s="6"/>
      <c r="L286" s="6"/>
      <c r="M286" s="6"/>
      <c r="N286" s="6"/>
      <c r="O286" s="6"/>
      <c r="P286" s="1"/>
    </row>
    <row r="287" spans="1:16">
      <c r="A287" s="1">
        <v>284</v>
      </c>
      <c r="B287" s="6"/>
      <c r="C287" s="5"/>
      <c r="D287" s="1"/>
      <c r="E287" s="1"/>
      <c r="F287" s="2">
        <f>IFERROR(INDEX('Incident'!$H$4:$H$100003,MATCH(D287,'Incident'!$B$4:$B$100003,0)),IFERROR(INDEX('NC Management'!$G$4:$G$100003,MATCH(E287,'NC Management'!$B$4:$B$100003,0)),""))</f>
        <v>0</v>
      </c>
      <c r="G287" s="2">
        <f>IFERROR(INDEX('Incident'!$N$4:$N$100003,MATCH(D287,'Incident'!$B$4:$B$100003,0)),IFERROR(INDEX('NC Management'!$F$4:$F$100003,MATCH(E287,'NC Management'!$B$4:$B$100003,0)),""))</f>
        <v>0</v>
      </c>
      <c r="H287" s="6"/>
      <c r="I287" s="6"/>
      <c r="J287" s="6"/>
      <c r="K287" s="6"/>
      <c r="L287" s="6"/>
      <c r="M287" s="6"/>
      <c r="N287" s="6"/>
      <c r="O287" s="6"/>
      <c r="P287" s="1"/>
    </row>
    <row r="288" spans="1:16">
      <c r="A288" s="1">
        <v>285</v>
      </c>
      <c r="B288" s="6"/>
      <c r="C288" s="5"/>
      <c r="D288" s="1"/>
      <c r="E288" s="1"/>
      <c r="F288" s="2">
        <f>IFERROR(INDEX('Incident'!$H$4:$H$100003,MATCH(D288,'Incident'!$B$4:$B$100003,0)),IFERROR(INDEX('NC Management'!$G$4:$G$100003,MATCH(E288,'NC Management'!$B$4:$B$100003,0)),""))</f>
        <v>0</v>
      </c>
      <c r="G288" s="2">
        <f>IFERROR(INDEX('Incident'!$N$4:$N$100003,MATCH(D288,'Incident'!$B$4:$B$100003,0)),IFERROR(INDEX('NC Management'!$F$4:$F$100003,MATCH(E288,'NC Management'!$B$4:$B$100003,0)),""))</f>
        <v>0</v>
      </c>
      <c r="H288" s="6"/>
      <c r="I288" s="6"/>
      <c r="J288" s="6"/>
      <c r="K288" s="6"/>
      <c r="L288" s="6"/>
      <c r="M288" s="6"/>
      <c r="N288" s="6"/>
      <c r="O288" s="6"/>
      <c r="P288" s="1"/>
    </row>
    <row r="289" spans="1:16">
      <c r="A289" s="1">
        <v>286</v>
      </c>
      <c r="B289" s="6"/>
      <c r="C289" s="5"/>
      <c r="D289" s="1"/>
      <c r="E289" s="1"/>
      <c r="F289" s="2">
        <f>IFERROR(INDEX('Incident'!$H$4:$H$100003,MATCH(D289,'Incident'!$B$4:$B$100003,0)),IFERROR(INDEX('NC Management'!$G$4:$G$100003,MATCH(E289,'NC Management'!$B$4:$B$100003,0)),""))</f>
        <v>0</v>
      </c>
      <c r="G289" s="2">
        <f>IFERROR(INDEX('Incident'!$N$4:$N$100003,MATCH(D289,'Incident'!$B$4:$B$100003,0)),IFERROR(INDEX('NC Management'!$F$4:$F$100003,MATCH(E289,'NC Management'!$B$4:$B$100003,0)),""))</f>
        <v>0</v>
      </c>
      <c r="H289" s="6"/>
      <c r="I289" s="6"/>
      <c r="J289" s="6"/>
      <c r="K289" s="6"/>
      <c r="L289" s="6"/>
      <c r="M289" s="6"/>
      <c r="N289" s="6"/>
      <c r="O289" s="6"/>
      <c r="P289" s="1"/>
    </row>
    <row r="290" spans="1:16">
      <c r="A290" s="1">
        <v>287</v>
      </c>
      <c r="B290" s="6"/>
      <c r="C290" s="5"/>
      <c r="D290" s="1"/>
      <c r="E290" s="1"/>
      <c r="F290" s="2">
        <f>IFERROR(INDEX('Incident'!$H$4:$H$100003,MATCH(D290,'Incident'!$B$4:$B$100003,0)),IFERROR(INDEX('NC Management'!$G$4:$G$100003,MATCH(E290,'NC Management'!$B$4:$B$100003,0)),""))</f>
        <v>0</v>
      </c>
      <c r="G290" s="2">
        <f>IFERROR(INDEX('Incident'!$N$4:$N$100003,MATCH(D290,'Incident'!$B$4:$B$100003,0)),IFERROR(INDEX('NC Management'!$F$4:$F$100003,MATCH(E290,'NC Management'!$B$4:$B$100003,0)),""))</f>
        <v>0</v>
      </c>
      <c r="H290" s="6"/>
      <c r="I290" s="6"/>
      <c r="J290" s="6"/>
      <c r="K290" s="6"/>
      <c r="L290" s="6"/>
      <c r="M290" s="6"/>
      <c r="N290" s="6"/>
      <c r="O290" s="6"/>
      <c r="P290" s="1"/>
    </row>
    <row r="291" spans="1:16">
      <c r="A291" s="1">
        <v>288</v>
      </c>
      <c r="B291" s="6"/>
      <c r="C291" s="5"/>
      <c r="D291" s="1"/>
      <c r="E291" s="1"/>
      <c r="F291" s="2">
        <f>IFERROR(INDEX('Incident'!$H$4:$H$100003,MATCH(D291,'Incident'!$B$4:$B$100003,0)),IFERROR(INDEX('NC Management'!$G$4:$G$100003,MATCH(E291,'NC Management'!$B$4:$B$100003,0)),""))</f>
        <v>0</v>
      </c>
      <c r="G291" s="2">
        <f>IFERROR(INDEX('Incident'!$N$4:$N$100003,MATCH(D291,'Incident'!$B$4:$B$100003,0)),IFERROR(INDEX('NC Management'!$F$4:$F$100003,MATCH(E291,'NC Management'!$B$4:$B$100003,0)),""))</f>
        <v>0</v>
      </c>
      <c r="H291" s="6"/>
      <c r="I291" s="6"/>
      <c r="J291" s="6"/>
      <c r="K291" s="6"/>
      <c r="L291" s="6"/>
      <c r="M291" s="6"/>
      <c r="N291" s="6"/>
      <c r="O291" s="6"/>
      <c r="P291" s="1"/>
    </row>
    <row r="292" spans="1:16">
      <c r="A292" s="1">
        <v>289</v>
      </c>
      <c r="B292" s="6"/>
      <c r="C292" s="5"/>
      <c r="D292" s="1"/>
      <c r="E292" s="1"/>
      <c r="F292" s="2">
        <f>IFERROR(INDEX('Incident'!$H$4:$H$100003,MATCH(D292,'Incident'!$B$4:$B$100003,0)),IFERROR(INDEX('NC Management'!$G$4:$G$100003,MATCH(E292,'NC Management'!$B$4:$B$100003,0)),""))</f>
        <v>0</v>
      </c>
      <c r="G292" s="2">
        <f>IFERROR(INDEX('Incident'!$N$4:$N$100003,MATCH(D292,'Incident'!$B$4:$B$100003,0)),IFERROR(INDEX('NC Management'!$F$4:$F$100003,MATCH(E292,'NC Management'!$B$4:$B$100003,0)),""))</f>
        <v>0</v>
      </c>
      <c r="H292" s="6"/>
      <c r="I292" s="6"/>
      <c r="J292" s="6"/>
      <c r="K292" s="6"/>
      <c r="L292" s="6"/>
      <c r="M292" s="6"/>
      <c r="N292" s="6"/>
      <c r="O292" s="6"/>
      <c r="P292" s="1"/>
    </row>
    <row r="293" spans="1:16">
      <c r="A293" s="1">
        <v>290</v>
      </c>
      <c r="B293" s="6"/>
      <c r="C293" s="5"/>
      <c r="D293" s="1"/>
      <c r="E293" s="1"/>
      <c r="F293" s="2">
        <f>IFERROR(INDEX('Incident'!$H$4:$H$100003,MATCH(D293,'Incident'!$B$4:$B$100003,0)),IFERROR(INDEX('NC Management'!$G$4:$G$100003,MATCH(E293,'NC Management'!$B$4:$B$100003,0)),""))</f>
        <v>0</v>
      </c>
      <c r="G293" s="2">
        <f>IFERROR(INDEX('Incident'!$N$4:$N$100003,MATCH(D293,'Incident'!$B$4:$B$100003,0)),IFERROR(INDEX('NC Management'!$F$4:$F$100003,MATCH(E293,'NC Management'!$B$4:$B$100003,0)),""))</f>
        <v>0</v>
      </c>
      <c r="H293" s="6"/>
      <c r="I293" s="6"/>
      <c r="J293" s="6"/>
      <c r="K293" s="6"/>
      <c r="L293" s="6"/>
      <c r="M293" s="6"/>
      <c r="N293" s="6"/>
      <c r="O293" s="6"/>
      <c r="P293" s="1"/>
    </row>
    <row r="294" spans="1:16">
      <c r="A294" s="1">
        <v>291</v>
      </c>
      <c r="B294" s="6"/>
      <c r="C294" s="5"/>
      <c r="D294" s="1"/>
      <c r="E294" s="1"/>
      <c r="F294" s="2">
        <f>IFERROR(INDEX('Incident'!$H$4:$H$100003,MATCH(D294,'Incident'!$B$4:$B$100003,0)),IFERROR(INDEX('NC Management'!$G$4:$G$100003,MATCH(E294,'NC Management'!$B$4:$B$100003,0)),""))</f>
        <v>0</v>
      </c>
      <c r="G294" s="2">
        <f>IFERROR(INDEX('Incident'!$N$4:$N$100003,MATCH(D294,'Incident'!$B$4:$B$100003,0)),IFERROR(INDEX('NC Management'!$F$4:$F$100003,MATCH(E294,'NC Management'!$B$4:$B$100003,0)),""))</f>
        <v>0</v>
      </c>
      <c r="H294" s="6"/>
      <c r="I294" s="6"/>
      <c r="J294" s="6"/>
      <c r="K294" s="6"/>
      <c r="L294" s="6"/>
      <c r="M294" s="6"/>
      <c r="N294" s="6"/>
      <c r="O294" s="6"/>
      <c r="P294" s="1"/>
    </row>
    <row r="295" spans="1:16">
      <c r="A295" s="1">
        <v>292</v>
      </c>
      <c r="B295" s="6"/>
      <c r="C295" s="5"/>
      <c r="D295" s="1"/>
      <c r="E295" s="1"/>
      <c r="F295" s="2">
        <f>IFERROR(INDEX('Incident'!$H$4:$H$100003,MATCH(D295,'Incident'!$B$4:$B$100003,0)),IFERROR(INDEX('NC Management'!$G$4:$G$100003,MATCH(E295,'NC Management'!$B$4:$B$100003,0)),""))</f>
        <v>0</v>
      </c>
      <c r="G295" s="2">
        <f>IFERROR(INDEX('Incident'!$N$4:$N$100003,MATCH(D295,'Incident'!$B$4:$B$100003,0)),IFERROR(INDEX('NC Management'!$F$4:$F$100003,MATCH(E295,'NC Management'!$B$4:$B$100003,0)),""))</f>
        <v>0</v>
      </c>
      <c r="H295" s="6"/>
      <c r="I295" s="6"/>
      <c r="J295" s="6"/>
      <c r="K295" s="6"/>
      <c r="L295" s="6"/>
      <c r="M295" s="6"/>
      <c r="N295" s="6"/>
      <c r="O295" s="6"/>
      <c r="P295" s="1"/>
    </row>
    <row r="296" spans="1:16">
      <c r="A296" s="1">
        <v>293</v>
      </c>
      <c r="B296" s="6"/>
      <c r="C296" s="5"/>
      <c r="D296" s="1"/>
      <c r="E296" s="1"/>
      <c r="F296" s="2">
        <f>IFERROR(INDEX('Incident'!$H$4:$H$100003,MATCH(D296,'Incident'!$B$4:$B$100003,0)),IFERROR(INDEX('NC Management'!$G$4:$G$100003,MATCH(E296,'NC Management'!$B$4:$B$100003,0)),""))</f>
        <v>0</v>
      </c>
      <c r="G296" s="2">
        <f>IFERROR(INDEX('Incident'!$N$4:$N$100003,MATCH(D296,'Incident'!$B$4:$B$100003,0)),IFERROR(INDEX('NC Management'!$F$4:$F$100003,MATCH(E296,'NC Management'!$B$4:$B$100003,0)),""))</f>
        <v>0</v>
      </c>
      <c r="H296" s="6"/>
      <c r="I296" s="6"/>
      <c r="J296" s="6"/>
      <c r="K296" s="6"/>
      <c r="L296" s="6"/>
      <c r="M296" s="6"/>
      <c r="N296" s="6"/>
      <c r="O296" s="6"/>
      <c r="P296" s="1"/>
    </row>
    <row r="297" spans="1:16">
      <c r="A297" s="1">
        <v>294</v>
      </c>
      <c r="B297" s="6"/>
      <c r="C297" s="5"/>
      <c r="D297" s="1"/>
      <c r="E297" s="1"/>
      <c r="F297" s="2">
        <f>IFERROR(INDEX('Incident'!$H$4:$H$100003,MATCH(D297,'Incident'!$B$4:$B$100003,0)),IFERROR(INDEX('NC Management'!$G$4:$G$100003,MATCH(E297,'NC Management'!$B$4:$B$100003,0)),""))</f>
        <v>0</v>
      </c>
      <c r="G297" s="2">
        <f>IFERROR(INDEX('Incident'!$N$4:$N$100003,MATCH(D297,'Incident'!$B$4:$B$100003,0)),IFERROR(INDEX('NC Management'!$F$4:$F$100003,MATCH(E297,'NC Management'!$B$4:$B$100003,0)),""))</f>
        <v>0</v>
      </c>
      <c r="H297" s="6"/>
      <c r="I297" s="6"/>
      <c r="J297" s="6"/>
      <c r="K297" s="6"/>
      <c r="L297" s="6"/>
      <c r="M297" s="6"/>
      <c r="N297" s="6"/>
      <c r="O297" s="6"/>
      <c r="P297" s="1"/>
    </row>
    <row r="298" spans="1:16">
      <c r="A298" s="1">
        <v>295</v>
      </c>
      <c r="B298" s="6"/>
      <c r="C298" s="5"/>
      <c r="D298" s="1"/>
      <c r="E298" s="1"/>
      <c r="F298" s="2">
        <f>IFERROR(INDEX('Incident'!$H$4:$H$100003,MATCH(D298,'Incident'!$B$4:$B$100003,0)),IFERROR(INDEX('NC Management'!$G$4:$G$100003,MATCH(E298,'NC Management'!$B$4:$B$100003,0)),""))</f>
        <v>0</v>
      </c>
      <c r="G298" s="2">
        <f>IFERROR(INDEX('Incident'!$N$4:$N$100003,MATCH(D298,'Incident'!$B$4:$B$100003,0)),IFERROR(INDEX('NC Management'!$F$4:$F$100003,MATCH(E298,'NC Management'!$B$4:$B$100003,0)),""))</f>
        <v>0</v>
      </c>
      <c r="H298" s="6"/>
      <c r="I298" s="6"/>
      <c r="J298" s="6"/>
      <c r="K298" s="6"/>
      <c r="L298" s="6"/>
      <c r="M298" s="6"/>
      <c r="N298" s="6"/>
      <c r="O298" s="6"/>
      <c r="P298" s="1"/>
    </row>
    <row r="299" spans="1:16">
      <c r="A299" s="1">
        <v>296</v>
      </c>
      <c r="B299" s="6"/>
      <c r="C299" s="5"/>
      <c r="D299" s="1"/>
      <c r="E299" s="1"/>
      <c r="F299" s="2">
        <f>IFERROR(INDEX('Incident'!$H$4:$H$100003,MATCH(D299,'Incident'!$B$4:$B$100003,0)),IFERROR(INDEX('NC Management'!$G$4:$G$100003,MATCH(E299,'NC Management'!$B$4:$B$100003,0)),""))</f>
        <v>0</v>
      </c>
      <c r="G299" s="2">
        <f>IFERROR(INDEX('Incident'!$N$4:$N$100003,MATCH(D299,'Incident'!$B$4:$B$100003,0)),IFERROR(INDEX('NC Management'!$F$4:$F$100003,MATCH(E299,'NC Management'!$B$4:$B$100003,0)),""))</f>
        <v>0</v>
      </c>
      <c r="H299" s="6"/>
      <c r="I299" s="6"/>
      <c r="J299" s="6"/>
      <c r="K299" s="6"/>
      <c r="L299" s="6"/>
      <c r="M299" s="6"/>
      <c r="N299" s="6"/>
      <c r="O299" s="6"/>
      <c r="P299" s="1"/>
    </row>
    <row r="300" spans="1:16">
      <c r="A300" s="1">
        <v>297</v>
      </c>
      <c r="B300" s="6"/>
      <c r="C300" s="5"/>
      <c r="D300" s="1"/>
      <c r="E300" s="1"/>
      <c r="F300" s="2">
        <f>IFERROR(INDEX('Incident'!$H$4:$H$100003,MATCH(D300,'Incident'!$B$4:$B$100003,0)),IFERROR(INDEX('NC Management'!$G$4:$G$100003,MATCH(E300,'NC Management'!$B$4:$B$100003,0)),""))</f>
        <v>0</v>
      </c>
      <c r="G300" s="2">
        <f>IFERROR(INDEX('Incident'!$N$4:$N$100003,MATCH(D300,'Incident'!$B$4:$B$100003,0)),IFERROR(INDEX('NC Management'!$F$4:$F$100003,MATCH(E300,'NC Management'!$B$4:$B$100003,0)),""))</f>
        <v>0</v>
      </c>
      <c r="H300" s="6"/>
      <c r="I300" s="6"/>
      <c r="J300" s="6"/>
      <c r="K300" s="6"/>
      <c r="L300" s="6"/>
      <c r="M300" s="6"/>
      <c r="N300" s="6"/>
      <c r="O300" s="6"/>
      <c r="P300" s="1"/>
    </row>
    <row r="301" spans="1:16">
      <c r="A301" s="1">
        <v>298</v>
      </c>
      <c r="B301" s="6"/>
      <c r="C301" s="5"/>
      <c r="D301" s="1"/>
      <c r="E301" s="1"/>
      <c r="F301" s="2">
        <f>IFERROR(INDEX('Incident'!$H$4:$H$100003,MATCH(D301,'Incident'!$B$4:$B$100003,0)),IFERROR(INDEX('NC Management'!$G$4:$G$100003,MATCH(E301,'NC Management'!$B$4:$B$100003,0)),""))</f>
        <v>0</v>
      </c>
      <c r="G301" s="2">
        <f>IFERROR(INDEX('Incident'!$N$4:$N$100003,MATCH(D301,'Incident'!$B$4:$B$100003,0)),IFERROR(INDEX('NC Management'!$F$4:$F$100003,MATCH(E301,'NC Management'!$B$4:$B$100003,0)),""))</f>
        <v>0</v>
      </c>
      <c r="H301" s="6"/>
      <c r="I301" s="6"/>
      <c r="J301" s="6"/>
      <c r="K301" s="6"/>
      <c r="L301" s="6"/>
      <c r="M301" s="6"/>
      <c r="N301" s="6"/>
      <c r="O301" s="6"/>
      <c r="P301" s="1"/>
    </row>
    <row r="302" spans="1:16">
      <c r="A302" s="1">
        <v>299</v>
      </c>
      <c r="B302" s="6"/>
      <c r="C302" s="5"/>
      <c r="D302" s="1"/>
      <c r="E302" s="1"/>
      <c r="F302" s="2">
        <f>IFERROR(INDEX('Incident'!$H$4:$H$100003,MATCH(D302,'Incident'!$B$4:$B$100003,0)),IFERROR(INDEX('NC Management'!$G$4:$G$100003,MATCH(E302,'NC Management'!$B$4:$B$100003,0)),""))</f>
        <v>0</v>
      </c>
      <c r="G302" s="2">
        <f>IFERROR(INDEX('Incident'!$N$4:$N$100003,MATCH(D302,'Incident'!$B$4:$B$100003,0)),IFERROR(INDEX('NC Management'!$F$4:$F$100003,MATCH(E302,'NC Management'!$B$4:$B$100003,0)),""))</f>
        <v>0</v>
      </c>
      <c r="H302" s="6"/>
      <c r="I302" s="6"/>
      <c r="J302" s="6"/>
      <c r="K302" s="6"/>
      <c r="L302" s="6"/>
      <c r="M302" s="6"/>
      <c r="N302" s="6"/>
      <c r="O302" s="6"/>
      <c r="P302" s="1"/>
    </row>
    <row r="303" spans="1:16">
      <c r="A303" s="1">
        <v>300</v>
      </c>
      <c r="B303" s="6"/>
      <c r="C303" s="5"/>
      <c r="D303" s="1"/>
      <c r="E303" s="1"/>
      <c r="F303" s="2">
        <f>IFERROR(INDEX('Incident'!$H$4:$H$100003,MATCH(D303,'Incident'!$B$4:$B$100003,0)),IFERROR(INDEX('NC Management'!$G$4:$G$100003,MATCH(E303,'NC Management'!$B$4:$B$100003,0)),""))</f>
        <v>0</v>
      </c>
      <c r="G303" s="2">
        <f>IFERROR(INDEX('Incident'!$N$4:$N$100003,MATCH(D303,'Incident'!$B$4:$B$100003,0)),IFERROR(INDEX('NC Management'!$F$4:$F$100003,MATCH(E303,'NC Management'!$B$4:$B$100003,0)),""))</f>
        <v>0</v>
      </c>
      <c r="H303" s="6"/>
      <c r="I303" s="6"/>
      <c r="J303" s="6"/>
      <c r="K303" s="6"/>
      <c r="L303" s="6"/>
      <c r="M303" s="6"/>
      <c r="N303" s="6"/>
      <c r="O303" s="6"/>
      <c r="P303" s="1"/>
    </row>
  </sheetData>
  <mergeCells count="2">
    <mergeCell ref="A1:P1"/>
    <mergeCell ref="A2:P2"/>
  </mergeCells>
  <dataValidations count="3">
    <dataValidation type="list" allowBlank="1" showInputMessage="1" showErrorMessage="1" sqref="D4:D303">
      <formula1>Incident!$B$4:$B$51</formula1>
    </dataValidation>
    <dataValidation type="list" allowBlank="1" showInputMessage="1" showErrorMessage="1" sqref="E4:E303">
      <formula1>NC Management!$B$4:$B$51</formula1>
    </dataValidation>
    <dataValidation type="list" allowBlank="1" showInputMessage="1" showErrorMessage="1" sqref="P4:P3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334155"/>
  </sheetPr>
  <dimension ref="B1:G5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24.7109375" customWidth="1"/>
    <col min="4" max="4" width="12.7109375" customWidth="1"/>
    <col min="5" max="6" width="20.7109375" customWidth="1"/>
    <col min="7" max="7" width="18.7109375" customWidth="1"/>
  </cols>
  <sheetData>
    <row r="1" spans="2:7">
      <c r="B1" s="10" t="s">
        <v>139</v>
      </c>
    </row>
    <row r="2" spans="2:7">
      <c r="B2" s="11" t="s">
        <v>1737</v>
      </c>
      <c r="C2" s="11"/>
      <c r="D2" s="11"/>
      <c r="E2" s="11"/>
      <c r="F2" s="11"/>
      <c r="G2" s="11"/>
    </row>
    <row r="3" spans="2:7">
      <c r="B3" s="10" t="s">
        <v>1738</v>
      </c>
    </row>
    <row r="5" spans="2:7">
      <c r="B5" s="12" t="s">
        <v>1739</v>
      </c>
      <c r="C5" s="12" t="s">
        <v>1740</v>
      </c>
      <c r="D5" s="12" t="s">
        <v>1741</v>
      </c>
      <c r="E5" s="12" t="s">
        <v>1742</v>
      </c>
      <c r="F5" s="12" t="s">
        <v>1743</v>
      </c>
      <c r="G5" s="12" t="s">
        <v>1744</v>
      </c>
    </row>
  </sheetData>
  <mergeCells count="1">
    <mergeCell ref="B2:G2"/>
  </mergeCells>
  <hyperlinks>
    <hyperlink ref="B1" location="'Home'!A1" display="Home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15A34A"/>
  </sheetPr>
  <dimension ref="B1:EM1093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43">
      <c r="B1" s="10" t="s">
        <v>139</v>
      </c>
    </row>
    <row r="2" spans="2:143">
      <c r="B2" s="11" t="s">
        <v>1745</v>
      </c>
      <c r="C2" s="11"/>
      <c r="D2" s="11"/>
      <c r="E2" s="11"/>
      <c r="F2" s="11"/>
      <c r="G2" s="11"/>
      <c r="H2" s="11"/>
    </row>
    <row r="5" spans="2:143">
      <c r="B5" s="17" t="s">
        <v>1746</v>
      </c>
    </row>
    <row r="6" spans="2:143">
      <c r="B6" s="15" t="s">
        <v>1747</v>
      </c>
      <c r="C6" s="23">
        <f>IF(SelMonth="All","&lt;&gt;",SelMonth)</f>
        <v>0</v>
      </c>
    </row>
    <row r="7" spans="2:143">
      <c r="B7" s="15" t="s">
        <v>1748</v>
      </c>
      <c r="C7" s="23">
        <f>IF(SelDept="All","&lt;&gt;",SelDept)</f>
        <v>0</v>
      </c>
    </row>
    <row r="9" spans="2:143">
      <c r="B9" s="17" t="s">
        <v>1749</v>
      </c>
    </row>
    <row r="10" spans="2:143">
      <c r="B10" s="15" t="s">
        <v>1750</v>
      </c>
      <c r="C10" s="23">
        <f>IF(LEFT(SelPeriod,1)="Q",1,0)</f>
        <v>0</v>
      </c>
      <c r="E10" s="15" t="s">
        <v>1751</v>
      </c>
      <c r="F10" s="23">
        <f>IF(Calculations!$C$10=1,VALUE(MID(SelPeriod,2,1)),ROUNDUP(MATCH(SelPeriod,L_Month,0)/3,0))</f>
        <v>0</v>
      </c>
      <c r="H10" s="15" t="s">
        <v>1752</v>
      </c>
      <c r="I10" s="23">
        <f>IF(Calculations!$C$10=1,0,MATCH(SelPeriod,L_Month,0))</f>
        <v>0</v>
      </c>
      <c r="DI10" s="17" t="s">
        <v>1848</v>
      </c>
      <c r="DR10" s="12" t="s">
        <v>1886</v>
      </c>
      <c r="DS10" s="12" t="s">
        <v>1887</v>
      </c>
      <c r="DU10" s="12" t="s">
        <v>1900</v>
      </c>
      <c r="DV10" s="12" t="s">
        <v>1901</v>
      </c>
    </row>
    <row r="11" spans="2:143">
      <c r="B11" s="12" t="s">
        <v>127</v>
      </c>
      <c r="C11" s="12" t="s">
        <v>23</v>
      </c>
      <c r="D11" s="12" t="s">
        <v>1753</v>
      </c>
      <c r="E11" s="12" t="s">
        <v>1754</v>
      </c>
      <c r="F11" s="12" t="s">
        <v>1755</v>
      </c>
      <c r="G11" s="12" t="s">
        <v>1756</v>
      </c>
      <c r="H11" s="12" t="s">
        <v>1757</v>
      </c>
      <c r="I11" s="12" t="s">
        <v>1758</v>
      </c>
      <c r="J11" s="12" t="s">
        <v>1759</v>
      </c>
      <c r="K11" s="12" t="s">
        <v>1760</v>
      </c>
      <c r="L11" s="12" t="s">
        <v>1761</v>
      </c>
      <c r="M11" s="12" t="s">
        <v>1762</v>
      </c>
      <c r="N11" s="12" t="s">
        <v>1763</v>
      </c>
      <c r="O11" s="12" t="s">
        <v>1764</v>
      </c>
      <c r="P11" s="12" t="s">
        <v>1765</v>
      </c>
      <c r="Q11" s="12" t="s">
        <v>1766</v>
      </c>
      <c r="R11" s="12" t="s">
        <v>1767</v>
      </c>
      <c r="S11" s="12" t="s">
        <v>1768</v>
      </c>
      <c r="T11" s="12" t="s">
        <v>1769</v>
      </c>
      <c r="U11" s="12" t="s">
        <v>1770</v>
      </c>
      <c r="V11" s="12" t="s">
        <v>1771</v>
      </c>
      <c r="W11" s="12" t="s">
        <v>1772</v>
      </c>
      <c r="X11" s="12" t="s">
        <v>1773</v>
      </c>
      <c r="Y11" s="12" t="s">
        <v>1774</v>
      </c>
      <c r="Z11" s="12" t="s">
        <v>1775</v>
      </c>
      <c r="AA11" s="12" t="s">
        <v>1776</v>
      </c>
      <c r="AB11" s="12" t="s">
        <v>1777</v>
      </c>
      <c r="AC11" s="12" t="s">
        <v>1778</v>
      </c>
      <c r="AD11" s="12" t="s">
        <v>1779</v>
      </c>
      <c r="AE11" s="12" t="s">
        <v>1780</v>
      </c>
      <c r="AF11" s="12" t="s">
        <v>1781</v>
      </c>
      <c r="AG11" s="12" t="s">
        <v>1782</v>
      </c>
      <c r="AH11" s="12" t="s">
        <v>1783</v>
      </c>
      <c r="AI11" s="12" t="s">
        <v>1784</v>
      </c>
      <c r="AJ11" s="12" t="s">
        <v>1785</v>
      </c>
      <c r="AK11" s="12" t="s">
        <v>1786</v>
      </c>
      <c r="AL11" s="12" t="s">
        <v>1787</v>
      </c>
      <c r="AM11" s="12" t="s">
        <v>1788</v>
      </c>
      <c r="AN11" s="12" t="s">
        <v>1789</v>
      </c>
      <c r="AO11" s="12" t="s">
        <v>1790</v>
      </c>
      <c r="AP11" s="12" t="s">
        <v>1791</v>
      </c>
      <c r="AQ11" s="12" t="s">
        <v>1792</v>
      </c>
      <c r="AR11" s="12" t="s">
        <v>1793</v>
      </c>
      <c r="AS11" s="12" t="s">
        <v>1794</v>
      </c>
      <c r="AT11" s="12" t="s">
        <v>1795</v>
      </c>
      <c r="AU11" s="12" t="s">
        <v>1796</v>
      </c>
      <c r="AV11" s="12" t="s">
        <v>1797</v>
      </c>
      <c r="AW11" s="12" t="s">
        <v>1798</v>
      </c>
      <c r="AX11" s="12" t="s">
        <v>1799</v>
      </c>
      <c r="AY11" s="12" t="s">
        <v>1800</v>
      </c>
      <c r="AZ11" s="12" t="s">
        <v>1801</v>
      </c>
      <c r="BA11" s="12" t="s">
        <v>1802</v>
      </c>
      <c r="BB11" s="12" t="s">
        <v>1803</v>
      </c>
      <c r="BC11" s="12" t="s">
        <v>1804</v>
      </c>
      <c r="BD11" s="12" t="s">
        <v>1805</v>
      </c>
      <c r="BE11" s="12" t="s">
        <v>1806</v>
      </c>
      <c r="BF11" s="12" t="s">
        <v>1807</v>
      </c>
      <c r="BG11" s="12" t="s">
        <v>1808</v>
      </c>
      <c r="BH11" s="12" t="s">
        <v>1809</v>
      </c>
      <c r="BI11" s="12" t="s">
        <v>1810</v>
      </c>
      <c r="BJ11" s="12" t="s">
        <v>1811</v>
      </c>
      <c r="BK11" s="12" t="s">
        <v>1812</v>
      </c>
      <c r="BL11" s="12" t="s">
        <v>1813</v>
      </c>
      <c r="BM11" s="12" t="s">
        <v>1814</v>
      </c>
      <c r="BN11" s="12" t="s">
        <v>1815</v>
      </c>
      <c r="BO11" s="12" t="s">
        <v>1816</v>
      </c>
      <c r="BP11" s="12" t="s">
        <v>1817</v>
      </c>
      <c r="BQ11" s="12" t="s">
        <v>1818</v>
      </c>
      <c r="BR11" s="12" t="s">
        <v>1819</v>
      </c>
      <c r="BS11" s="12" t="s">
        <v>1820</v>
      </c>
      <c r="BT11" s="12" t="s">
        <v>1821</v>
      </c>
      <c r="BU11" s="12" t="s">
        <v>1822</v>
      </c>
      <c r="BV11" s="12" t="s">
        <v>1823</v>
      </c>
      <c r="BW11" s="12" t="s">
        <v>1824</v>
      </c>
      <c r="BX11" s="12" t="s">
        <v>1825</v>
      </c>
      <c r="BY11" s="12" t="s">
        <v>1826</v>
      </c>
      <c r="BZ11" s="12" t="s">
        <v>1827</v>
      </c>
      <c r="CA11" s="12" t="s">
        <v>1828</v>
      </c>
      <c r="CB11" s="12" t="s">
        <v>1829</v>
      </c>
      <c r="CC11" s="12" t="s">
        <v>1830</v>
      </c>
      <c r="CD11" s="12" t="s">
        <v>1831</v>
      </c>
      <c r="CE11" s="12" t="s">
        <v>1832</v>
      </c>
      <c r="CF11" s="12" t="s">
        <v>1833</v>
      </c>
      <c r="CG11" s="12" t="s">
        <v>1834</v>
      </c>
      <c r="CH11" s="12" t="s">
        <v>1835</v>
      </c>
      <c r="CI11" s="12" t="s">
        <v>1836</v>
      </c>
      <c r="CJ11" s="12" t="s">
        <v>1837</v>
      </c>
      <c r="CK11" s="12" t="s">
        <v>1838</v>
      </c>
      <c r="CL11" s="12" t="s">
        <v>1839</v>
      </c>
      <c r="CM11" s="12" t="s">
        <v>1840</v>
      </c>
      <c r="CN11" s="12" t="s">
        <v>1841</v>
      </c>
      <c r="CO11" s="12" t="s">
        <v>1842</v>
      </c>
      <c r="CP11" s="12" t="s">
        <v>1843</v>
      </c>
      <c r="DI11" s="12" t="s">
        <v>1849</v>
      </c>
      <c r="DJ11" s="12" t="s">
        <v>1850</v>
      </c>
      <c r="DK11" s="12" t="s">
        <v>1753</v>
      </c>
      <c r="DL11" s="12" t="s">
        <v>1754</v>
      </c>
      <c r="DM11" s="12" t="s">
        <v>1851</v>
      </c>
      <c r="DN11" s="12" t="s">
        <v>42</v>
      </c>
      <c r="DR11" s="13" t="s">
        <v>1562</v>
      </c>
      <c r="DS11" s="22">
        <f>SUMPRODUCT(Calculations!$M$12:$M$23,Calculations!$D$12:$D$23)</f>
        <v>0</v>
      </c>
      <c r="DU11" s="23" t="s">
        <v>3</v>
      </c>
      <c r="DV11" s="22">
        <f>COUNTIFS('Incident'!$D$4:$D$100003,"Jan",'Incident'!$H$4:$H$100003,dCrit)</f>
        <v>0</v>
      </c>
      <c r="DX11" s="12" t="s">
        <v>1858</v>
      </c>
      <c r="DY11" s="12" t="s">
        <v>1859</v>
      </c>
      <c r="DZ11" s="12" t="s">
        <v>1861</v>
      </c>
      <c r="EA11" s="12" t="s">
        <v>1863</v>
      </c>
      <c r="EB11" s="12" t="s">
        <v>1865</v>
      </c>
      <c r="EC11" s="12" t="s">
        <v>1866</v>
      </c>
      <c r="ED11" s="12" t="s">
        <v>1867</v>
      </c>
      <c r="EE11" s="12" t="s">
        <v>1869</v>
      </c>
      <c r="EF11" s="12" t="s">
        <v>1870</v>
      </c>
      <c r="EG11" s="12" t="s">
        <v>1871</v>
      </c>
      <c r="EH11" s="12" t="s">
        <v>1874</v>
      </c>
      <c r="EI11" s="12" t="s">
        <v>1875</v>
      </c>
      <c r="EJ11" s="12" t="s">
        <v>1876</v>
      </c>
      <c r="EK11" s="12" t="s">
        <v>1877</v>
      </c>
      <c r="EL11" s="12" t="s">
        <v>1879</v>
      </c>
      <c r="EM11" s="12" t="s">
        <v>1881</v>
      </c>
    </row>
    <row r="12" spans="2:143">
      <c r="B12" s="23" t="s">
        <v>3</v>
      </c>
      <c r="C12" s="23">
        <v>1</v>
      </c>
      <c r="D12" s="23">
        <f>IF(Calculations!$C$10=1,IF(ROUNDUP($C$12/3,0)=Calculations!$F$10,1,0),IF($C$12=Calculations!$I$10,1,0))</f>
        <v>0</v>
      </c>
      <c r="E12" s="23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Observations'!$M$4:$M$100003,"Completed",'HSE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Actions'!$N$4:$N$100003,"Completed",'Corrective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Inspections'!$M$4:$M$100003,"Completed",'Workplace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Acts'!$M$4:$M$100003,"Completed",'Unsafe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Conditions'!$M$4:$M$100003,"Completed",'Unsafe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2">
        <f>COUNTIFS('HSE Observations'!$E$4:$E$100003,"Safe Act",'HSE Observations'!$D$4:$D$100003,"Jan",'HSE Observations'!$G$4:$G$100003,dCrit)+COUNTIFS('HSE Observations'!$E$4:$E$100003,"Safe Condition",'HSE Observations'!$D$4:$D$100003,"Jan",'HSE Observations'!$G$4:$G$100003,dCrit)</f>
        <v>0</v>
      </c>
      <c r="BS12" s="22">
        <f>COUNTIFS('HSE Observations'!$E$4:$E$100003,"Unsafe Act",'HSE Observations'!$D$4:$D$100003,"Jan",'HSE Observations'!$G$4:$G$100003,dCrit)+COUNTIFS('HSE Observations'!$E$4:$E$100003,"Unsafe Condition",'HSE Observations'!$D$4:$D$100003,"Jan",'HSE Observations'!$G$4:$G$100003,dCrit)</f>
        <v>0</v>
      </c>
      <c r="BT12" s="22">
        <f>IFERROR(AVERAGEIFS('Emergency Drills'!$L$4:$L$100003,'Emergency Drills'!$D$4:$D$100003,"Jan"),0)</f>
        <v>0</v>
      </c>
      <c r="BU12" s="22">
        <f>IFERROR(AVERAGEIFS('Emergency Drills'!$K$4:$K$100003,'Emergency Drills'!$D$4:$D$100003,"Jan"),0)</f>
        <v>0</v>
      </c>
      <c r="BV12" s="22">
        <f>SUMIFS('Internal Audits'!$M$4:$M$100003,'Internal Audits'!$D$4:$D$100003,"Jan",'Internal Audits'!$G$4:$G$100003,dCrit)</f>
        <v>0</v>
      </c>
      <c r="BW12" s="22">
        <f>SUMIFS('External Audits'!$M$4:$M$100003,'External Audits'!$D$4:$D$100003,"Jan",'External Audits'!$G$4:$G$100003,dCrit)</f>
        <v>0</v>
      </c>
      <c r="BX12" s="22">
        <f>SUMIFS('Management Reviews'!$K$4:$K$100003,'Management Reviews'!$D$4:$D$100003,"Jan")</f>
        <v>0</v>
      </c>
      <c r="BY12" s="22">
        <f>SUMIFS('Management Reviews'!$L$4:$L$100003,'Management Reviews'!$D$4:$D$100003,"Jan")</f>
        <v>0</v>
      </c>
      <c r="BZ12" s="22">
        <f>SUMIFS('Stop Work Authority'!$J$4:$J$100003,'Stop Work Authority'!$D$4:$D$100003,"Jan",'Stop Work Authority'!$F$4:$F$100003,dCrit)</f>
        <v>0</v>
      </c>
      <c r="CA12" s="22">
        <f>SUMIFS('Training'!$M$4:$M$100003,'Training'!$D$4:$D$100003,"Jan",'Training'!$G$4:$G$100003,dCrit)</f>
        <v>0</v>
      </c>
      <c r="CB12" s="22">
        <f>SUMIFS('Workplace Inspections'!$J$4:$J$100003,'Workplace Inspections'!$D$4:$D$100003,"Jan",'Workplace Inspections'!$F$4:$F$100003,dCrit)</f>
        <v>0</v>
      </c>
      <c r="CC12" s="22">
        <f>COUNTIFS('Corrective Actions'!$O$4:$O$100003,"On-Time",'Corrective Actions'!$D$4:$D$100003,"Jan",'Corrective Actions'!$F$4:$F$100003,dCrit)</f>
        <v>0</v>
      </c>
      <c r="CD12" s="22">
        <f>COUNTIFS('Corrective Actions'!$O$4:$O$100003,"Delayed",'Corrective Actions'!$D$4:$D$100003,"Jan",'Corrective Actions'!$F$4:$F$100003,dCrit)</f>
        <v>0</v>
      </c>
      <c r="CE12" s="22">
        <f>COUNTIFS('JSA Risk Assessment'!$J$4:$J$100003,"Critical",'JSA Risk Assessment'!$D$4:$D$100003,"Jan",'JSA Risk Assessment'!$F$4:$F$100003,dCrit)</f>
        <v>0</v>
      </c>
      <c r="CF12" s="22">
        <f>COUNTIFS('JSA Risk Assessment'!$J$4:$J$100003,"High",'JSA Risk Assessment'!$D$4:$D$100003,"Jan",'JSA Risk Assessment'!$F$4:$F$100003,dCrit)</f>
        <v>0</v>
      </c>
      <c r="CG12" s="22">
        <f>COUNTIFS('JSA Risk Assessment'!$J$4:$J$100003,"Medium",'JSA Risk Assessment'!$D$4:$D$100003,"Jan",'JSA Risk Assessment'!$F$4:$F$100003,dCrit)</f>
        <v>0</v>
      </c>
      <c r="CH12" s="22">
        <f>COUNTIFS('JSA Risk Assessment'!$J$4:$J$100003,"Low",'JSA Risk Assessment'!$D$4:$D$100003,"Jan",'JSA Risk Assessment'!$F$4:$F$100003,dCrit)</f>
        <v>0</v>
      </c>
      <c r="CI12" s="23">
        <f>IFERROR($F$12*TRIRmult/Settings!$C$13,0)</f>
        <v>0</v>
      </c>
      <c r="CJ12" s="23">
        <f>IFERROR($G$12*LTIFRmult/Settings!$C$13,0)</f>
        <v>0</v>
      </c>
      <c r="CK12" s="23">
        <f>BenchTRIR</f>
        <v>0</v>
      </c>
      <c r="CL12" s="23">
        <f>BenchLTIFR</f>
        <v>0</v>
      </c>
      <c r="CM12" s="25">
        <f>IFERROR($BK$12/$BJ$12*100,0)</f>
        <v>0</v>
      </c>
      <c r="CN12" s="22">
        <f>$V$12+$R$12+$T$12+$W$12+$X$12+$AA$12+$Y$12+$AE$12+$AD$12</f>
        <v>0</v>
      </c>
      <c r="CO12" s="22">
        <f>$O$12+$BP$12+$P$12</f>
        <v>0</v>
      </c>
      <c r="CP12" s="23">
        <f>IFERROR($CN$12/$CO$12,0)</f>
        <v>0</v>
      </c>
      <c r="DI12" s="13" t="s">
        <v>1681</v>
      </c>
      <c r="DJ12" s="23" t="s">
        <v>1852</v>
      </c>
      <c r="DK12" s="23">
        <f>IFERROR(SUMPRODUCT(Calculations!$F$12:$F$23,Calculations!$D$12:$D$23)*TRIRmult/SUMPRODUCT(ManhoursM,Calculations!$D$12:$D$23),0)</f>
        <v>0</v>
      </c>
      <c r="DL12" s="23">
        <f>IFERROR(SUMPRODUCT(Calculations!$F$12:$F$23,Calculations!$E$12:$E$23)*TRIRmult/SUMPRODUCT(ManhoursM,Calculations!$E$12:$E$23),0)</f>
        <v>0</v>
      </c>
      <c r="DM12" s="25">
        <f>IFERROR(($DK$12-$DL$12)/$DL$12,IF($DK$12&gt;0,1,0))</f>
        <v>0</v>
      </c>
      <c r="DN12" s="23">
        <f>($DK$12-$DL$12)*-1</f>
        <v>0</v>
      </c>
      <c r="DO12" s="23">
        <f>TgtTRIR</f>
        <v>0</v>
      </c>
      <c r="DP12" s="23">
        <f>IFERROR(IF($DK$12&lt;=$DO$12,2,IF($DK$12&lt;=$DO$12/AmberBand,1,0)),1)</f>
        <v>0</v>
      </c>
      <c r="DR12" s="13" t="s">
        <v>1888</v>
      </c>
      <c r="DS12" s="22">
        <f>SUMPRODUCT(Calculations!$L$12:$L$23,Calculations!$D$12:$D$23)</f>
        <v>0</v>
      </c>
      <c r="DU12" s="23" t="s">
        <v>19</v>
      </c>
      <c r="DV12" s="22">
        <f>COUNTIFS('Incident'!$D$4:$D$100003,"Feb",'Incident'!$H$4:$H$100003,dCrit)</f>
        <v>0</v>
      </c>
      <c r="DX12" s="23">
        <f>IFERROR($BQ$12/$BP$12*100,0)</f>
        <v>0</v>
      </c>
      <c r="DY12" s="23">
        <f>IFERROR($BK$12/$BJ$12*100,0)</f>
        <v>0</v>
      </c>
      <c r="DZ12" s="23">
        <f>IFERROR($AI$12/$AJ$12*100,0)</f>
        <v>0</v>
      </c>
      <c r="EA12" s="23">
        <f>IFERROR($AK$12/$AD$12*100,0)</f>
        <v>0</v>
      </c>
      <c r="EB12" s="23">
        <f>IFERROR($S$12/$R$12*100,0)</f>
        <v>0</v>
      </c>
      <c r="EC12" s="23">
        <f>IFERROR($U$12/$T$12*100,0)</f>
        <v>0</v>
      </c>
      <c r="ED12" s="23">
        <f>IFERROR($AM$12/$AL$12*100,0)</f>
        <v>0</v>
      </c>
      <c r="EE12" s="23">
        <f>IFERROR($AR$12/$AQ$12*100,0)</f>
        <v>0</v>
      </c>
      <c r="EF12" s="23">
        <f>IFERROR($AU$12/$AT$12*100,0)</f>
        <v>0</v>
      </c>
      <c r="EG12" s="23">
        <f>IFERROR($AW$12/$AV$12*100,0)</f>
        <v>0</v>
      </c>
      <c r="EH12" s="23">
        <f>IFERROR($BD$12/$BC$12*100,0)</f>
        <v>0</v>
      </c>
      <c r="EI12" s="23">
        <f>IFERROR($BF$12/$BG$12*100,0)</f>
        <v>0</v>
      </c>
      <c r="EJ12" s="23">
        <f>IFERROR($Z$12/$Y$12*100,0)</f>
        <v>0</v>
      </c>
      <c r="EK12" s="23">
        <f>IFERROR($AC$12/$AB$12*100,0)</f>
        <v>0</v>
      </c>
      <c r="EL12" s="23">
        <f>IFERROR($BM$12/$BL$12*100,0)</f>
        <v>0</v>
      </c>
      <c r="EM12" s="23">
        <f>IFERROR($BO$12/$BN$12*100,0)</f>
        <v>0</v>
      </c>
    </row>
    <row r="13" spans="2:143">
      <c r="B13" s="23" t="s">
        <v>19</v>
      </c>
      <c r="C13" s="23">
        <v>2</v>
      </c>
      <c r="D13" s="23">
        <f>IF(Calculations!$C$10=1,IF(ROUNDUP($C$13/3,0)=Calculations!$F$10,1,0),IF($C$13=Calculations!$I$10,1,0))</f>
        <v>0</v>
      </c>
      <c r="E13" s="23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Observations'!$M$4:$M$100003,"Completed",'HSE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Actions'!$N$4:$N$100003,"Completed",'Corrective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Inspections'!$M$4:$M$100003,"Completed",'Workplace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Acts'!$M$4:$M$100003,"Completed",'Unsafe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Conditions'!$M$4:$M$100003,"Completed",'Unsafe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2">
        <f>COUNTIFS('HSE Observations'!$E$4:$E$100003,"Safe Act",'HSE Observations'!$D$4:$D$100003,"Feb",'HSE Observations'!$G$4:$G$100003,dCrit)+COUNTIFS('HSE Observations'!$E$4:$E$100003,"Safe Condition",'HSE Observations'!$D$4:$D$100003,"Feb",'HSE Observations'!$G$4:$G$100003,dCrit)</f>
        <v>0</v>
      </c>
      <c r="BS13" s="22">
        <f>COUNTIFS('HSE Observations'!$E$4:$E$100003,"Unsafe Act",'HSE Observations'!$D$4:$D$100003,"Feb",'HSE Observations'!$G$4:$G$100003,dCrit)+COUNTIFS('HSE Observations'!$E$4:$E$100003,"Unsafe Condition",'HSE Observations'!$D$4:$D$100003,"Feb",'HSE Observations'!$G$4:$G$100003,dCrit)</f>
        <v>0</v>
      </c>
      <c r="BT13" s="22">
        <f>IFERROR(AVERAGEIFS('Emergency Drills'!$L$4:$L$100003,'Emergency Drills'!$D$4:$D$100003,"Feb"),0)</f>
        <v>0</v>
      </c>
      <c r="BU13" s="22">
        <f>IFERROR(AVERAGEIFS('Emergency Drills'!$K$4:$K$100003,'Emergency Drills'!$D$4:$D$100003,"Feb"),0)</f>
        <v>0</v>
      </c>
      <c r="BV13" s="22">
        <f>SUMIFS('Internal Audits'!$M$4:$M$100003,'Internal Audits'!$D$4:$D$100003,"Feb",'Internal Audits'!$G$4:$G$100003,dCrit)</f>
        <v>0</v>
      </c>
      <c r="BW13" s="22">
        <f>SUMIFS('External Audits'!$M$4:$M$100003,'External Audits'!$D$4:$D$100003,"Feb",'External Audits'!$G$4:$G$100003,dCrit)</f>
        <v>0</v>
      </c>
      <c r="BX13" s="22">
        <f>SUMIFS('Management Reviews'!$K$4:$K$100003,'Management Reviews'!$D$4:$D$100003,"Feb")</f>
        <v>0</v>
      </c>
      <c r="BY13" s="22">
        <f>SUMIFS('Management Reviews'!$L$4:$L$100003,'Management Reviews'!$D$4:$D$100003,"Feb")</f>
        <v>0</v>
      </c>
      <c r="BZ13" s="22">
        <f>SUMIFS('Stop Work Authority'!$J$4:$J$100003,'Stop Work Authority'!$D$4:$D$100003,"Feb",'Stop Work Authority'!$F$4:$F$100003,dCrit)</f>
        <v>0</v>
      </c>
      <c r="CA13" s="22">
        <f>SUMIFS('Training'!$M$4:$M$100003,'Training'!$D$4:$D$100003,"Feb",'Training'!$G$4:$G$100003,dCrit)</f>
        <v>0</v>
      </c>
      <c r="CB13" s="22">
        <f>SUMIFS('Workplace Inspections'!$J$4:$J$100003,'Workplace Inspections'!$D$4:$D$100003,"Feb",'Workplace Inspections'!$F$4:$F$100003,dCrit)</f>
        <v>0</v>
      </c>
      <c r="CC13" s="22">
        <f>COUNTIFS('Corrective Actions'!$O$4:$O$100003,"On-Time",'Corrective Actions'!$D$4:$D$100003,"Feb",'Corrective Actions'!$F$4:$F$100003,dCrit)</f>
        <v>0</v>
      </c>
      <c r="CD13" s="22">
        <f>COUNTIFS('Corrective Actions'!$O$4:$O$100003,"Delayed",'Corrective Actions'!$D$4:$D$100003,"Feb",'Corrective Actions'!$F$4:$F$100003,dCrit)</f>
        <v>0</v>
      </c>
      <c r="CE13" s="22">
        <f>COUNTIFS('JSA Risk Assessment'!$J$4:$J$100003,"Critical",'JSA Risk Assessment'!$D$4:$D$100003,"Feb",'JSA Risk Assessment'!$F$4:$F$100003,dCrit)</f>
        <v>0</v>
      </c>
      <c r="CF13" s="22">
        <f>COUNTIFS('JSA Risk Assessment'!$J$4:$J$100003,"High",'JSA Risk Assessment'!$D$4:$D$100003,"Feb",'JSA Risk Assessment'!$F$4:$F$100003,dCrit)</f>
        <v>0</v>
      </c>
      <c r="CG13" s="22">
        <f>COUNTIFS('JSA Risk Assessment'!$J$4:$J$100003,"Medium",'JSA Risk Assessment'!$D$4:$D$100003,"Feb",'JSA Risk Assessment'!$F$4:$F$100003,dCrit)</f>
        <v>0</v>
      </c>
      <c r="CH13" s="22">
        <f>COUNTIFS('JSA Risk Assessment'!$J$4:$J$100003,"Low",'JSA Risk Assessment'!$D$4:$D$100003,"Feb",'JSA Risk Assessment'!$F$4:$F$100003,dCrit)</f>
        <v>0</v>
      </c>
      <c r="CI13" s="23">
        <f>IFERROR($F$13*TRIRmult/Settings!$C$14,0)</f>
        <v>0</v>
      </c>
      <c r="CJ13" s="23">
        <f>IFERROR($G$13*LTIFRmult/Settings!$C$14,0)</f>
        <v>0</v>
      </c>
      <c r="CK13" s="23">
        <f>BenchTRIR</f>
        <v>0</v>
      </c>
      <c r="CL13" s="23">
        <f>BenchLTIFR</f>
        <v>0</v>
      </c>
      <c r="CM13" s="25">
        <f>IFERROR($BK$13/$BJ$13*100,0)</f>
        <v>0</v>
      </c>
      <c r="CN13" s="22">
        <f>$V$13+$R$13+$T$13+$W$13+$X$13+$AA$13+$Y$13+$AE$13+$AD$13</f>
        <v>0</v>
      </c>
      <c r="CO13" s="22">
        <f>$O$13+$BP$13+$P$13</f>
        <v>0</v>
      </c>
      <c r="CP13" s="23">
        <f>IFERROR($CN$13/$CO$13,0)</f>
        <v>0</v>
      </c>
      <c r="DI13" s="13" t="s">
        <v>1683</v>
      </c>
      <c r="DJ13" s="23" t="s">
        <v>1852</v>
      </c>
      <c r="DK13" s="23">
        <f>IFERROR(SUMPRODUCT(Calculations!$G$12:$G$23,Calculations!$D$12:$D$23)*LTIFRmult/SUMPRODUCT(ManhoursM,Calculations!$D$12:$D$23),0)</f>
        <v>0</v>
      </c>
      <c r="DL13" s="23">
        <f>IFERROR(SUMPRODUCT(Calculations!$G$12:$G$23,Calculations!$E$12:$E$23)*LTIFRmult/SUMPRODUCT(ManhoursM,Calculations!$E$12:$E$23),0)</f>
        <v>0</v>
      </c>
      <c r="DM13" s="25">
        <f>IFERROR(($DK$13-$DL$13)/$DL$13,IF($DK$13&gt;0,1,0))</f>
        <v>0</v>
      </c>
      <c r="DN13" s="23">
        <f>($DK$13-$DL$13)*-1</f>
        <v>0</v>
      </c>
      <c r="DO13" s="23">
        <f>TgtLTIFR</f>
        <v>0</v>
      </c>
      <c r="DP13" s="23">
        <f>IFERROR(IF($DK$13&lt;=$DO$13,2,IF($DK$13&lt;=$DO$13/AmberBand,1,0)),1)</f>
        <v>0</v>
      </c>
      <c r="DR13" s="13" t="s">
        <v>1556</v>
      </c>
      <c r="DS13" s="22">
        <f>SUMPRODUCT(Calculations!$K$12:$K$23,Calculations!$D$12:$D$23)</f>
        <v>0</v>
      </c>
      <c r="DU13" s="23" t="s">
        <v>44</v>
      </c>
      <c r="DV13" s="22">
        <f>COUNTIFS('Incident'!$D$4:$D$100003,"Mar",'Incident'!$H$4:$H$100003,dCrit)</f>
        <v>0</v>
      </c>
      <c r="DX13" s="23">
        <f>IFERROR($BQ$13/$BP$13*100,0)</f>
        <v>0</v>
      </c>
      <c r="DY13" s="23">
        <f>IFERROR($BK$13/$BJ$13*100,0)</f>
        <v>0</v>
      </c>
      <c r="DZ13" s="23">
        <f>IFERROR($AI$13/$AJ$13*100,0)</f>
        <v>0</v>
      </c>
      <c r="EA13" s="23">
        <f>IFERROR($AK$13/$AD$13*100,0)</f>
        <v>0</v>
      </c>
      <c r="EB13" s="23">
        <f>IFERROR($S$13/$R$13*100,0)</f>
        <v>0</v>
      </c>
      <c r="EC13" s="23">
        <f>IFERROR($U$13/$T$13*100,0)</f>
        <v>0</v>
      </c>
      <c r="ED13" s="23">
        <f>IFERROR($AM$13/$AL$13*100,0)</f>
        <v>0</v>
      </c>
      <c r="EE13" s="23">
        <f>IFERROR($AR$13/$AQ$13*100,0)</f>
        <v>0</v>
      </c>
      <c r="EF13" s="23">
        <f>IFERROR($AU$13/$AT$13*100,0)</f>
        <v>0</v>
      </c>
      <c r="EG13" s="23">
        <f>IFERROR($AW$13/$AV$13*100,0)</f>
        <v>0</v>
      </c>
      <c r="EH13" s="23">
        <f>IFERROR($BD$13/$BC$13*100,0)</f>
        <v>0</v>
      </c>
      <c r="EI13" s="23">
        <f>IFERROR($BF$13/$BG$13*100,0)</f>
        <v>0</v>
      </c>
      <c r="EJ13" s="23">
        <f>IFERROR($Z$13/$Y$13*100,0)</f>
        <v>0</v>
      </c>
      <c r="EK13" s="23">
        <f>IFERROR($AC$13/$AB$13*100,0)</f>
        <v>0</v>
      </c>
      <c r="EL13" s="23">
        <f>IFERROR($BM$13/$BL$13*100,0)</f>
        <v>0</v>
      </c>
      <c r="EM13" s="23">
        <f>IFERROR($BO$13/$BN$13*100,0)</f>
        <v>0</v>
      </c>
    </row>
    <row r="14" spans="2:143">
      <c r="B14" s="23" t="s">
        <v>44</v>
      </c>
      <c r="C14" s="23">
        <v>3</v>
      </c>
      <c r="D14" s="23">
        <f>IF(Calculations!$C$10=1,IF(ROUNDUP($C$14/3,0)=Calculations!$F$10,1,0),IF($C$14=Calculations!$I$10,1,0))</f>
        <v>0</v>
      </c>
      <c r="E14" s="23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Observations'!$M$4:$M$100003,"Completed",'HSE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Actions'!$N$4:$N$100003,"Completed",'Corrective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Inspections'!$M$4:$M$100003,"Completed",'Workplace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Acts'!$M$4:$M$100003,"Completed",'Unsafe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Conditions'!$M$4:$M$100003,"Completed",'Unsafe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2">
        <f>COUNTIFS('HSE Observations'!$E$4:$E$100003,"Safe Act",'HSE Observations'!$D$4:$D$100003,"Mar",'HSE Observations'!$G$4:$G$100003,dCrit)+COUNTIFS('HSE Observations'!$E$4:$E$100003,"Safe Condition",'HSE Observations'!$D$4:$D$100003,"Mar",'HSE Observations'!$G$4:$G$100003,dCrit)</f>
        <v>0</v>
      </c>
      <c r="BS14" s="22">
        <f>COUNTIFS('HSE Observations'!$E$4:$E$100003,"Unsafe Act",'HSE Observations'!$D$4:$D$100003,"Mar",'HSE Observations'!$G$4:$G$100003,dCrit)+COUNTIFS('HSE Observations'!$E$4:$E$100003,"Unsafe Condition",'HSE Observations'!$D$4:$D$100003,"Mar",'HSE Observations'!$G$4:$G$100003,dCrit)</f>
        <v>0</v>
      </c>
      <c r="BT14" s="22">
        <f>IFERROR(AVERAGEIFS('Emergency Drills'!$L$4:$L$100003,'Emergency Drills'!$D$4:$D$100003,"Mar"),0)</f>
        <v>0</v>
      </c>
      <c r="BU14" s="22">
        <f>IFERROR(AVERAGEIFS('Emergency Drills'!$K$4:$K$100003,'Emergency Drills'!$D$4:$D$100003,"Mar"),0)</f>
        <v>0</v>
      </c>
      <c r="BV14" s="22">
        <f>SUMIFS('Internal Audits'!$M$4:$M$100003,'Internal Audits'!$D$4:$D$100003,"Mar",'Internal Audits'!$G$4:$G$100003,dCrit)</f>
        <v>0</v>
      </c>
      <c r="BW14" s="22">
        <f>SUMIFS('External Audits'!$M$4:$M$100003,'External Audits'!$D$4:$D$100003,"Mar",'External Audits'!$G$4:$G$100003,dCrit)</f>
        <v>0</v>
      </c>
      <c r="BX14" s="22">
        <f>SUMIFS('Management Reviews'!$K$4:$K$100003,'Management Reviews'!$D$4:$D$100003,"Mar")</f>
        <v>0</v>
      </c>
      <c r="BY14" s="22">
        <f>SUMIFS('Management Reviews'!$L$4:$L$100003,'Management Reviews'!$D$4:$D$100003,"Mar")</f>
        <v>0</v>
      </c>
      <c r="BZ14" s="22">
        <f>SUMIFS('Stop Work Authority'!$J$4:$J$100003,'Stop Work Authority'!$D$4:$D$100003,"Mar",'Stop Work Authority'!$F$4:$F$100003,dCrit)</f>
        <v>0</v>
      </c>
      <c r="CA14" s="22">
        <f>SUMIFS('Training'!$M$4:$M$100003,'Training'!$D$4:$D$100003,"Mar",'Training'!$G$4:$G$100003,dCrit)</f>
        <v>0</v>
      </c>
      <c r="CB14" s="22">
        <f>SUMIFS('Workplace Inspections'!$J$4:$J$100003,'Workplace Inspections'!$D$4:$D$100003,"Mar",'Workplace Inspections'!$F$4:$F$100003,dCrit)</f>
        <v>0</v>
      </c>
      <c r="CC14" s="22">
        <f>COUNTIFS('Corrective Actions'!$O$4:$O$100003,"On-Time",'Corrective Actions'!$D$4:$D$100003,"Mar",'Corrective Actions'!$F$4:$F$100003,dCrit)</f>
        <v>0</v>
      </c>
      <c r="CD14" s="22">
        <f>COUNTIFS('Corrective Actions'!$O$4:$O$100003,"Delayed",'Corrective Actions'!$D$4:$D$100003,"Mar",'Corrective Actions'!$F$4:$F$100003,dCrit)</f>
        <v>0</v>
      </c>
      <c r="CE14" s="22">
        <f>COUNTIFS('JSA Risk Assessment'!$J$4:$J$100003,"Critical",'JSA Risk Assessment'!$D$4:$D$100003,"Mar",'JSA Risk Assessment'!$F$4:$F$100003,dCrit)</f>
        <v>0</v>
      </c>
      <c r="CF14" s="22">
        <f>COUNTIFS('JSA Risk Assessment'!$J$4:$J$100003,"High",'JSA Risk Assessment'!$D$4:$D$100003,"Mar",'JSA Risk Assessment'!$F$4:$F$100003,dCrit)</f>
        <v>0</v>
      </c>
      <c r="CG14" s="22">
        <f>COUNTIFS('JSA Risk Assessment'!$J$4:$J$100003,"Medium",'JSA Risk Assessment'!$D$4:$D$100003,"Mar",'JSA Risk Assessment'!$F$4:$F$100003,dCrit)</f>
        <v>0</v>
      </c>
      <c r="CH14" s="22">
        <f>COUNTIFS('JSA Risk Assessment'!$J$4:$J$100003,"Low",'JSA Risk Assessment'!$D$4:$D$100003,"Mar",'JSA Risk Assessment'!$F$4:$F$100003,dCrit)</f>
        <v>0</v>
      </c>
      <c r="CI14" s="23">
        <f>IFERROR($F$14*TRIRmult/Settings!$C$15,0)</f>
        <v>0</v>
      </c>
      <c r="CJ14" s="23">
        <f>IFERROR($G$14*LTIFRmult/Settings!$C$15,0)</f>
        <v>0</v>
      </c>
      <c r="CK14" s="23">
        <f>BenchTRIR</f>
        <v>0</v>
      </c>
      <c r="CL14" s="23">
        <f>BenchLTIFR</f>
        <v>0</v>
      </c>
      <c r="CM14" s="25">
        <f>IFERROR($BK$14/$BJ$14*100,0)</f>
        <v>0</v>
      </c>
      <c r="CN14" s="22">
        <f>$V$14+$R$14+$T$14+$W$14+$X$14+$AA$14+$Y$14+$AE$14+$AD$14</f>
        <v>0</v>
      </c>
      <c r="CO14" s="22">
        <f>$O$14+$BP$14+$P$14</f>
        <v>0</v>
      </c>
      <c r="CP14" s="23">
        <f>IFERROR($CN$14/$CO$14,0)</f>
        <v>0</v>
      </c>
      <c r="DI14" s="13" t="s">
        <v>1853</v>
      </c>
      <c r="DJ14" s="23" t="s">
        <v>1852</v>
      </c>
      <c r="DK14" s="22">
        <f>SUMPRODUCT(Calculations!$O$12:$O$23,Calculations!$D$12:$D$23)</f>
        <v>0</v>
      </c>
      <c r="DL14" s="22">
        <f>SUMPRODUCT(Calculations!$O$12:$O$23,Calculations!$E$12:$E$23)</f>
        <v>0</v>
      </c>
      <c r="DM14" s="25">
        <f>IFERROR(($DK$14-$DL$14)/$DL$14,IF($DK$14&gt;0,1,0))</f>
        <v>0</v>
      </c>
      <c r="DN14" s="23">
        <f>($DK$14-$DL$14)*-1</f>
        <v>0</v>
      </c>
      <c r="DO14" s="22">
        <f>IFERROR(AVERAGE(Calculations!$O$12:$O$23)*SUM(Calculations!$D$12:$D$23),0)</f>
        <v>0</v>
      </c>
      <c r="DP14" s="23">
        <f>IFERROR(IF($DK$14&lt;=$DO$14,2,IF($DK$14&lt;=$DO$14/AmberBand,1,0)),1)</f>
        <v>0</v>
      </c>
      <c r="DR14" s="13" t="s">
        <v>1540</v>
      </c>
      <c r="DS14" s="22">
        <f>SUMPRODUCT(Calculations!$J$12:$J$23,Calculations!$D$12:$D$23)</f>
        <v>0</v>
      </c>
      <c r="DU14" s="23" t="s">
        <v>53</v>
      </c>
      <c r="DV14" s="22">
        <f>COUNTIFS('Incident'!$D$4:$D$100003,"Apr",'Incident'!$H$4:$H$100003,dCrit)</f>
        <v>0</v>
      </c>
      <c r="DX14" s="23">
        <f>IFERROR($BQ$14/$BP$14*100,0)</f>
        <v>0</v>
      </c>
      <c r="DY14" s="23">
        <f>IFERROR($BK$14/$BJ$14*100,0)</f>
        <v>0</v>
      </c>
      <c r="DZ14" s="23">
        <f>IFERROR($AI$14/$AJ$14*100,0)</f>
        <v>0</v>
      </c>
      <c r="EA14" s="23">
        <f>IFERROR($AK$14/$AD$14*100,0)</f>
        <v>0</v>
      </c>
      <c r="EB14" s="23">
        <f>IFERROR($S$14/$R$14*100,0)</f>
        <v>0</v>
      </c>
      <c r="EC14" s="23">
        <f>IFERROR($U$14/$T$14*100,0)</f>
        <v>0</v>
      </c>
      <c r="ED14" s="23">
        <f>IFERROR($AM$14/$AL$14*100,0)</f>
        <v>0</v>
      </c>
      <c r="EE14" s="23">
        <f>IFERROR($AR$14/$AQ$14*100,0)</f>
        <v>0</v>
      </c>
      <c r="EF14" s="23">
        <f>IFERROR($AU$14/$AT$14*100,0)</f>
        <v>0</v>
      </c>
      <c r="EG14" s="23">
        <f>IFERROR($AW$14/$AV$14*100,0)</f>
        <v>0</v>
      </c>
      <c r="EH14" s="23">
        <f>IFERROR($BD$14/$BC$14*100,0)</f>
        <v>0</v>
      </c>
      <c r="EI14" s="23">
        <f>IFERROR($BF$14/$BG$14*100,0)</f>
        <v>0</v>
      </c>
      <c r="EJ14" s="23">
        <f>IFERROR($Z$14/$Y$14*100,0)</f>
        <v>0</v>
      </c>
      <c r="EK14" s="23">
        <f>IFERROR($AC$14/$AB$14*100,0)</f>
        <v>0</v>
      </c>
      <c r="EL14" s="23">
        <f>IFERROR($BM$14/$BL$14*100,0)</f>
        <v>0</v>
      </c>
      <c r="EM14" s="23">
        <f>IFERROR($BO$14/$BN$14*100,0)</f>
        <v>0</v>
      </c>
    </row>
    <row r="15" spans="2:143">
      <c r="B15" s="23" t="s">
        <v>53</v>
      </c>
      <c r="C15" s="23">
        <v>4</v>
      </c>
      <c r="D15" s="23">
        <f>IF(Calculations!$C$10=1,IF(ROUNDUP($C$15/3,0)=Calculations!$F$10,1,0),IF($C$15=Calculations!$I$10,1,0))</f>
        <v>0</v>
      </c>
      <c r="E15" s="23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Observations'!$M$4:$M$100003,"Completed",'HSE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Actions'!$N$4:$N$100003,"Completed",'Corrective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Inspections'!$M$4:$M$100003,"Completed",'Workplace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Acts'!$M$4:$M$100003,"Completed",'Unsafe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Conditions'!$M$4:$M$100003,"Completed",'Unsafe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2">
        <f>COUNTIFS('HSE Observations'!$E$4:$E$100003,"Safe Act",'HSE Observations'!$D$4:$D$100003,"Apr",'HSE Observations'!$G$4:$G$100003,dCrit)+COUNTIFS('HSE Observations'!$E$4:$E$100003,"Safe Condition",'HSE Observations'!$D$4:$D$100003,"Apr",'HSE Observations'!$G$4:$G$100003,dCrit)</f>
        <v>0</v>
      </c>
      <c r="BS15" s="22">
        <f>COUNTIFS('HSE Observations'!$E$4:$E$100003,"Unsafe Act",'HSE Observations'!$D$4:$D$100003,"Apr",'HSE Observations'!$G$4:$G$100003,dCrit)+COUNTIFS('HSE Observations'!$E$4:$E$100003,"Unsafe Condition",'HSE Observations'!$D$4:$D$100003,"Apr",'HSE Observations'!$G$4:$G$100003,dCrit)</f>
        <v>0</v>
      </c>
      <c r="BT15" s="22">
        <f>IFERROR(AVERAGEIFS('Emergency Drills'!$L$4:$L$100003,'Emergency Drills'!$D$4:$D$100003,"Apr"),0)</f>
        <v>0</v>
      </c>
      <c r="BU15" s="22">
        <f>IFERROR(AVERAGEIFS('Emergency Drills'!$K$4:$K$100003,'Emergency Drills'!$D$4:$D$100003,"Apr"),0)</f>
        <v>0</v>
      </c>
      <c r="BV15" s="22">
        <f>SUMIFS('Internal Audits'!$M$4:$M$100003,'Internal Audits'!$D$4:$D$100003,"Apr",'Internal Audits'!$G$4:$G$100003,dCrit)</f>
        <v>0</v>
      </c>
      <c r="BW15" s="22">
        <f>SUMIFS('External Audits'!$M$4:$M$100003,'External Audits'!$D$4:$D$100003,"Apr",'External Audits'!$G$4:$G$100003,dCrit)</f>
        <v>0</v>
      </c>
      <c r="BX15" s="22">
        <f>SUMIFS('Management Reviews'!$K$4:$K$100003,'Management Reviews'!$D$4:$D$100003,"Apr")</f>
        <v>0</v>
      </c>
      <c r="BY15" s="22">
        <f>SUMIFS('Management Reviews'!$L$4:$L$100003,'Management Reviews'!$D$4:$D$100003,"Apr")</f>
        <v>0</v>
      </c>
      <c r="BZ15" s="22">
        <f>SUMIFS('Stop Work Authority'!$J$4:$J$100003,'Stop Work Authority'!$D$4:$D$100003,"Apr",'Stop Work Authority'!$F$4:$F$100003,dCrit)</f>
        <v>0</v>
      </c>
      <c r="CA15" s="22">
        <f>SUMIFS('Training'!$M$4:$M$100003,'Training'!$D$4:$D$100003,"Apr",'Training'!$G$4:$G$100003,dCrit)</f>
        <v>0</v>
      </c>
      <c r="CB15" s="22">
        <f>SUMIFS('Workplace Inspections'!$J$4:$J$100003,'Workplace Inspections'!$D$4:$D$100003,"Apr",'Workplace Inspections'!$F$4:$F$100003,dCrit)</f>
        <v>0</v>
      </c>
      <c r="CC15" s="22">
        <f>COUNTIFS('Corrective Actions'!$O$4:$O$100003,"On-Time",'Corrective Actions'!$D$4:$D$100003,"Apr",'Corrective Actions'!$F$4:$F$100003,dCrit)</f>
        <v>0</v>
      </c>
      <c r="CD15" s="22">
        <f>COUNTIFS('Corrective Actions'!$O$4:$O$100003,"Delayed",'Corrective Actions'!$D$4:$D$100003,"Apr",'Corrective Actions'!$F$4:$F$100003,dCrit)</f>
        <v>0</v>
      </c>
      <c r="CE15" s="22">
        <f>COUNTIFS('JSA Risk Assessment'!$J$4:$J$100003,"Critical",'JSA Risk Assessment'!$D$4:$D$100003,"Apr",'JSA Risk Assessment'!$F$4:$F$100003,dCrit)</f>
        <v>0</v>
      </c>
      <c r="CF15" s="22">
        <f>COUNTIFS('JSA Risk Assessment'!$J$4:$J$100003,"High",'JSA Risk Assessment'!$D$4:$D$100003,"Apr",'JSA Risk Assessment'!$F$4:$F$100003,dCrit)</f>
        <v>0</v>
      </c>
      <c r="CG15" s="22">
        <f>COUNTIFS('JSA Risk Assessment'!$J$4:$J$100003,"Medium",'JSA Risk Assessment'!$D$4:$D$100003,"Apr",'JSA Risk Assessment'!$F$4:$F$100003,dCrit)</f>
        <v>0</v>
      </c>
      <c r="CH15" s="22">
        <f>COUNTIFS('JSA Risk Assessment'!$J$4:$J$100003,"Low",'JSA Risk Assessment'!$D$4:$D$100003,"Apr",'JSA Risk Assessment'!$F$4:$F$100003,dCrit)</f>
        <v>0</v>
      </c>
      <c r="CI15" s="23">
        <f>IFERROR($F$15*TRIRmult/Settings!$C$16,0)</f>
        <v>0</v>
      </c>
      <c r="CJ15" s="23">
        <f>IFERROR($G$15*LTIFRmult/Settings!$C$16,0)</f>
        <v>0</v>
      </c>
      <c r="CK15" s="23">
        <f>BenchTRIR</f>
        <v>0</v>
      </c>
      <c r="CL15" s="23">
        <f>BenchLTIFR</f>
        <v>0</v>
      </c>
      <c r="CM15" s="25">
        <f>IFERROR($BK$15/$BJ$15*100,0)</f>
        <v>0</v>
      </c>
      <c r="CN15" s="22">
        <f>$V$15+$R$15+$T$15+$W$15+$X$15+$AA$15+$Y$15+$AE$15+$AD$15</f>
        <v>0</v>
      </c>
      <c r="CO15" s="22">
        <f>$O$15+$BP$15+$P$15</f>
        <v>0</v>
      </c>
      <c r="CP15" s="23">
        <f>IFERROR($CN$15/$CO$15,0)</f>
        <v>0</v>
      </c>
      <c r="DI15" s="13" t="s">
        <v>1854</v>
      </c>
      <c r="DJ15" s="23" t="s">
        <v>1852</v>
      </c>
      <c r="DK15" s="22">
        <f>SUMPRODUCT(Calculations!$F$12:$F$23,Calculations!$D$12:$D$23)</f>
        <v>0</v>
      </c>
      <c r="DL15" s="22">
        <f>SUMPRODUCT(Calculations!$F$12:$F$23,Calculations!$E$12:$E$23)</f>
        <v>0</v>
      </c>
      <c r="DM15" s="25">
        <f>IFERROR(($DK$15-$DL$15)/$DL$15,IF($DK$15&gt;0,1,0))</f>
        <v>0</v>
      </c>
      <c r="DN15" s="23">
        <f>($DK$15-$DL$15)*-1</f>
        <v>0</v>
      </c>
      <c r="DO15" s="22">
        <f>IFERROR(AVERAGE(Calculations!$F$12:$F$23)*SUM(Calculations!$D$12:$D$23),0)</f>
        <v>0</v>
      </c>
      <c r="DP15" s="23">
        <f>IFERROR(IF($DK$15&lt;=$DO$15,2,IF($DK$15&lt;=$DO$15/AmberBand,1,0)),1)</f>
        <v>0</v>
      </c>
      <c r="DR15" s="13" t="s">
        <v>1509</v>
      </c>
      <c r="DS15" s="22">
        <f>SUMPRODUCT(Calculations!$I$12:$I$23,Calculations!$D$12:$D$23)</f>
        <v>0</v>
      </c>
      <c r="DU15" s="23" t="s">
        <v>60</v>
      </c>
      <c r="DV15" s="22">
        <f>COUNTIFS('Incident'!$D$4:$D$100003,"May",'Incident'!$H$4:$H$100003,dCrit)</f>
        <v>0</v>
      </c>
      <c r="DX15" s="23">
        <f>IFERROR($BQ$15/$BP$15*100,0)</f>
        <v>0</v>
      </c>
      <c r="DY15" s="23">
        <f>IFERROR($BK$15/$BJ$15*100,0)</f>
        <v>0</v>
      </c>
      <c r="DZ15" s="23">
        <f>IFERROR($AI$15/$AJ$15*100,0)</f>
        <v>0</v>
      </c>
      <c r="EA15" s="23">
        <f>IFERROR($AK$15/$AD$15*100,0)</f>
        <v>0</v>
      </c>
      <c r="EB15" s="23">
        <f>IFERROR($S$15/$R$15*100,0)</f>
        <v>0</v>
      </c>
      <c r="EC15" s="23">
        <f>IFERROR($U$15/$T$15*100,0)</f>
        <v>0</v>
      </c>
      <c r="ED15" s="23">
        <f>IFERROR($AM$15/$AL$15*100,0)</f>
        <v>0</v>
      </c>
      <c r="EE15" s="23">
        <f>IFERROR($AR$15/$AQ$15*100,0)</f>
        <v>0</v>
      </c>
      <c r="EF15" s="23">
        <f>IFERROR($AU$15/$AT$15*100,0)</f>
        <v>0</v>
      </c>
      <c r="EG15" s="23">
        <f>IFERROR($AW$15/$AV$15*100,0)</f>
        <v>0</v>
      </c>
      <c r="EH15" s="23">
        <f>IFERROR($BD$15/$BC$15*100,0)</f>
        <v>0</v>
      </c>
      <c r="EI15" s="23">
        <f>IFERROR($BF$15/$BG$15*100,0)</f>
        <v>0</v>
      </c>
      <c r="EJ15" s="23">
        <f>IFERROR($Z$15/$Y$15*100,0)</f>
        <v>0</v>
      </c>
      <c r="EK15" s="23">
        <f>IFERROR($AC$15/$AB$15*100,0)</f>
        <v>0</v>
      </c>
      <c r="EL15" s="23">
        <f>IFERROR($BM$15/$BL$15*100,0)</f>
        <v>0</v>
      </c>
      <c r="EM15" s="23">
        <f>IFERROR($BO$15/$BN$15*100,0)</f>
        <v>0</v>
      </c>
    </row>
    <row r="16" spans="2:143">
      <c r="B16" s="23" t="s">
        <v>60</v>
      </c>
      <c r="C16" s="23">
        <v>5</v>
      </c>
      <c r="D16" s="23">
        <f>IF(Calculations!$C$10=1,IF(ROUNDUP($C$16/3,0)=Calculations!$F$10,1,0),IF($C$16=Calculations!$I$10,1,0))</f>
        <v>0</v>
      </c>
      <c r="E16" s="23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Observations'!$M$4:$M$100003,"Completed",'HSE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Actions'!$N$4:$N$100003,"Completed",'Corrective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Inspections'!$M$4:$M$100003,"Completed",'Workplace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Acts'!$M$4:$M$100003,"Completed",'Unsafe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Conditions'!$M$4:$M$100003,"Completed",'Unsafe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2">
        <f>COUNTIFS('HSE Observations'!$E$4:$E$100003,"Safe Act",'HSE Observations'!$D$4:$D$100003,"May",'HSE Observations'!$G$4:$G$100003,dCrit)+COUNTIFS('HSE Observations'!$E$4:$E$100003,"Safe Condition",'HSE Observations'!$D$4:$D$100003,"May",'HSE Observations'!$G$4:$G$100003,dCrit)</f>
        <v>0</v>
      </c>
      <c r="BS16" s="22">
        <f>COUNTIFS('HSE Observations'!$E$4:$E$100003,"Unsafe Act",'HSE Observations'!$D$4:$D$100003,"May",'HSE Observations'!$G$4:$G$100003,dCrit)+COUNTIFS('HSE Observations'!$E$4:$E$100003,"Unsafe Condition",'HSE Observations'!$D$4:$D$100003,"May",'HSE Observations'!$G$4:$G$100003,dCrit)</f>
        <v>0</v>
      </c>
      <c r="BT16" s="22">
        <f>IFERROR(AVERAGEIFS('Emergency Drills'!$L$4:$L$100003,'Emergency Drills'!$D$4:$D$100003,"May"),0)</f>
        <v>0</v>
      </c>
      <c r="BU16" s="22">
        <f>IFERROR(AVERAGEIFS('Emergency Drills'!$K$4:$K$100003,'Emergency Drills'!$D$4:$D$100003,"May"),0)</f>
        <v>0</v>
      </c>
      <c r="BV16" s="22">
        <f>SUMIFS('Internal Audits'!$M$4:$M$100003,'Internal Audits'!$D$4:$D$100003,"May",'Internal Audits'!$G$4:$G$100003,dCrit)</f>
        <v>0</v>
      </c>
      <c r="BW16" s="22">
        <f>SUMIFS('External Audits'!$M$4:$M$100003,'External Audits'!$D$4:$D$100003,"May",'External Audits'!$G$4:$G$100003,dCrit)</f>
        <v>0</v>
      </c>
      <c r="BX16" s="22">
        <f>SUMIFS('Management Reviews'!$K$4:$K$100003,'Management Reviews'!$D$4:$D$100003,"May")</f>
        <v>0</v>
      </c>
      <c r="BY16" s="22">
        <f>SUMIFS('Management Reviews'!$L$4:$L$100003,'Management Reviews'!$D$4:$D$100003,"May")</f>
        <v>0</v>
      </c>
      <c r="BZ16" s="22">
        <f>SUMIFS('Stop Work Authority'!$J$4:$J$100003,'Stop Work Authority'!$D$4:$D$100003,"May",'Stop Work Authority'!$F$4:$F$100003,dCrit)</f>
        <v>0</v>
      </c>
      <c r="CA16" s="22">
        <f>SUMIFS('Training'!$M$4:$M$100003,'Training'!$D$4:$D$100003,"May",'Training'!$G$4:$G$100003,dCrit)</f>
        <v>0</v>
      </c>
      <c r="CB16" s="22">
        <f>SUMIFS('Workplace Inspections'!$J$4:$J$100003,'Workplace Inspections'!$D$4:$D$100003,"May",'Workplace Inspections'!$F$4:$F$100003,dCrit)</f>
        <v>0</v>
      </c>
      <c r="CC16" s="22">
        <f>COUNTIFS('Corrective Actions'!$O$4:$O$100003,"On-Time",'Corrective Actions'!$D$4:$D$100003,"May",'Corrective Actions'!$F$4:$F$100003,dCrit)</f>
        <v>0</v>
      </c>
      <c r="CD16" s="22">
        <f>COUNTIFS('Corrective Actions'!$O$4:$O$100003,"Delayed",'Corrective Actions'!$D$4:$D$100003,"May",'Corrective Actions'!$F$4:$F$100003,dCrit)</f>
        <v>0</v>
      </c>
      <c r="CE16" s="22">
        <f>COUNTIFS('JSA Risk Assessment'!$J$4:$J$100003,"Critical",'JSA Risk Assessment'!$D$4:$D$100003,"May",'JSA Risk Assessment'!$F$4:$F$100003,dCrit)</f>
        <v>0</v>
      </c>
      <c r="CF16" s="22">
        <f>COUNTIFS('JSA Risk Assessment'!$J$4:$J$100003,"High",'JSA Risk Assessment'!$D$4:$D$100003,"May",'JSA Risk Assessment'!$F$4:$F$100003,dCrit)</f>
        <v>0</v>
      </c>
      <c r="CG16" s="22">
        <f>COUNTIFS('JSA Risk Assessment'!$J$4:$J$100003,"Medium",'JSA Risk Assessment'!$D$4:$D$100003,"May",'JSA Risk Assessment'!$F$4:$F$100003,dCrit)</f>
        <v>0</v>
      </c>
      <c r="CH16" s="22">
        <f>COUNTIFS('JSA Risk Assessment'!$J$4:$J$100003,"Low",'JSA Risk Assessment'!$D$4:$D$100003,"May",'JSA Risk Assessment'!$F$4:$F$100003,dCrit)</f>
        <v>0</v>
      </c>
      <c r="CI16" s="23">
        <f>IFERROR($F$16*TRIRmult/Settings!$C$17,0)</f>
        <v>0</v>
      </c>
      <c r="CJ16" s="23">
        <f>IFERROR($G$16*LTIFRmult/Settings!$C$17,0)</f>
        <v>0</v>
      </c>
      <c r="CK16" s="23">
        <f>BenchTRIR</f>
        <v>0</v>
      </c>
      <c r="CL16" s="23">
        <f>BenchLTIFR</f>
        <v>0</v>
      </c>
      <c r="CM16" s="25">
        <f>IFERROR($BK$16/$BJ$16*100,0)</f>
        <v>0</v>
      </c>
      <c r="CN16" s="22">
        <f>$V$16+$R$16+$T$16+$W$16+$X$16+$AA$16+$Y$16+$AE$16+$AD$16</f>
        <v>0</v>
      </c>
      <c r="CO16" s="22">
        <f>$O$16+$BP$16+$P$16</f>
        <v>0</v>
      </c>
      <c r="CP16" s="23">
        <f>IFERROR($CN$16/$CO$16,0)</f>
        <v>0</v>
      </c>
      <c r="DI16" s="13" t="s">
        <v>1855</v>
      </c>
      <c r="DJ16" s="23" t="s">
        <v>1852</v>
      </c>
      <c r="DK16" s="22">
        <f>SUMPRODUCT(Calculations!$G$12:$G$23,Calculations!$D$12:$D$23)</f>
        <v>0</v>
      </c>
      <c r="DL16" s="22">
        <f>SUMPRODUCT(Calculations!$G$12:$G$23,Calculations!$E$12:$E$23)</f>
        <v>0</v>
      </c>
      <c r="DM16" s="25">
        <f>IFERROR(($DK$16-$DL$16)/$DL$16,IF($DK$16&gt;0,1,0))</f>
        <v>0</v>
      </c>
      <c r="DN16" s="23">
        <f>($DK$16-$DL$16)*-1</f>
        <v>0</v>
      </c>
      <c r="DO16" s="22">
        <f>IFERROR(AVERAGE(Calculations!$G$12:$G$23)*SUM(Calculations!$D$12:$D$23),0)</f>
        <v>0</v>
      </c>
      <c r="DP16" s="23">
        <f>IFERROR(IF($DK$16&lt;=$DO$16,2,IF($DK$16&lt;=$DO$16/AmberBand,1,0)),1)</f>
        <v>0</v>
      </c>
      <c r="DR16" s="13" t="s">
        <v>292</v>
      </c>
      <c r="DS16" s="22">
        <f>SUMPRODUCT(Calculations!$H$12:$H$23,Calculations!$D$12:$D$23)</f>
        <v>0</v>
      </c>
      <c r="DU16" s="23" t="s">
        <v>73</v>
      </c>
      <c r="DV16" s="22">
        <f>COUNTIFS('Incident'!$D$4:$D$100003,"Jun",'Incident'!$H$4:$H$100003,dCrit)</f>
        <v>0</v>
      </c>
      <c r="DX16" s="23">
        <f>IFERROR($BQ$16/$BP$16*100,0)</f>
        <v>0</v>
      </c>
      <c r="DY16" s="23">
        <f>IFERROR($BK$16/$BJ$16*100,0)</f>
        <v>0</v>
      </c>
      <c r="DZ16" s="23">
        <f>IFERROR($AI$16/$AJ$16*100,0)</f>
        <v>0</v>
      </c>
      <c r="EA16" s="23">
        <f>IFERROR($AK$16/$AD$16*100,0)</f>
        <v>0</v>
      </c>
      <c r="EB16" s="23">
        <f>IFERROR($S$16/$R$16*100,0)</f>
        <v>0</v>
      </c>
      <c r="EC16" s="23">
        <f>IFERROR($U$16/$T$16*100,0)</f>
        <v>0</v>
      </c>
      <c r="ED16" s="23">
        <f>IFERROR($AM$16/$AL$16*100,0)</f>
        <v>0</v>
      </c>
      <c r="EE16" s="23">
        <f>IFERROR($AR$16/$AQ$16*100,0)</f>
        <v>0</v>
      </c>
      <c r="EF16" s="23">
        <f>IFERROR($AU$16/$AT$16*100,0)</f>
        <v>0</v>
      </c>
      <c r="EG16" s="23">
        <f>IFERROR($AW$16/$AV$16*100,0)</f>
        <v>0</v>
      </c>
      <c r="EH16" s="23">
        <f>IFERROR($BD$16/$BC$16*100,0)</f>
        <v>0</v>
      </c>
      <c r="EI16" s="23">
        <f>IFERROR($BF$16/$BG$16*100,0)</f>
        <v>0</v>
      </c>
      <c r="EJ16" s="23">
        <f>IFERROR($Z$16/$Y$16*100,0)</f>
        <v>0</v>
      </c>
      <c r="EK16" s="23">
        <f>IFERROR($AC$16/$AB$16*100,0)</f>
        <v>0</v>
      </c>
      <c r="EL16" s="23">
        <f>IFERROR($BM$16/$BL$16*100,0)</f>
        <v>0</v>
      </c>
      <c r="EM16" s="23">
        <f>IFERROR($BO$16/$BN$16*100,0)</f>
        <v>0</v>
      </c>
    </row>
    <row r="17" spans="2:143">
      <c r="B17" s="23" t="s">
        <v>73</v>
      </c>
      <c r="C17" s="23">
        <v>6</v>
      </c>
      <c r="D17" s="23">
        <f>IF(Calculations!$C$10=1,IF(ROUNDUP($C$17/3,0)=Calculations!$F$10,1,0),IF($C$17=Calculations!$I$10,1,0))</f>
        <v>0</v>
      </c>
      <c r="E17" s="23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Observations'!$M$4:$M$100003,"Completed",'HSE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Actions'!$N$4:$N$100003,"Completed",'Corrective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Inspections'!$M$4:$M$100003,"Completed",'Workplace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Acts'!$M$4:$M$100003,"Completed",'Unsafe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Conditions'!$M$4:$M$100003,"Completed",'Unsafe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2">
        <f>COUNTIFS('HSE Observations'!$E$4:$E$100003,"Safe Act",'HSE Observations'!$D$4:$D$100003,"Jun",'HSE Observations'!$G$4:$G$100003,dCrit)+COUNTIFS('HSE Observations'!$E$4:$E$100003,"Safe Condition",'HSE Observations'!$D$4:$D$100003,"Jun",'HSE Observations'!$G$4:$G$100003,dCrit)</f>
        <v>0</v>
      </c>
      <c r="BS17" s="22">
        <f>COUNTIFS('HSE Observations'!$E$4:$E$100003,"Unsafe Act",'HSE Observations'!$D$4:$D$100003,"Jun",'HSE Observations'!$G$4:$G$100003,dCrit)+COUNTIFS('HSE Observations'!$E$4:$E$100003,"Unsafe Condition",'HSE Observations'!$D$4:$D$100003,"Jun",'HSE Observations'!$G$4:$G$100003,dCrit)</f>
        <v>0</v>
      </c>
      <c r="BT17" s="22">
        <f>IFERROR(AVERAGEIFS('Emergency Drills'!$L$4:$L$100003,'Emergency Drills'!$D$4:$D$100003,"Jun"),0)</f>
        <v>0</v>
      </c>
      <c r="BU17" s="22">
        <f>IFERROR(AVERAGEIFS('Emergency Drills'!$K$4:$K$100003,'Emergency Drills'!$D$4:$D$100003,"Jun"),0)</f>
        <v>0</v>
      </c>
      <c r="BV17" s="22">
        <f>SUMIFS('Internal Audits'!$M$4:$M$100003,'Internal Audits'!$D$4:$D$100003,"Jun",'Internal Audits'!$G$4:$G$100003,dCrit)</f>
        <v>0</v>
      </c>
      <c r="BW17" s="22">
        <f>SUMIFS('External Audits'!$M$4:$M$100003,'External Audits'!$D$4:$D$100003,"Jun",'External Audits'!$G$4:$G$100003,dCrit)</f>
        <v>0</v>
      </c>
      <c r="BX17" s="22">
        <f>SUMIFS('Management Reviews'!$K$4:$K$100003,'Management Reviews'!$D$4:$D$100003,"Jun")</f>
        <v>0</v>
      </c>
      <c r="BY17" s="22">
        <f>SUMIFS('Management Reviews'!$L$4:$L$100003,'Management Reviews'!$D$4:$D$100003,"Jun")</f>
        <v>0</v>
      </c>
      <c r="BZ17" s="22">
        <f>SUMIFS('Stop Work Authority'!$J$4:$J$100003,'Stop Work Authority'!$D$4:$D$100003,"Jun",'Stop Work Authority'!$F$4:$F$100003,dCrit)</f>
        <v>0</v>
      </c>
      <c r="CA17" s="22">
        <f>SUMIFS('Training'!$M$4:$M$100003,'Training'!$D$4:$D$100003,"Jun",'Training'!$G$4:$G$100003,dCrit)</f>
        <v>0</v>
      </c>
      <c r="CB17" s="22">
        <f>SUMIFS('Workplace Inspections'!$J$4:$J$100003,'Workplace Inspections'!$D$4:$D$100003,"Jun",'Workplace Inspections'!$F$4:$F$100003,dCrit)</f>
        <v>0</v>
      </c>
      <c r="CC17" s="22">
        <f>COUNTIFS('Corrective Actions'!$O$4:$O$100003,"On-Time",'Corrective Actions'!$D$4:$D$100003,"Jun",'Corrective Actions'!$F$4:$F$100003,dCrit)</f>
        <v>0</v>
      </c>
      <c r="CD17" s="22">
        <f>COUNTIFS('Corrective Actions'!$O$4:$O$100003,"Delayed",'Corrective Actions'!$D$4:$D$100003,"Jun",'Corrective Actions'!$F$4:$F$100003,dCrit)</f>
        <v>0</v>
      </c>
      <c r="CE17" s="22">
        <f>COUNTIFS('JSA Risk Assessment'!$J$4:$J$100003,"Critical",'JSA Risk Assessment'!$D$4:$D$100003,"Jun",'JSA Risk Assessment'!$F$4:$F$100003,dCrit)</f>
        <v>0</v>
      </c>
      <c r="CF17" s="22">
        <f>COUNTIFS('JSA Risk Assessment'!$J$4:$J$100003,"High",'JSA Risk Assessment'!$D$4:$D$100003,"Jun",'JSA Risk Assessment'!$F$4:$F$100003,dCrit)</f>
        <v>0</v>
      </c>
      <c r="CG17" s="22">
        <f>COUNTIFS('JSA Risk Assessment'!$J$4:$J$100003,"Medium",'JSA Risk Assessment'!$D$4:$D$100003,"Jun",'JSA Risk Assessment'!$F$4:$F$100003,dCrit)</f>
        <v>0</v>
      </c>
      <c r="CH17" s="22">
        <f>COUNTIFS('JSA Risk Assessment'!$J$4:$J$100003,"Low",'JSA Risk Assessment'!$D$4:$D$100003,"Jun",'JSA Risk Assessment'!$F$4:$F$100003,dCrit)</f>
        <v>0</v>
      </c>
      <c r="CI17" s="23">
        <f>IFERROR($F$17*TRIRmult/Settings!$C$18,0)</f>
        <v>0</v>
      </c>
      <c r="CJ17" s="23">
        <f>IFERROR($G$17*LTIFRmult/Settings!$C$18,0)</f>
        <v>0</v>
      </c>
      <c r="CK17" s="23">
        <f>BenchTRIR</f>
        <v>0</v>
      </c>
      <c r="CL17" s="23">
        <f>BenchLTIFR</f>
        <v>0</v>
      </c>
      <c r="CM17" s="25">
        <f>IFERROR($BK$17/$BJ$17*100,0)</f>
        <v>0</v>
      </c>
      <c r="CN17" s="22">
        <f>$V$17+$R$17+$T$17+$W$17+$X$17+$AA$17+$Y$17+$AE$17+$AD$17</f>
        <v>0</v>
      </c>
      <c r="CO17" s="22">
        <f>$O$17+$BP$17+$P$17</f>
        <v>0</v>
      </c>
      <c r="CP17" s="23">
        <f>IFERROR($CN$17/$CO$17,0)</f>
        <v>0</v>
      </c>
      <c r="DI17" s="13" t="s">
        <v>292</v>
      </c>
      <c r="DJ17" s="23" t="s">
        <v>1852</v>
      </c>
      <c r="DK17" s="22">
        <f>SUMPRODUCT(Calculations!$H$12:$H$23,Calculations!$D$12:$D$23)</f>
        <v>0</v>
      </c>
      <c r="DL17" s="22">
        <f>SUMPRODUCT(Calculations!$H$12:$H$23,Calculations!$E$12:$E$23)</f>
        <v>0</v>
      </c>
      <c r="DM17" s="25">
        <f>IFERROR(($DK$17-$DL$17)/$DL$17,IF($DK$17&gt;0,1,0))</f>
        <v>0</v>
      </c>
      <c r="DN17" s="23">
        <f>($DK$17-$DL$17)*-1</f>
        <v>0</v>
      </c>
      <c r="DO17" s="22">
        <f>IFERROR(AVERAGE(Calculations!$H$12:$H$23)*SUM(Calculations!$D$12:$D$23),0)</f>
        <v>0</v>
      </c>
      <c r="DP17" s="23">
        <f>IFERROR(IF($DK$17&lt;=$DO$17,2,IF($DK$17&lt;=$DO$17/AmberBand,1,0)),1)</f>
        <v>0</v>
      </c>
      <c r="DR17" s="13" t="s">
        <v>1889</v>
      </c>
      <c r="DS17" s="22">
        <f>SUMPRODUCT(Calculations!$AF$12:$AF$23,Calculations!$D$12:$D$23)</f>
        <v>0</v>
      </c>
      <c r="DU17" s="23" t="s">
        <v>76</v>
      </c>
      <c r="DV17" s="22">
        <f>COUNTIFS('Incident'!$D$4:$D$100003,"Jul",'Incident'!$H$4:$H$100003,dCrit)</f>
        <v>0</v>
      </c>
      <c r="DX17" s="23">
        <f>IFERROR($BQ$17/$BP$17*100,0)</f>
        <v>0</v>
      </c>
      <c r="DY17" s="23">
        <f>IFERROR($BK$17/$BJ$17*100,0)</f>
        <v>0</v>
      </c>
      <c r="DZ17" s="23">
        <f>IFERROR($AI$17/$AJ$17*100,0)</f>
        <v>0</v>
      </c>
      <c r="EA17" s="23">
        <f>IFERROR($AK$17/$AD$17*100,0)</f>
        <v>0</v>
      </c>
      <c r="EB17" s="23">
        <f>IFERROR($S$17/$R$17*100,0)</f>
        <v>0</v>
      </c>
      <c r="EC17" s="23">
        <f>IFERROR($U$17/$T$17*100,0)</f>
        <v>0</v>
      </c>
      <c r="ED17" s="23">
        <f>IFERROR($AM$17/$AL$17*100,0)</f>
        <v>0</v>
      </c>
      <c r="EE17" s="23">
        <f>IFERROR($AR$17/$AQ$17*100,0)</f>
        <v>0</v>
      </c>
      <c r="EF17" s="23">
        <f>IFERROR($AU$17/$AT$17*100,0)</f>
        <v>0</v>
      </c>
      <c r="EG17" s="23">
        <f>IFERROR($AW$17/$AV$17*100,0)</f>
        <v>0</v>
      </c>
      <c r="EH17" s="23">
        <f>IFERROR($BD$17/$BC$17*100,0)</f>
        <v>0</v>
      </c>
      <c r="EI17" s="23">
        <f>IFERROR($BF$17/$BG$17*100,0)</f>
        <v>0</v>
      </c>
      <c r="EJ17" s="23">
        <f>IFERROR($Z$17/$Y$17*100,0)</f>
        <v>0</v>
      </c>
      <c r="EK17" s="23">
        <f>IFERROR($AC$17/$AB$17*100,0)</f>
        <v>0</v>
      </c>
      <c r="EL17" s="23">
        <f>IFERROR($BM$17/$BL$17*100,0)</f>
        <v>0</v>
      </c>
      <c r="EM17" s="23">
        <f>IFERROR($BO$17/$BN$17*100,0)</f>
        <v>0</v>
      </c>
    </row>
    <row r="18" spans="2:143">
      <c r="B18" s="23" t="s">
        <v>76</v>
      </c>
      <c r="C18" s="23">
        <v>7</v>
      </c>
      <c r="D18" s="23">
        <f>IF(Calculations!$C$10=1,IF(ROUNDUP($C$18/3,0)=Calculations!$F$10,1,0),IF($C$18=Calculations!$I$10,1,0))</f>
        <v>0</v>
      </c>
      <c r="E18" s="23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Observations'!$M$4:$M$100003,"Completed",'HSE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Actions'!$N$4:$N$100003,"Completed",'Corrective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Inspections'!$M$4:$M$100003,"Completed",'Workplace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Acts'!$M$4:$M$100003,"Completed",'Unsafe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Conditions'!$M$4:$M$100003,"Completed",'Unsafe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2">
        <f>COUNTIFS('HSE Observations'!$E$4:$E$100003,"Safe Act",'HSE Observations'!$D$4:$D$100003,"Jul",'HSE Observations'!$G$4:$G$100003,dCrit)+COUNTIFS('HSE Observations'!$E$4:$E$100003,"Safe Condition",'HSE Observations'!$D$4:$D$100003,"Jul",'HSE Observations'!$G$4:$G$100003,dCrit)</f>
        <v>0</v>
      </c>
      <c r="BS18" s="22">
        <f>COUNTIFS('HSE Observations'!$E$4:$E$100003,"Unsafe Act",'HSE Observations'!$D$4:$D$100003,"Jul",'HSE Observations'!$G$4:$G$100003,dCrit)+COUNTIFS('HSE Observations'!$E$4:$E$100003,"Unsafe Condition",'HSE Observations'!$D$4:$D$100003,"Jul",'HSE Observations'!$G$4:$G$100003,dCrit)</f>
        <v>0</v>
      </c>
      <c r="BT18" s="22">
        <f>IFERROR(AVERAGEIFS('Emergency Drills'!$L$4:$L$100003,'Emergency Drills'!$D$4:$D$100003,"Jul"),0)</f>
        <v>0</v>
      </c>
      <c r="BU18" s="22">
        <f>IFERROR(AVERAGEIFS('Emergency Drills'!$K$4:$K$100003,'Emergency Drills'!$D$4:$D$100003,"Jul"),0)</f>
        <v>0</v>
      </c>
      <c r="BV18" s="22">
        <f>SUMIFS('Internal Audits'!$M$4:$M$100003,'Internal Audits'!$D$4:$D$100003,"Jul",'Internal Audits'!$G$4:$G$100003,dCrit)</f>
        <v>0</v>
      </c>
      <c r="BW18" s="22">
        <f>SUMIFS('External Audits'!$M$4:$M$100003,'External Audits'!$D$4:$D$100003,"Jul",'External Audits'!$G$4:$G$100003,dCrit)</f>
        <v>0</v>
      </c>
      <c r="BX18" s="22">
        <f>SUMIFS('Management Reviews'!$K$4:$K$100003,'Management Reviews'!$D$4:$D$100003,"Jul")</f>
        <v>0</v>
      </c>
      <c r="BY18" s="22">
        <f>SUMIFS('Management Reviews'!$L$4:$L$100003,'Management Reviews'!$D$4:$D$100003,"Jul")</f>
        <v>0</v>
      </c>
      <c r="BZ18" s="22">
        <f>SUMIFS('Stop Work Authority'!$J$4:$J$100003,'Stop Work Authority'!$D$4:$D$100003,"Jul",'Stop Work Authority'!$F$4:$F$100003,dCrit)</f>
        <v>0</v>
      </c>
      <c r="CA18" s="22">
        <f>SUMIFS('Training'!$M$4:$M$100003,'Training'!$D$4:$D$100003,"Jul",'Training'!$G$4:$G$100003,dCrit)</f>
        <v>0</v>
      </c>
      <c r="CB18" s="22">
        <f>SUMIFS('Workplace Inspections'!$J$4:$J$100003,'Workplace Inspections'!$D$4:$D$100003,"Jul",'Workplace Inspections'!$F$4:$F$100003,dCrit)</f>
        <v>0</v>
      </c>
      <c r="CC18" s="22">
        <f>COUNTIFS('Corrective Actions'!$O$4:$O$100003,"On-Time",'Corrective Actions'!$D$4:$D$100003,"Jul",'Corrective Actions'!$F$4:$F$100003,dCrit)</f>
        <v>0</v>
      </c>
      <c r="CD18" s="22">
        <f>COUNTIFS('Corrective Actions'!$O$4:$O$100003,"Delayed",'Corrective Actions'!$D$4:$D$100003,"Jul",'Corrective Actions'!$F$4:$F$100003,dCrit)</f>
        <v>0</v>
      </c>
      <c r="CE18" s="22">
        <f>COUNTIFS('JSA Risk Assessment'!$J$4:$J$100003,"Critical",'JSA Risk Assessment'!$D$4:$D$100003,"Jul",'JSA Risk Assessment'!$F$4:$F$100003,dCrit)</f>
        <v>0</v>
      </c>
      <c r="CF18" s="22">
        <f>COUNTIFS('JSA Risk Assessment'!$J$4:$J$100003,"High",'JSA Risk Assessment'!$D$4:$D$100003,"Jul",'JSA Risk Assessment'!$F$4:$F$100003,dCrit)</f>
        <v>0</v>
      </c>
      <c r="CG18" s="22">
        <f>COUNTIFS('JSA Risk Assessment'!$J$4:$J$100003,"Medium",'JSA Risk Assessment'!$D$4:$D$100003,"Jul",'JSA Risk Assessment'!$F$4:$F$100003,dCrit)</f>
        <v>0</v>
      </c>
      <c r="CH18" s="22">
        <f>COUNTIFS('JSA Risk Assessment'!$J$4:$J$100003,"Low",'JSA Risk Assessment'!$D$4:$D$100003,"Jul",'JSA Risk Assessment'!$F$4:$F$100003,dCrit)</f>
        <v>0</v>
      </c>
      <c r="CI18" s="23">
        <f>IFERROR($F$18*TRIRmult/Settings!$C$19,0)</f>
        <v>0</v>
      </c>
      <c r="CJ18" s="23">
        <f>IFERROR($G$18*LTIFRmult/Settings!$C$19,0)</f>
        <v>0</v>
      </c>
      <c r="CK18" s="23">
        <f>BenchTRIR</f>
        <v>0</v>
      </c>
      <c r="CL18" s="23">
        <f>BenchLTIFR</f>
        <v>0</v>
      </c>
      <c r="CM18" s="25">
        <f>IFERROR($BK$18/$BJ$18*100,0)</f>
        <v>0</v>
      </c>
      <c r="CN18" s="22">
        <f>$V$18+$R$18+$T$18+$W$18+$X$18+$AA$18+$Y$18+$AE$18+$AD$18</f>
        <v>0</v>
      </c>
      <c r="CO18" s="22">
        <f>$O$18+$BP$18+$P$18</f>
        <v>0</v>
      </c>
      <c r="CP18" s="23">
        <f>IFERROR($CN$18/$CO$18,0)</f>
        <v>0</v>
      </c>
      <c r="DI18" s="13" t="s">
        <v>1509</v>
      </c>
      <c r="DJ18" s="23" t="s">
        <v>1852</v>
      </c>
      <c r="DK18" s="22">
        <f>SUMPRODUCT(Calculations!$I$12:$I$23,Calculations!$D$12:$D$23)</f>
        <v>0</v>
      </c>
      <c r="DL18" s="22">
        <f>SUMPRODUCT(Calculations!$I$12:$I$23,Calculations!$E$12:$E$23)</f>
        <v>0</v>
      </c>
      <c r="DM18" s="25">
        <f>IFERROR(($DK$18-$DL$18)/$DL$18,IF($DK$18&gt;0,1,0))</f>
        <v>0</v>
      </c>
      <c r="DN18" s="23">
        <f>($DK$18-$DL$18)*-1</f>
        <v>0</v>
      </c>
      <c r="DO18" s="22">
        <f>IFERROR(AVERAGE(Calculations!$I$12:$I$23)*SUM(Calculations!$D$12:$D$23),0)</f>
        <v>0</v>
      </c>
      <c r="DP18" s="23">
        <f>IFERROR(IF($DK$18&lt;=$DO$18,2,IF($DK$18&lt;=$DO$18/AmberBand,1,0)),1)</f>
        <v>0</v>
      </c>
      <c r="DU18" s="23" t="s">
        <v>86</v>
      </c>
      <c r="DV18" s="22">
        <f>COUNTIFS('Incident'!$D$4:$D$100003,"Aug",'Incident'!$H$4:$H$100003,dCrit)</f>
        <v>0</v>
      </c>
      <c r="DX18" s="23">
        <f>IFERROR($BQ$18/$BP$18*100,0)</f>
        <v>0</v>
      </c>
      <c r="DY18" s="23">
        <f>IFERROR($BK$18/$BJ$18*100,0)</f>
        <v>0</v>
      </c>
      <c r="DZ18" s="23">
        <f>IFERROR($AI$18/$AJ$18*100,0)</f>
        <v>0</v>
      </c>
      <c r="EA18" s="23">
        <f>IFERROR($AK$18/$AD$18*100,0)</f>
        <v>0</v>
      </c>
      <c r="EB18" s="23">
        <f>IFERROR($S$18/$R$18*100,0)</f>
        <v>0</v>
      </c>
      <c r="EC18" s="23">
        <f>IFERROR($U$18/$T$18*100,0)</f>
        <v>0</v>
      </c>
      <c r="ED18" s="23">
        <f>IFERROR($AM$18/$AL$18*100,0)</f>
        <v>0</v>
      </c>
      <c r="EE18" s="23">
        <f>IFERROR($AR$18/$AQ$18*100,0)</f>
        <v>0</v>
      </c>
      <c r="EF18" s="23">
        <f>IFERROR($AU$18/$AT$18*100,0)</f>
        <v>0</v>
      </c>
      <c r="EG18" s="23">
        <f>IFERROR($AW$18/$AV$18*100,0)</f>
        <v>0</v>
      </c>
      <c r="EH18" s="23">
        <f>IFERROR($BD$18/$BC$18*100,0)</f>
        <v>0</v>
      </c>
      <c r="EI18" s="23">
        <f>IFERROR($BF$18/$BG$18*100,0)</f>
        <v>0</v>
      </c>
      <c r="EJ18" s="23">
        <f>IFERROR($Z$18/$Y$18*100,0)</f>
        <v>0</v>
      </c>
      <c r="EK18" s="23">
        <f>IFERROR($AC$18/$AB$18*100,0)</f>
        <v>0</v>
      </c>
      <c r="EL18" s="23">
        <f>IFERROR($BM$18/$BL$18*100,0)</f>
        <v>0</v>
      </c>
      <c r="EM18" s="23">
        <f>IFERROR($BO$18/$BN$18*100,0)</f>
        <v>0</v>
      </c>
    </row>
    <row r="19" spans="2:143">
      <c r="B19" s="23" t="s">
        <v>86</v>
      </c>
      <c r="C19" s="23">
        <v>8</v>
      </c>
      <c r="D19" s="23">
        <f>IF(Calculations!$C$10=1,IF(ROUNDUP($C$19/3,0)=Calculations!$F$10,1,0),IF($C$19=Calculations!$I$10,1,0))</f>
        <v>0</v>
      </c>
      <c r="E19" s="23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Observations'!$M$4:$M$100003,"Completed",'HSE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Actions'!$N$4:$N$100003,"Completed",'Corrective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Inspections'!$M$4:$M$100003,"Completed",'Workplace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Acts'!$M$4:$M$100003,"Completed",'Unsafe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Conditions'!$M$4:$M$100003,"Completed",'Unsafe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2">
        <f>COUNTIFS('HSE Observations'!$E$4:$E$100003,"Safe Act",'HSE Observations'!$D$4:$D$100003,"Aug",'HSE Observations'!$G$4:$G$100003,dCrit)+COUNTIFS('HSE Observations'!$E$4:$E$100003,"Safe Condition",'HSE Observations'!$D$4:$D$100003,"Aug",'HSE Observations'!$G$4:$G$100003,dCrit)</f>
        <v>0</v>
      </c>
      <c r="BS19" s="22">
        <f>COUNTIFS('HSE Observations'!$E$4:$E$100003,"Unsafe Act",'HSE Observations'!$D$4:$D$100003,"Aug",'HSE Observations'!$G$4:$G$100003,dCrit)+COUNTIFS('HSE Observations'!$E$4:$E$100003,"Unsafe Condition",'HSE Observations'!$D$4:$D$100003,"Aug",'HSE Observations'!$G$4:$G$100003,dCrit)</f>
        <v>0</v>
      </c>
      <c r="BT19" s="22">
        <f>IFERROR(AVERAGEIFS('Emergency Drills'!$L$4:$L$100003,'Emergency Drills'!$D$4:$D$100003,"Aug"),0)</f>
        <v>0</v>
      </c>
      <c r="BU19" s="22">
        <f>IFERROR(AVERAGEIFS('Emergency Drills'!$K$4:$K$100003,'Emergency Drills'!$D$4:$D$100003,"Aug"),0)</f>
        <v>0</v>
      </c>
      <c r="BV19" s="22">
        <f>SUMIFS('Internal Audits'!$M$4:$M$100003,'Internal Audits'!$D$4:$D$100003,"Aug",'Internal Audits'!$G$4:$G$100003,dCrit)</f>
        <v>0</v>
      </c>
      <c r="BW19" s="22">
        <f>SUMIFS('External Audits'!$M$4:$M$100003,'External Audits'!$D$4:$D$100003,"Aug",'External Audits'!$G$4:$G$100003,dCrit)</f>
        <v>0</v>
      </c>
      <c r="BX19" s="22">
        <f>SUMIFS('Management Reviews'!$K$4:$K$100003,'Management Reviews'!$D$4:$D$100003,"Aug")</f>
        <v>0</v>
      </c>
      <c r="BY19" s="22">
        <f>SUMIFS('Management Reviews'!$L$4:$L$100003,'Management Reviews'!$D$4:$D$100003,"Aug")</f>
        <v>0</v>
      </c>
      <c r="BZ19" s="22">
        <f>SUMIFS('Stop Work Authority'!$J$4:$J$100003,'Stop Work Authority'!$D$4:$D$100003,"Aug",'Stop Work Authority'!$F$4:$F$100003,dCrit)</f>
        <v>0</v>
      </c>
      <c r="CA19" s="22">
        <f>SUMIFS('Training'!$M$4:$M$100003,'Training'!$D$4:$D$100003,"Aug",'Training'!$G$4:$G$100003,dCrit)</f>
        <v>0</v>
      </c>
      <c r="CB19" s="22">
        <f>SUMIFS('Workplace Inspections'!$J$4:$J$100003,'Workplace Inspections'!$D$4:$D$100003,"Aug",'Workplace Inspections'!$F$4:$F$100003,dCrit)</f>
        <v>0</v>
      </c>
      <c r="CC19" s="22">
        <f>COUNTIFS('Corrective Actions'!$O$4:$O$100003,"On-Time",'Corrective Actions'!$D$4:$D$100003,"Aug",'Corrective Actions'!$F$4:$F$100003,dCrit)</f>
        <v>0</v>
      </c>
      <c r="CD19" s="22">
        <f>COUNTIFS('Corrective Actions'!$O$4:$O$100003,"Delayed",'Corrective Actions'!$D$4:$D$100003,"Aug",'Corrective Actions'!$F$4:$F$100003,dCrit)</f>
        <v>0</v>
      </c>
      <c r="CE19" s="22">
        <f>COUNTIFS('JSA Risk Assessment'!$J$4:$J$100003,"Critical",'JSA Risk Assessment'!$D$4:$D$100003,"Aug",'JSA Risk Assessment'!$F$4:$F$100003,dCrit)</f>
        <v>0</v>
      </c>
      <c r="CF19" s="22">
        <f>COUNTIFS('JSA Risk Assessment'!$J$4:$J$100003,"High",'JSA Risk Assessment'!$D$4:$D$100003,"Aug",'JSA Risk Assessment'!$F$4:$F$100003,dCrit)</f>
        <v>0</v>
      </c>
      <c r="CG19" s="22">
        <f>COUNTIFS('JSA Risk Assessment'!$J$4:$J$100003,"Medium",'JSA Risk Assessment'!$D$4:$D$100003,"Aug",'JSA Risk Assessment'!$F$4:$F$100003,dCrit)</f>
        <v>0</v>
      </c>
      <c r="CH19" s="22">
        <f>COUNTIFS('JSA Risk Assessment'!$J$4:$J$100003,"Low",'JSA Risk Assessment'!$D$4:$D$100003,"Aug",'JSA Risk Assessment'!$F$4:$F$100003,dCrit)</f>
        <v>0</v>
      </c>
      <c r="CI19" s="23">
        <f>IFERROR($F$19*TRIRmult/Settings!$C$20,0)</f>
        <v>0</v>
      </c>
      <c r="CJ19" s="23">
        <f>IFERROR($G$19*LTIFRmult/Settings!$C$20,0)</f>
        <v>0</v>
      </c>
      <c r="CK19" s="23">
        <f>BenchTRIR</f>
        <v>0</v>
      </c>
      <c r="CL19" s="23">
        <f>BenchLTIFR</f>
        <v>0</v>
      </c>
      <c r="CM19" s="25">
        <f>IFERROR($BK$19/$BJ$19*100,0)</f>
        <v>0</v>
      </c>
      <c r="CN19" s="22">
        <f>$V$19+$R$19+$T$19+$W$19+$X$19+$AA$19+$Y$19+$AE$19+$AD$19</f>
        <v>0</v>
      </c>
      <c r="CO19" s="22">
        <f>$O$19+$BP$19+$P$19</f>
        <v>0</v>
      </c>
      <c r="CP19" s="23">
        <f>IFERROR($CN$19/$CO$19,0)</f>
        <v>0</v>
      </c>
      <c r="DI19" s="13" t="s">
        <v>1604</v>
      </c>
      <c r="DJ19" s="23" t="s">
        <v>1852</v>
      </c>
      <c r="DK19" s="22">
        <f>SUMPRODUCT(Calculations!$N$12:$N$23,Calculations!$D$12:$D$23)</f>
        <v>0</v>
      </c>
      <c r="DL19" s="22">
        <f>SUMPRODUCT(Calculations!$N$12:$N$23,Calculations!$E$12:$E$23)</f>
        <v>0</v>
      </c>
      <c r="DM19" s="25">
        <f>IFERROR(($DK$19-$DL$19)/$DL$19,IF($DK$19&gt;0,1,0))</f>
        <v>0</v>
      </c>
      <c r="DN19" s="23">
        <f>($DK$19-$DL$19)*-1</f>
        <v>0</v>
      </c>
      <c r="DO19" s="22">
        <f>IFERROR(AVERAGE(Calculations!$N$12:$N$23)*SUM(Calculations!$D$12:$D$23),0)</f>
        <v>0</v>
      </c>
      <c r="DP19" s="23">
        <f>IFERROR(IF($DK$19&lt;=$DO$19,2,IF($DK$19&lt;=$DO$19/AmberBand,1,0)),1)</f>
        <v>0</v>
      </c>
      <c r="DR19" s="12" t="s">
        <v>1890</v>
      </c>
      <c r="DS19" s="12" t="s">
        <v>1887</v>
      </c>
      <c r="DU19" s="23" t="s">
        <v>102</v>
      </c>
      <c r="DV19" s="22">
        <f>COUNTIFS('Incident'!$D$4:$D$100003,"Sep",'Incident'!$H$4:$H$100003,dCrit)</f>
        <v>0</v>
      </c>
      <c r="DX19" s="23">
        <f>IFERROR($BQ$19/$BP$19*100,0)</f>
        <v>0</v>
      </c>
      <c r="DY19" s="23">
        <f>IFERROR($BK$19/$BJ$19*100,0)</f>
        <v>0</v>
      </c>
      <c r="DZ19" s="23">
        <f>IFERROR($AI$19/$AJ$19*100,0)</f>
        <v>0</v>
      </c>
      <c r="EA19" s="23">
        <f>IFERROR($AK$19/$AD$19*100,0)</f>
        <v>0</v>
      </c>
      <c r="EB19" s="23">
        <f>IFERROR($S$19/$R$19*100,0)</f>
        <v>0</v>
      </c>
      <c r="EC19" s="23">
        <f>IFERROR($U$19/$T$19*100,0)</f>
        <v>0</v>
      </c>
      <c r="ED19" s="23">
        <f>IFERROR($AM$19/$AL$19*100,0)</f>
        <v>0</v>
      </c>
      <c r="EE19" s="23">
        <f>IFERROR($AR$19/$AQ$19*100,0)</f>
        <v>0</v>
      </c>
      <c r="EF19" s="23">
        <f>IFERROR($AU$19/$AT$19*100,0)</f>
        <v>0</v>
      </c>
      <c r="EG19" s="23">
        <f>IFERROR($AW$19/$AV$19*100,0)</f>
        <v>0</v>
      </c>
      <c r="EH19" s="23">
        <f>IFERROR($BD$19/$BC$19*100,0)</f>
        <v>0</v>
      </c>
      <c r="EI19" s="23">
        <f>IFERROR($BF$19/$BG$19*100,0)</f>
        <v>0</v>
      </c>
      <c r="EJ19" s="23">
        <f>IFERROR($Z$19/$Y$19*100,0)</f>
        <v>0</v>
      </c>
      <c r="EK19" s="23">
        <f>IFERROR($AC$19/$AB$19*100,0)</f>
        <v>0</v>
      </c>
      <c r="EL19" s="23">
        <f>IFERROR($BM$19/$BL$19*100,0)</f>
        <v>0</v>
      </c>
      <c r="EM19" s="23">
        <f>IFERROR($BO$19/$BN$19*100,0)</f>
        <v>0</v>
      </c>
    </row>
    <row r="20" spans="2:143">
      <c r="B20" s="23" t="s">
        <v>102</v>
      </c>
      <c r="C20" s="23">
        <v>9</v>
      </c>
      <c r="D20" s="23">
        <f>IF(Calculations!$C$10=1,IF(ROUNDUP($C$20/3,0)=Calculations!$F$10,1,0),IF($C$20=Calculations!$I$10,1,0))</f>
        <v>0</v>
      </c>
      <c r="E20" s="23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Observations'!$M$4:$M$100003,"Completed",'HSE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Actions'!$N$4:$N$100003,"Completed",'Corrective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Inspections'!$M$4:$M$100003,"Completed",'Workplace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Acts'!$M$4:$M$100003,"Completed",'Unsafe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Conditions'!$M$4:$M$100003,"Completed",'Unsafe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2">
        <f>COUNTIFS('HSE Observations'!$E$4:$E$100003,"Safe Act",'HSE Observations'!$D$4:$D$100003,"Sep",'HSE Observations'!$G$4:$G$100003,dCrit)+COUNTIFS('HSE Observations'!$E$4:$E$100003,"Safe Condition",'HSE Observations'!$D$4:$D$100003,"Sep",'HSE Observations'!$G$4:$G$100003,dCrit)</f>
        <v>0</v>
      </c>
      <c r="BS20" s="22">
        <f>COUNTIFS('HSE Observations'!$E$4:$E$100003,"Unsafe Act",'HSE Observations'!$D$4:$D$100003,"Sep",'HSE Observations'!$G$4:$G$100003,dCrit)+COUNTIFS('HSE Observations'!$E$4:$E$100003,"Unsafe Condition",'HSE Observations'!$D$4:$D$100003,"Sep",'HSE Observations'!$G$4:$G$100003,dCrit)</f>
        <v>0</v>
      </c>
      <c r="BT20" s="22">
        <f>IFERROR(AVERAGEIFS('Emergency Drills'!$L$4:$L$100003,'Emergency Drills'!$D$4:$D$100003,"Sep"),0)</f>
        <v>0</v>
      </c>
      <c r="BU20" s="22">
        <f>IFERROR(AVERAGEIFS('Emergency Drills'!$K$4:$K$100003,'Emergency Drills'!$D$4:$D$100003,"Sep"),0)</f>
        <v>0</v>
      </c>
      <c r="BV20" s="22">
        <f>SUMIFS('Internal Audits'!$M$4:$M$100003,'Internal Audits'!$D$4:$D$100003,"Sep",'Internal Audits'!$G$4:$G$100003,dCrit)</f>
        <v>0</v>
      </c>
      <c r="BW20" s="22">
        <f>SUMIFS('External Audits'!$M$4:$M$100003,'External Audits'!$D$4:$D$100003,"Sep",'External Audits'!$G$4:$G$100003,dCrit)</f>
        <v>0</v>
      </c>
      <c r="BX20" s="22">
        <f>SUMIFS('Management Reviews'!$K$4:$K$100003,'Management Reviews'!$D$4:$D$100003,"Sep")</f>
        <v>0</v>
      </c>
      <c r="BY20" s="22">
        <f>SUMIFS('Management Reviews'!$L$4:$L$100003,'Management Reviews'!$D$4:$D$100003,"Sep")</f>
        <v>0</v>
      </c>
      <c r="BZ20" s="22">
        <f>SUMIFS('Stop Work Authority'!$J$4:$J$100003,'Stop Work Authority'!$D$4:$D$100003,"Sep",'Stop Work Authority'!$F$4:$F$100003,dCrit)</f>
        <v>0</v>
      </c>
      <c r="CA20" s="22">
        <f>SUMIFS('Training'!$M$4:$M$100003,'Training'!$D$4:$D$100003,"Sep",'Training'!$G$4:$G$100003,dCrit)</f>
        <v>0</v>
      </c>
      <c r="CB20" s="22">
        <f>SUMIFS('Workplace Inspections'!$J$4:$J$100003,'Workplace Inspections'!$D$4:$D$100003,"Sep",'Workplace Inspections'!$F$4:$F$100003,dCrit)</f>
        <v>0</v>
      </c>
      <c r="CC20" s="22">
        <f>COUNTIFS('Corrective Actions'!$O$4:$O$100003,"On-Time",'Corrective Actions'!$D$4:$D$100003,"Sep",'Corrective Actions'!$F$4:$F$100003,dCrit)</f>
        <v>0</v>
      </c>
      <c r="CD20" s="22">
        <f>COUNTIFS('Corrective Actions'!$O$4:$O$100003,"Delayed",'Corrective Actions'!$D$4:$D$100003,"Sep",'Corrective Actions'!$F$4:$F$100003,dCrit)</f>
        <v>0</v>
      </c>
      <c r="CE20" s="22">
        <f>COUNTIFS('JSA Risk Assessment'!$J$4:$J$100003,"Critical",'JSA Risk Assessment'!$D$4:$D$100003,"Sep",'JSA Risk Assessment'!$F$4:$F$100003,dCrit)</f>
        <v>0</v>
      </c>
      <c r="CF20" s="22">
        <f>COUNTIFS('JSA Risk Assessment'!$J$4:$J$100003,"High",'JSA Risk Assessment'!$D$4:$D$100003,"Sep",'JSA Risk Assessment'!$F$4:$F$100003,dCrit)</f>
        <v>0</v>
      </c>
      <c r="CG20" s="22">
        <f>COUNTIFS('JSA Risk Assessment'!$J$4:$J$100003,"Medium",'JSA Risk Assessment'!$D$4:$D$100003,"Sep",'JSA Risk Assessment'!$F$4:$F$100003,dCrit)</f>
        <v>0</v>
      </c>
      <c r="CH20" s="22">
        <f>COUNTIFS('JSA Risk Assessment'!$J$4:$J$100003,"Low",'JSA Risk Assessment'!$D$4:$D$100003,"Sep",'JSA Risk Assessment'!$F$4:$F$100003,dCrit)</f>
        <v>0</v>
      </c>
      <c r="CI20" s="23">
        <f>IFERROR($F$20*TRIRmult/Settings!$C$21,0)</f>
        <v>0</v>
      </c>
      <c r="CJ20" s="23">
        <f>IFERROR($G$20*LTIFRmult/Settings!$C$21,0)</f>
        <v>0</v>
      </c>
      <c r="CK20" s="23">
        <f>BenchTRIR</f>
        <v>0</v>
      </c>
      <c r="CL20" s="23">
        <f>BenchLTIFR</f>
        <v>0</v>
      </c>
      <c r="CM20" s="25">
        <f>IFERROR($BK$20/$BJ$20*100,0)</f>
        <v>0</v>
      </c>
      <c r="CN20" s="22">
        <f>$V$20+$R$20+$T$20+$W$20+$X$20+$AA$20+$Y$20+$AE$20+$AD$20</f>
        <v>0</v>
      </c>
      <c r="CO20" s="22">
        <f>$O$20+$BP$20+$P$20</f>
        <v>0</v>
      </c>
      <c r="CP20" s="23">
        <f>IFERROR($CN$20/$CO$20,0)</f>
        <v>0</v>
      </c>
      <c r="DI20" s="13" t="s">
        <v>1856</v>
      </c>
      <c r="DJ20" s="23" t="s">
        <v>1852</v>
      </c>
      <c r="DK20" s="22">
        <f>SUMPRODUCT(Calculations!$P$12:$P$23,Calculations!$D$12:$D$23)</f>
        <v>0</v>
      </c>
      <c r="DL20" s="22">
        <f>SUMPRODUCT(Calculations!$P$12:$P$23,Calculations!$E$12:$E$23)</f>
        <v>0</v>
      </c>
      <c r="DM20" s="25">
        <f>IFERROR(($DK$20-$DL$20)/$DL$20,IF($DK$20&gt;0,1,0))</f>
        <v>0</v>
      </c>
      <c r="DN20" s="23">
        <f>($DK$20-$DL$20)*-1</f>
        <v>0</v>
      </c>
      <c r="DO20" s="22">
        <f>IFERROR(AVERAGE(Calculations!$P$12:$P$23)*SUM(Calculations!$D$12:$D$23),0)</f>
        <v>0</v>
      </c>
      <c r="DP20" s="23">
        <f>IFERROR(IF($DK$20&lt;=$DO$20,2,IF($DK$20&lt;=$DO$20/AmberBand,1,0)),1)</f>
        <v>0</v>
      </c>
      <c r="DR20" s="13" t="s">
        <v>1891</v>
      </c>
      <c r="DS20" s="22">
        <f>SUMPRODUCT(Calculations!$V$12:$V$23,Calculations!$D$12:$D$23)</f>
        <v>0</v>
      </c>
      <c r="DU20" s="23" t="s">
        <v>106</v>
      </c>
      <c r="DV20" s="22">
        <f>COUNTIFS('Incident'!$D$4:$D$100003,"Oct",'Incident'!$H$4:$H$100003,dCrit)</f>
        <v>0</v>
      </c>
      <c r="DX20" s="23">
        <f>IFERROR($BQ$20/$BP$20*100,0)</f>
        <v>0</v>
      </c>
      <c r="DY20" s="23">
        <f>IFERROR($BK$20/$BJ$20*100,0)</f>
        <v>0</v>
      </c>
      <c r="DZ20" s="23">
        <f>IFERROR($AI$20/$AJ$20*100,0)</f>
        <v>0</v>
      </c>
      <c r="EA20" s="23">
        <f>IFERROR($AK$20/$AD$20*100,0)</f>
        <v>0</v>
      </c>
      <c r="EB20" s="23">
        <f>IFERROR($S$20/$R$20*100,0)</f>
        <v>0</v>
      </c>
      <c r="EC20" s="23">
        <f>IFERROR($U$20/$T$20*100,0)</f>
        <v>0</v>
      </c>
      <c r="ED20" s="23">
        <f>IFERROR($AM$20/$AL$20*100,0)</f>
        <v>0</v>
      </c>
      <c r="EE20" s="23">
        <f>IFERROR($AR$20/$AQ$20*100,0)</f>
        <v>0</v>
      </c>
      <c r="EF20" s="23">
        <f>IFERROR($AU$20/$AT$20*100,0)</f>
        <v>0</v>
      </c>
      <c r="EG20" s="23">
        <f>IFERROR($AW$20/$AV$20*100,0)</f>
        <v>0</v>
      </c>
      <c r="EH20" s="23">
        <f>IFERROR($BD$20/$BC$20*100,0)</f>
        <v>0</v>
      </c>
      <c r="EI20" s="23">
        <f>IFERROR($BF$20/$BG$20*100,0)</f>
        <v>0</v>
      </c>
      <c r="EJ20" s="23">
        <f>IFERROR($Z$20/$Y$20*100,0)</f>
        <v>0</v>
      </c>
      <c r="EK20" s="23">
        <f>IFERROR($AC$20/$AB$20*100,0)</f>
        <v>0</v>
      </c>
      <c r="EL20" s="23">
        <f>IFERROR($BM$20/$BL$20*100,0)</f>
        <v>0</v>
      </c>
      <c r="EM20" s="23">
        <f>IFERROR($BO$20/$BN$20*100,0)</f>
        <v>0</v>
      </c>
    </row>
    <row r="21" spans="2:143">
      <c r="B21" s="23" t="s">
        <v>106</v>
      </c>
      <c r="C21" s="23">
        <v>10</v>
      </c>
      <c r="D21" s="23">
        <f>IF(Calculations!$C$10=1,IF(ROUNDUP($C$21/3,0)=Calculations!$F$10,1,0),IF($C$21=Calculations!$I$10,1,0))</f>
        <v>0</v>
      </c>
      <c r="E21" s="23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Observations'!$M$4:$M$100003,"Completed",'HSE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Actions'!$N$4:$N$100003,"Completed",'Corrective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Inspections'!$M$4:$M$100003,"Completed",'Workplace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Acts'!$M$4:$M$100003,"Completed",'Unsafe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Conditions'!$M$4:$M$100003,"Completed",'Unsafe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2">
        <f>COUNTIFS('HSE Observations'!$E$4:$E$100003,"Safe Act",'HSE Observations'!$D$4:$D$100003,"Oct",'HSE Observations'!$G$4:$G$100003,dCrit)+COUNTIFS('HSE Observations'!$E$4:$E$100003,"Safe Condition",'HSE Observations'!$D$4:$D$100003,"Oct",'HSE Observations'!$G$4:$G$100003,dCrit)</f>
        <v>0</v>
      </c>
      <c r="BS21" s="22">
        <f>COUNTIFS('HSE Observations'!$E$4:$E$100003,"Unsafe Act",'HSE Observations'!$D$4:$D$100003,"Oct",'HSE Observations'!$G$4:$G$100003,dCrit)+COUNTIFS('HSE Observations'!$E$4:$E$100003,"Unsafe Condition",'HSE Observations'!$D$4:$D$100003,"Oct",'HSE Observations'!$G$4:$G$100003,dCrit)</f>
        <v>0</v>
      </c>
      <c r="BT21" s="22">
        <f>IFERROR(AVERAGEIFS('Emergency Drills'!$L$4:$L$100003,'Emergency Drills'!$D$4:$D$100003,"Oct"),0)</f>
        <v>0</v>
      </c>
      <c r="BU21" s="22">
        <f>IFERROR(AVERAGEIFS('Emergency Drills'!$K$4:$K$100003,'Emergency Drills'!$D$4:$D$100003,"Oct"),0)</f>
        <v>0</v>
      </c>
      <c r="BV21" s="22">
        <f>SUMIFS('Internal Audits'!$M$4:$M$100003,'Internal Audits'!$D$4:$D$100003,"Oct",'Internal Audits'!$G$4:$G$100003,dCrit)</f>
        <v>0</v>
      </c>
      <c r="BW21" s="22">
        <f>SUMIFS('External Audits'!$M$4:$M$100003,'External Audits'!$D$4:$D$100003,"Oct",'External Audits'!$G$4:$G$100003,dCrit)</f>
        <v>0</v>
      </c>
      <c r="BX21" s="22">
        <f>SUMIFS('Management Reviews'!$K$4:$K$100003,'Management Reviews'!$D$4:$D$100003,"Oct")</f>
        <v>0</v>
      </c>
      <c r="BY21" s="22">
        <f>SUMIFS('Management Reviews'!$L$4:$L$100003,'Management Reviews'!$D$4:$D$100003,"Oct")</f>
        <v>0</v>
      </c>
      <c r="BZ21" s="22">
        <f>SUMIFS('Stop Work Authority'!$J$4:$J$100003,'Stop Work Authority'!$D$4:$D$100003,"Oct",'Stop Work Authority'!$F$4:$F$100003,dCrit)</f>
        <v>0</v>
      </c>
      <c r="CA21" s="22">
        <f>SUMIFS('Training'!$M$4:$M$100003,'Training'!$D$4:$D$100003,"Oct",'Training'!$G$4:$G$100003,dCrit)</f>
        <v>0</v>
      </c>
      <c r="CB21" s="22">
        <f>SUMIFS('Workplace Inspections'!$J$4:$J$100003,'Workplace Inspections'!$D$4:$D$100003,"Oct",'Workplace Inspections'!$F$4:$F$100003,dCrit)</f>
        <v>0</v>
      </c>
      <c r="CC21" s="22">
        <f>COUNTIFS('Corrective Actions'!$O$4:$O$100003,"On-Time",'Corrective Actions'!$D$4:$D$100003,"Oct",'Corrective Actions'!$F$4:$F$100003,dCrit)</f>
        <v>0</v>
      </c>
      <c r="CD21" s="22">
        <f>COUNTIFS('Corrective Actions'!$O$4:$O$100003,"Delayed",'Corrective Actions'!$D$4:$D$100003,"Oct",'Corrective Actions'!$F$4:$F$100003,dCrit)</f>
        <v>0</v>
      </c>
      <c r="CE21" s="22">
        <f>COUNTIFS('JSA Risk Assessment'!$J$4:$J$100003,"Critical",'JSA Risk Assessment'!$D$4:$D$100003,"Oct",'JSA Risk Assessment'!$F$4:$F$100003,dCrit)</f>
        <v>0</v>
      </c>
      <c r="CF21" s="22">
        <f>COUNTIFS('JSA Risk Assessment'!$J$4:$J$100003,"High",'JSA Risk Assessment'!$D$4:$D$100003,"Oct",'JSA Risk Assessment'!$F$4:$F$100003,dCrit)</f>
        <v>0</v>
      </c>
      <c r="CG21" s="22">
        <f>COUNTIFS('JSA Risk Assessment'!$J$4:$J$100003,"Medium",'JSA Risk Assessment'!$D$4:$D$100003,"Oct",'JSA Risk Assessment'!$F$4:$F$100003,dCrit)</f>
        <v>0</v>
      </c>
      <c r="CH21" s="22">
        <f>COUNTIFS('JSA Risk Assessment'!$J$4:$J$100003,"Low",'JSA Risk Assessment'!$D$4:$D$100003,"Oct",'JSA Risk Assessment'!$F$4:$F$100003,dCrit)</f>
        <v>0</v>
      </c>
      <c r="CI21" s="23">
        <f>IFERROR($F$21*TRIRmult/Settings!$C$22,0)</f>
        <v>0</v>
      </c>
      <c r="CJ21" s="23">
        <f>IFERROR($G$21*LTIFRmult/Settings!$C$22,0)</f>
        <v>0</v>
      </c>
      <c r="CK21" s="23">
        <f>BenchTRIR</f>
        <v>0</v>
      </c>
      <c r="CL21" s="23">
        <f>BenchLTIFR</f>
        <v>0</v>
      </c>
      <c r="CM21" s="25">
        <f>IFERROR($BK$21/$BJ$21*100,0)</f>
        <v>0</v>
      </c>
      <c r="CN21" s="22">
        <f>$V$21+$R$21+$T$21+$W$21+$X$21+$AA$21+$Y$21+$AE$21+$AD$21</f>
        <v>0</v>
      </c>
      <c r="CO21" s="22">
        <f>$O$21+$BP$21+$P$21</f>
        <v>0</v>
      </c>
      <c r="CP21" s="23">
        <f>IFERROR($CN$21/$CO$21,0)</f>
        <v>0</v>
      </c>
      <c r="DI21" s="13" t="s">
        <v>1857</v>
      </c>
      <c r="DJ21" s="23" t="s">
        <v>1852</v>
      </c>
      <c r="DK21" s="22">
        <f>SUMPRODUCT(Calculations!$Q$12:$Q$23,Calculations!$D$12:$D$23)</f>
        <v>0</v>
      </c>
      <c r="DL21" s="22">
        <f>SUMPRODUCT(Calculations!$Q$12:$Q$23,Calculations!$E$12:$E$23)</f>
        <v>0</v>
      </c>
      <c r="DM21" s="25">
        <f>IFERROR(($DK$21-$DL$21)/$DL$21,IF($DK$21&gt;0,1,0))</f>
        <v>0</v>
      </c>
      <c r="DN21" s="23">
        <f>($DK$21-$DL$21)*-1</f>
        <v>0</v>
      </c>
      <c r="DO21" s="22">
        <f>IFERROR(AVERAGE(Calculations!$Q$12:$Q$23)*SUM(Calculations!$D$12:$D$23),0)</f>
        <v>0</v>
      </c>
      <c r="DP21" s="23">
        <f>IFERROR(IF($DK$21&lt;=$DO$21,2,IF($DK$21&lt;=$DO$21/AmberBand,1,0)),1)</f>
        <v>0</v>
      </c>
      <c r="DR21" s="13" t="s">
        <v>1864</v>
      </c>
      <c r="DS21" s="22">
        <f>SUMPRODUCT(Calculations!$R$12:$R$23,Calculations!$D$12:$D$23)</f>
        <v>0</v>
      </c>
      <c r="DU21" s="23" t="s">
        <v>111</v>
      </c>
      <c r="DV21" s="22">
        <f>COUNTIFS('Incident'!$D$4:$D$100003,"Nov",'Incident'!$H$4:$H$100003,dCrit)</f>
        <v>0</v>
      </c>
      <c r="DX21" s="23">
        <f>IFERROR($BQ$21/$BP$21*100,0)</f>
        <v>0</v>
      </c>
      <c r="DY21" s="23">
        <f>IFERROR($BK$21/$BJ$21*100,0)</f>
        <v>0</v>
      </c>
      <c r="DZ21" s="23">
        <f>IFERROR($AI$21/$AJ$21*100,0)</f>
        <v>0</v>
      </c>
      <c r="EA21" s="23">
        <f>IFERROR($AK$21/$AD$21*100,0)</f>
        <v>0</v>
      </c>
      <c r="EB21" s="23">
        <f>IFERROR($S$21/$R$21*100,0)</f>
        <v>0</v>
      </c>
      <c r="EC21" s="23">
        <f>IFERROR($U$21/$T$21*100,0)</f>
        <v>0</v>
      </c>
      <c r="ED21" s="23">
        <f>IFERROR($AM$21/$AL$21*100,0)</f>
        <v>0</v>
      </c>
      <c r="EE21" s="23">
        <f>IFERROR($AR$21/$AQ$21*100,0)</f>
        <v>0</v>
      </c>
      <c r="EF21" s="23">
        <f>IFERROR($AU$21/$AT$21*100,0)</f>
        <v>0</v>
      </c>
      <c r="EG21" s="23">
        <f>IFERROR($AW$21/$AV$21*100,0)</f>
        <v>0</v>
      </c>
      <c r="EH21" s="23">
        <f>IFERROR($BD$21/$BC$21*100,0)</f>
        <v>0</v>
      </c>
      <c r="EI21" s="23">
        <f>IFERROR($BF$21/$BG$21*100,0)</f>
        <v>0</v>
      </c>
      <c r="EJ21" s="23">
        <f>IFERROR($Z$21/$Y$21*100,0)</f>
        <v>0</v>
      </c>
      <c r="EK21" s="23">
        <f>IFERROR($AC$21/$AB$21*100,0)</f>
        <v>0</v>
      </c>
      <c r="EL21" s="23">
        <f>IFERROR($BM$21/$BL$21*100,0)</f>
        <v>0</v>
      </c>
      <c r="EM21" s="23">
        <f>IFERROR($BO$21/$BN$21*100,0)</f>
        <v>0</v>
      </c>
    </row>
    <row r="22" spans="2:143">
      <c r="B22" s="23" t="s">
        <v>111</v>
      </c>
      <c r="C22" s="23">
        <v>11</v>
      </c>
      <c r="D22" s="23">
        <f>IF(Calculations!$C$10=1,IF(ROUNDUP($C$22/3,0)=Calculations!$F$10,1,0),IF($C$22=Calculations!$I$10,1,0))</f>
        <v>0</v>
      </c>
      <c r="E22" s="23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Observations'!$M$4:$M$100003,"Completed",'HSE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Actions'!$N$4:$N$100003,"Completed",'Corrective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Inspections'!$M$4:$M$100003,"Completed",'Workplace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Acts'!$M$4:$M$100003,"Completed",'Unsafe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Conditions'!$M$4:$M$100003,"Completed",'Unsafe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2">
        <f>COUNTIFS('HSE Observations'!$E$4:$E$100003,"Safe Act",'HSE Observations'!$D$4:$D$100003,"Nov",'HSE Observations'!$G$4:$G$100003,dCrit)+COUNTIFS('HSE Observations'!$E$4:$E$100003,"Safe Condition",'HSE Observations'!$D$4:$D$100003,"Nov",'HSE Observations'!$G$4:$G$100003,dCrit)</f>
        <v>0</v>
      </c>
      <c r="BS22" s="22">
        <f>COUNTIFS('HSE Observations'!$E$4:$E$100003,"Unsafe Act",'HSE Observations'!$D$4:$D$100003,"Nov",'HSE Observations'!$G$4:$G$100003,dCrit)+COUNTIFS('HSE Observations'!$E$4:$E$100003,"Unsafe Condition",'HSE Observations'!$D$4:$D$100003,"Nov",'HSE Observations'!$G$4:$G$100003,dCrit)</f>
        <v>0</v>
      </c>
      <c r="BT22" s="22">
        <f>IFERROR(AVERAGEIFS('Emergency Drills'!$L$4:$L$100003,'Emergency Drills'!$D$4:$D$100003,"Nov"),0)</f>
        <v>0</v>
      </c>
      <c r="BU22" s="22">
        <f>IFERROR(AVERAGEIFS('Emergency Drills'!$K$4:$K$100003,'Emergency Drills'!$D$4:$D$100003,"Nov"),0)</f>
        <v>0</v>
      </c>
      <c r="BV22" s="22">
        <f>SUMIFS('Internal Audits'!$M$4:$M$100003,'Internal Audits'!$D$4:$D$100003,"Nov",'Internal Audits'!$G$4:$G$100003,dCrit)</f>
        <v>0</v>
      </c>
      <c r="BW22" s="22">
        <f>SUMIFS('External Audits'!$M$4:$M$100003,'External Audits'!$D$4:$D$100003,"Nov",'External Audits'!$G$4:$G$100003,dCrit)</f>
        <v>0</v>
      </c>
      <c r="BX22" s="22">
        <f>SUMIFS('Management Reviews'!$K$4:$K$100003,'Management Reviews'!$D$4:$D$100003,"Nov")</f>
        <v>0</v>
      </c>
      <c r="BY22" s="22">
        <f>SUMIFS('Management Reviews'!$L$4:$L$100003,'Management Reviews'!$D$4:$D$100003,"Nov")</f>
        <v>0</v>
      </c>
      <c r="BZ22" s="22">
        <f>SUMIFS('Stop Work Authority'!$J$4:$J$100003,'Stop Work Authority'!$D$4:$D$100003,"Nov",'Stop Work Authority'!$F$4:$F$100003,dCrit)</f>
        <v>0</v>
      </c>
      <c r="CA22" s="22">
        <f>SUMIFS('Training'!$M$4:$M$100003,'Training'!$D$4:$D$100003,"Nov",'Training'!$G$4:$G$100003,dCrit)</f>
        <v>0</v>
      </c>
      <c r="CB22" s="22">
        <f>SUMIFS('Workplace Inspections'!$J$4:$J$100003,'Workplace Inspections'!$D$4:$D$100003,"Nov",'Workplace Inspections'!$F$4:$F$100003,dCrit)</f>
        <v>0</v>
      </c>
      <c r="CC22" s="22">
        <f>COUNTIFS('Corrective Actions'!$O$4:$O$100003,"On-Time",'Corrective Actions'!$D$4:$D$100003,"Nov",'Corrective Actions'!$F$4:$F$100003,dCrit)</f>
        <v>0</v>
      </c>
      <c r="CD22" s="22">
        <f>COUNTIFS('Corrective Actions'!$O$4:$O$100003,"Delayed",'Corrective Actions'!$D$4:$D$100003,"Nov",'Corrective Actions'!$F$4:$F$100003,dCrit)</f>
        <v>0</v>
      </c>
      <c r="CE22" s="22">
        <f>COUNTIFS('JSA Risk Assessment'!$J$4:$J$100003,"Critical",'JSA Risk Assessment'!$D$4:$D$100003,"Nov",'JSA Risk Assessment'!$F$4:$F$100003,dCrit)</f>
        <v>0</v>
      </c>
      <c r="CF22" s="22">
        <f>COUNTIFS('JSA Risk Assessment'!$J$4:$J$100003,"High",'JSA Risk Assessment'!$D$4:$D$100003,"Nov",'JSA Risk Assessment'!$F$4:$F$100003,dCrit)</f>
        <v>0</v>
      </c>
      <c r="CG22" s="22">
        <f>COUNTIFS('JSA Risk Assessment'!$J$4:$J$100003,"Medium",'JSA Risk Assessment'!$D$4:$D$100003,"Nov",'JSA Risk Assessment'!$F$4:$F$100003,dCrit)</f>
        <v>0</v>
      </c>
      <c r="CH22" s="22">
        <f>COUNTIFS('JSA Risk Assessment'!$J$4:$J$100003,"Low",'JSA Risk Assessment'!$D$4:$D$100003,"Nov",'JSA Risk Assessment'!$F$4:$F$100003,dCrit)</f>
        <v>0</v>
      </c>
      <c r="CI22" s="23">
        <f>IFERROR($F$22*TRIRmult/Settings!$C$23,0)</f>
        <v>0</v>
      </c>
      <c r="CJ22" s="23">
        <f>IFERROR($G$22*LTIFRmult/Settings!$C$23,0)</f>
        <v>0</v>
      </c>
      <c r="CK22" s="23">
        <f>BenchTRIR</f>
        <v>0</v>
      </c>
      <c r="CL22" s="23">
        <f>BenchLTIFR</f>
        <v>0</v>
      </c>
      <c r="CM22" s="25">
        <f>IFERROR($BK$22/$BJ$22*100,0)</f>
        <v>0</v>
      </c>
      <c r="CN22" s="22">
        <f>$V$22+$R$22+$T$22+$W$22+$X$22+$AA$22+$Y$22+$AE$22+$AD$22</f>
        <v>0</v>
      </c>
      <c r="CO22" s="22">
        <f>$O$22+$BP$22+$P$22</f>
        <v>0</v>
      </c>
      <c r="CP22" s="23">
        <f>IFERROR($CN$22/$CO$22,0)</f>
        <v>0</v>
      </c>
      <c r="DI22" s="13" t="s">
        <v>1858</v>
      </c>
      <c r="DJ22" s="23" t="s">
        <v>1852</v>
      </c>
      <c r="DK22" s="25">
        <f>IFERROR(SUMPRODUCT(Calculations!$BQ$12:$BQ$23,Calculations!$D$12:$D$23)/SUMPRODUCT(Calculations!$BP$12:$BP$23,Calculations!$D$12:$D$23),0)*100</f>
        <v>0</v>
      </c>
      <c r="DL22" s="25">
        <f>IFERROR(SUMPRODUCT(Calculations!$BQ$12:$BQ$23,Calculations!$E$12:$E$23)/SUMPRODUCT(Calculations!$BP$12:$BP$23,Calculations!$E$12:$E$23),0)*100</f>
        <v>0</v>
      </c>
      <c r="DM22" s="25">
        <f>IFERROR(($DK$22-$DL$22)/$DL$22,IF($DK$22&gt;0,1,0))</f>
        <v>0</v>
      </c>
      <c r="DN22" s="23">
        <f>($DK$22-$DL$22)*1</f>
        <v>0</v>
      </c>
      <c r="DO22" s="25">
        <f>TgtCloseout*100</f>
        <v>0</v>
      </c>
      <c r="DP22" s="23">
        <f>IFERROR(IF($DK$22&gt;=$DO$22,2,IF($DK$22&gt;=$DO$22*AmberBand,1,0)),1)</f>
        <v>0</v>
      </c>
      <c r="DR22" s="13" t="s">
        <v>777</v>
      </c>
      <c r="DS22" s="22">
        <f>SUMPRODUCT(Calculations!$T$12:$T$23,Calculations!$D$12:$D$23)</f>
        <v>0</v>
      </c>
      <c r="DU22" s="23" t="s">
        <v>122</v>
      </c>
      <c r="DV22" s="22">
        <f>COUNTIFS('Incident'!$D$4:$D$100003,"Dec",'Incident'!$H$4:$H$100003,dCrit)</f>
        <v>0</v>
      </c>
      <c r="DX22" s="23">
        <f>IFERROR($BQ$22/$BP$22*100,0)</f>
        <v>0</v>
      </c>
      <c r="DY22" s="23">
        <f>IFERROR($BK$22/$BJ$22*100,0)</f>
        <v>0</v>
      </c>
      <c r="DZ22" s="23">
        <f>IFERROR($AI$22/$AJ$22*100,0)</f>
        <v>0</v>
      </c>
      <c r="EA22" s="23">
        <f>IFERROR($AK$22/$AD$22*100,0)</f>
        <v>0</v>
      </c>
      <c r="EB22" s="23">
        <f>IFERROR($S$22/$R$22*100,0)</f>
        <v>0</v>
      </c>
      <c r="EC22" s="23">
        <f>IFERROR($U$22/$T$22*100,0)</f>
        <v>0</v>
      </c>
      <c r="ED22" s="23">
        <f>IFERROR($AM$22/$AL$22*100,0)</f>
        <v>0</v>
      </c>
      <c r="EE22" s="23">
        <f>IFERROR($AR$22/$AQ$22*100,0)</f>
        <v>0</v>
      </c>
      <c r="EF22" s="23">
        <f>IFERROR($AU$22/$AT$22*100,0)</f>
        <v>0</v>
      </c>
      <c r="EG22" s="23">
        <f>IFERROR($AW$22/$AV$22*100,0)</f>
        <v>0</v>
      </c>
      <c r="EH22" s="23">
        <f>IFERROR($BD$22/$BC$22*100,0)</f>
        <v>0</v>
      </c>
      <c r="EI22" s="23">
        <f>IFERROR($BF$22/$BG$22*100,0)</f>
        <v>0</v>
      </c>
      <c r="EJ22" s="23">
        <f>IFERROR($Z$22/$Y$22*100,0)</f>
        <v>0</v>
      </c>
      <c r="EK22" s="23">
        <f>IFERROR($AC$22/$AB$22*100,0)</f>
        <v>0</v>
      </c>
      <c r="EL22" s="23">
        <f>IFERROR($BM$22/$BL$22*100,0)</f>
        <v>0</v>
      </c>
      <c r="EM22" s="23">
        <f>IFERROR($BO$22/$BN$22*100,0)</f>
        <v>0</v>
      </c>
    </row>
    <row r="23" spans="2:143">
      <c r="B23" s="23" t="s">
        <v>122</v>
      </c>
      <c r="C23" s="23">
        <v>12</v>
      </c>
      <c r="D23" s="23">
        <f>IF(Calculations!$C$10=1,IF(ROUNDUP($C$23/3,0)=Calculations!$F$10,1,0),IF($C$23=Calculations!$I$10,1,0))</f>
        <v>0</v>
      </c>
      <c r="E23" s="23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Observations'!$M$4:$M$100003,"Completed",'HSE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Actions'!$N$4:$N$100003,"Completed",'Corrective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Inspections'!$M$4:$M$100003,"Completed",'Workplace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Acts'!$M$4:$M$100003,"Completed",'Unsafe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Conditions'!$M$4:$M$100003,"Completed",'Unsafe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2">
        <f>COUNTIFS('HSE Observations'!$E$4:$E$100003,"Safe Act",'HSE Observations'!$D$4:$D$100003,"Dec",'HSE Observations'!$G$4:$G$100003,dCrit)+COUNTIFS('HSE Observations'!$E$4:$E$100003,"Safe Condition",'HSE Observations'!$D$4:$D$100003,"Dec",'HSE Observations'!$G$4:$G$100003,dCrit)</f>
        <v>0</v>
      </c>
      <c r="BS23" s="22">
        <f>COUNTIFS('HSE Observations'!$E$4:$E$100003,"Unsafe Act",'HSE Observations'!$D$4:$D$100003,"Dec",'HSE Observations'!$G$4:$G$100003,dCrit)+COUNTIFS('HSE Observations'!$E$4:$E$100003,"Unsafe Condition",'HSE Observations'!$D$4:$D$100003,"Dec",'HSE Observations'!$G$4:$G$100003,dCrit)</f>
        <v>0</v>
      </c>
      <c r="BT23" s="22">
        <f>IFERROR(AVERAGEIFS('Emergency Drills'!$L$4:$L$100003,'Emergency Drills'!$D$4:$D$100003,"Dec"),0)</f>
        <v>0</v>
      </c>
      <c r="BU23" s="22">
        <f>IFERROR(AVERAGEIFS('Emergency Drills'!$K$4:$K$100003,'Emergency Drills'!$D$4:$D$100003,"Dec"),0)</f>
        <v>0</v>
      </c>
      <c r="BV23" s="22">
        <f>SUMIFS('Internal Audits'!$M$4:$M$100003,'Internal Audits'!$D$4:$D$100003,"Dec",'Internal Audits'!$G$4:$G$100003,dCrit)</f>
        <v>0</v>
      </c>
      <c r="BW23" s="22">
        <f>SUMIFS('External Audits'!$M$4:$M$100003,'External Audits'!$D$4:$D$100003,"Dec",'External Audits'!$G$4:$G$100003,dCrit)</f>
        <v>0</v>
      </c>
      <c r="BX23" s="22">
        <f>SUMIFS('Management Reviews'!$K$4:$K$100003,'Management Reviews'!$D$4:$D$100003,"Dec")</f>
        <v>0</v>
      </c>
      <c r="BY23" s="22">
        <f>SUMIFS('Management Reviews'!$L$4:$L$100003,'Management Reviews'!$D$4:$D$100003,"Dec")</f>
        <v>0</v>
      </c>
      <c r="BZ23" s="22">
        <f>SUMIFS('Stop Work Authority'!$J$4:$J$100003,'Stop Work Authority'!$D$4:$D$100003,"Dec",'Stop Work Authority'!$F$4:$F$100003,dCrit)</f>
        <v>0</v>
      </c>
      <c r="CA23" s="22">
        <f>SUMIFS('Training'!$M$4:$M$100003,'Training'!$D$4:$D$100003,"Dec",'Training'!$G$4:$G$100003,dCrit)</f>
        <v>0</v>
      </c>
      <c r="CB23" s="22">
        <f>SUMIFS('Workplace Inspections'!$J$4:$J$100003,'Workplace Inspections'!$D$4:$D$100003,"Dec",'Workplace Inspections'!$F$4:$F$100003,dCrit)</f>
        <v>0</v>
      </c>
      <c r="CC23" s="22">
        <f>COUNTIFS('Corrective Actions'!$O$4:$O$100003,"On-Time",'Corrective Actions'!$D$4:$D$100003,"Dec",'Corrective Actions'!$F$4:$F$100003,dCrit)</f>
        <v>0</v>
      </c>
      <c r="CD23" s="22">
        <f>COUNTIFS('Corrective Actions'!$O$4:$O$100003,"Delayed",'Corrective Actions'!$D$4:$D$100003,"Dec",'Corrective Actions'!$F$4:$F$100003,dCrit)</f>
        <v>0</v>
      </c>
      <c r="CE23" s="22">
        <f>COUNTIFS('JSA Risk Assessment'!$J$4:$J$100003,"Critical",'JSA Risk Assessment'!$D$4:$D$100003,"Dec",'JSA Risk Assessment'!$F$4:$F$100003,dCrit)</f>
        <v>0</v>
      </c>
      <c r="CF23" s="22">
        <f>COUNTIFS('JSA Risk Assessment'!$J$4:$J$100003,"High",'JSA Risk Assessment'!$D$4:$D$100003,"Dec",'JSA Risk Assessment'!$F$4:$F$100003,dCrit)</f>
        <v>0</v>
      </c>
      <c r="CG23" s="22">
        <f>COUNTIFS('JSA Risk Assessment'!$J$4:$J$100003,"Medium",'JSA Risk Assessment'!$D$4:$D$100003,"Dec",'JSA Risk Assessment'!$F$4:$F$100003,dCrit)</f>
        <v>0</v>
      </c>
      <c r="CH23" s="22">
        <f>COUNTIFS('JSA Risk Assessment'!$J$4:$J$100003,"Low",'JSA Risk Assessment'!$D$4:$D$100003,"Dec",'JSA Risk Assessment'!$F$4:$F$100003,dCrit)</f>
        <v>0</v>
      </c>
      <c r="CI23" s="23">
        <f>IFERROR($F$23*TRIRmult/Settings!$C$24,0)</f>
        <v>0</v>
      </c>
      <c r="CJ23" s="23">
        <f>IFERROR($G$23*LTIFRmult/Settings!$C$24,0)</f>
        <v>0</v>
      </c>
      <c r="CK23" s="23">
        <f>BenchTRIR</f>
        <v>0</v>
      </c>
      <c r="CL23" s="23">
        <f>BenchLTIFR</f>
        <v>0</v>
      </c>
      <c r="CM23" s="25">
        <f>IFERROR($BK$23/$BJ$23*100,0)</f>
        <v>0</v>
      </c>
      <c r="CN23" s="22">
        <f>$V$23+$R$23+$T$23+$W$23+$X$23+$AA$23+$Y$23+$AE$23+$AD$23</f>
        <v>0</v>
      </c>
      <c r="CO23" s="22">
        <f>$O$23+$BP$23+$P$23</f>
        <v>0</v>
      </c>
      <c r="CP23" s="23">
        <f>IFERROR($CN$23/$CO$23,0)</f>
        <v>0</v>
      </c>
      <c r="DI23" s="13" t="s">
        <v>1859</v>
      </c>
      <c r="DJ23" s="23" t="s">
        <v>1852</v>
      </c>
      <c r="DK23" s="25">
        <f>IFERROR(SUMPRODUCT(Calculations!$BK$12:$BK$23,Calculations!$D$12:$D$23)/SUMPRODUCT(Calculations!$BJ$12:$BJ$23,Calculations!$D$12:$D$23),0)*100</f>
        <v>0</v>
      </c>
      <c r="DL23" s="25">
        <f>IFERROR(SUMPRODUCT(Calculations!$BK$12:$BK$23,Calculations!$E$12:$E$23)/SUMPRODUCT(Calculations!$BJ$12:$BJ$23,Calculations!$E$12:$E$23),0)*100</f>
        <v>0</v>
      </c>
      <c r="DM23" s="25">
        <f>IFERROR(($DK$23-$DL$23)/$DL$23,IF($DK$23&gt;0,1,0))</f>
        <v>0</v>
      </c>
      <c r="DN23" s="23">
        <f>($DK$23-$DL$23)*-1</f>
        <v>0</v>
      </c>
      <c r="DO23" s="25">
        <f>TgtAlcoholPositive*100</f>
        <v>0</v>
      </c>
      <c r="DP23" s="23">
        <f>IFERROR(IF($DK$23&lt;=$DO$23,2,IF($DK$23&lt;=$DO$23/AmberBand,1,0)),1)</f>
        <v>0</v>
      </c>
      <c r="DR23" s="13" t="s">
        <v>1892</v>
      </c>
      <c r="DS23" s="22">
        <f>SUMPRODUCT(Calculations!$W$12:$W$23,Calculations!$D$12:$D$23)</f>
        <v>0</v>
      </c>
      <c r="DX23" s="23">
        <f>IFERROR($BQ$23/$BP$23*100,0)</f>
        <v>0</v>
      </c>
      <c r="DY23" s="23">
        <f>IFERROR($BK$23/$BJ$23*100,0)</f>
        <v>0</v>
      </c>
      <c r="DZ23" s="23">
        <f>IFERROR($AI$23/$AJ$23*100,0)</f>
        <v>0</v>
      </c>
      <c r="EA23" s="23">
        <f>IFERROR($AK$23/$AD$23*100,0)</f>
        <v>0</v>
      </c>
      <c r="EB23" s="23">
        <f>IFERROR($S$23/$R$23*100,0)</f>
        <v>0</v>
      </c>
      <c r="EC23" s="23">
        <f>IFERROR($U$23/$T$23*100,0)</f>
        <v>0</v>
      </c>
      <c r="ED23" s="23">
        <f>IFERROR($AM$23/$AL$23*100,0)</f>
        <v>0</v>
      </c>
      <c r="EE23" s="23">
        <f>IFERROR($AR$23/$AQ$23*100,0)</f>
        <v>0</v>
      </c>
      <c r="EF23" s="23">
        <f>IFERROR($AU$23/$AT$23*100,0)</f>
        <v>0</v>
      </c>
      <c r="EG23" s="23">
        <f>IFERROR($AW$23/$AV$23*100,0)</f>
        <v>0</v>
      </c>
      <c r="EH23" s="23">
        <f>IFERROR($BD$23/$BC$23*100,0)</f>
        <v>0</v>
      </c>
      <c r="EI23" s="23">
        <f>IFERROR($BF$23/$BG$23*100,0)</f>
        <v>0</v>
      </c>
      <c r="EJ23" s="23">
        <f>IFERROR($Z$23/$Y$23*100,0)</f>
        <v>0</v>
      </c>
      <c r="EK23" s="23">
        <f>IFERROR($AC$23/$AB$23*100,0)</f>
        <v>0</v>
      </c>
      <c r="EL23" s="23">
        <f>IFERROR($BM$23/$BL$23*100,0)</f>
        <v>0</v>
      </c>
      <c r="EM23" s="23">
        <f>IFERROR($BO$23/$BN$23*100,0)</f>
        <v>0</v>
      </c>
    </row>
    <row r="24" spans="2:143">
      <c r="DI24" s="13" t="s">
        <v>1701</v>
      </c>
      <c r="DJ24" s="23" t="s">
        <v>1860</v>
      </c>
      <c r="DK24" s="22">
        <f>SUMPRODUCT(Calculations!$V$12:$V$23,Calculations!$D$12:$D$23)</f>
        <v>0</v>
      </c>
      <c r="DL24" s="22">
        <f>SUMPRODUCT(Calculations!$V$12:$V$23,Calculations!$E$12:$E$23)</f>
        <v>0</v>
      </c>
      <c r="DM24" s="25">
        <f>IFERROR(($DK$24-$DL$24)/$DL$24,IF($DK$24&gt;0,1,0))</f>
        <v>0</v>
      </c>
      <c r="DN24" s="23">
        <f>($DK$24-$DL$24)*1</f>
        <v>0</v>
      </c>
      <c r="DO24" s="22">
        <f>IFERROR(AVERAGE(Calculations!$V$12:$V$23)*SUM(Calculations!$D$12:$D$23),0)</f>
        <v>0</v>
      </c>
      <c r="DP24" s="23">
        <f>IFERROR(IF($DK$24&gt;=$DO$24,2,IF($DK$24&gt;=$DO$24*AmberBand,1,0)),1)</f>
        <v>0</v>
      </c>
      <c r="DR24" s="13" t="s">
        <v>1893</v>
      </c>
      <c r="DS24" s="22">
        <f>SUMPRODUCT(Calculations!$X$12:$X$23,Calculations!$D$12:$D$23)</f>
        <v>0</v>
      </c>
    </row>
    <row r="25" spans="2:143">
      <c r="CQ25" s="12" t="s">
        <v>1844</v>
      </c>
      <c r="CR25" s="12" t="s">
        <v>1845</v>
      </c>
      <c r="CS25" s="12" t="s">
        <v>1846</v>
      </c>
      <c r="CU25" s="12" t="s">
        <v>1844</v>
      </c>
      <c r="CV25" s="12" t="s">
        <v>1845</v>
      </c>
      <c r="CW25" s="12" t="s">
        <v>1846</v>
      </c>
      <c r="CY25" s="12" t="s">
        <v>1844</v>
      </c>
      <c r="CZ25" s="12" t="s">
        <v>1845</v>
      </c>
      <c r="DA25" s="12" t="s">
        <v>1846</v>
      </c>
      <c r="DC25" s="12" t="s">
        <v>1844</v>
      </c>
      <c r="DD25" s="12" t="s">
        <v>1845</v>
      </c>
      <c r="DE25" s="12" t="s">
        <v>1846</v>
      </c>
      <c r="DI25" s="13" t="s">
        <v>1861</v>
      </c>
      <c r="DJ25" s="23" t="s">
        <v>1860</v>
      </c>
      <c r="DK25" s="25">
        <f>IFERROR(SUMPRODUCT(Calculations!$AI$12:$AI$23,Calculations!$D$12:$D$23)/SUMPRODUCT(Calculations!$AJ$12:$AJ$23,Calculations!$D$12:$D$23),0)*100</f>
        <v>0</v>
      </c>
      <c r="DL25" s="25">
        <f>IFERROR(SUMPRODUCT(Calculations!$AI$12:$AI$23,Calculations!$E$12:$E$23)/SUMPRODUCT(Calculations!$AJ$12:$AJ$23,Calculations!$E$12:$E$23),0)*100</f>
        <v>0</v>
      </c>
      <c r="DM25" s="25">
        <f>IFERROR(($DK$25-$DL$25)/$DL$25,IF($DK$25&gt;0,1,0))</f>
        <v>0</v>
      </c>
      <c r="DN25" s="23">
        <f>($DK$25-$DL$25)*1</f>
        <v>0</v>
      </c>
      <c r="DO25" s="25">
        <f>TgtAttendance*100</f>
        <v>0</v>
      </c>
      <c r="DP25" s="23">
        <f>IFERROR(IF($DK$25&gt;=$DO$25,2,IF($DK$25&gt;=$DO$25*AmberBand,1,0)),1)</f>
        <v>0</v>
      </c>
      <c r="DR25" s="13" t="s">
        <v>1894</v>
      </c>
      <c r="DS25" s="22">
        <f>SUMPRODUCT(Calculations!$AA$12:$AA$23,Calculations!$D$12:$D$23)</f>
        <v>0</v>
      </c>
    </row>
    <row r="26" spans="2:143">
      <c r="CQ26" s="23" t="s">
        <v>3</v>
      </c>
      <c r="CR26" s="22">
        <f>$AJ$12</f>
        <v>0</v>
      </c>
      <c r="CS26" s="22">
        <f>$AI$12</f>
        <v>0</v>
      </c>
      <c r="CU26" s="23" t="s">
        <v>3</v>
      </c>
      <c r="CV26" s="22">
        <f>$AT$12</f>
        <v>0</v>
      </c>
      <c r="CW26" s="22">
        <f>$AU$12</f>
        <v>0</v>
      </c>
      <c r="CY26" s="23" t="s">
        <v>3</v>
      </c>
      <c r="CZ26" s="22">
        <f>$AV$12</f>
        <v>0</v>
      </c>
      <c r="DA26" s="22">
        <f>$AW$12</f>
        <v>0</v>
      </c>
      <c r="DC26" s="23" t="s">
        <v>3</v>
      </c>
      <c r="DD26" s="22">
        <f>$BG$12</f>
        <v>0</v>
      </c>
      <c r="DE26" s="22">
        <f>$BF$12</f>
        <v>0</v>
      </c>
      <c r="DI26" s="13" t="s">
        <v>1862</v>
      </c>
      <c r="DJ26" s="23" t="s">
        <v>1860</v>
      </c>
      <c r="DK26" s="22">
        <f>SUMPRODUCT(Calculations!$AD$12:$AD$23,Calculations!$D$12:$D$23)</f>
        <v>0</v>
      </c>
      <c r="DL26" s="22">
        <f>SUMPRODUCT(Calculations!$AD$12:$AD$23,Calculations!$E$12:$E$23)</f>
        <v>0</v>
      </c>
      <c r="DM26" s="25">
        <f>IFERROR(($DK$26-$DL$26)/$DL$26,IF($DK$26&gt;0,1,0))</f>
        <v>0</v>
      </c>
      <c r="DN26" s="23">
        <f>($DK$26-$DL$26)*1</f>
        <v>0</v>
      </c>
      <c r="DO26" s="22">
        <f>IFERROR(AVERAGE(Calculations!$AD$12:$AD$23)*SUM(Calculations!$D$12:$D$23),0)</f>
        <v>0</v>
      </c>
      <c r="DP26" s="23">
        <f>IFERROR(IF($DK$26&gt;=$DO$26,2,IF($DK$26&gt;=$DO$26*AmberBand,1,0)),1)</f>
        <v>0</v>
      </c>
      <c r="DR26" s="13" t="s">
        <v>1720</v>
      </c>
      <c r="DS26" s="22">
        <f>SUMPRODUCT(Calculations!$Y$12:$Y$23,Calculations!$D$12:$D$23)</f>
        <v>0</v>
      </c>
    </row>
    <row r="27" spans="2:143">
      <c r="CQ27" s="23" t="s">
        <v>19</v>
      </c>
      <c r="CR27" s="22">
        <f>$AJ$13</f>
        <v>0</v>
      </c>
      <c r="CS27" s="22">
        <f>$AI$13</f>
        <v>0</v>
      </c>
      <c r="CU27" s="23" t="s">
        <v>19</v>
      </c>
      <c r="CV27" s="22">
        <f>$AT$13</f>
        <v>0</v>
      </c>
      <c r="CW27" s="22">
        <f>$AU$13</f>
        <v>0</v>
      </c>
      <c r="CY27" s="23" t="s">
        <v>19</v>
      </c>
      <c r="CZ27" s="22">
        <f>$AV$13</f>
        <v>0</v>
      </c>
      <c r="DA27" s="22">
        <f>$AW$13</f>
        <v>0</v>
      </c>
      <c r="DC27" s="23" t="s">
        <v>19</v>
      </c>
      <c r="DD27" s="22">
        <f>$BG$13</f>
        <v>0</v>
      </c>
      <c r="DE27" s="22">
        <f>$BF$13</f>
        <v>0</v>
      </c>
      <c r="DI27" s="13" t="s">
        <v>1863</v>
      </c>
      <c r="DJ27" s="23" t="s">
        <v>1860</v>
      </c>
      <c r="DK27" s="25">
        <f>IFERROR(SUMPRODUCT(Calculations!$AK$12:$AK$23,Calculations!$D$12:$D$23)/SUMPRODUCT(Calculations!$AD$12:$AD$23,Calculations!$D$12:$D$23),0)*100</f>
        <v>0</v>
      </c>
      <c r="DL27" s="25">
        <f>IFERROR(SUMPRODUCT(Calculations!$AK$12:$AK$23,Calculations!$E$12:$E$23)/SUMPRODUCT(Calculations!$AD$12:$AD$23,Calculations!$E$12:$E$23),0)*100</f>
        <v>0</v>
      </c>
      <c r="DM27" s="25">
        <f>IFERROR(($DK$27-$DL$27)/$DL$27,IF($DK$27&gt;0,1,0))</f>
        <v>0</v>
      </c>
      <c r="DN27" s="23">
        <f>($DK$27-$DL$27)*1</f>
        <v>0</v>
      </c>
      <c r="DO27" s="25">
        <f>TgtCloseout*100</f>
        <v>0</v>
      </c>
      <c r="DP27" s="23">
        <f>IFERROR(IF($DK$27&gt;=$DO$27,2,IF($DK$27&gt;=$DO$27*AmberBand,1,0)),1)</f>
        <v>0</v>
      </c>
      <c r="DR27" s="13" t="s">
        <v>1895</v>
      </c>
      <c r="DS27" s="22">
        <f>SUMPRODUCT(Calculations!$AE$12:$AE$23,Calculations!$D$12:$D$23)</f>
        <v>0</v>
      </c>
    </row>
    <row r="28" spans="2:143">
      <c r="CQ28" s="23" t="s">
        <v>44</v>
      </c>
      <c r="CR28" s="22">
        <f>$AJ$14</f>
        <v>0</v>
      </c>
      <c r="CS28" s="22">
        <f>$AI$14</f>
        <v>0</v>
      </c>
      <c r="CU28" s="23" t="s">
        <v>44</v>
      </c>
      <c r="CV28" s="22">
        <f>$AT$14</f>
        <v>0</v>
      </c>
      <c r="CW28" s="22">
        <f>$AU$14</f>
        <v>0</v>
      </c>
      <c r="CY28" s="23" t="s">
        <v>44</v>
      </c>
      <c r="CZ28" s="22">
        <f>$AV$14</f>
        <v>0</v>
      </c>
      <c r="DA28" s="22">
        <f>$AW$14</f>
        <v>0</v>
      </c>
      <c r="DC28" s="23" t="s">
        <v>44</v>
      </c>
      <c r="DD28" s="22">
        <f>$BG$14</f>
        <v>0</v>
      </c>
      <c r="DE28" s="22">
        <f>$BF$14</f>
        <v>0</v>
      </c>
      <c r="DI28" s="13" t="s">
        <v>1864</v>
      </c>
      <c r="DJ28" s="23" t="s">
        <v>1860</v>
      </c>
      <c r="DK28" s="22">
        <f>SUMPRODUCT(Calculations!$R$12:$R$23,Calculations!$D$12:$D$23)</f>
        <v>0</v>
      </c>
      <c r="DL28" s="22">
        <f>SUMPRODUCT(Calculations!$R$12:$R$23,Calculations!$E$12:$E$23)</f>
        <v>0</v>
      </c>
      <c r="DM28" s="25">
        <f>IFERROR(($DK$28-$DL$28)/$DL$28,IF($DK$28&gt;0,1,0))</f>
        <v>0</v>
      </c>
      <c r="DN28" s="23">
        <f>($DK$28-$DL$28)*1</f>
        <v>0</v>
      </c>
      <c r="DO28" s="22">
        <f>IFERROR(AVERAGE(Calculations!$R$12:$R$23)*SUM(Calculations!$D$12:$D$23),0)</f>
        <v>0</v>
      </c>
      <c r="DP28" s="23">
        <f>IFERROR(IF($DK$28&gt;=$DO$28,2,IF($DK$28&gt;=$DO$28*AmberBand,1,0)),1)</f>
        <v>0</v>
      </c>
      <c r="DR28" s="13" t="s">
        <v>143</v>
      </c>
      <c r="DS28" s="22">
        <f>SUMPRODUCT(Calculations!$AD$12:$AD$23,Calculations!$D$12:$D$23)</f>
        <v>0</v>
      </c>
    </row>
    <row r="29" spans="2:143">
      <c r="CQ29" s="23" t="s">
        <v>53</v>
      </c>
      <c r="CR29" s="22">
        <f>$AJ$15</f>
        <v>0</v>
      </c>
      <c r="CS29" s="22">
        <f>$AI$15</f>
        <v>0</v>
      </c>
      <c r="CU29" s="23" t="s">
        <v>53</v>
      </c>
      <c r="CV29" s="22">
        <f>$AT$15</f>
        <v>0</v>
      </c>
      <c r="CW29" s="22">
        <f>$AU$15</f>
        <v>0</v>
      </c>
      <c r="CY29" s="23" t="s">
        <v>53</v>
      </c>
      <c r="CZ29" s="22">
        <f>$AV$15</f>
        <v>0</v>
      </c>
      <c r="DA29" s="22">
        <f>$AW$15</f>
        <v>0</v>
      </c>
      <c r="DC29" s="23" t="s">
        <v>53</v>
      </c>
      <c r="DD29" s="22">
        <f>$BG$15</f>
        <v>0</v>
      </c>
      <c r="DE29" s="22">
        <f>$BF$15</f>
        <v>0</v>
      </c>
      <c r="DI29" s="13" t="s">
        <v>1865</v>
      </c>
      <c r="DJ29" s="23" t="s">
        <v>1860</v>
      </c>
      <c r="DK29" s="25">
        <f>IFERROR(SUMPRODUCT(Calculations!$S$12:$S$23,Calculations!$D$12:$D$23)/SUMPRODUCT(Calculations!$R$12:$R$23,Calculations!$D$12:$D$23),0)*100</f>
        <v>0</v>
      </c>
      <c r="DL29" s="25">
        <f>IFERROR(SUMPRODUCT(Calculations!$S$12:$S$23,Calculations!$E$12:$E$23)/SUMPRODUCT(Calculations!$R$12:$R$23,Calculations!$E$12:$E$23),0)*100</f>
        <v>0</v>
      </c>
      <c r="DM29" s="25">
        <f>IFERROR(($DK$29-$DL$29)/$DL$29,IF($DK$29&gt;0,1,0))</f>
        <v>0</v>
      </c>
      <c r="DN29" s="23">
        <f>($DK$29-$DL$29)*1</f>
        <v>0</v>
      </c>
      <c r="DO29" s="25">
        <f>TgtTrain*100</f>
        <v>0</v>
      </c>
      <c r="DP29" s="23">
        <f>IFERROR(IF($DK$29&gt;=$DO$29,2,IF($DK$29&gt;=$DO$29*AmberBand,1,0)),1)</f>
        <v>0</v>
      </c>
    </row>
    <row r="30" spans="2:143">
      <c r="CQ30" s="23" t="s">
        <v>60</v>
      </c>
      <c r="CR30" s="22">
        <f>$AJ$16</f>
        <v>0</v>
      </c>
      <c r="CS30" s="22">
        <f>$AI$16</f>
        <v>0</v>
      </c>
      <c r="CU30" s="23" t="s">
        <v>60</v>
      </c>
      <c r="CV30" s="22">
        <f>$AT$16</f>
        <v>0</v>
      </c>
      <c r="CW30" s="22">
        <f>$AU$16</f>
        <v>0</v>
      </c>
      <c r="CY30" s="23" t="s">
        <v>60</v>
      </c>
      <c r="CZ30" s="22">
        <f>$AV$16</f>
        <v>0</v>
      </c>
      <c r="DA30" s="22">
        <f>$AW$16</f>
        <v>0</v>
      </c>
      <c r="DC30" s="23" t="s">
        <v>60</v>
      </c>
      <c r="DD30" s="22">
        <f>$BG$16</f>
        <v>0</v>
      </c>
      <c r="DE30" s="22">
        <f>$BF$16</f>
        <v>0</v>
      </c>
      <c r="DI30" s="13" t="s">
        <v>1705</v>
      </c>
      <c r="DJ30" s="23" t="s">
        <v>1860</v>
      </c>
      <c r="DK30" s="22">
        <f>SUMPRODUCT(Calculations!$T$12:$T$23,Calculations!$D$12:$D$23)</f>
        <v>0</v>
      </c>
      <c r="DL30" s="22">
        <f>SUMPRODUCT(Calculations!$T$12:$T$23,Calculations!$E$12:$E$23)</f>
        <v>0</v>
      </c>
      <c r="DM30" s="25">
        <f>IFERROR(($DK$30-$DL$30)/$DL$30,IF($DK$30&gt;0,1,0))</f>
        <v>0</v>
      </c>
      <c r="DN30" s="23">
        <f>($DK$30-$DL$30)*1</f>
        <v>0</v>
      </c>
      <c r="DO30" s="22">
        <f>IFERROR(AVERAGE(Calculations!$T$12:$T$23)*SUM(Calculations!$D$12:$D$23),0)</f>
        <v>0</v>
      </c>
      <c r="DP30" s="23">
        <f>IFERROR(IF($DK$30&gt;=$DO$30,2,IF($DK$30&gt;=$DO$30*AmberBand,1,0)),1)</f>
        <v>0</v>
      </c>
      <c r="DR30" s="12" t="s">
        <v>1896</v>
      </c>
      <c r="DS30" s="12" t="s">
        <v>1887</v>
      </c>
    </row>
    <row r="31" spans="2:143">
      <c r="CQ31" s="23" t="s">
        <v>73</v>
      </c>
      <c r="CR31" s="22">
        <f>$AJ$17</f>
        <v>0</v>
      </c>
      <c r="CS31" s="22">
        <f>$AI$17</f>
        <v>0</v>
      </c>
      <c r="CU31" s="23" t="s">
        <v>73</v>
      </c>
      <c r="CV31" s="22">
        <f>$AT$17</f>
        <v>0</v>
      </c>
      <c r="CW31" s="22">
        <f>$AU$17</f>
        <v>0</v>
      </c>
      <c r="CY31" s="23" t="s">
        <v>73</v>
      </c>
      <c r="CZ31" s="22">
        <f>$AV$17</f>
        <v>0</v>
      </c>
      <c r="DA31" s="22">
        <f>$AW$17</f>
        <v>0</v>
      </c>
      <c r="DC31" s="23" t="s">
        <v>73</v>
      </c>
      <c r="DD31" s="22">
        <f>$BG$17</f>
        <v>0</v>
      </c>
      <c r="DE31" s="22">
        <f>$BF$17</f>
        <v>0</v>
      </c>
      <c r="DI31" s="13" t="s">
        <v>1866</v>
      </c>
      <c r="DJ31" s="23" t="s">
        <v>1860</v>
      </c>
      <c r="DK31" s="25">
        <f>IFERROR(SUMPRODUCT(Calculations!$U$12:$U$23,Calculations!$D$12:$D$23)/SUMPRODUCT(Calculations!$T$12:$T$23,Calculations!$D$12:$D$23),0)*100</f>
        <v>0</v>
      </c>
      <c r="DL31" s="25">
        <f>IFERROR(SUMPRODUCT(Calculations!$U$12:$U$23,Calculations!$E$12:$E$23)/SUMPRODUCT(Calculations!$T$12:$T$23,Calculations!$E$12:$E$23),0)*100</f>
        <v>0</v>
      </c>
      <c r="DM31" s="25">
        <f>IFERROR(($DK$31-$DL$31)/$DL$31,IF($DK$31&gt;0,1,0))</f>
        <v>0</v>
      </c>
      <c r="DN31" s="23">
        <f>($DK$31-$DL$31)*1</f>
        <v>0</v>
      </c>
      <c r="DO31" s="25">
        <f>TgtObs*100</f>
        <v>0</v>
      </c>
      <c r="DP31" s="23">
        <f>IFERROR(IF($DK$31&gt;=$DO$31,2,IF($DK$31&gt;=$DO$31*AmberBand,1,0)),1)</f>
        <v>0</v>
      </c>
      <c r="DR31" s="13" t="s">
        <v>1897</v>
      </c>
      <c r="DS31" s="22">
        <f>SUMPRODUCT(Calculations!$O$12:$O$23,Calculations!$D$12:$D$23)</f>
        <v>0</v>
      </c>
    </row>
    <row r="32" spans="2:143">
      <c r="CQ32" s="23" t="s">
        <v>76</v>
      </c>
      <c r="CR32" s="22">
        <f>$AJ$18</f>
        <v>0</v>
      </c>
      <c r="CS32" s="22">
        <f>$AI$18</f>
        <v>0</v>
      </c>
      <c r="CU32" s="23" t="s">
        <v>76</v>
      </c>
      <c r="CV32" s="22">
        <f>$AT$18</f>
        <v>0</v>
      </c>
      <c r="CW32" s="22">
        <f>$AU$18</f>
        <v>0</v>
      </c>
      <c r="CY32" s="23" t="s">
        <v>76</v>
      </c>
      <c r="CZ32" s="22">
        <f>$AV$18</f>
        <v>0</v>
      </c>
      <c r="DA32" s="22">
        <f>$AW$18</f>
        <v>0</v>
      </c>
      <c r="DC32" s="23" t="s">
        <v>76</v>
      </c>
      <c r="DD32" s="22">
        <f>$BG$18</f>
        <v>0</v>
      </c>
      <c r="DE32" s="22">
        <f>$BF$18</f>
        <v>0</v>
      </c>
      <c r="DI32" s="13" t="s">
        <v>1706</v>
      </c>
      <c r="DJ32" s="23" t="s">
        <v>1860</v>
      </c>
      <c r="DK32" s="22">
        <f>SUMPRODUCT(Calculations!$AL$12:$AL$23,Calculations!$D$12:$D$23)</f>
        <v>0</v>
      </c>
      <c r="DL32" s="22">
        <f>SUMPRODUCT(Calculations!$AL$12:$AL$23,Calculations!$E$12:$E$23)</f>
        <v>0</v>
      </c>
      <c r="DM32" s="25">
        <f>IFERROR(($DK$32-$DL$32)/$DL$32,IF($DK$32&gt;0,1,0))</f>
        <v>0</v>
      </c>
      <c r="DN32" s="23">
        <f>($DK$32-$DL$32)*1</f>
        <v>0</v>
      </c>
      <c r="DO32" s="22">
        <f>IFERROR(AVERAGE(Calculations!$AL$12:$AL$23)*SUM(Calculations!$D$12:$D$23),0)</f>
        <v>0</v>
      </c>
      <c r="DP32" s="23">
        <f>IFERROR(IF($DK$32&gt;=$DO$32,2,IF($DK$32&gt;=$DO$32*AmberBand,1,0)),1)</f>
        <v>0</v>
      </c>
      <c r="DR32" s="13" t="s">
        <v>1854</v>
      </c>
      <c r="DS32" s="22">
        <f>SUMPRODUCT(Calculations!$F$12:$F$23,Calculations!$D$12:$D$23)</f>
        <v>0</v>
      </c>
    </row>
    <row r="33" spans="95:125">
      <c r="CQ33" s="23" t="s">
        <v>86</v>
      </c>
      <c r="CR33" s="22">
        <f>$AJ$19</f>
        <v>0</v>
      </c>
      <c r="CS33" s="22">
        <f>$AI$19</f>
        <v>0</v>
      </c>
      <c r="CU33" s="23" t="s">
        <v>86</v>
      </c>
      <c r="CV33" s="22">
        <f>$AT$19</f>
        <v>0</v>
      </c>
      <c r="CW33" s="22">
        <f>$AU$19</f>
        <v>0</v>
      </c>
      <c r="CY33" s="23" t="s">
        <v>86</v>
      </c>
      <c r="CZ33" s="22">
        <f>$AV$19</f>
        <v>0</v>
      </c>
      <c r="DA33" s="22">
        <f>$AW$19</f>
        <v>0</v>
      </c>
      <c r="DC33" s="23" t="s">
        <v>86</v>
      </c>
      <c r="DD33" s="22">
        <f>$BG$19</f>
        <v>0</v>
      </c>
      <c r="DE33" s="22">
        <f>$BF$19</f>
        <v>0</v>
      </c>
      <c r="DI33" s="13" t="s">
        <v>1867</v>
      </c>
      <c r="DJ33" s="23" t="s">
        <v>1860</v>
      </c>
      <c r="DK33" s="25">
        <f>IFERROR(SUMPRODUCT(Calculations!$AM$12:$AM$23,Calculations!$D$12:$D$23)/SUMPRODUCT(Calculations!$AL$12:$AL$23,Calculations!$D$12:$D$23),0)*100</f>
        <v>0</v>
      </c>
      <c r="DL33" s="25">
        <f>IFERROR(SUMPRODUCT(Calculations!$AM$12:$AM$23,Calculations!$E$12:$E$23)/SUMPRODUCT(Calculations!$AL$12:$AL$23,Calculations!$E$12:$E$23),0)*100</f>
        <v>0</v>
      </c>
      <c r="DM33" s="25">
        <f>IFERROR(($DK$33-$DL$33)/$DL$33,IF($DK$33&gt;0,1,0))</f>
        <v>0</v>
      </c>
      <c r="DN33" s="23">
        <f>($DK$33-$DL$33)*1</f>
        <v>0</v>
      </c>
      <c r="DO33" s="25">
        <f>TgtCloseout*100</f>
        <v>0</v>
      </c>
      <c r="DP33" s="23">
        <f>IFERROR(IF($DK$33&gt;=$DO$33,2,IF($DK$33&gt;=$DO$33*AmberBand,1,0)),1)</f>
        <v>0</v>
      </c>
      <c r="DR33" s="13" t="s">
        <v>292</v>
      </c>
      <c r="DS33" s="22">
        <f>SUMPRODUCT(Calculations!$H$12:$H$23,Calculations!$D$12:$D$23)</f>
        <v>0</v>
      </c>
    </row>
    <row r="34" spans="95:125">
      <c r="CQ34" s="23" t="s">
        <v>102</v>
      </c>
      <c r="CR34" s="22">
        <f>$AJ$20</f>
        <v>0</v>
      </c>
      <c r="CS34" s="22">
        <f>$AI$20</f>
        <v>0</v>
      </c>
      <c r="CU34" s="23" t="s">
        <v>102</v>
      </c>
      <c r="CV34" s="22">
        <f>$AT$20</f>
        <v>0</v>
      </c>
      <c r="CW34" s="22">
        <f>$AU$20</f>
        <v>0</v>
      </c>
      <c r="CY34" s="23" t="s">
        <v>102</v>
      </c>
      <c r="CZ34" s="22">
        <f>$AV$20</f>
        <v>0</v>
      </c>
      <c r="DA34" s="22">
        <f>$AW$20</f>
        <v>0</v>
      </c>
      <c r="DC34" s="23" t="s">
        <v>102</v>
      </c>
      <c r="DD34" s="22">
        <f>$BG$20</f>
        <v>0</v>
      </c>
      <c r="DE34" s="22">
        <f>$BF$20</f>
        <v>0</v>
      </c>
      <c r="DI34" s="13" t="s">
        <v>1707</v>
      </c>
      <c r="DJ34" s="23" t="s">
        <v>1860</v>
      </c>
      <c r="DK34" s="22">
        <f>SUMPRODUCT(Calculations!$AN$12:$AN$23,Calculations!$D$12:$D$23)</f>
        <v>0</v>
      </c>
      <c r="DL34" s="22">
        <f>SUMPRODUCT(Calculations!$AN$12:$AN$23,Calculations!$E$12:$E$23)</f>
        <v>0</v>
      </c>
      <c r="DM34" s="25">
        <f>IFERROR(($DK$34-$DL$34)/$DL$34,IF($DK$34&gt;0,1,0))</f>
        <v>0</v>
      </c>
      <c r="DN34" s="23">
        <f>($DK$34-$DL$34)*1</f>
        <v>0</v>
      </c>
      <c r="DO34" s="22">
        <f>IFERROR(AVERAGE(Calculations!$AN$12:$AN$23)*SUM(Calculations!$D$12:$D$23),0)</f>
        <v>0</v>
      </c>
      <c r="DP34" s="23">
        <f>IFERROR(IF($DK$34&gt;=$DO$34,2,IF($DK$34&gt;=$DO$34*AmberBand,1,0)),1)</f>
        <v>0</v>
      </c>
      <c r="DR34" s="13" t="s">
        <v>1509</v>
      </c>
      <c r="DS34" s="22">
        <f>SUMPRODUCT(Calculations!$I$12:$I$23,Calculations!$D$12:$D$23)</f>
        <v>0</v>
      </c>
    </row>
    <row r="35" spans="95:125">
      <c r="CQ35" s="23" t="s">
        <v>106</v>
      </c>
      <c r="CR35" s="22">
        <f>$AJ$21</f>
        <v>0</v>
      </c>
      <c r="CS35" s="22">
        <f>$AI$21</f>
        <v>0</v>
      </c>
      <c r="CU35" s="23" t="s">
        <v>106</v>
      </c>
      <c r="CV35" s="22">
        <f>$AT$21</f>
        <v>0</v>
      </c>
      <c r="CW35" s="22">
        <f>$AU$21</f>
        <v>0</v>
      </c>
      <c r="CY35" s="23" t="s">
        <v>106</v>
      </c>
      <c r="CZ35" s="22">
        <f>$AV$21</f>
        <v>0</v>
      </c>
      <c r="DA35" s="22">
        <f>$AW$21</f>
        <v>0</v>
      </c>
      <c r="DC35" s="23" t="s">
        <v>106</v>
      </c>
      <c r="DD35" s="22">
        <f>$BG$21</f>
        <v>0</v>
      </c>
      <c r="DE35" s="22">
        <f>$BF$21</f>
        <v>0</v>
      </c>
      <c r="DI35" s="13" t="s">
        <v>1868</v>
      </c>
      <c r="DJ35" s="23" t="s">
        <v>1860</v>
      </c>
      <c r="DK35" s="22">
        <f>SUMPRODUCT(Calculations!$AO$12:$AO$23,Calculations!$D$12:$D$23)</f>
        <v>0</v>
      </c>
      <c r="DL35" s="22">
        <f>SUMPRODUCT(Calculations!$AO$12:$AO$23,Calculations!$E$12:$E$23)</f>
        <v>0</v>
      </c>
      <c r="DM35" s="25">
        <f>IFERROR(($DK$35-$DL$35)/$DL$35,IF($DK$35&gt;0,1,0))</f>
        <v>0</v>
      </c>
      <c r="DN35" s="23">
        <f>($DK$35-$DL$35)*-1</f>
        <v>0</v>
      </c>
      <c r="DO35" s="22">
        <f>IFERROR(AVERAGE(Calculations!$AO$12:$AO$23)*SUM(Calculations!$D$12:$D$23),0)</f>
        <v>0</v>
      </c>
      <c r="DP35" s="23">
        <f>IFERROR(IF($DK$35&lt;=$DO$35,2,IF($DK$35&lt;=$DO$35/AmberBand,1,0)),1)</f>
        <v>0</v>
      </c>
      <c r="DR35" s="13" t="s">
        <v>1898</v>
      </c>
      <c r="DS35" s="22">
        <f>SUMPRODUCT(Calculations!$G$12:$G$23,Calculations!$D$12:$D$23)</f>
        <v>0</v>
      </c>
    </row>
    <row r="36" spans="95:125">
      <c r="CQ36" s="23" t="s">
        <v>111</v>
      </c>
      <c r="CR36" s="22">
        <f>$AJ$22</f>
        <v>0</v>
      </c>
      <c r="CS36" s="22">
        <f>$AI$22</f>
        <v>0</v>
      </c>
      <c r="CU36" s="23" t="s">
        <v>111</v>
      </c>
      <c r="CV36" s="22">
        <f>$AT$22</f>
        <v>0</v>
      </c>
      <c r="CW36" s="22">
        <f>$AU$22</f>
        <v>0</v>
      </c>
      <c r="CY36" s="23" t="s">
        <v>111</v>
      </c>
      <c r="CZ36" s="22">
        <f>$AV$22</f>
        <v>0</v>
      </c>
      <c r="DA36" s="22">
        <f>$AW$22</f>
        <v>0</v>
      </c>
      <c r="DC36" s="23" t="s">
        <v>111</v>
      </c>
      <c r="DD36" s="22">
        <f>$BG$22</f>
        <v>0</v>
      </c>
      <c r="DE36" s="22">
        <f>$BF$22</f>
        <v>0</v>
      </c>
      <c r="DI36" s="13" t="s">
        <v>1708</v>
      </c>
      <c r="DJ36" s="23" t="s">
        <v>1860</v>
      </c>
      <c r="DK36" s="22">
        <f>SUMPRODUCT(Calculations!$AP$12:$AP$23,Calculations!$D$12:$D$23)</f>
        <v>0</v>
      </c>
      <c r="DL36" s="22">
        <f>SUMPRODUCT(Calculations!$AP$12:$AP$23,Calculations!$E$12:$E$23)</f>
        <v>0</v>
      </c>
      <c r="DM36" s="25">
        <f>IFERROR(($DK$36-$DL$36)/$DL$36,IF($DK$36&gt;0,1,0))</f>
        <v>0</v>
      </c>
      <c r="DN36" s="23">
        <f>($DK$36-$DL$36)*1</f>
        <v>0</v>
      </c>
      <c r="DO36" s="22">
        <f>IFERROR(AVERAGE(Calculations!$AP$12:$AP$23)*SUM(Calculations!$D$12:$D$23),0)</f>
        <v>0</v>
      </c>
      <c r="DP36" s="23">
        <f>IFERROR(IF($DK$36&gt;=$DO$36,2,IF($DK$36&gt;=$DO$36*AmberBand,1,0)),1)</f>
        <v>0</v>
      </c>
      <c r="DR36" s="13" t="s">
        <v>1604</v>
      </c>
      <c r="DS36" s="22">
        <f>SUMPRODUCT(Calculations!$N$12:$N$23,Calculations!$D$12:$D$23)</f>
        <v>0</v>
      </c>
    </row>
    <row r="37" spans="95:125">
      <c r="CQ37" s="23" t="s">
        <v>122</v>
      </c>
      <c r="CR37" s="22">
        <f>$AJ$23</f>
        <v>0</v>
      </c>
      <c r="CS37" s="22">
        <f>$AI$23</f>
        <v>0</v>
      </c>
      <c r="CU37" s="23" t="s">
        <v>122</v>
      </c>
      <c r="CV37" s="22">
        <f>$AT$23</f>
        <v>0</v>
      </c>
      <c r="CW37" s="22">
        <f>$AU$23</f>
        <v>0</v>
      </c>
      <c r="CY37" s="23" t="s">
        <v>122</v>
      </c>
      <c r="CZ37" s="22">
        <f>$AV$23</f>
        <v>0</v>
      </c>
      <c r="DA37" s="22">
        <f>$AW$23</f>
        <v>0</v>
      </c>
      <c r="DC37" s="23" t="s">
        <v>122</v>
      </c>
      <c r="DD37" s="22">
        <f>$BG$23</f>
        <v>0</v>
      </c>
      <c r="DE37" s="22">
        <f>$BF$23</f>
        <v>0</v>
      </c>
      <c r="DI37" s="13" t="s">
        <v>1709</v>
      </c>
      <c r="DJ37" s="23" t="s">
        <v>1860</v>
      </c>
      <c r="DK37" s="22">
        <f>SUMPRODUCT(Calculations!$AE$12:$AE$23,Calculations!$D$12:$D$23)</f>
        <v>0</v>
      </c>
      <c r="DL37" s="22">
        <f>SUMPRODUCT(Calculations!$AE$12:$AE$23,Calculations!$E$12:$E$23)</f>
        <v>0</v>
      </c>
      <c r="DM37" s="25">
        <f>IFERROR(($DK$37-$DL$37)/$DL$37,IF($DK$37&gt;0,1,0))</f>
        <v>0</v>
      </c>
      <c r="DN37" s="23">
        <f>($DK$37-$DL$37)*1</f>
        <v>0</v>
      </c>
      <c r="DO37" s="22">
        <f>IFERROR(AVERAGE(Calculations!$AE$12:$AE$23)*SUM(Calculations!$D$12:$D$23),0)</f>
        <v>0</v>
      </c>
      <c r="DP37" s="23">
        <f>IFERROR(IF($DK$37&gt;=$DO$37,2,IF($DK$37&gt;=$DO$37*AmberBand,1,0)),1)</f>
        <v>0</v>
      </c>
      <c r="DR37" s="13" t="s">
        <v>1856</v>
      </c>
      <c r="DS37" s="22">
        <f>SUMPRODUCT(Calculations!$P$12:$P$23,Calculations!$D$12:$D$23)</f>
        <v>0</v>
      </c>
    </row>
    <row r="38" spans="95:125">
      <c r="CQ38" s="23" t="s">
        <v>1847</v>
      </c>
      <c r="CR38" s="22">
        <f>$AJ$23</f>
        <v>0</v>
      </c>
      <c r="CS38" s="22">
        <f>ROUND(TREND($AI$12:$AI$23,{1,2,3,4,5,6,7,8,9,10,11,12},13),0)</f>
        <v>0</v>
      </c>
      <c r="CU38" s="23" t="s">
        <v>1847</v>
      </c>
      <c r="CV38" s="22">
        <f>$AT$23</f>
        <v>0</v>
      </c>
      <c r="CW38" s="22">
        <f>ROUND(TREND($AU$12:$AU$23,{1,2,3,4,5,6,7,8,9,10,11,12},13),0)</f>
        <v>0</v>
      </c>
      <c r="CY38" s="23" t="s">
        <v>1847</v>
      </c>
      <c r="CZ38" s="22">
        <f>$AV$23</f>
        <v>0</v>
      </c>
      <c r="DA38" s="22">
        <f>ROUND(TREND($AW$12:$AW$23,{1,2,3,4,5,6,7,8,9,10,11,12},13),0)</f>
        <v>0</v>
      </c>
      <c r="DC38" s="23" t="s">
        <v>1847</v>
      </c>
      <c r="DD38" s="22">
        <f>$BG$23</f>
        <v>0</v>
      </c>
      <c r="DE38" s="22">
        <f>ROUND(TREND($BF$12:$BF$23,{1,2,3,4,5,6,7,8,9,10,11,12},13),0)</f>
        <v>0</v>
      </c>
      <c r="DI38" s="13" t="s">
        <v>1869</v>
      </c>
      <c r="DJ38" s="23" t="s">
        <v>1860</v>
      </c>
      <c r="DK38" s="25">
        <f>IFERROR(SUMPRODUCT(Calculations!$AR$12:$AR$23,Calculations!$D$12:$D$23)/SUMPRODUCT(Calculations!$AQ$12:$AQ$23,Calculations!$D$12:$D$23),0)*100</f>
        <v>0</v>
      </c>
      <c r="DL38" s="25">
        <f>IFERROR(SUMPRODUCT(Calculations!$AR$12:$AR$23,Calculations!$E$12:$E$23)/SUMPRODUCT(Calculations!$AQ$12:$AQ$23,Calculations!$E$12:$E$23),0)*100</f>
        <v>0</v>
      </c>
      <c r="DM38" s="25">
        <f>IFERROR(($DK$38-$DL$38)/$DL$38,IF($DK$38&gt;0,1,0))</f>
        <v>0</v>
      </c>
      <c r="DN38" s="23">
        <f>($DK$38-$DL$38)*1</f>
        <v>0</v>
      </c>
      <c r="DO38" s="25">
        <f>TgtCloseout*100</f>
        <v>0</v>
      </c>
      <c r="DP38" s="23">
        <f>IFERROR(IF($DK$38&gt;=$DO$38,2,IF($DK$38&gt;=$DO$38*AmberBand,1,0)),1)</f>
        <v>0</v>
      </c>
      <c r="DR38" s="13" t="s">
        <v>1899</v>
      </c>
      <c r="DS38" s="22">
        <f>SUMPRODUCT(Calculations!$Q$12:$Q$23,Calculations!$D$12:$D$23)</f>
        <v>0</v>
      </c>
    </row>
    <row r="39" spans="95:125">
      <c r="DI39" s="13" t="s">
        <v>1710</v>
      </c>
      <c r="DJ39" s="23" t="s">
        <v>1860</v>
      </c>
      <c r="DK39" s="22">
        <f>SUMPRODUCT(Calculations!$AS$12:$AS$23,Calculations!$D$12:$D$23)</f>
        <v>0</v>
      </c>
      <c r="DL39" s="22">
        <f>SUMPRODUCT(Calculations!$AS$12:$AS$23,Calculations!$E$12:$E$23)</f>
        <v>0</v>
      </c>
      <c r="DM39" s="25">
        <f>IFERROR(($DK$39-$DL$39)/$DL$39,IF($DK$39&gt;0,1,0))</f>
        <v>0</v>
      </c>
      <c r="DN39" s="23">
        <f>($DK$39-$DL$39)*1</f>
        <v>0</v>
      </c>
      <c r="DO39" s="22">
        <f>IFERROR(AVERAGE(Calculations!$AS$12:$AS$23)*SUM(Calculations!$D$12:$D$23),0)</f>
        <v>0</v>
      </c>
      <c r="DP39" s="23">
        <f>IFERROR(IF($DK$39&gt;=$DO$39,2,IF($DK$39&gt;=$DO$39*AmberBand,1,0)),1)</f>
        <v>0</v>
      </c>
    </row>
    <row r="40" spans="95:125">
      <c r="DI40" s="13" t="s">
        <v>1870</v>
      </c>
      <c r="DJ40" s="23" t="s">
        <v>1860</v>
      </c>
      <c r="DK40" s="25">
        <f>IFERROR(SUMPRODUCT(Calculations!$AU$12:$AU$23,Calculations!$D$12:$D$23)/SUMPRODUCT(Calculations!$AT$12:$AT$23,Calculations!$D$12:$D$23),0)*100</f>
        <v>0</v>
      </c>
      <c r="DL40" s="25">
        <f>IFERROR(SUMPRODUCT(Calculations!$AU$12:$AU$23,Calculations!$E$12:$E$23)/SUMPRODUCT(Calculations!$AT$12:$AT$23,Calculations!$E$12:$E$23),0)*100</f>
        <v>0</v>
      </c>
      <c r="DM40" s="25">
        <f>IFERROR(($DK$40-$DL$40)/$DL$40,IF($DK$40&gt;0,1,0))</f>
        <v>0</v>
      </c>
      <c r="DN40" s="23">
        <f>($DK$40-$DL$40)*1</f>
        <v>0</v>
      </c>
      <c r="DO40" s="25">
        <f>TgtCloseout*100</f>
        <v>0</v>
      </c>
      <c r="DP40" s="23">
        <f>IFERROR(IF($DK$40&gt;=$DO$40,2,IF($DK$40&gt;=$DO$40*AmberBand,1,0)),1)</f>
        <v>0</v>
      </c>
      <c r="DR40" s="12" t="s">
        <v>1902</v>
      </c>
      <c r="DS40" s="12" t="s">
        <v>1903</v>
      </c>
      <c r="DT40" s="12" t="s">
        <v>1904</v>
      </c>
      <c r="DU40" s="12" t="s">
        <v>286</v>
      </c>
    </row>
    <row r="41" spans="95:125">
      <c r="DI41" s="13" t="s">
        <v>1711</v>
      </c>
      <c r="DJ41" s="23" t="s">
        <v>1860</v>
      </c>
      <c r="DK41" s="22">
        <f>SUMPRODUCT(Calculations!$AA$12:$AA$23,Calculations!$D$12:$D$23)</f>
        <v>0</v>
      </c>
      <c r="DL41" s="22">
        <f>SUMPRODUCT(Calculations!$AA$12:$AA$23,Calculations!$E$12:$E$23)</f>
        <v>0</v>
      </c>
      <c r="DM41" s="25">
        <f>IFERROR(($DK$41-$DL$41)/$DL$41,IF($DK$41&gt;0,1,0))</f>
        <v>0</v>
      </c>
      <c r="DN41" s="23">
        <f>($DK$41-$DL$41)*1</f>
        <v>0</v>
      </c>
      <c r="DO41" s="22">
        <f>IFERROR(AVERAGE(Calculations!$AA$12:$AA$23)*SUM(Calculations!$D$12:$D$23),0)</f>
        <v>0</v>
      </c>
      <c r="DP41" s="23">
        <f>IFERROR(IF($DK$41&gt;=$DO$41,2,IF($DK$41&gt;=$DO$41*AmberBand,1,0)),1)</f>
        <v>0</v>
      </c>
      <c r="DR41" s="13" t="s">
        <v>1681</v>
      </c>
      <c r="DS41" s="23">
        <f>TRIR</f>
        <v>0</v>
      </c>
      <c r="DT41" s="23">
        <f>TgtTRIR</f>
        <v>0</v>
      </c>
      <c r="DU41" s="13">
        <f>IF(TRIR&lt;=TgtTRIR,"🟢 GREEN",IF(TRIR&lt;=TgtTRIR/AmberBand,"🟡 AMBER","🔴 RED"))</f>
        <v>0</v>
      </c>
    </row>
    <row r="42" spans="95:125">
      <c r="DI42" s="13" t="s">
        <v>1871</v>
      </c>
      <c r="DJ42" s="23" t="s">
        <v>1860</v>
      </c>
      <c r="DK42" s="25">
        <f>IFERROR(SUMPRODUCT(Calculations!$AW$12:$AW$23,Calculations!$D$12:$D$23)/SUMPRODUCT(Calculations!$AV$12:$AV$23,Calculations!$D$12:$D$23),0)*100</f>
        <v>0</v>
      </c>
      <c r="DL42" s="25">
        <f>IFERROR(SUMPRODUCT(Calculations!$AW$12:$AW$23,Calculations!$E$12:$E$23)/SUMPRODUCT(Calculations!$AV$12:$AV$23,Calculations!$E$12:$E$23),0)*100</f>
        <v>0</v>
      </c>
      <c r="DM42" s="25">
        <f>IFERROR(($DK$42-$DL$42)/$DL$42,IF($DK$42&gt;0,1,0))</f>
        <v>0</v>
      </c>
      <c r="DN42" s="23">
        <f>($DK$42-$DL$42)*1</f>
        <v>0</v>
      </c>
      <c r="DO42" s="25">
        <f>TgtAttendance*100</f>
        <v>0</v>
      </c>
      <c r="DP42" s="23">
        <f>IFERROR(IF($DK$42&gt;=$DO$42,2,IF($DK$42&gt;=$DO$42*AmberBand,1,0)),1)</f>
        <v>0</v>
      </c>
      <c r="DR42" s="13" t="s">
        <v>1866</v>
      </c>
      <c r="DS42" s="23">
        <f>ObsClosure/100</f>
        <v>0</v>
      </c>
      <c r="DT42" s="23">
        <f>TgtObs</f>
        <v>0</v>
      </c>
      <c r="DU42" s="13">
        <f>IF(ObsClosure/100&gt;=TgtObs,"🟢 GREEN",IF(ObsClosure/100&gt;=TgtObs*AmberBand,"🟡 AMBER","🔴 RED"))</f>
        <v>0</v>
      </c>
    </row>
    <row r="43" spans="95:125">
      <c r="DI43" s="13" t="s">
        <v>1712</v>
      </c>
      <c r="DJ43" s="23" t="s">
        <v>1860</v>
      </c>
      <c r="DK43" s="22">
        <f>SUMPRODUCT(Calculations!$AX$12:$AX$23,Calculations!$D$12:$D$23)</f>
        <v>0</v>
      </c>
      <c r="DL43" s="22">
        <f>SUMPRODUCT(Calculations!$AX$12:$AX$23,Calculations!$E$12:$E$23)</f>
        <v>0</v>
      </c>
      <c r="DM43" s="25">
        <f>IFERROR(($DK$43-$DL$43)/$DL$43,IF($DK$43&gt;0,1,0))</f>
        <v>0</v>
      </c>
      <c r="DN43" s="23">
        <f>($DK$43-$DL$43)*1</f>
        <v>0</v>
      </c>
      <c r="DO43" s="22">
        <f>IFERROR(AVERAGE(Calculations!$AX$12:$AX$23)*SUM(Calculations!$D$12:$D$23),0)</f>
        <v>0</v>
      </c>
      <c r="DP43" s="23">
        <f>IFERROR(IF($DK$43&gt;=$DO$43,2,IF($DK$43&gt;=$DO$43*AmberBand,1,0)),1)</f>
        <v>0</v>
      </c>
      <c r="DR43" s="13" t="s">
        <v>1704</v>
      </c>
      <c r="DS43" s="23">
        <f>TrainCompliance/100</f>
        <v>0</v>
      </c>
      <c r="DT43" s="23">
        <f>TgtTrain</f>
        <v>0</v>
      </c>
      <c r="DU43" s="13">
        <f>IF(TrainCompliance/100&gt;=TgtTrain,"🟢 GREEN",IF(TrainCompliance/100&gt;=TgtTrain*AmberBand,"🟡 AMBER","🔴 RED"))</f>
        <v>0</v>
      </c>
    </row>
    <row r="44" spans="95:125">
      <c r="DI44" s="13" t="s">
        <v>1872</v>
      </c>
      <c r="DJ44" s="23" t="s">
        <v>1860</v>
      </c>
      <c r="DK44" s="22">
        <f>SUMPRODUCT(Calculations!$AY$12:$AY$23,Calculations!$D$12:$D$23)</f>
        <v>0</v>
      </c>
      <c r="DL44" s="22">
        <f>SUMPRODUCT(Calculations!$AY$12:$AY$23,Calculations!$E$12:$E$23)</f>
        <v>0</v>
      </c>
      <c r="DM44" s="25">
        <f>IFERROR(($DK$44-$DL$44)/$DL$44,IF($DK$44&gt;0,1,0))</f>
        <v>0</v>
      </c>
      <c r="DN44" s="23">
        <f>($DK$44-$DL$44)*-1</f>
        <v>0</v>
      </c>
      <c r="DO44" s="22">
        <f>IFERROR(AVERAGE(Calculations!$AY$12:$AY$23)*SUM(Calculations!$D$12:$D$23),0)</f>
        <v>0</v>
      </c>
      <c r="DP44" s="23">
        <f>IFERROR(IF($DK$44&lt;=$DO$44,2,IF($DK$44&lt;=$DO$44/AmberBand,1,0)),1)</f>
        <v>0</v>
      </c>
      <c r="DR44" s="13" t="s">
        <v>1877</v>
      </c>
      <c r="DS44" s="23">
        <f>CAClosure/100</f>
        <v>0</v>
      </c>
      <c r="DT44" s="23">
        <f>TgtCA</f>
        <v>0</v>
      </c>
      <c r="DU44" s="13">
        <f>IF(CAClosure/100&gt;=TgtCA,"🟢 GREEN",IF(CAClosure/100&gt;=TgtCA*AmberBand,"🟡 AMBER","🔴 RED"))</f>
        <v>0</v>
      </c>
    </row>
    <row r="45" spans="95:125">
      <c r="DI45" s="13" t="s">
        <v>1713</v>
      </c>
      <c r="DJ45" s="23" t="s">
        <v>1860</v>
      </c>
      <c r="DK45" s="22">
        <f>SUMPRODUCT(Calculations!$AZ$12:$AZ$23,Calculations!$D$12:$D$23)</f>
        <v>0</v>
      </c>
      <c r="DL45" s="22">
        <f>SUMPRODUCT(Calculations!$AZ$12:$AZ$23,Calculations!$E$12:$E$23)</f>
        <v>0</v>
      </c>
      <c r="DM45" s="25">
        <f>IFERROR(($DK$45-$DL$45)/$DL$45,IF($DK$45&gt;0,1,0))</f>
        <v>0</v>
      </c>
      <c r="DN45" s="23">
        <f>($DK$45-$DL$45)*1</f>
        <v>0</v>
      </c>
      <c r="DO45" s="22">
        <f>IFERROR(AVERAGE(Calculations!$AZ$12:$AZ$23)*SUM(Calculations!$D$12:$D$23),0)</f>
        <v>0</v>
      </c>
      <c r="DP45" s="23">
        <f>IFERROR(IF($DK$45&gt;=$DO$45,2,IF($DK$45&gt;=$DO$45*AmberBand,1,0)),1)</f>
        <v>0</v>
      </c>
      <c r="DR45" s="13" t="s">
        <v>1867</v>
      </c>
      <c r="DS45" s="23">
        <f>Calculations!$DK$33/100</f>
        <v>0</v>
      </c>
      <c r="DT45" s="23">
        <f>TgtObs</f>
        <v>0</v>
      </c>
      <c r="DU45" s="13">
        <f>IF(Calculations!$DK$33/100&gt;=TgtObs,"🟢 GREEN",IF(Calculations!$DK$33/100&gt;=TgtObs*AmberBand,"🟡 AMBER","🔴 RED"))</f>
        <v>0</v>
      </c>
    </row>
    <row r="46" spans="95:125">
      <c r="DI46" s="13" t="s">
        <v>1873</v>
      </c>
      <c r="DJ46" s="23" t="s">
        <v>1860</v>
      </c>
      <c r="DK46" s="22">
        <f>SUMPRODUCT(Calculations!$BA$12:$BA$23,Calculations!$D$12:$D$23)</f>
        <v>0</v>
      </c>
      <c r="DL46" s="22">
        <f>SUMPRODUCT(Calculations!$BA$12:$BA$23,Calculations!$E$12:$E$23)</f>
        <v>0</v>
      </c>
      <c r="DM46" s="25">
        <f>IFERROR(($DK$46-$DL$46)/$DL$46,IF($DK$46&gt;0,1,0))</f>
        <v>0</v>
      </c>
      <c r="DN46" s="23">
        <f>($DK$46-$DL$46)*-1</f>
        <v>0</v>
      </c>
      <c r="DO46" s="22">
        <f>IFERROR(AVERAGE(Calculations!$BA$12:$BA$23)*SUM(Calculations!$D$12:$D$23),0)</f>
        <v>0</v>
      </c>
      <c r="DP46" s="23">
        <f>IFERROR(IF($DK$46&lt;=$DO$46,2,IF($DK$46&lt;=$DO$46/AmberBand,1,0)),1)</f>
        <v>0</v>
      </c>
      <c r="DR46" s="13" t="s">
        <v>1876</v>
      </c>
      <c r="DS46" s="23">
        <f>PTWauditComp/100</f>
        <v>0</v>
      </c>
      <c r="DT46" s="23">
        <f>TgtObs</f>
        <v>0</v>
      </c>
      <c r="DU46" s="13">
        <f>IF(PTWauditComp/100&gt;=TgtObs,"🟢 GREEN",IF(PTWauditComp/100&gt;=TgtObs*AmberBand,"🟡 AMBER","🔴 RED"))</f>
        <v>0</v>
      </c>
    </row>
    <row r="47" spans="95:125">
      <c r="DI47" s="13" t="s">
        <v>1714</v>
      </c>
      <c r="DJ47" s="23" t="s">
        <v>1860</v>
      </c>
      <c r="DK47" s="22">
        <f>SUMPRODUCT(Calculations!$BB$12:$BB$23,Calculations!$D$12:$D$23)</f>
        <v>0</v>
      </c>
      <c r="DL47" s="22">
        <f>SUMPRODUCT(Calculations!$BB$12:$BB$23,Calculations!$E$12:$E$23)</f>
        <v>0</v>
      </c>
      <c r="DM47" s="25">
        <f>IFERROR(($DK$47-$DL$47)/$DL$47,IF($DK$47&gt;0,1,0))</f>
        <v>0</v>
      </c>
      <c r="DN47" s="23">
        <f>($DK$47-$DL$47)*1</f>
        <v>0</v>
      </c>
      <c r="DO47" s="22">
        <f>IFERROR(AVERAGE(Calculations!$BB$12:$BB$23)*SUM(Calculations!$D$12:$D$23),0)</f>
        <v>0</v>
      </c>
      <c r="DP47" s="23">
        <f>IFERROR(IF($DK$47&gt;=$DO$47,2,IF($DK$47&gt;=$DO$47*AmberBand,1,0)),1)</f>
        <v>0</v>
      </c>
    </row>
    <row r="48" spans="95:125">
      <c r="DI48" s="13" t="s">
        <v>1874</v>
      </c>
      <c r="DJ48" s="23" t="s">
        <v>1860</v>
      </c>
      <c r="DK48" s="25">
        <f>IFERROR(SUMPRODUCT(Calculations!$BD$12:$BD$23,Calculations!$D$12:$D$23)/SUMPRODUCT(Calculations!$BC$12:$BC$23,Calculations!$D$12:$D$23),0)*100</f>
        <v>0</v>
      </c>
      <c r="DL48" s="25">
        <f>IFERROR(SUMPRODUCT(Calculations!$BD$12:$BD$23,Calculations!$E$12:$E$23)/SUMPRODUCT(Calculations!$BC$12:$BC$23,Calculations!$E$12:$E$23),0)*100</f>
        <v>0</v>
      </c>
      <c r="DM48" s="25">
        <f>IFERROR(($DK$48-$DL$48)/$DL$48,IF($DK$48&gt;0,1,0))</f>
        <v>0</v>
      </c>
      <c r="DN48" s="23">
        <f>($DK$48-$DL$48)*1</f>
        <v>0</v>
      </c>
      <c r="DO48" s="25">
        <f>TgtCloseout*100</f>
        <v>0</v>
      </c>
      <c r="DP48" s="23">
        <f>IFERROR(IF($DK$48&gt;=$DO$48,2,IF($DK$48&gt;=$DO$48*AmberBand,1,0)),1)</f>
        <v>0</v>
      </c>
    </row>
    <row r="49" spans="113:120">
      <c r="DI49" s="13" t="s">
        <v>1715</v>
      </c>
      <c r="DJ49" s="23" t="s">
        <v>1860</v>
      </c>
      <c r="DK49" s="22">
        <f>SUMPRODUCT(Calculations!$BE$12:$BE$23,Calculations!$D$12:$D$23)</f>
        <v>0</v>
      </c>
      <c r="DL49" s="22">
        <f>SUMPRODUCT(Calculations!$BE$12:$BE$23,Calculations!$E$12:$E$23)</f>
        <v>0</v>
      </c>
      <c r="DM49" s="25">
        <f>IFERROR(($DK$49-$DL$49)/$DL$49,IF($DK$49&gt;0,1,0))</f>
        <v>0</v>
      </c>
      <c r="DN49" s="23">
        <f>($DK$49-$DL$49)*1</f>
        <v>0</v>
      </c>
      <c r="DO49" s="22">
        <f>IFERROR(AVERAGE(Calculations!$BE$12:$BE$23)*SUM(Calculations!$D$12:$D$23),0)</f>
        <v>0</v>
      </c>
      <c r="DP49" s="23">
        <f>IFERROR(IF($DK$49&gt;=$DO$49,2,IF($DK$49&gt;=$DO$49*AmberBand,1,0)),1)</f>
        <v>0</v>
      </c>
    </row>
    <row r="50" spans="113:120">
      <c r="DI50" s="13" t="s">
        <v>1875</v>
      </c>
      <c r="DJ50" s="23" t="s">
        <v>1860</v>
      </c>
      <c r="DK50" s="25">
        <f>IFERROR(SUMPRODUCT(Calculations!$BF$12:$BF$23,Calculations!$D$12:$D$23)/SUMPRODUCT(Calculations!$BG$12:$BG$23,Calculations!$D$12:$D$23),0)*100</f>
        <v>0</v>
      </c>
      <c r="DL50" s="25">
        <f>IFERROR(SUMPRODUCT(Calculations!$BF$12:$BF$23,Calculations!$E$12:$E$23)/SUMPRODUCT(Calculations!$BG$12:$BG$23,Calculations!$E$12:$E$23),0)*100</f>
        <v>0</v>
      </c>
      <c r="DM50" s="25">
        <f>IFERROR(($DK$50-$DL$50)/$DL$50,IF($DK$50&gt;0,1,0))</f>
        <v>0</v>
      </c>
      <c r="DN50" s="23">
        <f>($DK$50-$DL$50)*1</f>
        <v>0</v>
      </c>
      <c r="DO50" s="25">
        <f>TgtAttendance*100</f>
        <v>0</v>
      </c>
      <c r="DP50" s="23">
        <f>IFERROR(IF($DK$50&gt;=$DO$50,2,IF($DK$50&gt;=$DO$50*AmberBand,1,0)),1)</f>
        <v>0</v>
      </c>
    </row>
    <row r="51" spans="113:120">
      <c r="DI51" s="13" t="s">
        <v>1717</v>
      </c>
      <c r="DJ51" s="23" t="s">
        <v>1860</v>
      </c>
      <c r="DK51" s="22">
        <f>SUMPRODUCT(Calculations!$BH$12:$BH$23,Calculations!$D$12:$D$23)</f>
        <v>0</v>
      </c>
      <c r="DL51" s="22">
        <f>SUMPRODUCT(Calculations!$BH$12:$BH$23,Calculations!$E$12:$E$23)</f>
        <v>0</v>
      </c>
      <c r="DM51" s="25">
        <f>IFERROR(($DK$51-$DL$51)/$DL$51,IF($DK$51&gt;0,1,0))</f>
        <v>0</v>
      </c>
      <c r="DN51" s="23">
        <f>($DK$51-$DL$51)*1</f>
        <v>0</v>
      </c>
      <c r="DO51" s="22">
        <f>IFERROR(AVERAGE(Calculations!$BH$12:$BH$23)*SUM(Calculations!$D$12:$D$23),0)</f>
        <v>0</v>
      </c>
      <c r="DP51" s="23">
        <f>IFERROR(IF($DK$51&gt;=$DO$51,2,IF($DK$51&gt;=$DO$51*AmberBand,1,0)),1)</f>
        <v>0</v>
      </c>
    </row>
    <row r="52" spans="113:120">
      <c r="DI52" s="13" t="s">
        <v>1718</v>
      </c>
      <c r="DJ52" s="23" t="s">
        <v>1860</v>
      </c>
      <c r="DK52" s="22">
        <f>SUMPRODUCT(Calculations!$BI$12:$BI$23,Calculations!$D$12:$D$23)</f>
        <v>0</v>
      </c>
      <c r="DL52" s="22">
        <f>SUMPRODUCT(Calculations!$BI$12:$BI$23,Calculations!$E$12:$E$23)</f>
        <v>0</v>
      </c>
      <c r="DM52" s="25">
        <f>IFERROR(($DK$52-$DL$52)/$DL$52,IF($DK$52&gt;0,1,0))</f>
        <v>0</v>
      </c>
      <c r="DN52" s="23">
        <f>($DK$52-$DL$52)*1</f>
        <v>0</v>
      </c>
      <c r="DO52" s="22">
        <f>IFERROR(AVERAGE(Calculations!$BI$12:$BI$23)*SUM(Calculations!$D$12:$D$23),0)</f>
        <v>0</v>
      </c>
      <c r="DP52" s="23">
        <f>IFERROR(IF($DK$52&gt;=$DO$52,2,IF($DK$52&gt;=$DO$52*AmberBand,1,0)),1)</f>
        <v>0</v>
      </c>
    </row>
    <row r="53" spans="113:120">
      <c r="DI53" s="13" t="s">
        <v>1719</v>
      </c>
      <c r="DJ53" s="23" t="s">
        <v>1860</v>
      </c>
      <c r="DK53" s="22">
        <f>SUMPRODUCT(Calculations!$BJ$12:$BJ$23,Calculations!$D$12:$D$23)</f>
        <v>0</v>
      </c>
      <c r="DL53" s="22">
        <f>SUMPRODUCT(Calculations!$BJ$12:$BJ$23,Calculations!$E$12:$E$23)</f>
        <v>0</v>
      </c>
      <c r="DM53" s="25">
        <f>IFERROR(($DK$53-$DL$53)/$DL$53,IF($DK$53&gt;0,1,0))</f>
        <v>0</v>
      </c>
      <c r="DN53" s="23">
        <f>($DK$53-$DL$53)*1</f>
        <v>0</v>
      </c>
      <c r="DO53" s="22">
        <f>IFERROR(AVERAGE(Calculations!$BJ$12:$BJ$23)*SUM(Calculations!$D$12:$D$23),0)</f>
        <v>0</v>
      </c>
      <c r="DP53" s="23">
        <f>IFERROR(IF($DK$53&gt;=$DO$53,2,IF($DK$53&gt;=$DO$53*AmberBand,1,0)),1)</f>
        <v>0</v>
      </c>
    </row>
    <row r="54" spans="113:120">
      <c r="DI54" s="13" t="s">
        <v>1720</v>
      </c>
      <c r="DJ54" s="23" t="s">
        <v>1860</v>
      </c>
      <c r="DK54" s="22">
        <f>SUMPRODUCT(Calculations!$Y$12:$Y$23,Calculations!$D$12:$D$23)</f>
        <v>0</v>
      </c>
      <c r="DL54" s="22">
        <f>SUMPRODUCT(Calculations!$Y$12:$Y$23,Calculations!$E$12:$E$23)</f>
        <v>0</v>
      </c>
      <c r="DM54" s="25">
        <f>IFERROR(($DK$54-$DL$54)/$DL$54,IF($DK$54&gt;0,1,0))</f>
        <v>0</v>
      </c>
      <c r="DN54" s="23">
        <f>($DK$54-$DL$54)*1</f>
        <v>0</v>
      </c>
      <c r="DO54" s="22">
        <f>IFERROR(AVERAGE(Calculations!$Y$12:$Y$23)*SUM(Calculations!$D$12:$D$23),0)</f>
        <v>0</v>
      </c>
      <c r="DP54" s="23">
        <f>IFERROR(IF($DK$54&gt;=$DO$54,2,IF($DK$54&gt;=$DO$54*AmberBand,1,0)),1)</f>
        <v>0</v>
      </c>
    </row>
    <row r="55" spans="113:120">
      <c r="DI55" s="13" t="s">
        <v>1876</v>
      </c>
      <c r="DJ55" s="23" t="s">
        <v>1860</v>
      </c>
      <c r="DK55" s="25">
        <f>IFERROR(SUMPRODUCT(Calculations!$Z$12:$Z$23,Calculations!$D$12:$D$23)/SUMPRODUCT(Calculations!$Y$12:$Y$23,Calculations!$D$12:$D$23),0)*100</f>
        <v>0</v>
      </c>
      <c r="DL55" s="25">
        <f>IFERROR(SUMPRODUCT(Calculations!$Z$12:$Z$23,Calculations!$E$12:$E$23)/SUMPRODUCT(Calculations!$Y$12:$Y$23,Calculations!$E$12:$E$23),0)*100</f>
        <v>0</v>
      </c>
      <c r="DM55" s="25">
        <f>IFERROR(($DK$55-$DL$55)/$DL$55,IF($DK$55&gt;0,1,0))</f>
        <v>0</v>
      </c>
      <c r="DN55" s="23">
        <f>($DK$55-$DL$55)*1</f>
        <v>0</v>
      </c>
      <c r="DO55" s="25">
        <f>TgtPTW*100</f>
        <v>0</v>
      </c>
      <c r="DP55" s="23">
        <f>IFERROR(IF($DK$55&gt;=$DO$55,2,IF($DK$55&gt;=$DO$55*AmberBand,1,0)),1)</f>
        <v>0</v>
      </c>
    </row>
    <row r="56" spans="113:120">
      <c r="DI56" s="13" t="s">
        <v>1721</v>
      </c>
      <c r="DJ56" s="23" t="s">
        <v>1860</v>
      </c>
      <c r="DK56" s="22">
        <f>SUMPRODUCT(Calculations!$AB$12:$AB$23,Calculations!$D$12:$D$23)</f>
        <v>0</v>
      </c>
      <c r="DL56" s="22">
        <f>SUMPRODUCT(Calculations!$AB$12:$AB$23,Calculations!$E$12:$E$23)</f>
        <v>0</v>
      </c>
      <c r="DM56" s="25">
        <f>IFERROR(($DK$56-$DL$56)/$DL$56,IF($DK$56&gt;0,1,0))</f>
        <v>0</v>
      </c>
      <c r="DN56" s="23">
        <f>($DK$56-$DL$56)*1</f>
        <v>0</v>
      </c>
      <c r="DO56" s="22">
        <f>IFERROR(AVERAGE(Calculations!$AB$12:$AB$23)*SUM(Calculations!$D$12:$D$23),0)</f>
        <v>0</v>
      </c>
      <c r="DP56" s="23">
        <f>IFERROR(IF($DK$56&gt;=$DO$56,2,IF($DK$56&gt;=$DO$56*AmberBand,1,0)),1)</f>
        <v>0</v>
      </c>
    </row>
    <row r="57" spans="113:120">
      <c r="DI57" s="13" t="s">
        <v>1877</v>
      </c>
      <c r="DJ57" s="23" t="s">
        <v>1860</v>
      </c>
      <c r="DK57" s="25">
        <f>IFERROR(SUMPRODUCT(Calculations!$AC$12:$AC$23,Calculations!$D$12:$D$23)/SUMPRODUCT(Calculations!$AB$12:$AB$23,Calculations!$D$12:$D$23),0)*100</f>
        <v>0</v>
      </c>
      <c r="DL57" s="25">
        <f>IFERROR(SUMPRODUCT(Calculations!$AC$12:$AC$23,Calculations!$E$12:$E$23)/SUMPRODUCT(Calculations!$AB$12:$AB$23,Calculations!$E$12:$E$23),0)*100</f>
        <v>0</v>
      </c>
      <c r="DM57" s="25">
        <f>IFERROR(($DK$57-$DL$57)/$DL$57,IF($DK$57&gt;0,1,0))</f>
        <v>0</v>
      </c>
      <c r="DN57" s="23">
        <f>($DK$57-$DL$57)*1</f>
        <v>0</v>
      </c>
      <c r="DO57" s="25">
        <f>TgtCA*100</f>
        <v>0</v>
      </c>
      <c r="DP57" s="23">
        <f>IFERROR(IF($DK$57&gt;=$DO$57,2,IF($DK$57&gt;=$DO$57*AmberBand,1,0)),1)</f>
        <v>0</v>
      </c>
    </row>
    <row r="58" spans="113:120">
      <c r="DI58" s="13" t="s">
        <v>1878</v>
      </c>
      <c r="DJ58" s="23" t="s">
        <v>1860</v>
      </c>
      <c r="DK58" s="22">
        <f>SUMPRODUCT(Calculations!$BL$12:$BL$23,Calculations!$D$12:$D$23)</f>
        <v>0</v>
      </c>
      <c r="DL58" s="22">
        <f>SUMPRODUCT(Calculations!$BL$12:$BL$23,Calculations!$E$12:$E$23)</f>
        <v>0</v>
      </c>
      <c r="DM58" s="25">
        <f>IFERROR(($DK$58-$DL$58)/$DL$58,IF($DK$58&gt;0,1,0))</f>
        <v>0</v>
      </c>
      <c r="DN58" s="23">
        <f>($DK$58-$DL$58)*1</f>
        <v>0</v>
      </c>
      <c r="DO58" s="22">
        <f>IFERROR(AVERAGE(Calculations!$BL$12:$BL$23)*SUM(Calculations!$D$12:$D$23),0)</f>
        <v>0</v>
      </c>
      <c r="DP58" s="23">
        <f>IFERROR(IF($DK$58&gt;=$DO$58,2,IF($DK$58&gt;=$DO$58*AmberBand,1,0)),1)</f>
        <v>0</v>
      </c>
    </row>
    <row r="59" spans="113:120">
      <c r="DI59" s="13" t="s">
        <v>1879</v>
      </c>
      <c r="DJ59" s="23" t="s">
        <v>1860</v>
      </c>
      <c r="DK59" s="25">
        <f>IFERROR(SUMPRODUCT(Calculations!$BM$12:$BM$23,Calculations!$D$12:$D$23)/SUMPRODUCT(Calculations!$BL$12:$BL$23,Calculations!$D$12:$D$23),0)*100</f>
        <v>0</v>
      </c>
      <c r="DL59" s="25">
        <f>IFERROR(SUMPRODUCT(Calculations!$BM$12:$BM$23,Calculations!$E$12:$E$23)/SUMPRODUCT(Calculations!$BL$12:$BL$23,Calculations!$E$12:$E$23),0)*100</f>
        <v>0</v>
      </c>
      <c r="DM59" s="25">
        <f>IFERROR(($DK$59-$DL$59)/$DL$59,IF($DK$59&gt;0,1,0))</f>
        <v>0</v>
      </c>
      <c r="DN59" s="23">
        <f>($DK$59-$DL$59)*1</f>
        <v>0</v>
      </c>
      <c r="DO59" s="25">
        <f>TgtCloseout*100</f>
        <v>0</v>
      </c>
      <c r="DP59" s="23">
        <f>IFERROR(IF($DK$59&gt;=$DO$59,2,IF($DK$59&gt;=$DO$59*AmberBand,1,0)),1)</f>
        <v>0</v>
      </c>
    </row>
    <row r="60" spans="113:120">
      <c r="DI60" s="13" t="s">
        <v>1880</v>
      </c>
      <c r="DJ60" s="23" t="s">
        <v>1860</v>
      </c>
      <c r="DK60" s="22">
        <f>SUMPRODUCT(Calculations!$BN$12:$BN$23,Calculations!$D$12:$D$23)</f>
        <v>0</v>
      </c>
      <c r="DL60" s="22">
        <f>SUMPRODUCT(Calculations!$BN$12:$BN$23,Calculations!$E$12:$E$23)</f>
        <v>0</v>
      </c>
      <c r="DM60" s="25">
        <f>IFERROR(($DK$60-$DL$60)/$DL$60,IF($DK$60&gt;0,1,0))</f>
        <v>0</v>
      </c>
      <c r="DN60" s="23">
        <f>($DK$60-$DL$60)*1</f>
        <v>0</v>
      </c>
      <c r="DO60" s="22">
        <f>IFERROR(AVERAGE(Calculations!$BN$12:$BN$23)*SUM(Calculations!$D$12:$D$23),0)</f>
        <v>0</v>
      </c>
      <c r="DP60" s="23">
        <f>IFERROR(IF($DK$60&gt;=$DO$60,2,IF($DK$60&gt;=$DO$60*AmberBand,1,0)),1)</f>
        <v>0</v>
      </c>
    </row>
    <row r="61" spans="113:120">
      <c r="DI61" s="13" t="s">
        <v>1881</v>
      </c>
      <c r="DJ61" s="23" t="s">
        <v>1860</v>
      </c>
      <c r="DK61" s="25">
        <f>IFERROR(SUMPRODUCT(Calculations!$BO$12:$BO$23,Calculations!$D$12:$D$23)/SUMPRODUCT(Calculations!$BN$12:$BN$23,Calculations!$D$12:$D$23),0)*100</f>
        <v>0</v>
      </c>
      <c r="DL61" s="25">
        <f>IFERROR(SUMPRODUCT(Calculations!$BO$12:$BO$23,Calculations!$E$12:$E$23)/SUMPRODUCT(Calculations!$BN$12:$BN$23,Calculations!$E$12:$E$23),0)*100</f>
        <v>0</v>
      </c>
      <c r="DM61" s="25">
        <f>IFERROR(($DK$61-$DL$61)/$DL$61,IF($DK$61&gt;0,1,0))</f>
        <v>0</v>
      </c>
      <c r="DN61" s="23">
        <f>($DK$61-$DL$61)*1</f>
        <v>0</v>
      </c>
      <c r="DO61" s="25">
        <f>TgtCloseout*100</f>
        <v>0</v>
      </c>
      <c r="DP61" s="23">
        <f>IFERROR(IF($DK$61&gt;=$DO$61,2,IF($DK$61&gt;=$DO$61*AmberBand,1,0)),1)</f>
        <v>0</v>
      </c>
    </row>
    <row r="64" spans="113:120">
      <c r="DI64" s="17" t="s">
        <v>1882</v>
      </c>
    </row>
    <row r="65" spans="113:116">
      <c r="DI65" s="13" t="s">
        <v>1704</v>
      </c>
      <c r="DJ65" s="23">
        <f>MIN(100,Calculations!$DK$29)/2</f>
        <v>0</v>
      </c>
      <c r="DK65" s="23">
        <f>50-$DJ$65</f>
        <v>0</v>
      </c>
      <c r="DL65" s="23">
        <v>50</v>
      </c>
    </row>
    <row r="66" spans="113:116">
      <c r="DI66" s="13" t="s">
        <v>1883</v>
      </c>
      <c r="DJ66" s="23">
        <f>MIN(100,Calculations!$DK$55)/2</f>
        <v>0</v>
      </c>
      <c r="DK66" s="23">
        <f>50-$DJ$66</f>
        <v>0</v>
      </c>
      <c r="DL66" s="23">
        <v>50</v>
      </c>
    </row>
    <row r="67" spans="113:116">
      <c r="DI67" s="13" t="s">
        <v>1866</v>
      </c>
      <c r="DJ67" s="23">
        <f>MIN(100,Calculations!$DK$31)/2</f>
        <v>0</v>
      </c>
      <c r="DK67" s="23">
        <f>50-$DJ$67</f>
        <v>0</v>
      </c>
      <c r="DL67" s="23">
        <v>50</v>
      </c>
    </row>
    <row r="68" spans="113:116">
      <c r="DI68" s="13" t="s">
        <v>1877</v>
      </c>
      <c r="DJ68" s="23">
        <f>MIN(100,Calculations!$DK$57)/2</f>
        <v>0</v>
      </c>
      <c r="DK68" s="23">
        <f>50-$DJ$68</f>
        <v>0</v>
      </c>
      <c r="DL68" s="23">
        <v>50</v>
      </c>
    </row>
    <row r="69" spans="113:116">
      <c r="DI69" s="13" t="s">
        <v>1884</v>
      </c>
      <c r="DJ69" s="23">
        <f>MIN(100,Calculations!$DK$33)/2</f>
        <v>0</v>
      </c>
      <c r="DK69" s="23">
        <f>50-$DJ$69</f>
        <v>0</v>
      </c>
      <c r="DL69" s="23">
        <v>50</v>
      </c>
    </row>
    <row r="70" spans="113:116">
      <c r="DI70" s="13" t="s">
        <v>1885</v>
      </c>
      <c r="DJ70" s="23">
        <f>MIN(100,Calculations!$DK$22)/2</f>
        <v>0</v>
      </c>
      <c r="DK70" s="23">
        <f>50-$DJ$70</f>
        <v>0</v>
      </c>
      <c r="DL70" s="23">
        <v>50</v>
      </c>
    </row>
    <row r="72" spans="113:116">
      <c r="DI72" s="12" t="s">
        <v>1849</v>
      </c>
      <c r="DJ72" s="12" t="s">
        <v>1905</v>
      </c>
      <c r="DK72" s="12" t="s">
        <v>1906</v>
      </c>
    </row>
    <row r="73" spans="113:116">
      <c r="DI73" s="13" t="s">
        <v>1681</v>
      </c>
      <c r="DJ73" s="23">
        <f>Calculations!$DM$12*-1</f>
        <v>0</v>
      </c>
      <c r="DK73" s="26">
        <f>DJ73+ROW()/100000</f>
        <v>0</v>
      </c>
    </row>
    <row r="74" spans="113:116">
      <c r="DI74" s="13" t="s">
        <v>1683</v>
      </c>
      <c r="DJ74" s="23">
        <f>Calculations!$DM$13*-1</f>
        <v>0</v>
      </c>
      <c r="DK74" s="26">
        <f>DJ74+ROW()/100000</f>
        <v>0</v>
      </c>
    </row>
    <row r="75" spans="113:116">
      <c r="DI75" s="13" t="s">
        <v>1853</v>
      </c>
      <c r="DJ75" s="23">
        <f>Calculations!$DM$14*-1</f>
        <v>0</v>
      </c>
      <c r="DK75" s="26">
        <f>DJ75+ROW()/100000</f>
        <v>0</v>
      </c>
    </row>
    <row r="76" spans="113:116">
      <c r="DI76" s="13" t="s">
        <v>1854</v>
      </c>
      <c r="DJ76" s="23">
        <f>Calculations!$DM$15*-1</f>
        <v>0</v>
      </c>
      <c r="DK76" s="26">
        <f>DJ76+ROW()/100000</f>
        <v>0</v>
      </c>
    </row>
    <row r="77" spans="113:116">
      <c r="DI77" s="13" t="s">
        <v>1855</v>
      </c>
      <c r="DJ77" s="23">
        <f>Calculations!$DM$16*-1</f>
        <v>0</v>
      </c>
      <c r="DK77" s="26">
        <f>DJ77+ROW()/100000</f>
        <v>0</v>
      </c>
    </row>
    <row r="78" spans="113:116">
      <c r="DI78" s="13" t="s">
        <v>292</v>
      </c>
      <c r="DJ78" s="23">
        <f>Calculations!$DM$17*-1</f>
        <v>0</v>
      </c>
      <c r="DK78" s="26">
        <f>DJ78+ROW()/100000</f>
        <v>0</v>
      </c>
    </row>
    <row r="79" spans="113:116">
      <c r="DI79" s="13" t="s">
        <v>1509</v>
      </c>
      <c r="DJ79" s="23">
        <f>Calculations!$DM$18*-1</f>
        <v>0</v>
      </c>
      <c r="DK79" s="26">
        <f>DJ79+ROW()/100000</f>
        <v>0</v>
      </c>
    </row>
    <row r="80" spans="113:116">
      <c r="DI80" s="13" t="s">
        <v>1604</v>
      </c>
      <c r="DJ80" s="23">
        <f>Calculations!$DM$19*-1</f>
        <v>0</v>
      </c>
      <c r="DK80" s="26">
        <f>DJ80+ROW()/100000</f>
        <v>0</v>
      </c>
    </row>
    <row r="81" spans="113:115">
      <c r="DI81" s="13" t="s">
        <v>1856</v>
      </c>
      <c r="DJ81" s="23">
        <f>Calculations!$DM$20*-1</f>
        <v>0</v>
      </c>
      <c r="DK81" s="26">
        <f>DJ81+ROW()/100000</f>
        <v>0</v>
      </c>
    </row>
    <row r="82" spans="113:115">
      <c r="DI82" s="13" t="s">
        <v>1857</v>
      </c>
      <c r="DJ82" s="23">
        <f>Calculations!$DM$21*-1</f>
        <v>0</v>
      </c>
      <c r="DK82" s="26">
        <f>DJ82+ROW()/100000</f>
        <v>0</v>
      </c>
    </row>
    <row r="83" spans="113:115">
      <c r="DI83" s="13" t="s">
        <v>1858</v>
      </c>
      <c r="DJ83" s="23">
        <f>Calculations!$DM$22*1</f>
        <v>0</v>
      </c>
      <c r="DK83" s="26">
        <f>DJ83+ROW()/100000</f>
        <v>0</v>
      </c>
    </row>
    <row r="84" spans="113:115">
      <c r="DI84" s="13" t="s">
        <v>1859</v>
      </c>
      <c r="DJ84" s="23">
        <f>Calculations!$DM$23*-1</f>
        <v>0</v>
      </c>
      <c r="DK84" s="26">
        <f>DJ84+ROW()/100000</f>
        <v>0</v>
      </c>
    </row>
    <row r="85" spans="113:115">
      <c r="DI85" s="13" t="s">
        <v>1701</v>
      </c>
      <c r="DJ85" s="23">
        <f>Calculations!$DM$24*1</f>
        <v>0</v>
      </c>
      <c r="DK85" s="26">
        <f>DJ85+ROW()/100000</f>
        <v>0</v>
      </c>
    </row>
    <row r="86" spans="113:115">
      <c r="DI86" s="13" t="s">
        <v>1861</v>
      </c>
      <c r="DJ86" s="23">
        <f>Calculations!$DM$25*1</f>
        <v>0</v>
      </c>
      <c r="DK86" s="26">
        <f>DJ86+ROW()/100000</f>
        <v>0</v>
      </c>
    </row>
    <row r="87" spans="113:115">
      <c r="DI87" s="13" t="s">
        <v>1862</v>
      </c>
      <c r="DJ87" s="23">
        <f>Calculations!$DM$26*1</f>
        <v>0</v>
      </c>
      <c r="DK87" s="26">
        <f>DJ87+ROW()/100000</f>
        <v>0</v>
      </c>
    </row>
    <row r="88" spans="113:115">
      <c r="DI88" s="13" t="s">
        <v>1863</v>
      </c>
      <c r="DJ88" s="23">
        <f>Calculations!$DM$27*1</f>
        <v>0</v>
      </c>
      <c r="DK88" s="26">
        <f>DJ88+ROW()/100000</f>
        <v>0</v>
      </c>
    </row>
    <row r="89" spans="113:115">
      <c r="DI89" s="13" t="s">
        <v>1864</v>
      </c>
      <c r="DJ89" s="23">
        <f>Calculations!$DM$28*1</f>
        <v>0</v>
      </c>
      <c r="DK89" s="26">
        <f>DJ89+ROW()/100000</f>
        <v>0</v>
      </c>
    </row>
    <row r="90" spans="113:115">
      <c r="DI90" s="13" t="s">
        <v>1865</v>
      </c>
      <c r="DJ90" s="23">
        <f>Calculations!$DM$29*1</f>
        <v>0</v>
      </c>
      <c r="DK90" s="26">
        <f>DJ90+ROW()/100000</f>
        <v>0</v>
      </c>
    </row>
    <row r="91" spans="113:115">
      <c r="DI91" s="13" t="s">
        <v>1705</v>
      </c>
      <c r="DJ91" s="23">
        <f>Calculations!$DM$30*1</f>
        <v>0</v>
      </c>
      <c r="DK91" s="26">
        <f>DJ91+ROW()/100000</f>
        <v>0</v>
      </c>
    </row>
    <row r="92" spans="113:115">
      <c r="DI92" s="13" t="s">
        <v>1866</v>
      </c>
      <c r="DJ92" s="23">
        <f>Calculations!$DM$31*1</f>
        <v>0</v>
      </c>
      <c r="DK92" s="26">
        <f>DJ92+ROW()/100000</f>
        <v>0</v>
      </c>
    </row>
    <row r="93" spans="113:115">
      <c r="DI93" s="13" t="s">
        <v>1706</v>
      </c>
      <c r="DJ93" s="23">
        <f>Calculations!$DM$32*1</f>
        <v>0</v>
      </c>
      <c r="DK93" s="26">
        <f>DJ93+ROW()/100000</f>
        <v>0</v>
      </c>
    </row>
    <row r="94" spans="113:115">
      <c r="DI94" s="13" t="s">
        <v>1867</v>
      </c>
      <c r="DJ94" s="23">
        <f>Calculations!$DM$33*1</f>
        <v>0</v>
      </c>
      <c r="DK94" s="26">
        <f>DJ94+ROW()/100000</f>
        <v>0</v>
      </c>
    </row>
    <row r="95" spans="113:115">
      <c r="DI95" s="13" t="s">
        <v>1707</v>
      </c>
      <c r="DJ95" s="23">
        <f>Calculations!$DM$34*1</f>
        <v>0</v>
      </c>
      <c r="DK95" s="26">
        <f>DJ95+ROW()/100000</f>
        <v>0</v>
      </c>
    </row>
    <row r="96" spans="113:115">
      <c r="DI96" s="13" t="s">
        <v>1868</v>
      </c>
      <c r="DJ96" s="23">
        <f>Calculations!$DM$35*-1</f>
        <v>0</v>
      </c>
      <c r="DK96" s="26">
        <f>DJ96+ROW()/100000</f>
        <v>0</v>
      </c>
    </row>
    <row r="97" spans="113:115">
      <c r="DI97" s="13" t="s">
        <v>1708</v>
      </c>
      <c r="DJ97" s="23">
        <f>Calculations!$DM$36*1</f>
        <v>0</v>
      </c>
      <c r="DK97" s="26">
        <f>DJ97+ROW()/100000</f>
        <v>0</v>
      </c>
    </row>
    <row r="98" spans="113:115">
      <c r="DI98" s="13" t="s">
        <v>1709</v>
      </c>
      <c r="DJ98" s="23">
        <f>Calculations!$DM$37*1</f>
        <v>0</v>
      </c>
      <c r="DK98" s="26">
        <f>DJ98+ROW()/100000</f>
        <v>0</v>
      </c>
    </row>
    <row r="99" spans="113:115">
      <c r="DI99" s="13" t="s">
        <v>1869</v>
      </c>
      <c r="DJ99" s="23">
        <f>Calculations!$DM$38*1</f>
        <v>0</v>
      </c>
      <c r="DK99" s="26">
        <f>DJ99+ROW()/100000</f>
        <v>0</v>
      </c>
    </row>
    <row r="100" spans="113:115">
      <c r="DI100" s="13" t="s">
        <v>1710</v>
      </c>
      <c r="DJ100" s="23">
        <f>Calculations!$DM$39*1</f>
        <v>0</v>
      </c>
      <c r="DK100" s="26">
        <f>DJ100+ROW()/100000</f>
        <v>0</v>
      </c>
    </row>
    <row r="101" spans="113:115">
      <c r="DI101" s="13" t="s">
        <v>1870</v>
      </c>
      <c r="DJ101" s="23">
        <f>Calculations!$DM$40*1</f>
        <v>0</v>
      </c>
      <c r="DK101" s="26">
        <f>DJ101+ROW()/100000</f>
        <v>0</v>
      </c>
    </row>
    <row r="102" spans="113:115">
      <c r="DI102" s="13" t="s">
        <v>1711</v>
      </c>
      <c r="DJ102" s="23">
        <f>Calculations!$DM$41*1</f>
        <v>0</v>
      </c>
      <c r="DK102" s="26">
        <f>DJ102+ROW()/100000</f>
        <v>0</v>
      </c>
    </row>
    <row r="103" spans="113:115">
      <c r="DI103" s="13" t="s">
        <v>1871</v>
      </c>
      <c r="DJ103" s="23">
        <f>Calculations!$DM$42*1</f>
        <v>0</v>
      </c>
      <c r="DK103" s="26">
        <f>DJ103+ROW()/100000</f>
        <v>0</v>
      </c>
    </row>
    <row r="104" spans="113:115">
      <c r="DI104" s="13" t="s">
        <v>1712</v>
      </c>
      <c r="DJ104" s="23">
        <f>Calculations!$DM$43*1</f>
        <v>0</v>
      </c>
      <c r="DK104" s="26">
        <f>DJ104+ROW()/100000</f>
        <v>0</v>
      </c>
    </row>
    <row r="105" spans="113:115">
      <c r="DI105" s="13" t="s">
        <v>1872</v>
      </c>
      <c r="DJ105" s="23">
        <f>Calculations!$DM$44*-1</f>
        <v>0</v>
      </c>
      <c r="DK105" s="26">
        <f>DJ105+ROW()/100000</f>
        <v>0</v>
      </c>
    </row>
    <row r="106" spans="113:115">
      <c r="DI106" s="13" t="s">
        <v>1713</v>
      </c>
      <c r="DJ106" s="23">
        <f>Calculations!$DM$45*1</f>
        <v>0</v>
      </c>
      <c r="DK106" s="26">
        <f>DJ106+ROW()/100000</f>
        <v>0</v>
      </c>
    </row>
    <row r="107" spans="113:115">
      <c r="DI107" s="13" t="s">
        <v>1873</v>
      </c>
      <c r="DJ107" s="23">
        <f>Calculations!$DM$46*-1</f>
        <v>0</v>
      </c>
      <c r="DK107" s="26">
        <f>DJ107+ROW()/100000</f>
        <v>0</v>
      </c>
    </row>
    <row r="108" spans="113:115">
      <c r="DI108" s="13" t="s">
        <v>1714</v>
      </c>
      <c r="DJ108" s="23">
        <f>Calculations!$DM$47*1</f>
        <v>0</v>
      </c>
      <c r="DK108" s="26">
        <f>DJ108+ROW()/100000</f>
        <v>0</v>
      </c>
    </row>
    <row r="109" spans="113:115">
      <c r="DI109" s="13" t="s">
        <v>1874</v>
      </c>
      <c r="DJ109" s="23">
        <f>Calculations!$DM$48*1</f>
        <v>0</v>
      </c>
      <c r="DK109" s="26">
        <f>DJ109+ROW()/100000</f>
        <v>0</v>
      </c>
    </row>
    <row r="110" spans="113:115">
      <c r="DI110" s="13" t="s">
        <v>1715</v>
      </c>
      <c r="DJ110" s="23">
        <f>Calculations!$DM$49*1</f>
        <v>0</v>
      </c>
      <c r="DK110" s="26">
        <f>DJ110+ROW()/100000</f>
        <v>0</v>
      </c>
    </row>
    <row r="111" spans="113:115">
      <c r="DI111" s="13" t="s">
        <v>1875</v>
      </c>
      <c r="DJ111" s="23">
        <f>Calculations!$DM$50*1</f>
        <v>0</v>
      </c>
      <c r="DK111" s="26">
        <f>DJ111+ROW()/100000</f>
        <v>0</v>
      </c>
    </row>
    <row r="112" spans="113:115">
      <c r="DI112" s="13" t="s">
        <v>1717</v>
      </c>
      <c r="DJ112" s="23">
        <f>Calculations!$DM$51*1</f>
        <v>0</v>
      </c>
      <c r="DK112" s="26">
        <f>DJ112+ROW()/100000</f>
        <v>0</v>
      </c>
    </row>
    <row r="113" spans="113:115">
      <c r="DI113" s="13" t="s">
        <v>1718</v>
      </c>
      <c r="DJ113" s="23">
        <f>Calculations!$DM$52*1</f>
        <v>0</v>
      </c>
      <c r="DK113" s="26">
        <f>DJ113+ROW()/100000</f>
        <v>0</v>
      </c>
    </row>
    <row r="114" spans="113:115">
      <c r="DI114" s="13" t="s">
        <v>1719</v>
      </c>
      <c r="DJ114" s="23">
        <f>Calculations!$DM$53*1</f>
        <v>0</v>
      </c>
      <c r="DK114" s="26">
        <f>DJ114+ROW()/100000</f>
        <v>0</v>
      </c>
    </row>
    <row r="115" spans="113:115">
      <c r="DI115" s="13" t="s">
        <v>1720</v>
      </c>
      <c r="DJ115" s="23">
        <f>Calculations!$DM$54*1</f>
        <v>0</v>
      </c>
      <c r="DK115" s="26">
        <f>DJ115+ROW()/100000</f>
        <v>0</v>
      </c>
    </row>
    <row r="116" spans="113:115">
      <c r="DI116" s="13" t="s">
        <v>1876</v>
      </c>
      <c r="DJ116" s="23">
        <f>Calculations!$DM$55*1</f>
        <v>0</v>
      </c>
      <c r="DK116" s="26">
        <f>DJ116+ROW()/100000</f>
        <v>0</v>
      </c>
    </row>
    <row r="117" spans="113:115">
      <c r="DI117" s="13" t="s">
        <v>1721</v>
      </c>
      <c r="DJ117" s="23">
        <f>Calculations!$DM$56*1</f>
        <v>0</v>
      </c>
      <c r="DK117" s="26">
        <f>DJ117+ROW()/100000</f>
        <v>0</v>
      </c>
    </row>
    <row r="118" spans="113:115">
      <c r="DI118" s="13" t="s">
        <v>1877</v>
      </c>
      <c r="DJ118" s="23">
        <f>Calculations!$DM$57*1</f>
        <v>0</v>
      </c>
      <c r="DK118" s="26">
        <f>DJ118+ROW()/100000</f>
        <v>0</v>
      </c>
    </row>
    <row r="119" spans="113:115">
      <c r="DI119" s="13" t="s">
        <v>1878</v>
      </c>
      <c r="DJ119" s="23">
        <f>Calculations!$DM$58*1</f>
        <v>0</v>
      </c>
      <c r="DK119" s="26">
        <f>DJ119+ROW()/100000</f>
        <v>0</v>
      </c>
    </row>
    <row r="120" spans="113:115">
      <c r="DI120" s="13" t="s">
        <v>1879</v>
      </c>
      <c r="DJ120" s="23">
        <f>Calculations!$DM$59*1</f>
        <v>0</v>
      </c>
      <c r="DK120" s="26">
        <f>DJ120+ROW()/100000</f>
        <v>0</v>
      </c>
    </row>
    <row r="121" spans="113:115">
      <c r="DI121" s="13" t="s">
        <v>1880</v>
      </c>
      <c r="DJ121" s="23">
        <f>Calculations!$DM$60*1</f>
        <v>0</v>
      </c>
      <c r="DK121" s="26">
        <f>DJ121+ROW()/100000</f>
        <v>0</v>
      </c>
    </row>
    <row r="122" spans="113:115">
      <c r="DI122" s="13" t="s">
        <v>1881</v>
      </c>
      <c r="DJ122" s="23">
        <f>Calculations!$DM$61*1</f>
        <v>0</v>
      </c>
      <c r="DK122" s="26">
        <f>DJ122+ROW()/100000</f>
        <v>0</v>
      </c>
    </row>
    <row r="124" spans="113:115">
      <c r="DI124" s="12" t="s">
        <v>1907</v>
      </c>
      <c r="DJ124" s="12" t="s">
        <v>1908</v>
      </c>
    </row>
    <row r="125" spans="113:115">
      <c r="DI125" s="13">
        <f>INDEX($DI$73:$DI$122,MATCH(LARGE($DK$73:$DK$122,1),$DK$73:$DK$122,0))</f>
        <v>0</v>
      </c>
      <c r="DJ125" s="27">
        <f>INDEX($DJ$73:$DJ$122,MATCH(LARGE($DK$73:$DK$122,1),$DK$73:$DK$122,0))</f>
        <v>0</v>
      </c>
    </row>
    <row r="126" spans="113:115">
      <c r="DI126" s="13">
        <f>INDEX($DI$73:$DI$122,MATCH(LARGE($DK$73:$DK$122,2),$DK$73:$DK$122,0))</f>
        <v>0</v>
      </c>
      <c r="DJ126" s="27">
        <f>INDEX($DJ$73:$DJ$122,MATCH(LARGE($DK$73:$DK$122,2),$DK$73:$DK$122,0))</f>
        <v>0</v>
      </c>
    </row>
    <row r="127" spans="113:115">
      <c r="DI127" s="13">
        <f>INDEX($DI$73:$DI$122,MATCH(LARGE($DK$73:$DK$122,3),$DK$73:$DK$122,0))</f>
        <v>0</v>
      </c>
      <c r="DJ127" s="27">
        <f>INDEX($DJ$73:$DJ$122,MATCH(LARGE($DK$73:$DK$122,3),$DK$73:$DK$122,0))</f>
        <v>0</v>
      </c>
    </row>
    <row r="128" spans="113:115">
      <c r="DI128" s="12" t="s">
        <v>1909</v>
      </c>
      <c r="DJ128" s="12" t="s">
        <v>1908</v>
      </c>
    </row>
    <row r="129" spans="2:114">
      <c r="DI129" s="13">
        <f>INDEX($DI$73:$DI$122,MATCH(SMALL($DK$73:$DK$122,1),$DK$73:$DK$122,0))</f>
        <v>0</v>
      </c>
      <c r="DJ129" s="27">
        <f>INDEX($DJ$73:$DJ$122,MATCH(SMALL($DK$73:$DK$122,1),$DK$73:$DK$122,0))</f>
        <v>0</v>
      </c>
    </row>
    <row r="130" spans="2:114">
      <c r="DI130" s="13">
        <f>INDEX($DI$73:$DI$122,MATCH(SMALL($DK$73:$DK$122,2),$DK$73:$DK$122,0))</f>
        <v>0</v>
      </c>
      <c r="DJ130" s="27">
        <f>INDEX($DJ$73:$DJ$122,MATCH(SMALL($DK$73:$DK$122,2),$DK$73:$DK$122,0))</f>
        <v>0</v>
      </c>
    </row>
    <row r="131" spans="2:114">
      <c r="DI131" s="13">
        <f>INDEX($DI$73:$DI$122,MATCH(SMALL($DK$73:$DK$122,3),$DK$73:$DK$122,0))</f>
        <v>0</v>
      </c>
      <c r="DJ131" s="27">
        <f>INDEX($DJ$73:$DJ$122,MATCH(SMALL($DK$73:$DK$122,3),$DK$73:$DK$122,0))</f>
        <v>0</v>
      </c>
    </row>
    <row r="134" spans="2:114">
      <c r="B134" s="17" t="s">
        <v>1910</v>
      </c>
      <c r="C134" s="17"/>
      <c r="D134" s="17"/>
      <c r="E134" s="17"/>
      <c r="F134" s="17"/>
      <c r="G134" s="17"/>
      <c r="H134" s="17"/>
      <c r="I134" s="17"/>
      <c r="J134" s="17"/>
      <c r="K134" s="17"/>
    </row>
    <row r="135" spans="2:114">
      <c r="B135" s="12" t="s">
        <v>1602</v>
      </c>
      <c r="C135" s="12" t="s">
        <v>1887</v>
      </c>
      <c r="D135" s="12" t="s">
        <v>1906</v>
      </c>
      <c r="E135" s="12" t="s">
        <v>1911</v>
      </c>
      <c r="F135" s="12" t="s">
        <v>1912</v>
      </c>
      <c r="G135" s="12" t="s">
        <v>1913</v>
      </c>
    </row>
    <row r="136" spans="2:114">
      <c r="B136" s="13" t="s">
        <v>1333</v>
      </c>
      <c r="C136" s="22">
        <f>COUNTIFS('Incident'!$T$4:$T$100003,"Human Error",'Incident'!$D$4:$D$100003,mCrit,'Incident'!$H$4:$H$100003,dCrit)</f>
        <v>0</v>
      </c>
      <c r="D136" s="26">
        <f>C136+ROW()/100000</f>
        <v>0</v>
      </c>
      <c r="E136" s="13">
        <f>INDEX($B$136:$B$143,MATCH(LARGE($D$136:$D$143,1),$D$136:$D$143,0))</f>
        <v>0</v>
      </c>
      <c r="F136" s="22">
        <f>INT(LARGE($D$136:$D$143,1))</f>
        <v>0</v>
      </c>
      <c r="G136" s="25">
        <f>IFERROR(SUM($F$136:F$136)/SUM($C$136:$C$143)*100,0)</f>
        <v>0</v>
      </c>
    </row>
    <row r="137" spans="2:114">
      <c r="B137" s="13" t="s">
        <v>305</v>
      </c>
      <c r="C137" s="22">
        <f>COUNTIFS('Incident'!$T$4:$T$100003,"Unsafe Act",'Incident'!$D$4:$D$100003,mCrit,'Incident'!$H$4:$H$100003,dCrit)</f>
        <v>0</v>
      </c>
      <c r="D137" s="26">
        <f>C137+ROW()/100000</f>
        <v>0</v>
      </c>
      <c r="E137" s="13">
        <f>INDEX($B$136:$B$143,MATCH(LARGE($D$136:$D$143,2),$D$136:$D$143,0))</f>
        <v>0</v>
      </c>
      <c r="F137" s="22">
        <f>INT(LARGE($D$136:$D$143,2))</f>
        <v>0</v>
      </c>
      <c r="G137" s="25">
        <f>IFERROR(SUM($F$136:F$137)/SUM($C$136:$C$143)*100,0)</f>
        <v>0</v>
      </c>
    </row>
    <row r="138" spans="2:114">
      <c r="B138" s="13" t="s">
        <v>297</v>
      </c>
      <c r="C138" s="22">
        <f>COUNTIFS('Incident'!$T$4:$T$100003,"Unsafe Condition",'Incident'!$D$4:$D$100003,mCrit,'Incident'!$H$4:$H$100003,dCrit)</f>
        <v>0</v>
      </c>
      <c r="D138" s="26">
        <f>C138+ROW()/100000</f>
        <v>0</v>
      </c>
      <c r="E138" s="13">
        <f>INDEX($B$136:$B$143,MATCH(LARGE($D$136:$D$143,3),$D$136:$D$143,0))</f>
        <v>0</v>
      </c>
      <c r="F138" s="22">
        <f>INT(LARGE($D$136:$D$143,3))</f>
        <v>0</v>
      </c>
      <c r="G138" s="25">
        <f>IFERROR(SUM($F$136:F$138)/SUM($C$136:$C$143)*100,0)</f>
        <v>0</v>
      </c>
    </row>
    <row r="139" spans="2:114">
      <c r="B139" s="13" t="s">
        <v>1327</v>
      </c>
      <c r="C139" s="22">
        <f>COUNTIFS('Incident'!$T$4:$T$100003,"Inadequate Procedure",'Incident'!$D$4:$D$100003,mCrit,'Incident'!$H$4:$H$100003,dCrit)</f>
        <v>0</v>
      </c>
      <c r="D139" s="26">
        <f>C139+ROW()/100000</f>
        <v>0</v>
      </c>
      <c r="E139" s="13">
        <f>INDEX($B$136:$B$143,MATCH(LARGE($D$136:$D$143,4),$D$136:$D$143,0))</f>
        <v>0</v>
      </c>
      <c r="F139" s="22">
        <f>INT(LARGE($D$136:$D$143,4))</f>
        <v>0</v>
      </c>
      <c r="G139" s="25">
        <f>IFERROR(SUM($F$136:F$139)/SUM($C$136:$C$143)*100,0)</f>
        <v>0</v>
      </c>
    </row>
    <row r="140" spans="2:114">
      <c r="B140" s="13" t="s">
        <v>1350</v>
      </c>
      <c r="C140" s="22">
        <f>COUNTIFS('Incident'!$T$4:$T$100003,"Lack of Training",'Incident'!$D$4:$D$100003,mCrit,'Incident'!$H$4:$H$100003,dCrit)</f>
        <v>0</v>
      </c>
      <c r="D140" s="26">
        <f>C140+ROW()/100000</f>
        <v>0</v>
      </c>
      <c r="E140" s="13">
        <f>INDEX($B$136:$B$143,MATCH(LARGE($D$136:$D$143,5),$D$136:$D$143,0))</f>
        <v>0</v>
      </c>
      <c r="F140" s="22">
        <f>INT(LARGE($D$136:$D$143,5))</f>
        <v>0</v>
      </c>
      <c r="G140" s="25">
        <f>IFERROR(SUM($F$136:F$140)/SUM($C$136:$C$143)*100,0)</f>
        <v>0</v>
      </c>
    </row>
    <row r="141" spans="2:114">
      <c r="B141" s="13" t="s">
        <v>1344</v>
      </c>
      <c r="C141" s="22">
        <f>COUNTIFS('Incident'!$T$4:$T$100003,"Equipment Failure",'Incident'!$D$4:$D$100003,mCrit,'Incident'!$H$4:$H$100003,dCrit)</f>
        <v>0</v>
      </c>
      <c r="D141" s="26">
        <f>C141+ROW()/100000</f>
        <v>0</v>
      </c>
      <c r="E141" s="13">
        <f>INDEX($B$136:$B$143,MATCH(LARGE($D$136:$D$143,6),$D$136:$D$143,0))</f>
        <v>0</v>
      </c>
      <c r="F141" s="22">
        <f>INT(LARGE($D$136:$D$143,6))</f>
        <v>0</v>
      </c>
      <c r="G141" s="25">
        <f>IFERROR(SUM($F$136:F$141)/SUM($C$136:$C$143)*100,0)</f>
        <v>0</v>
      </c>
    </row>
    <row r="142" spans="2:114">
      <c r="B142" s="13" t="s">
        <v>1325</v>
      </c>
      <c r="C142" s="22">
        <f>COUNTIFS('Incident'!$T$4:$T$100003,"PPE Not Used",'Incident'!$D$4:$D$100003,mCrit,'Incident'!$H$4:$H$100003,dCrit)</f>
        <v>0</v>
      </c>
      <c r="D142" s="26">
        <f>C142+ROW()/100000</f>
        <v>0</v>
      </c>
      <c r="E142" s="13">
        <f>INDEX($B$136:$B$143,MATCH(LARGE($D$136:$D$143,7),$D$136:$D$143,0))</f>
        <v>0</v>
      </c>
      <c r="F142" s="22">
        <f>INT(LARGE($D$136:$D$143,7))</f>
        <v>0</v>
      </c>
      <c r="G142" s="25">
        <f>IFERROR(SUM($F$136:F$142)/SUM($C$136:$C$143)*100,0)</f>
        <v>0</v>
      </c>
    </row>
    <row r="143" spans="2:114">
      <c r="B143" s="13" t="s">
        <v>1329</v>
      </c>
      <c r="C143" s="22">
        <f>COUNTIFS('Incident'!$T$4:$T$100003,"Poor Housekeeping",'Incident'!$D$4:$D$100003,mCrit,'Incident'!$H$4:$H$100003,dCrit)</f>
        <v>0</v>
      </c>
      <c r="D143" s="26">
        <f>C143+ROW()/100000</f>
        <v>0</v>
      </c>
      <c r="E143" s="13">
        <f>INDEX($B$136:$B$143,MATCH(LARGE($D$136:$D$143,8),$D$136:$D$143,0))</f>
        <v>0</v>
      </c>
      <c r="F143" s="22">
        <f>INT(LARGE($D$136:$D$143,8))</f>
        <v>0</v>
      </c>
      <c r="G143" s="25">
        <f>IFERROR(SUM($F$136:F$143)/SUM($C$136:$C$143)*100,0)</f>
        <v>0</v>
      </c>
    </row>
    <row r="145" spans="2:8">
      <c r="B145" s="12" t="s">
        <v>129</v>
      </c>
      <c r="C145" s="12" t="s">
        <v>1914</v>
      </c>
      <c r="D145" s="12" t="s">
        <v>1854</v>
      </c>
      <c r="E145" s="12" t="s">
        <v>292</v>
      </c>
    </row>
    <row r="146" spans="2:8">
      <c r="B146" s="13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3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3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3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3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3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3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3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3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3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2" t="s">
        <v>1915</v>
      </c>
      <c r="C157" s="12" t="s">
        <v>1916</v>
      </c>
      <c r="D157" s="12" t="s">
        <v>1917</v>
      </c>
      <c r="E157" s="12" t="s">
        <v>1918</v>
      </c>
      <c r="F157" s="12" t="s">
        <v>1919</v>
      </c>
      <c r="G157" s="12" t="s">
        <v>65</v>
      </c>
      <c r="H157" s="12" t="s">
        <v>1920</v>
      </c>
    </row>
    <row r="158" spans="2:8">
      <c r="B158" s="12" t="s">
        <v>157</v>
      </c>
      <c r="C158" s="28">
        <f>COUNTIFS('Incident'!$U$4:$U$100003,"Critical",'Incident'!$D$4:$D$100003,mCrit,'Incident'!$H$4:$H$100003,"Operations")</f>
        <v>0</v>
      </c>
      <c r="D158" s="28">
        <f>COUNTIFS('Incident'!$U$4:$U$100003,"Critical",'Incident'!$D$4:$D$100003,mCrit,'Incident'!$H$4:$H$100003,"Maintenance")</f>
        <v>0</v>
      </c>
      <c r="E158" s="28">
        <f>COUNTIFS('Incident'!$U$4:$U$100003,"Critical",'Incident'!$D$4:$D$100003,mCrit,'Incident'!$H$4:$H$100003,"Engineering")</f>
        <v>0</v>
      </c>
      <c r="F158" s="28">
        <f>COUNTIFS('Incident'!$U$4:$U$100003,"Critical",'Incident'!$D$4:$D$100003,mCrit,'Incident'!$H$4:$H$100003,"Construction")</f>
        <v>0</v>
      </c>
      <c r="G158" s="28">
        <f>COUNTIFS('Incident'!$U$4:$U$100003,"Critical",'Incident'!$D$4:$D$100003,mCrit,'Incident'!$H$4:$H$100003,"Safety")</f>
        <v>0</v>
      </c>
      <c r="H158" s="28">
        <f>COUNTIFS('Incident'!$U$4:$U$100003,"Critical",'Incident'!$D$4:$D$100003,mCrit,'Incident'!$H$4:$H$100003,"Logistics")</f>
        <v>0</v>
      </c>
    </row>
    <row r="159" spans="2:8">
      <c r="B159" s="12" t="s">
        <v>151</v>
      </c>
      <c r="C159" s="28">
        <f>COUNTIFS('Incident'!$U$4:$U$100003,"High",'Incident'!$D$4:$D$100003,mCrit,'Incident'!$H$4:$H$100003,"Operations")</f>
        <v>0</v>
      </c>
      <c r="D159" s="28">
        <f>COUNTIFS('Incident'!$U$4:$U$100003,"High",'Incident'!$D$4:$D$100003,mCrit,'Incident'!$H$4:$H$100003,"Maintenance")</f>
        <v>0</v>
      </c>
      <c r="E159" s="28">
        <f>COUNTIFS('Incident'!$U$4:$U$100003,"High",'Incident'!$D$4:$D$100003,mCrit,'Incident'!$H$4:$H$100003,"Engineering")</f>
        <v>0</v>
      </c>
      <c r="F159" s="28">
        <f>COUNTIFS('Incident'!$U$4:$U$100003,"High",'Incident'!$D$4:$D$100003,mCrit,'Incident'!$H$4:$H$100003,"Construction")</f>
        <v>0</v>
      </c>
      <c r="G159" s="28">
        <f>COUNTIFS('Incident'!$U$4:$U$100003,"High",'Incident'!$D$4:$D$100003,mCrit,'Incident'!$H$4:$H$100003,"Safety")</f>
        <v>0</v>
      </c>
      <c r="H159" s="28">
        <f>COUNTIFS('Incident'!$U$4:$U$100003,"High",'Incident'!$D$4:$D$100003,mCrit,'Incident'!$H$4:$H$100003,"Logistics")</f>
        <v>0</v>
      </c>
    </row>
    <row r="160" spans="2:8">
      <c r="B160" s="12" t="s">
        <v>142</v>
      </c>
      <c r="C160" s="28">
        <f>COUNTIFS('Incident'!$U$4:$U$100003,"Medium",'Incident'!$D$4:$D$100003,mCrit,'Incident'!$H$4:$H$100003,"Operations")</f>
        <v>0</v>
      </c>
      <c r="D160" s="28">
        <f>COUNTIFS('Incident'!$U$4:$U$100003,"Medium",'Incident'!$D$4:$D$100003,mCrit,'Incident'!$H$4:$H$100003,"Maintenance")</f>
        <v>0</v>
      </c>
      <c r="E160" s="28">
        <f>COUNTIFS('Incident'!$U$4:$U$100003,"Medium",'Incident'!$D$4:$D$100003,mCrit,'Incident'!$H$4:$H$100003,"Engineering")</f>
        <v>0</v>
      </c>
      <c r="F160" s="28">
        <f>COUNTIFS('Incident'!$U$4:$U$100003,"Medium",'Incident'!$D$4:$D$100003,mCrit,'Incident'!$H$4:$H$100003,"Construction")</f>
        <v>0</v>
      </c>
      <c r="G160" s="28">
        <f>COUNTIFS('Incident'!$U$4:$U$100003,"Medium",'Incident'!$D$4:$D$100003,mCrit,'Incident'!$H$4:$H$100003,"Safety")</f>
        <v>0</v>
      </c>
      <c r="H160" s="28">
        <f>COUNTIFS('Incident'!$U$4:$U$100003,"Medium",'Incident'!$D$4:$D$100003,mCrit,'Incident'!$H$4:$H$100003,"Logistics")</f>
        <v>0</v>
      </c>
    </row>
    <row r="161" spans="2:8">
      <c r="B161" s="12" t="s">
        <v>161</v>
      </c>
      <c r="C161" s="28">
        <f>COUNTIFS('Incident'!$U$4:$U$100003,"Low",'Incident'!$D$4:$D$100003,mCrit,'Incident'!$H$4:$H$100003,"Operations")</f>
        <v>0</v>
      </c>
      <c r="D161" s="28">
        <f>COUNTIFS('Incident'!$U$4:$U$100003,"Low",'Incident'!$D$4:$D$100003,mCrit,'Incident'!$H$4:$H$100003,"Maintenance")</f>
        <v>0</v>
      </c>
      <c r="E161" s="28">
        <f>COUNTIFS('Incident'!$U$4:$U$100003,"Low",'Incident'!$D$4:$D$100003,mCrit,'Incident'!$H$4:$H$100003,"Engineering")</f>
        <v>0</v>
      </c>
      <c r="F161" s="28">
        <f>COUNTIFS('Incident'!$U$4:$U$100003,"Low",'Incident'!$D$4:$D$100003,mCrit,'Incident'!$H$4:$H$100003,"Construction")</f>
        <v>0</v>
      </c>
      <c r="G161" s="28">
        <f>COUNTIFS('Incident'!$U$4:$U$100003,"Low",'Incident'!$D$4:$D$100003,mCrit,'Incident'!$H$4:$H$100003,"Safety")</f>
        <v>0</v>
      </c>
      <c r="H161" s="28">
        <f>COUNTIFS('Incident'!$U$4:$U$100003,"Low",'Incident'!$D$4:$D$100003,mCrit,'Incident'!$H$4:$H$100003,"Logistics")</f>
        <v>0</v>
      </c>
    </row>
    <row r="162" spans="2:8">
      <c r="B162" s="12" t="s">
        <v>1921</v>
      </c>
      <c r="C162" s="12" t="s">
        <v>1887</v>
      </c>
      <c r="D162" s="12" t="s">
        <v>1906</v>
      </c>
      <c r="E162" s="12" t="s">
        <v>1922</v>
      </c>
      <c r="F162" s="12" t="s">
        <v>1923</v>
      </c>
    </row>
    <row r="163" spans="2:8">
      <c r="B163" s="13" t="s">
        <v>1392</v>
      </c>
      <c r="C163" s="22">
        <f>COUNTIFS('Unsafe Acts'!$E$4:$E$100003,"Bypassing Safety Device",'Unsafe Acts'!$D$4:$D$100003,mCrit,'Unsafe Acts'!$F$4:$F$100003,dCrit)</f>
        <v>0</v>
      </c>
      <c r="D163" s="26">
        <f>C163+ROW()/100000</f>
        <v>0</v>
      </c>
      <c r="E163" s="13">
        <f>INDEX($B$163:$B$172,MATCH(LARGE($D$163:$D$172,1),$D$163:$D$172,0))</f>
        <v>0</v>
      </c>
      <c r="F163" s="22">
        <f>INT(LARGE($D$163:$D$172,1))</f>
        <v>0</v>
      </c>
    </row>
    <row r="164" spans="2:8">
      <c r="B164" s="13" t="s">
        <v>1390</v>
      </c>
      <c r="C164" s="22">
        <f>COUNTIFS('Unsafe Acts'!$E$4:$E$100003,"Not Using PPE",'Unsafe Acts'!$D$4:$D$100003,mCrit,'Unsafe Acts'!$F$4:$F$100003,dCrit)</f>
        <v>0</v>
      </c>
      <c r="D164" s="26">
        <f>C164+ROW()/100000</f>
        <v>0</v>
      </c>
      <c r="E164" s="13">
        <f>INDEX($B$163:$B$172,MATCH(LARGE($D$163:$D$172,2),$D$163:$D$172,0))</f>
        <v>0</v>
      </c>
      <c r="F164" s="22">
        <f>INT(LARGE($D$163:$D$172,2))</f>
        <v>0</v>
      </c>
    </row>
    <row r="165" spans="2:8">
      <c r="B165" s="13" t="s">
        <v>1411</v>
      </c>
      <c r="C165" s="22">
        <f>COUNTIFS('Unsafe Acts'!$E$4:$E$100003,"Improper Lifting Technique",'Unsafe Acts'!$D$4:$D$100003,mCrit,'Unsafe Acts'!$F$4:$F$100003,dCrit)</f>
        <v>0</v>
      </c>
      <c r="D165" s="26">
        <f>C165+ROW()/100000</f>
        <v>0</v>
      </c>
      <c r="E165" s="13">
        <f>INDEX($B$163:$B$172,MATCH(LARGE($D$163:$D$172,3),$D$163:$D$172,0))</f>
        <v>0</v>
      </c>
      <c r="F165" s="22">
        <f>INT(LARGE($D$163:$D$172,3))</f>
        <v>0</v>
      </c>
    </row>
    <row r="166" spans="2:8">
      <c r="B166" s="13" t="s">
        <v>1421</v>
      </c>
      <c r="C166" s="22">
        <f>COUNTIFS('Unsafe Acts'!$E$4:$E$100003,"Working Without Permit",'Unsafe Acts'!$D$4:$D$100003,mCrit,'Unsafe Acts'!$F$4:$F$100003,dCrit)</f>
        <v>0</v>
      </c>
      <c r="D166" s="26">
        <f>C166+ROW()/100000</f>
        <v>0</v>
      </c>
      <c r="E166" s="13">
        <f>INDEX($B$163:$B$172,MATCH(LARGE($D$163:$D$172,4),$D$163:$D$172,0))</f>
        <v>0</v>
      </c>
      <c r="F166" s="22">
        <f>INT(LARGE($D$163:$D$172,4))</f>
        <v>0</v>
      </c>
    </row>
    <row r="167" spans="2:8">
      <c r="B167" s="13" t="s">
        <v>1388</v>
      </c>
      <c r="C167" s="22">
        <f>COUNTIFS('Unsafe Acts'!$E$4:$E$100003,"Operating Without Authorization",'Unsafe Acts'!$D$4:$D$100003,mCrit,'Unsafe Acts'!$F$4:$F$100003,dCrit)</f>
        <v>0</v>
      </c>
      <c r="D167" s="26">
        <f>C167+ROW()/100000</f>
        <v>0</v>
      </c>
      <c r="E167" s="13">
        <f>INDEX($B$163:$B$172,MATCH(LARGE($D$163:$D$172,5),$D$163:$D$172,0))</f>
        <v>0</v>
      </c>
      <c r="F167" s="22">
        <f>INT(LARGE($D$163:$D$172,5))</f>
        <v>0</v>
      </c>
    </row>
    <row r="168" spans="2:8">
      <c r="B168" s="13" t="s">
        <v>1394</v>
      </c>
      <c r="C168" s="22">
        <f>COUNTIFS('Unsafe Acts'!$E$4:$E$100003,"Using Defective Equipment",'Unsafe Acts'!$D$4:$D$100003,mCrit,'Unsafe Acts'!$F$4:$F$100003,dCrit)</f>
        <v>0</v>
      </c>
      <c r="D168" s="26">
        <f>C168+ROW()/100000</f>
        <v>0</v>
      </c>
      <c r="E168" s="13">
        <f>INDEX($B$163:$B$172,MATCH(LARGE($D$163:$D$172,6),$D$163:$D$172,0))</f>
        <v>0</v>
      </c>
      <c r="F168" s="22">
        <f>INT(LARGE($D$163:$D$172,6))</f>
        <v>0</v>
      </c>
    </row>
    <row r="169" spans="2:8">
      <c r="B169" s="13" t="s">
        <v>1401</v>
      </c>
      <c r="C169" s="22">
        <f>COUNTIFS('Unsafe Acts'!$E$4:$E$100003,"Horseplay",'Unsafe Acts'!$D$4:$D$100003,mCrit,'Unsafe Acts'!$F$4:$F$100003,dCrit)</f>
        <v>0</v>
      </c>
      <c r="D169" s="26">
        <f>C169+ROW()/100000</f>
        <v>0</v>
      </c>
      <c r="E169" s="13">
        <f>INDEX($B$163:$B$172,MATCH(LARGE($D$163:$D$172,7),$D$163:$D$172,0))</f>
        <v>0</v>
      </c>
      <c r="F169" s="22">
        <f>INT(LARGE($D$163:$D$172,7))</f>
        <v>0</v>
      </c>
    </row>
    <row r="170" spans="2:8">
      <c r="B170" s="13" t="s">
        <v>1386</v>
      </c>
      <c r="C170" s="22">
        <f>COUNTIFS('Unsafe Acts'!$E$4:$E$100003,"Wrong Tool for the Job",'Unsafe Acts'!$D$4:$D$100003,mCrit,'Unsafe Acts'!$F$4:$F$100003,dCrit)</f>
        <v>0</v>
      </c>
      <c r="D170" s="26">
        <f>C170+ROW()/100000</f>
        <v>0</v>
      </c>
      <c r="E170" s="13">
        <f>INDEX($B$163:$B$172,MATCH(LARGE($D$163:$D$172,8),$D$163:$D$172,0))</f>
        <v>0</v>
      </c>
      <c r="F170" s="22">
        <f>INT(LARGE($D$163:$D$172,8))</f>
        <v>0</v>
      </c>
    </row>
    <row r="171" spans="2:8">
      <c r="B171" s="13" t="s">
        <v>1384</v>
      </c>
      <c r="C171" s="22">
        <f>COUNTIFS('Unsafe Acts'!$E$4:$E$100003,"LOTO Not Followed",'Unsafe Acts'!$D$4:$D$100003,mCrit,'Unsafe Acts'!$F$4:$F$100003,dCrit)</f>
        <v>0</v>
      </c>
      <c r="D171" s="26">
        <f>C171+ROW()/100000</f>
        <v>0</v>
      </c>
      <c r="E171" s="13">
        <f>INDEX($B$163:$B$172,MATCH(LARGE($D$163:$D$172,9),$D$163:$D$172,0))</f>
        <v>0</v>
      </c>
      <c r="F171" s="22">
        <f>INT(LARGE($D$163:$D$172,9))</f>
        <v>0</v>
      </c>
    </row>
    <row r="172" spans="2:8">
      <c r="B172" s="13" t="s">
        <v>1414</v>
      </c>
      <c r="C172" s="22">
        <f>COUNTIFS('Unsafe Acts'!$E$4:$E$100003,"Vehicle/Forklift Overspeeding",'Unsafe Acts'!$D$4:$D$100003,mCrit,'Unsafe Acts'!$F$4:$F$100003,dCrit)</f>
        <v>0</v>
      </c>
      <c r="D172" s="26">
        <f>C172+ROW()/100000</f>
        <v>0</v>
      </c>
      <c r="E172" s="13">
        <f>INDEX($B$163:$B$172,MATCH(LARGE($D$163:$D$172,10),$D$163:$D$172,0))</f>
        <v>0</v>
      </c>
      <c r="F172" s="22">
        <f>INT(LARGE($D$163:$D$172,10))</f>
        <v>0</v>
      </c>
    </row>
    <row r="174" spans="2:8">
      <c r="B174" s="12" t="s">
        <v>1924</v>
      </c>
      <c r="C174" s="12" t="s">
        <v>1887</v>
      </c>
      <c r="D174" s="12" t="s">
        <v>1906</v>
      </c>
      <c r="E174" s="12" t="s">
        <v>1922</v>
      </c>
      <c r="F174" s="12" t="s">
        <v>1923</v>
      </c>
    </row>
    <row r="175" spans="2:8">
      <c r="B175" s="13" t="s">
        <v>1454</v>
      </c>
      <c r="C175" s="22">
        <f>COUNTIFS('Unsafe Conditions'!$E$4:$E$100003,"Slippery Floor",'Unsafe Conditions'!$D$4:$D$100003,mCrit,'Unsafe Conditions'!$F$4:$F$100003,dCrit)</f>
        <v>0</v>
      </c>
      <c r="D175" s="26">
        <f>C175+ROW()/100000</f>
        <v>0</v>
      </c>
      <c r="E175" s="13">
        <f>INDEX($B$175:$B$184,MATCH(LARGE($D$175:$D$184,1),$D$175:$D$184,0))</f>
        <v>0</v>
      </c>
      <c r="F175" s="22">
        <f>INT(LARGE($D$175:$D$184,1))</f>
        <v>0</v>
      </c>
    </row>
    <row r="176" spans="2:8">
      <c r="B176" s="13" t="s">
        <v>1329</v>
      </c>
      <c r="C176" s="22">
        <f>COUNTIFS('Unsafe Conditions'!$E$4:$E$100003,"Poor Housekeeping",'Unsafe Conditions'!$D$4:$D$100003,mCrit,'Unsafe Conditions'!$F$4:$F$100003,dCrit)</f>
        <v>0</v>
      </c>
      <c r="D176" s="26">
        <f>C176+ROW()/100000</f>
        <v>0</v>
      </c>
      <c r="E176" s="13">
        <f>INDEX($B$175:$B$184,MATCH(LARGE($D$175:$D$184,2),$D$175:$D$184,0))</f>
        <v>0</v>
      </c>
      <c r="F176" s="22">
        <f>INT(LARGE($D$175:$D$184,2))</f>
        <v>0</v>
      </c>
    </row>
    <row r="177" spans="2:6">
      <c r="B177" s="13" t="s">
        <v>1448</v>
      </c>
      <c r="C177" s="22">
        <f>COUNTIFS('Unsafe Conditions'!$E$4:$E$100003,"Inadequate Lighting",'Unsafe Conditions'!$D$4:$D$100003,mCrit,'Unsafe Conditions'!$F$4:$F$100003,dCrit)</f>
        <v>0</v>
      </c>
      <c r="D177" s="26">
        <f>C177+ROW()/100000</f>
        <v>0</v>
      </c>
      <c r="E177" s="13">
        <f>INDEX($B$175:$B$184,MATCH(LARGE($D$175:$D$184,3),$D$175:$D$184,0))</f>
        <v>0</v>
      </c>
      <c r="F177" s="22">
        <f>INT(LARGE($D$175:$D$184,3))</f>
        <v>0</v>
      </c>
    </row>
    <row r="178" spans="2:6">
      <c r="B178" s="13" t="s">
        <v>1462</v>
      </c>
      <c r="C178" s="22">
        <f>COUNTIFS('Unsafe Conditions'!$E$4:$E$100003,"Damaged Machine Guard",'Unsafe Conditions'!$D$4:$D$100003,mCrit,'Unsafe Conditions'!$F$4:$F$100003,dCrit)</f>
        <v>0</v>
      </c>
      <c r="D178" s="26">
        <f>C178+ROW()/100000</f>
        <v>0</v>
      </c>
      <c r="E178" s="13">
        <f>INDEX($B$175:$B$184,MATCH(LARGE($D$175:$D$184,4),$D$175:$D$184,0))</f>
        <v>0</v>
      </c>
      <c r="F178" s="22">
        <f>INT(LARGE($D$175:$D$184,4))</f>
        <v>0</v>
      </c>
    </row>
    <row r="179" spans="2:6">
      <c r="B179" s="13" t="s">
        <v>1450</v>
      </c>
      <c r="C179" s="22">
        <f>COUNTIFS('Unsafe Conditions'!$E$4:$E$100003,"Exposed Wiring",'Unsafe Conditions'!$D$4:$D$100003,mCrit,'Unsafe Conditions'!$F$4:$F$100003,dCrit)</f>
        <v>0</v>
      </c>
      <c r="D179" s="26">
        <f>C179+ROW()/100000</f>
        <v>0</v>
      </c>
      <c r="E179" s="13">
        <f>INDEX($B$175:$B$184,MATCH(LARGE($D$175:$D$184,5),$D$175:$D$184,0))</f>
        <v>0</v>
      </c>
      <c r="F179" s="22">
        <f>INT(LARGE($D$175:$D$184,5))</f>
        <v>0</v>
      </c>
    </row>
    <row r="180" spans="2:6">
      <c r="B180" s="13" t="s">
        <v>1464</v>
      </c>
      <c r="C180" s="22">
        <f>COUNTIFS('Unsafe Conditions'!$E$4:$E$100003,"Blocked Walkway/Aisle",'Unsafe Conditions'!$D$4:$D$100003,mCrit,'Unsafe Conditions'!$F$4:$F$100003,dCrit)</f>
        <v>0</v>
      </c>
      <c r="D180" s="26">
        <f>C180+ROW()/100000</f>
        <v>0</v>
      </c>
      <c r="E180" s="13">
        <f>INDEX($B$175:$B$184,MATCH(LARGE($D$175:$D$184,6),$D$175:$D$184,0))</f>
        <v>0</v>
      </c>
      <c r="F180" s="22">
        <f>INT(LARGE($D$175:$D$184,6))</f>
        <v>0</v>
      </c>
    </row>
    <row r="181" spans="2:6">
      <c r="B181" s="13" t="s">
        <v>1452</v>
      </c>
      <c r="C181" s="22">
        <f>COUNTIFS('Unsafe Conditions'!$E$4:$E$100003,"Missing Signage",'Unsafe Conditions'!$D$4:$D$100003,mCrit,'Unsafe Conditions'!$F$4:$F$100003,dCrit)</f>
        <v>0</v>
      </c>
      <c r="D181" s="26">
        <f>C181+ROW()/100000</f>
        <v>0</v>
      </c>
      <c r="E181" s="13">
        <f>INDEX($B$175:$B$184,MATCH(LARGE($D$175:$D$184,7),$D$175:$D$184,0))</f>
        <v>0</v>
      </c>
      <c r="F181" s="22">
        <f>INT(LARGE($D$175:$D$184,7))</f>
        <v>0</v>
      </c>
    </row>
    <row r="182" spans="2:6">
      <c r="B182" s="13" t="s">
        <v>1446</v>
      </c>
      <c r="C182" s="22">
        <f>COUNTIFS('Unsafe Conditions'!$E$4:$E$100003,"Chemical Leak",'Unsafe Conditions'!$D$4:$D$100003,mCrit,'Unsafe Conditions'!$F$4:$F$100003,dCrit)</f>
        <v>0</v>
      </c>
      <c r="D182" s="26">
        <f>C182+ROW()/100000</f>
        <v>0</v>
      </c>
      <c r="E182" s="13">
        <f>INDEX($B$175:$B$184,MATCH(LARGE($D$175:$D$184,8),$D$175:$D$184,0))</f>
        <v>0</v>
      </c>
      <c r="F182" s="22">
        <f>INT(LARGE($D$175:$D$184,8))</f>
        <v>0</v>
      </c>
    </row>
    <row r="183" spans="2:6">
      <c r="B183" s="13" t="s">
        <v>1477</v>
      </c>
      <c r="C183" s="22">
        <f>COUNTIFS('Unsafe Conditions'!$E$4:$E$100003,"Faulty Ladder/Scaffold",'Unsafe Conditions'!$D$4:$D$100003,mCrit,'Unsafe Conditions'!$F$4:$F$100003,dCrit)</f>
        <v>0</v>
      </c>
      <c r="D183" s="26">
        <f>C183+ROW()/100000</f>
        <v>0</v>
      </c>
      <c r="E183" s="13">
        <f>INDEX($B$175:$B$184,MATCH(LARGE($D$175:$D$184,9),$D$175:$D$184,0))</f>
        <v>0</v>
      </c>
      <c r="F183" s="22">
        <f>INT(LARGE($D$175:$D$184,9))</f>
        <v>0</v>
      </c>
    </row>
    <row r="184" spans="2:6">
      <c r="B184" s="13" t="s">
        <v>1466</v>
      </c>
      <c r="C184" s="22">
        <f>COUNTIFS('Unsafe Conditions'!$E$4:$E$100003,"Blocked Fire Exit",'Unsafe Conditions'!$D$4:$D$100003,mCrit,'Unsafe Conditions'!$F$4:$F$100003,dCrit)</f>
        <v>0</v>
      </c>
      <c r="D184" s="26">
        <f>C184+ROW()/100000</f>
        <v>0</v>
      </c>
      <c r="E184" s="13">
        <f>INDEX($B$175:$B$184,MATCH(LARGE($D$175:$D$184,10),$D$175:$D$184,0))</f>
        <v>0</v>
      </c>
      <c r="F184" s="22">
        <f>INT(LARGE($D$175:$D$184,10))</f>
        <v>0</v>
      </c>
    </row>
    <row r="186" spans="2:6">
      <c r="B186" s="12" t="s">
        <v>1925</v>
      </c>
      <c r="C186" s="12" t="s">
        <v>1887</v>
      </c>
      <c r="D186" s="12" t="s">
        <v>1906</v>
      </c>
      <c r="E186" s="12" t="s">
        <v>1922</v>
      </c>
      <c r="F186" s="12" t="s">
        <v>1923</v>
      </c>
    </row>
    <row r="187" spans="2:6">
      <c r="B187" s="13" t="s">
        <v>87</v>
      </c>
      <c r="C187" s="22">
        <f>COUNTIFS('Incident'!$I$4:$I$100003,"Plant A",'Incident'!$D$4:$D$100003,mCrit,'Incident'!$H$4:$H$100003,dCrit)</f>
        <v>0</v>
      </c>
      <c r="D187" s="26">
        <f>C187+ROW()/100000</f>
        <v>0</v>
      </c>
      <c r="E187" s="13">
        <f>INDEX($B$187:$B$196,MATCH(LARGE($D$187:$D$196,1),$D$187:$D$196,0))</f>
        <v>0</v>
      </c>
      <c r="F187" s="22">
        <f>INT(LARGE($D$187:$D$196,1))</f>
        <v>0</v>
      </c>
    </row>
    <row r="188" spans="2:6">
      <c r="B188" s="13" t="s">
        <v>77</v>
      </c>
      <c r="C188" s="22">
        <f>COUNTIFS('Incident'!$I$4:$I$100003,"Plant B",'Incident'!$D$4:$D$100003,mCrit,'Incident'!$H$4:$H$100003,dCrit)</f>
        <v>0</v>
      </c>
      <c r="D188" s="26">
        <f>C188+ROW()/100000</f>
        <v>0</v>
      </c>
      <c r="E188" s="13">
        <f>INDEX($B$187:$B$196,MATCH(LARGE($D$187:$D$196,2),$D$187:$D$196,0))</f>
        <v>0</v>
      </c>
      <c r="F188" s="22">
        <f>INT(LARGE($D$187:$D$196,2))</f>
        <v>0</v>
      </c>
    </row>
    <row r="189" spans="2:6">
      <c r="B189" s="13" t="s">
        <v>95</v>
      </c>
      <c r="C189" s="22">
        <f>COUNTIFS('Incident'!$I$4:$I$100003,"Warehouse",'Incident'!$D$4:$D$100003,mCrit,'Incident'!$H$4:$H$100003,dCrit)</f>
        <v>0</v>
      </c>
      <c r="D189" s="26">
        <f>C189+ROW()/100000</f>
        <v>0</v>
      </c>
      <c r="E189" s="13">
        <f>INDEX($B$187:$B$196,MATCH(LARGE($D$187:$D$196,3),$D$187:$D$196,0))</f>
        <v>0</v>
      </c>
      <c r="F189" s="22">
        <f>INT(LARGE($D$187:$D$196,3))</f>
        <v>0</v>
      </c>
    </row>
    <row r="190" spans="2:6">
      <c r="B190" s="13" t="s">
        <v>82</v>
      </c>
      <c r="C190" s="22">
        <f>COUNTIFS('Incident'!$I$4:$I$100003,"Workshop",'Incident'!$D$4:$D$100003,mCrit,'Incident'!$H$4:$H$100003,dCrit)</f>
        <v>0</v>
      </c>
      <c r="D190" s="26">
        <f>C190+ROW()/100000</f>
        <v>0</v>
      </c>
      <c r="E190" s="13">
        <f>INDEX($B$187:$B$196,MATCH(LARGE($D$187:$D$196,4),$D$187:$D$196,0))</f>
        <v>0</v>
      </c>
      <c r="F190" s="22">
        <f>INT(LARGE($D$187:$D$196,4))</f>
        <v>0</v>
      </c>
    </row>
    <row r="191" spans="2:6">
      <c r="B191" s="13" t="s">
        <v>80</v>
      </c>
      <c r="C191" s="22">
        <f>COUNTIFS('Incident'!$I$4:$I$100003,"Field Site",'Incident'!$D$4:$D$100003,mCrit,'Incident'!$H$4:$H$100003,dCrit)</f>
        <v>0</v>
      </c>
      <c r="D191" s="26">
        <f>C191+ROW()/100000</f>
        <v>0</v>
      </c>
      <c r="E191" s="13">
        <f>INDEX($B$187:$B$196,MATCH(LARGE($D$187:$D$196,5),$D$187:$D$196,0))</f>
        <v>0</v>
      </c>
      <c r="F191" s="22">
        <f>INT(LARGE($D$187:$D$196,5))</f>
        <v>0</v>
      </c>
    </row>
    <row r="192" spans="2:6">
      <c r="B192" s="13" t="s">
        <v>31</v>
      </c>
      <c r="C192" s="22">
        <f>COUNTIFS('Incident'!$I$4:$I$100003,"Control Room",'Incident'!$D$4:$D$100003,mCrit,'Incident'!$H$4:$H$100003,dCrit)</f>
        <v>0</v>
      </c>
      <c r="D192" s="26">
        <f>C192+ROW()/100000</f>
        <v>0</v>
      </c>
      <c r="E192" s="13">
        <f>INDEX($B$187:$B$196,MATCH(LARGE($D$187:$D$196,6),$D$187:$D$196,0))</f>
        <v>0</v>
      </c>
      <c r="F192" s="22">
        <f>INT(LARGE($D$187:$D$196,6))</f>
        <v>0</v>
      </c>
    </row>
    <row r="193" spans="2:6">
      <c r="B193" s="13" t="s">
        <v>40</v>
      </c>
      <c r="C193" s="22">
        <f>COUNTIFS('Incident'!$I$4:$I$100003,"Office",'Incident'!$D$4:$D$100003,mCrit,'Incident'!$H$4:$H$100003,dCrit)</f>
        <v>0</v>
      </c>
      <c r="D193" s="26">
        <f>C193+ROW()/100000</f>
        <v>0</v>
      </c>
      <c r="E193" s="13">
        <f>INDEX($B$187:$B$196,MATCH(LARGE($D$187:$D$196,7),$D$187:$D$196,0))</f>
        <v>0</v>
      </c>
      <c r="F193" s="22">
        <f>INT(LARGE($D$187:$D$196,7))</f>
        <v>0</v>
      </c>
    </row>
    <row r="194" spans="2:6">
      <c r="B194" s="13" t="s">
        <v>51</v>
      </c>
      <c r="C194" s="22">
        <f>COUNTIFS('Incident'!$I$4:$I$100003,"Tank Farm",'Incident'!$D$4:$D$100003,mCrit,'Incident'!$H$4:$H$100003,dCrit)</f>
        <v>0</v>
      </c>
      <c r="D194" s="26">
        <f>C194+ROW()/100000</f>
        <v>0</v>
      </c>
      <c r="E194" s="13">
        <f>INDEX($B$187:$B$196,MATCH(LARGE($D$187:$D$196,8),$D$187:$D$196,0))</f>
        <v>0</v>
      </c>
      <c r="F194" s="22">
        <f>INT(LARGE($D$187:$D$196,8))</f>
        <v>0</v>
      </c>
    </row>
    <row r="195" spans="2:6">
      <c r="B195" s="13" t="s">
        <v>6</v>
      </c>
      <c r="C195" s="22">
        <f>COUNTIFS('Incident'!$I$4:$I$100003,"Boiler House",'Incident'!$D$4:$D$100003,mCrit,'Incident'!$H$4:$H$100003,dCrit)</f>
        <v>0</v>
      </c>
      <c r="D195" s="26">
        <f>C195+ROW()/100000</f>
        <v>0</v>
      </c>
      <c r="E195" s="13">
        <f>INDEX($B$187:$B$196,MATCH(LARGE($D$187:$D$196,9),$D$187:$D$196,0))</f>
        <v>0</v>
      </c>
      <c r="F195" s="22">
        <f>INT(LARGE($D$187:$D$196,9))</f>
        <v>0</v>
      </c>
    </row>
    <row r="196" spans="2:6">
      <c r="B196" s="13" t="s">
        <v>14</v>
      </c>
      <c r="C196" s="22">
        <f>COUNTIFS('Incident'!$I$4:$I$100003,"ETP Plant",'Incident'!$D$4:$D$100003,mCrit,'Incident'!$H$4:$H$100003,dCrit)</f>
        <v>0</v>
      </c>
      <c r="D196" s="26">
        <f>C196+ROW()/100000</f>
        <v>0</v>
      </c>
      <c r="E196" s="13">
        <f>INDEX($B$187:$B$196,MATCH(LARGE($D$187:$D$196,10),$D$187:$D$196,0))</f>
        <v>0</v>
      </c>
      <c r="F196" s="22">
        <f>INT(LARGE($D$187:$D$196,10))</f>
        <v>0</v>
      </c>
    </row>
    <row r="198" spans="2:6">
      <c r="B198" s="12" t="s">
        <v>1926</v>
      </c>
      <c r="C198" s="12" t="s">
        <v>1846</v>
      </c>
      <c r="D198" s="12" t="s">
        <v>1845</v>
      </c>
    </row>
    <row r="199" spans="2:6">
      <c r="B199" s="13" t="s">
        <v>1704</v>
      </c>
      <c r="C199" s="25">
        <f>Calculations!$DK$29</f>
        <v>0</v>
      </c>
      <c r="D199" s="25">
        <f>Calculations!$DO$29</f>
        <v>0</v>
      </c>
    </row>
    <row r="200" spans="2:6">
      <c r="B200" s="13" t="s">
        <v>1883</v>
      </c>
      <c r="C200" s="25">
        <f>Calculations!$DK$55</f>
        <v>0</v>
      </c>
      <c r="D200" s="25">
        <f>Calculations!$DO$55</f>
        <v>0</v>
      </c>
    </row>
    <row r="201" spans="2:6">
      <c r="B201" s="13" t="s">
        <v>1705</v>
      </c>
      <c r="C201" s="25">
        <f>Calculations!$DK$31</f>
        <v>0</v>
      </c>
      <c r="D201" s="25">
        <f>Calculations!$DO$31</f>
        <v>0</v>
      </c>
    </row>
    <row r="202" spans="2:6">
      <c r="B202" s="13" t="s">
        <v>1927</v>
      </c>
      <c r="C202" s="25">
        <f>Calculations!$DK$33</f>
        <v>0</v>
      </c>
      <c r="D202" s="25">
        <f>Calculations!$DO$33</f>
        <v>0</v>
      </c>
    </row>
    <row r="203" spans="2:6">
      <c r="B203" s="13" t="s">
        <v>1721</v>
      </c>
      <c r="C203" s="25">
        <f>Calculations!$DK$57</f>
        <v>0</v>
      </c>
      <c r="D203" s="25">
        <f>Calculations!$DO$57</f>
        <v>0</v>
      </c>
    </row>
    <row r="204" spans="2:6">
      <c r="B204" s="13" t="s">
        <v>1928</v>
      </c>
      <c r="C204" s="25">
        <f>Calculations!$DK$22</f>
        <v>0</v>
      </c>
      <c r="D204" s="25">
        <f>Calculations!$DO$22</f>
        <v>0</v>
      </c>
    </row>
    <row r="205" spans="2:6">
      <c r="B205" s="13" t="s">
        <v>1870</v>
      </c>
      <c r="C205" s="25">
        <f>Calculations!$DK$40</f>
        <v>0</v>
      </c>
      <c r="D205" s="25">
        <f>Calculations!$DO$40</f>
        <v>0</v>
      </c>
    </row>
    <row r="206" spans="2:6">
      <c r="B206" s="13" t="s">
        <v>1879</v>
      </c>
      <c r="C206" s="25">
        <f>Calculations!$DK$59</f>
        <v>0</v>
      </c>
      <c r="D206" s="25">
        <f>Calculations!$DO$59</f>
        <v>0</v>
      </c>
    </row>
    <row r="208" spans="2:6">
      <c r="B208" s="12" t="s">
        <v>644</v>
      </c>
      <c r="C208" s="12" t="s">
        <v>1929</v>
      </c>
    </row>
    <row r="209" spans="2:3">
      <c r="B209" s="13" t="s">
        <v>579</v>
      </c>
      <c r="C209" s="25">
        <f>IFERROR(AVERAGEIFS('Safety Bulletins'!$N$4:$N$100003,'Safety Bulletins'!$I$4:$I$100003,"Email",'Safety Bulletins'!$D$4:$D$100003,mCrit),0)</f>
        <v>0</v>
      </c>
    </row>
    <row r="210" spans="2:3">
      <c r="B210" s="13" t="s">
        <v>583</v>
      </c>
      <c r="C210" s="25">
        <f>IFERROR(AVERAGEIFS('Safety Bulletins'!$N$4:$N$100003,'Safety Bulletins'!$I$4:$I$100003,"Notice Board",'Safety Bulletins'!$D$4:$D$100003,mCrit),0)</f>
        <v>0</v>
      </c>
    </row>
    <row r="211" spans="2:3">
      <c r="B211" s="13" t="s">
        <v>588</v>
      </c>
      <c r="C211" s="25">
        <f>IFERROR(AVERAGEIFS('Safety Bulletins'!$N$4:$N$100003,'Safety Bulletins'!$I$4:$I$100003,"App Notification",'Safety Bulletins'!$D$4:$D$100003,mCrit),0)</f>
        <v>0</v>
      </c>
    </row>
    <row r="212" spans="2:3">
      <c r="B212" s="13" t="s">
        <v>592</v>
      </c>
      <c r="C212" s="25">
        <f>IFERROR(AVERAGEIFS('Safety Bulletins'!$N$4:$N$100003,'Safety Bulletins'!$I$4:$I$100003,"All Channels",'Safety Bulletins'!$D$4:$D$100003,mCrit),0)</f>
        <v>0</v>
      </c>
    </row>
    <row r="214" spans="2:3">
      <c r="B214" s="12" t="s">
        <v>1930</v>
      </c>
      <c r="C214" s="12" t="s">
        <v>1931</v>
      </c>
    </row>
    <row r="215" spans="2:3">
      <c r="B215" s="13" t="s">
        <v>30</v>
      </c>
      <c r="C215" s="25">
        <f>IFERROR(AVERAGEIFS('PTW Audits'!$L$4:$L$100003,'PTW Audits'!$E$4:$E$100003,"Hot Work",'PTW Audits'!$D$4:$D$100003,mCrit),0)</f>
        <v>0</v>
      </c>
    </row>
    <row r="216" spans="2:3">
      <c r="B216" s="13" t="s">
        <v>61</v>
      </c>
      <c r="C216" s="25">
        <f>IFERROR(AVERAGEIFS('PTW Audits'!$L$4:$L$100003,'PTW Audits'!$E$4:$E$100003,"Confined Space",'PTW Audits'!$D$4:$D$100003,mCrit),0)</f>
        <v>0</v>
      </c>
    </row>
    <row r="217" spans="2:3">
      <c r="B217" s="13" t="s">
        <v>1208</v>
      </c>
      <c r="C217" s="25">
        <f>IFERROR(AVERAGEIFS('PTW Audits'!$L$4:$L$100003,'PTW Audits'!$E$4:$E$100003,"Working at Height",'PTW Audits'!$D$4:$D$100003,mCrit),0)</f>
        <v>0</v>
      </c>
    </row>
    <row r="218" spans="2:3">
      <c r="B218" s="13" t="s">
        <v>1212</v>
      </c>
      <c r="C218" s="25">
        <f>IFERROR(AVERAGEIFS('PTW Audits'!$L$4:$L$100003,'PTW Audits'!$E$4:$E$100003,"Electrical",'PTW Audits'!$D$4:$D$100003,mCrit),0)</f>
        <v>0</v>
      </c>
    </row>
    <row r="219" spans="2:3">
      <c r="B219" s="13" t="s">
        <v>1204</v>
      </c>
      <c r="C219" s="25">
        <f>IFERROR(AVERAGEIFS('PTW Audits'!$L$4:$L$100003,'PTW Audits'!$E$4:$E$100003,"Cold Work",'PTW Audits'!$D$4:$D$100003,mCrit),0)</f>
        <v>0</v>
      </c>
    </row>
    <row r="220" spans="2:3">
      <c r="B220" s="13" t="s">
        <v>1198</v>
      </c>
      <c r="C220" s="25">
        <f>IFERROR(AVERAGEIFS('PTW Audits'!$L$4:$L$100003,'PTW Audits'!$E$4:$E$100003,"Lifting",'PTW Audits'!$D$4:$D$100003,mCrit),0)</f>
        <v>0</v>
      </c>
    </row>
    <row r="221" spans="2:3">
      <c r="B221" s="13" t="s">
        <v>1215</v>
      </c>
      <c r="C221" s="25">
        <f>IFERROR(AVERAGEIFS('PTW Audits'!$L$4:$L$100003,'PTW Audits'!$E$4:$E$100003,"Excavation",'PTW Audits'!$D$4:$D$100003,mCrit),0)</f>
        <v>0</v>
      </c>
    </row>
    <row r="223" spans="2:3">
      <c r="B223" s="12" t="s">
        <v>282</v>
      </c>
      <c r="C223" s="12" t="s">
        <v>1932</v>
      </c>
    </row>
    <row r="224" spans="2:3">
      <c r="B224" s="13" t="s">
        <v>237</v>
      </c>
      <c r="C224" s="25">
        <f>IFERROR(COUNTIFS('Training'!$F$4:$F$100003,"Induction",'Training'!$O$4:$O$100003,"Pass",'Training'!$D$4:$D$100003,mCrit)/COUNTIFS('Training'!$F$4:$F$100003,"Induction",'Training'!$D$4:$D$100003,mCrit)*100,0)</f>
        <v>0</v>
      </c>
    </row>
    <row r="225" spans="2:6">
      <c r="B225" s="13" t="s">
        <v>235</v>
      </c>
      <c r="C225" s="25">
        <f>IFERROR(COUNTIFS('Training'!$F$4:$F$100003,"Refresher",'Training'!$O$4:$O$100003,"Pass",'Training'!$D$4:$D$100003,mCrit)/COUNTIFS('Training'!$F$4:$F$100003,"Refresher",'Training'!$D$4:$D$100003,mCrit)*100,0)</f>
        <v>0</v>
      </c>
    </row>
    <row r="226" spans="2:6">
      <c r="B226" s="13" t="s">
        <v>229</v>
      </c>
      <c r="C226" s="25">
        <f>IFERROR(COUNTIFS('Training'!$F$4:$F$100003,"Advanced",'Training'!$O$4:$O$100003,"Pass",'Training'!$D$4:$D$100003,mCrit)/COUNTIFS('Training'!$F$4:$F$100003,"Advanced",'Training'!$D$4:$D$100003,mCrit)*100,0)</f>
        <v>0</v>
      </c>
    </row>
    <row r="227" spans="2:6">
      <c r="B227" s="13" t="s">
        <v>223</v>
      </c>
      <c r="C227" s="25">
        <f>IFERROR(COUNTIFS('Training'!$F$4:$F$100003,"On-the-Job",'Training'!$O$4:$O$100003,"Pass",'Training'!$D$4:$D$100003,mCrit)/COUNTIFS('Training'!$F$4:$F$100003,"On-the-Job",'Training'!$D$4:$D$100003,mCrit)*100,0)</f>
        <v>0</v>
      </c>
    </row>
    <row r="228" spans="2:6">
      <c r="B228" s="13" t="s">
        <v>218</v>
      </c>
      <c r="C228" s="25">
        <f>IFERROR(COUNTIFS('Training'!$F$4:$F$100003,"Awareness",'Training'!$O$4:$O$100003,"Pass",'Training'!$D$4:$D$100003,mCrit)/COUNTIFS('Training'!$F$4:$F$100003,"Awareness",'Training'!$D$4:$D$100003,mCrit)*100,0)</f>
        <v>0</v>
      </c>
    </row>
    <row r="229" spans="2:6">
      <c r="B229" s="13" t="s">
        <v>233</v>
      </c>
      <c r="C229" s="25">
        <f>IFERROR(COUNTIFS('Training'!$F$4:$F$100003,"Competency",'Training'!$O$4:$O$100003,"Pass",'Training'!$D$4:$D$100003,mCrit)/COUNTIFS('Training'!$F$4:$F$100003,"Competency",'Training'!$D$4:$D$100003,mCrit)*100,0)</f>
        <v>0</v>
      </c>
    </row>
    <row r="231" spans="2:6">
      <c r="B231" s="12" t="s">
        <v>1132</v>
      </c>
      <c r="C231" s="12" t="s">
        <v>1933</v>
      </c>
    </row>
    <row r="232" spans="2:6">
      <c r="B232" s="13" t="s">
        <v>157</v>
      </c>
      <c r="C232" s="22">
        <f>IFERROR(AVERAGEIFS('Stop Work Authority'!$J$4:$J$100003,'Stop Work Authority'!$K$4:$K$100003,"Critical",'Stop Work Authority'!$D$4:$D$100003,mCrit),0)</f>
        <v>0</v>
      </c>
    </row>
    <row r="233" spans="2:6">
      <c r="B233" s="13" t="s">
        <v>151</v>
      </c>
      <c r="C233" s="22">
        <f>IFERROR(AVERAGEIFS('Stop Work Authority'!$J$4:$J$100003,'Stop Work Authority'!$K$4:$K$100003,"High",'Stop Work Authority'!$D$4:$D$100003,mCrit),0)</f>
        <v>0</v>
      </c>
    </row>
    <row r="234" spans="2:6">
      <c r="B234" s="13" t="s">
        <v>142</v>
      </c>
      <c r="C234" s="22">
        <f>IFERROR(AVERAGEIFS('Stop Work Authority'!$J$4:$J$100003,'Stop Work Authority'!$K$4:$K$100003,"Medium",'Stop Work Authority'!$D$4:$D$100003,mCrit),0)</f>
        <v>0</v>
      </c>
    </row>
    <row r="235" spans="2:6">
      <c r="B235" s="13" t="s">
        <v>161</v>
      </c>
      <c r="C235" s="22">
        <f>IFERROR(AVERAGEIFS('Stop Work Authority'!$J$4:$J$100003,'Stop Work Authority'!$K$4:$K$100003,"Low",'Stop Work Authority'!$D$4:$D$100003,mCrit),0)</f>
        <v>0</v>
      </c>
    </row>
    <row r="237" spans="2:6">
      <c r="B237" s="12" t="s">
        <v>1934</v>
      </c>
      <c r="C237" s="12" t="s">
        <v>1887</v>
      </c>
      <c r="D237" s="12" t="s">
        <v>1906</v>
      </c>
      <c r="E237" s="12" t="s">
        <v>1922</v>
      </c>
      <c r="F237" s="12" t="s">
        <v>1923</v>
      </c>
    </row>
    <row r="238" spans="2:6">
      <c r="B238" s="13" t="s">
        <v>1333</v>
      </c>
      <c r="C238" s="22">
        <f>COUNTIFS('NC Management'!$N$4:$N$100003,"Human Error",'NC Management'!$D$4:$D$100003,mCrit,'NC Management'!$G$4:$G$100003,dCrit)</f>
        <v>0</v>
      </c>
      <c r="D238" s="26">
        <f>C238+ROW()/100000</f>
        <v>0</v>
      </c>
      <c r="E238" s="13">
        <f>INDEX($B$238:$B$245,MATCH(LARGE($D$238:$D$245,1),$D$238:$D$245,0))</f>
        <v>0</v>
      </c>
      <c r="F238" s="22">
        <f>INT(LARGE($D$238:$D$245,1))</f>
        <v>0</v>
      </c>
    </row>
    <row r="239" spans="2:6">
      <c r="B239" s="13" t="s">
        <v>305</v>
      </c>
      <c r="C239" s="22">
        <f>COUNTIFS('NC Management'!$N$4:$N$100003,"Unsafe Act",'NC Management'!$D$4:$D$100003,mCrit,'NC Management'!$G$4:$G$100003,dCrit)</f>
        <v>0</v>
      </c>
      <c r="D239" s="26">
        <f>C239+ROW()/100000</f>
        <v>0</v>
      </c>
      <c r="E239" s="13">
        <f>INDEX($B$238:$B$245,MATCH(LARGE($D$238:$D$245,2),$D$238:$D$245,0))</f>
        <v>0</v>
      </c>
      <c r="F239" s="22">
        <f>INT(LARGE($D$238:$D$245,2))</f>
        <v>0</v>
      </c>
    </row>
    <row r="240" spans="2:6">
      <c r="B240" s="13" t="s">
        <v>297</v>
      </c>
      <c r="C240" s="22">
        <f>COUNTIFS('NC Management'!$N$4:$N$100003,"Unsafe Condition",'NC Management'!$D$4:$D$100003,mCrit,'NC Management'!$G$4:$G$100003,dCrit)</f>
        <v>0</v>
      </c>
      <c r="D240" s="26">
        <f>C240+ROW()/100000</f>
        <v>0</v>
      </c>
      <c r="E240" s="13">
        <f>INDEX($B$238:$B$245,MATCH(LARGE($D$238:$D$245,3),$D$238:$D$245,0))</f>
        <v>0</v>
      </c>
      <c r="F240" s="22">
        <f>INT(LARGE($D$238:$D$245,3))</f>
        <v>0</v>
      </c>
    </row>
    <row r="241" spans="2:6">
      <c r="B241" s="13" t="s">
        <v>1327</v>
      </c>
      <c r="C241" s="22">
        <f>COUNTIFS('NC Management'!$N$4:$N$100003,"Inadequate Procedure",'NC Management'!$D$4:$D$100003,mCrit,'NC Management'!$G$4:$G$100003,dCrit)</f>
        <v>0</v>
      </c>
      <c r="D241" s="26">
        <f>C241+ROW()/100000</f>
        <v>0</v>
      </c>
      <c r="E241" s="13">
        <f>INDEX($B$238:$B$245,MATCH(LARGE($D$238:$D$245,4),$D$238:$D$245,0))</f>
        <v>0</v>
      </c>
      <c r="F241" s="22">
        <f>INT(LARGE($D$238:$D$245,4))</f>
        <v>0</v>
      </c>
    </row>
    <row r="242" spans="2:6">
      <c r="B242" s="13" t="s">
        <v>1350</v>
      </c>
      <c r="C242" s="22">
        <f>COUNTIFS('NC Management'!$N$4:$N$100003,"Lack of Training",'NC Management'!$D$4:$D$100003,mCrit,'NC Management'!$G$4:$G$100003,dCrit)</f>
        <v>0</v>
      </c>
      <c r="D242" s="26">
        <f>C242+ROW()/100000</f>
        <v>0</v>
      </c>
      <c r="E242" s="13">
        <f>INDEX($B$238:$B$245,MATCH(LARGE($D$238:$D$245,5),$D$238:$D$245,0))</f>
        <v>0</v>
      </c>
      <c r="F242" s="22">
        <f>INT(LARGE($D$238:$D$245,5))</f>
        <v>0</v>
      </c>
    </row>
    <row r="243" spans="2:6">
      <c r="B243" s="13" t="s">
        <v>1344</v>
      </c>
      <c r="C243" s="22">
        <f>COUNTIFS('NC Management'!$N$4:$N$100003,"Equipment Failure",'NC Management'!$D$4:$D$100003,mCrit,'NC Management'!$G$4:$G$100003,dCrit)</f>
        <v>0</v>
      </c>
      <c r="D243" s="26">
        <f>C243+ROW()/100000</f>
        <v>0</v>
      </c>
      <c r="E243" s="13">
        <f>INDEX($B$238:$B$245,MATCH(LARGE($D$238:$D$245,6),$D$238:$D$245,0))</f>
        <v>0</v>
      </c>
      <c r="F243" s="22">
        <f>INT(LARGE($D$238:$D$245,6))</f>
        <v>0</v>
      </c>
    </row>
    <row r="244" spans="2:6">
      <c r="B244" s="13" t="s">
        <v>1325</v>
      </c>
      <c r="C244" s="22">
        <f>COUNTIFS('NC Management'!$N$4:$N$100003,"PPE Not Used",'NC Management'!$D$4:$D$100003,mCrit,'NC Management'!$G$4:$G$100003,dCrit)</f>
        <v>0</v>
      </c>
      <c r="D244" s="26">
        <f>C244+ROW()/100000</f>
        <v>0</v>
      </c>
      <c r="E244" s="13">
        <f>INDEX($B$238:$B$245,MATCH(LARGE($D$238:$D$245,7),$D$238:$D$245,0))</f>
        <v>0</v>
      </c>
      <c r="F244" s="22">
        <f>INT(LARGE($D$238:$D$245,7))</f>
        <v>0</v>
      </c>
    </row>
    <row r="245" spans="2:6">
      <c r="B245" s="13" t="s">
        <v>1329</v>
      </c>
      <c r="C245" s="22">
        <f>COUNTIFS('NC Management'!$N$4:$N$100003,"Poor Housekeeping",'NC Management'!$D$4:$D$100003,mCrit,'NC Management'!$G$4:$G$100003,dCrit)</f>
        <v>0</v>
      </c>
      <c r="D245" s="26">
        <f>C245+ROW()/100000</f>
        <v>0</v>
      </c>
      <c r="E245" s="13">
        <f>INDEX($B$238:$B$245,MATCH(LARGE($D$238:$D$245,8),$D$238:$D$245,0))</f>
        <v>0</v>
      </c>
      <c r="F245" s="22">
        <f>INT(LARGE($D$238:$D$245,8))</f>
        <v>0</v>
      </c>
    </row>
    <row r="247" spans="2:6">
      <c r="B247" s="12" t="s">
        <v>1935</v>
      </c>
      <c r="C247" s="12" t="s">
        <v>411</v>
      </c>
      <c r="D247" s="12" t="s">
        <v>1906</v>
      </c>
      <c r="E247" s="12" t="s">
        <v>1936</v>
      </c>
      <c r="F247" s="12" t="s">
        <v>1937</v>
      </c>
    </row>
    <row r="248" spans="2:6">
      <c r="B248" s="13" t="s">
        <v>91</v>
      </c>
      <c r="C248" s="22">
        <f>SUMIFS('Workplace Inspections'!$J$4:$J$100003,'Workplace Inspections'!$E$4:$E$100003,"PPE Usage",'Workplace Inspections'!$D$4:$D$100003,mCrit,'Workplace Inspections'!$F$4:$F$100003,dCrit)</f>
        <v>0</v>
      </c>
      <c r="D248" s="26">
        <f>C248+ROW()/100000</f>
        <v>0</v>
      </c>
      <c r="E248" s="13">
        <f>INDEX($B$248:$B$255,MATCH(LARGE($D$248:$D$255,1),$D$248:$D$255,0))</f>
        <v>0</v>
      </c>
      <c r="F248" s="22">
        <f>INT(LARGE($D$248:$D$255,1))</f>
        <v>0</v>
      </c>
    </row>
    <row r="249" spans="2:6">
      <c r="B249" s="13" t="s">
        <v>45</v>
      </c>
      <c r="C249" s="22">
        <f>SUMIFS('Workplace Inspections'!$J$4:$J$100003,'Workplace Inspections'!$E$4:$E$100003,"Fire Safety",'Workplace Inspections'!$D$4:$D$100003,mCrit,'Workplace Inspections'!$F$4:$F$100003,dCrit)</f>
        <v>0</v>
      </c>
      <c r="D249" s="26">
        <f>C249+ROW()/100000</f>
        <v>0</v>
      </c>
      <c r="E249" s="13">
        <f>INDEX($B$248:$B$255,MATCH(LARGE($D$248:$D$255,2),$D$248:$D$255,0))</f>
        <v>0</v>
      </c>
      <c r="F249" s="22">
        <f>INT(LARGE($D$248:$D$255,2))</f>
        <v>0</v>
      </c>
    </row>
    <row r="250" spans="2:6">
      <c r="B250" s="13" t="s">
        <v>49</v>
      </c>
      <c r="C250" s="22">
        <f>SUMIFS('Workplace Inspections'!$J$4:$J$100003,'Workplace Inspections'!$E$4:$E$100003,"Working at Heights",'Workplace Inspections'!$D$4:$D$100003,mCrit,'Workplace Inspections'!$F$4:$F$100003,dCrit)</f>
        <v>0</v>
      </c>
      <c r="D250" s="26">
        <f>C250+ROW()/100000</f>
        <v>0</v>
      </c>
      <c r="E250" s="13">
        <f>INDEX($B$248:$B$255,MATCH(LARGE($D$248:$D$255,3),$D$248:$D$255,0))</f>
        <v>0</v>
      </c>
      <c r="F250" s="22">
        <f>INT(LARGE($D$248:$D$255,3))</f>
        <v>0</v>
      </c>
    </row>
    <row r="251" spans="2:6">
      <c r="B251" s="13" t="s">
        <v>4</v>
      </c>
      <c r="C251" s="22">
        <f>SUMIFS('Workplace Inspections'!$J$4:$J$100003,'Workplace Inspections'!$E$4:$E$100003,"Manual Handling",'Workplace Inspections'!$D$4:$D$100003,mCrit,'Workplace Inspections'!$F$4:$F$100003,dCrit)</f>
        <v>0</v>
      </c>
      <c r="D251" s="26">
        <f>C251+ROW()/100000</f>
        <v>0</v>
      </c>
      <c r="E251" s="13">
        <f>INDEX($B$248:$B$255,MATCH(LARGE($D$248:$D$255,4),$D$248:$D$255,0))</f>
        <v>0</v>
      </c>
      <c r="F251" s="22">
        <f>INT(LARGE($D$248:$D$255,4))</f>
        <v>0</v>
      </c>
    </row>
    <row r="252" spans="2:6">
      <c r="B252" s="13" t="s">
        <v>57</v>
      </c>
      <c r="C252" s="22">
        <f>SUMIFS('Workplace Inspections'!$J$4:$J$100003,'Workplace Inspections'!$E$4:$E$100003,"Electrical Safety",'Workplace Inspections'!$D$4:$D$100003,mCrit,'Workplace Inspections'!$F$4:$F$100003,dCrit)</f>
        <v>0</v>
      </c>
      <c r="D252" s="26">
        <f>C252+ROW()/100000</f>
        <v>0</v>
      </c>
      <c r="E252" s="13">
        <f>INDEX($B$248:$B$255,MATCH(LARGE($D$248:$D$255,5),$D$248:$D$255,0))</f>
        <v>0</v>
      </c>
      <c r="F252" s="22">
        <f>INT(LARGE($D$248:$D$255,5))</f>
        <v>0</v>
      </c>
    </row>
    <row r="253" spans="2:6">
      <c r="B253" s="13" t="s">
        <v>12</v>
      </c>
      <c r="C253" s="22">
        <f>SUMIFS('Workplace Inspections'!$J$4:$J$100003,'Workplace Inspections'!$E$4:$E$100003,"Chemical Safety",'Workplace Inspections'!$D$4:$D$100003,mCrit,'Workplace Inspections'!$F$4:$F$100003,dCrit)</f>
        <v>0</v>
      </c>
      <c r="D253" s="26">
        <f>C253+ROW()/100000</f>
        <v>0</v>
      </c>
      <c r="E253" s="13">
        <f>INDEX($B$248:$B$255,MATCH(LARGE($D$248:$D$255,6),$D$248:$D$255,0))</f>
        <v>0</v>
      </c>
      <c r="F253" s="22">
        <f>INT(LARGE($D$248:$D$255,6))</f>
        <v>0</v>
      </c>
    </row>
    <row r="254" spans="2:6">
      <c r="B254" s="13" t="s">
        <v>16</v>
      </c>
      <c r="C254" s="22">
        <f>SUMIFS('Workplace Inspections'!$J$4:$J$100003,'Workplace Inspections'!$E$4:$E$100003,"Housekeeping",'Workplace Inspections'!$D$4:$D$100003,mCrit,'Workplace Inspections'!$F$4:$F$100003,dCrit)</f>
        <v>0</v>
      </c>
      <c r="D254" s="26">
        <f>C254+ROW()/100000</f>
        <v>0</v>
      </c>
      <c r="E254" s="13">
        <f>INDEX($B$248:$B$255,MATCH(LARGE($D$248:$D$255,7),$D$248:$D$255,0))</f>
        <v>0</v>
      </c>
      <c r="F254" s="22">
        <f>INT(LARGE($D$248:$D$255,7))</f>
        <v>0</v>
      </c>
    </row>
    <row r="255" spans="2:6">
      <c r="B255" s="13" t="s">
        <v>54</v>
      </c>
      <c r="C255" s="22">
        <f>SUMIFS('Workplace Inspections'!$J$4:$J$100003,'Workplace Inspections'!$E$4:$E$100003,"Heat Stress",'Workplace Inspections'!$D$4:$D$100003,mCrit,'Workplace Inspections'!$F$4:$F$100003,dCrit)</f>
        <v>0</v>
      </c>
      <c r="D255" s="26">
        <f>C255+ROW()/100000</f>
        <v>0</v>
      </c>
      <c r="E255" s="13">
        <f>INDEX($B$248:$B$255,MATCH(LARGE($D$248:$D$255,8),$D$248:$D$255,0))</f>
        <v>0</v>
      </c>
      <c r="F255" s="22">
        <f>INT(LARGE($D$248:$D$255,8))</f>
        <v>0</v>
      </c>
    </row>
    <row r="257" spans="2:8">
      <c r="B257" s="12" t="s">
        <v>1938</v>
      </c>
      <c r="C257" s="12" t="s">
        <v>1887</v>
      </c>
    </row>
    <row r="258" spans="2:8">
      <c r="B258" s="13" t="s">
        <v>1939</v>
      </c>
      <c r="C258" s="22">
        <f>COUNTIFS('Incident'!$AB$4:$AB$100003,"Open",'Incident'!$AC$4:$AC$100003,"&gt;=0",'Incident'!$AC$4:$AC$100003,"&lt;=7",'Incident'!$D$4:$D$100003,mCrit,'Incident'!$H$4:$H$100003,dCrit)</f>
        <v>0</v>
      </c>
    </row>
    <row r="259" spans="2:8">
      <c r="B259" s="13" t="s">
        <v>1940</v>
      </c>
      <c r="C259" s="22">
        <f>COUNTIFS('Incident'!$AB$4:$AB$100003,"Open",'Incident'!$AC$4:$AC$100003,"&gt;=8",'Incident'!$AC$4:$AC$100003,"&lt;=15",'Incident'!$D$4:$D$100003,mCrit,'Incident'!$H$4:$H$100003,dCrit)</f>
        <v>0</v>
      </c>
    </row>
    <row r="260" spans="2:8">
      <c r="B260" s="13" t="s">
        <v>1941</v>
      </c>
      <c r="C260" s="22">
        <f>COUNTIFS('Incident'!$AB$4:$AB$100003,"Open",'Incident'!$AC$4:$AC$100003,"&gt;=16",'Incident'!$AC$4:$AC$100003,"&lt;=30",'Incident'!$D$4:$D$100003,mCrit,'Incident'!$H$4:$H$100003,dCrit)</f>
        <v>0</v>
      </c>
    </row>
    <row r="261" spans="2:8">
      <c r="B261" s="13" t="s">
        <v>1942</v>
      </c>
      <c r="C261" s="22">
        <f>COUNTIFS('Incident'!$AB$4:$AB$100003,"Open",'Incident'!$AC$4:$AC$100003,"&gt;=31",'Incident'!$D$4:$D$100003,mCrit,'Incident'!$H$4:$H$100003,dCrit)</f>
        <v>0</v>
      </c>
    </row>
    <row r="263" spans="2:8">
      <c r="B263" s="12" t="s">
        <v>1599</v>
      </c>
      <c r="C263" s="12" t="s">
        <v>1887</v>
      </c>
    </row>
    <row r="264" spans="2:8">
      <c r="B264" s="13" t="s">
        <v>1541</v>
      </c>
      <c r="C264" s="22">
        <f>COUNTIFS('Incident'!$P$4:$P$100003,"Employee",'Incident'!$D$4:$D$100003,mCrit,'Incident'!$H$4:$H$100003,dCrit)</f>
        <v>0</v>
      </c>
    </row>
    <row r="265" spans="2:8">
      <c r="B265" s="13" t="s">
        <v>58</v>
      </c>
      <c r="C265" s="22">
        <f>COUNTIFS('Incident'!$P$4:$P$100003,"Contractor",'Incident'!$D$4:$D$100003,mCrit,'Incident'!$H$4:$H$100003,dCrit)</f>
        <v>0</v>
      </c>
    </row>
    <row r="266" spans="2:8">
      <c r="B266" s="13" t="s">
        <v>1521</v>
      </c>
      <c r="C266" s="22">
        <f>COUNTIFS('Incident'!$P$4:$P$100003,"Visitor",'Incident'!$D$4:$D$100003,mCrit,'Incident'!$H$4:$H$100003,dCrit)</f>
        <v>0</v>
      </c>
    </row>
    <row r="267" spans="2:8">
      <c r="B267" s="13" t="s">
        <v>1514</v>
      </c>
      <c r="C267" s="22">
        <f>COUNTIFS('Incident'!$P$4:$P$100003,"Third Party",'Incident'!$D$4:$D$100003,mCrit,'Incident'!$H$4:$H$100003,dCrit)</f>
        <v>0</v>
      </c>
    </row>
    <row r="269" spans="2:8">
      <c r="B269" s="12" t="s">
        <v>1943</v>
      </c>
      <c r="C269" s="12" t="s">
        <v>1916</v>
      </c>
      <c r="D269" s="12" t="s">
        <v>1917</v>
      </c>
      <c r="E269" s="12" t="s">
        <v>1918</v>
      </c>
      <c r="F269" s="12" t="s">
        <v>1919</v>
      </c>
      <c r="G269" s="12" t="s">
        <v>65</v>
      </c>
      <c r="H269" s="12" t="s">
        <v>1920</v>
      </c>
    </row>
    <row r="270" spans="2:8">
      <c r="B270" s="13" t="s">
        <v>91</v>
      </c>
      <c r="C270" s="28">
        <f>COUNTIFS('Toolbox Talks'!$E$4:$E$100003,"PPE Usage",'Toolbox Talks'!$F$4:$F$100003,"Operations",'Toolbox Talks'!$D$4:$D$100003,mCrit)</f>
        <v>0</v>
      </c>
      <c r="D270" s="28">
        <f>COUNTIFS('Toolbox Talks'!$E$4:$E$100003,"PPE Usage",'Toolbox Talks'!$F$4:$F$100003,"Maintenance",'Toolbox Talks'!$D$4:$D$100003,mCrit)</f>
        <v>0</v>
      </c>
      <c r="E270" s="28">
        <f>COUNTIFS('Toolbox Talks'!$E$4:$E$100003,"PPE Usage",'Toolbox Talks'!$F$4:$F$100003,"Engineering",'Toolbox Talks'!$D$4:$D$100003,mCrit)</f>
        <v>0</v>
      </c>
      <c r="F270" s="28">
        <f>COUNTIFS('Toolbox Talks'!$E$4:$E$100003,"PPE Usage",'Toolbox Talks'!$F$4:$F$100003,"Construction",'Toolbox Talks'!$D$4:$D$100003,mCrit)</f>
        <v>0</v>
      </c>
      <c r="G270" s="28">
        <f>COUNTIFS('Toolbox Talks'!$E$4:$E$100003,"PPE Usage",'Toolbox Talks'!$F$4:$F$100003,"Safety",'Toolbox Talks'!$D$4:$D$100003,mCrit)</f>
        <v>0</v>
      </c>
      <c r="H270" s="28">
        <f>COUNTIFS('Toolbox Talks'!$E$4:$E$100003,"PPE Usage",'Toolbox Talks'!$F$4:$F$100003,"Logistics",'Toolbox Talks'!$D$4:$D$100003,mCrit)</f>
        <v>0</v>
      </c>
    </row>
    <row r="271" spans="2:8">
      <c r="B271" s="13" t="s">
        <v>45</v>
      </c>
      <c r="C271" s="28">
        <f>COUNTIFS('Toolbox Talks'!$E$4:$E$100003,"Fire Safety",'Toolbox Talks'!$F$4:$F$100003,"Operations",'Toolbox Talks'!$D$4:$D$100003,mCrit)</f>
        <v>0</v>
      </c>
      <c r="D271" s="28">
        <f>COUNTIFS('Toolbox Talks'!$E$4:$E$100003,"Fire Safety",'Toolbox Talks'!$F$4:$F$100003,"Maintenance",'Toolbox Talks'!$D$4:$D$100003,mCrit)</f>
        <v>0</v>
      </c>
      <c r="E271" s="28">
        <f>COUNTIFS('Toolbox Talks'!$E$4:$E$100003,"Fire Safety",'Toolbox Talks'!$F$4:$F$100003,"Engineering",'Toolbox Talks'!$D$4:$D$100003,mCrit)</f>
        <v>0</v>
      </c>
      <c r="F271" s="28">
        <f>COUNTIFS('Toolbox Talks'!$E$4:$E$100003,"Fire Safety",'Toolbox Talks'!$F$4:$F$100003,"Construction",'Toolbox Talks'!$D$4:$D$100003,mCrit)</f>
        <v>0</v>
      </c>
      <c r="G271" s="28">
        <f>COUNTIFS('Toolbox Talks'!$E$4:$E$100003,"Fire Safety",'Toolbox Talks'!$F$4:$F$100003,"Safety",'Toolbox Talks'!$D$4:$D$100003,mCrit)</f>
        <v>0</v>
      </c>
      <c r="H271" s="28">
        <f>COUNTIFS('Toolbox Talks'!$E$4:$E$100003,"Fire Safety",'Toolbox Talks'!$F$4:$F$100003,"Logistics",'Toolbox Talks'!$D$4:$D$100003,mCrit)</f>
        <v>0</v>
      </c>
    </row>
    <row r="272" spans="2:8">
      <c r="B272" s="13" t="s">
        <v>49</v>
      </c>
      <c r="C272" s="28">
        <f>COUNTIFS('Toolbox Talks'!$E$4:$E$100003,"Working at Heights",'Toolbox Talks'!$F$4:$F$100003,"Operations",'Toolbox Talks'!$D$4:$D$100003,mCrit)</f>
        <v>0</v>
      </c>
      <c r="D272" s="28">
        <f>COUNTIFS('Toolbox Talks'!$E$4:$E$100003,"Working at Heights",'Toolbox Talks'!$F$4:$F$100003,"Maintenance",'Toolbox Talks'!$D$4:$D$100003,mCrit)</f>
        <v>0</v>
      </c>
      <c r="E272" s="28">
        <f>COUNTIFS('Toolbox Talks'!$E$4:$E$100003,"Working at Heights",'Toolbox Talks'!$F$4:$F$100003,"Engineering",'Toolbox Talks'!$D$4:$D$100003,mCrit)</f>
        <v>0</v>
      </c>
      <c r="F272" s="28">
        <f>COUNTIFS('Toolbox Talks'!$E$4:$E$100003,"Working at Heights",'Toolbox Talks'!$F$4:$F$100003,"Construction",'Toolbox Talks'!$D$4:$D$100003,mCrit)</f>
        <v>0</v>
      </c>
      <c r="G272" s="28">
        <f>COUNTIFS('Toolbox Talks'!$E$4:$E$100003,"Working at Heights",'Toolbox Talks'!$F$4:$F$100003,"Safety",'Toolbox Talks'!$D$4:$D$100003,mCrit)</f>
        <v>0</v>
      </c>
      <c r="H272" s="28">
        <f>COUNTIFS('Toolbox Talks'!$E$4:$E$100003,"Working at Heights",'Toolbox Talks'!$F$4:$F$100003,"Logistics",'Toolbox Talks'!$D$4:$D$100003,mCrit)</f>
        <v>0</v>
      </c>
    </row>
    <row r="273" spans="2:8">
      <c r="B273" s="13" t="s">
        <v>4</v>
      </c>
      <c r="C273" s="28">
        <f>COUNTIFS('Toolbox Talks'!$E$4:$E$100003,"Manual Handling",'Toolbox Talks'!$F$4:$F$100003,"Operations",'Toolbox Talks'!$D$4:$D$100003,mCrit)</f>
        <v>0</v>
      </c>
      <c r="D273" s="28">
        <f>COUNTIFS('Toolbox Talks'!$E$4:$E$100003,"Manual Handling",'Toolbox Talks'!$F$4:$F$100003,"Maintenance",'Toolbox Talks'!$D$4:$D$100003,mCrit)</f>
        <v>0</v>
      </c>
      <c r="E273" s="28">
        <f>COUNTIFS('Toolbox Talks'!$E$4:$E$100003,"Manual Handling",'Toolbox Talks'!$F$4:$F$100003,"Engineering",'Toolbox Talks'!$D$4:$D$100003,mCrit)</f>
        <v>0</v>
      </c>
      <c r="F273" s="28">
        <f>COUNTIFS('Toolbox Talks'!$E$4:$E$100003,"Manual Handling",'Toolbox Talks'!$F$4:$F$100003,"Construction",'Toolbox Talks'!$D$4:$D$100003,mCrit)</f>
        <v>0</v>
      </c>
      <c r="G273" s="28">
        <f>COUNTIFS('Toolbox Talks'!$E$4:$E$100003,"Manual Handling",'Toolbox Talks'!$F$4:$F$100003,"Safety",'Toolbox Talks'!$D$4:$D$100003,mCrit)</f>
        <v>0</v>
      </c>
      <c r="H273" s="28">
        <f>COUNTIFS('Toolbox Talks'!$E$4:$E$100003,"Manual Handling",'Toolbox Talks'!$F$4:$F$100003,"Logistics",'Toolbox Talks'!$D$4:$D$100003,mCrit)</f>
        <v>0</v>
      </c>
    </row>
    <row r="274" spans="2:8">
      <c r="B274" s="13" t="s">
        <v>57</v>
      </c>
      <c r="C274" s="28">
        <f>COUNTIFS('Toolbox Talks'!$E$4:$E$100003,"Electrical Safety",'Toolbox Talks'!$F$4:$F$100003,"Operations",'Toolbox Talks'!$D$4:$D$100003,mCrit)</f>
        <v>0</v>
      </c>
      <c r="D274" s="28">
        <f>COUNTIFS('Toolbox Talks'!$E$4:$E$100003,"Electrical Safety",'Toolbox Talks'!$F$4:$F$100003,"Maintenance",'Toolbox Talks'!$D$4:$D$100003,mCrit)</f>
        <v>0</v>
      </c>
      <c r="E274" s="28">
        <f>COUNTIFS('Toolbox Talks'!$E$4:$E$100003,"Electrical Safety",'Toolbox Talks'!$F$4:$F$100003,"Engineering",'Toolbox Talks'!$D$4:$D$100003,mCrit)</f>
        <v>0</v>
      </c>
      <c r="F274" s="28">
        <f>COUNTIFS('Toolbox Talks'!$E$4:$E$100003,"Electrical Safety",'Toolbox Talks'!$F$4:$F$100003,"Construction",'Toolbox Talks'!$D$4:$D$100003,mCrit)</f>
        <v>0</v>
      </c>
      <c r="G274" s="28">
        <f>COUNTIFS('Toolbox Talks'!$E$4:$E$100003,"Electrical Safety",'Toolbox Talks'!$F$4:$F$100003,"Safety",'Toolbox Talks'!$D$4:$D$100003,mCrit)</f>
        <v>0</v>
      </c>
      <c r="H274" s="28">
        <f>COUNTIFS('Toolbox Talks'!$E$4:$E$100003,"Electrical Safety",'Toolbox Talks'!$F$4:$F$100003,"Logistics",'Toolbox Talks'!$D$4:$D$100003,mCrit)</f>
        <v>0</v>
      </c>
    </row>
    <row r="275" spans="2:8">
      <c r="B275" s="13" t="s">
        <v>12</v>
      </c>
      <c r="C275" s="28">
        <f>COUNTIFS('Toolbox Talks'!$E$4:$E$100003,"Chemical Safety",'Toolbox Talks'!$F$4:$F$100003,"Operations",'Toolbox Talks'!$D$4:$D$100003,mCrit)</f>
        <v>0</v>
      </c>
      <c r="D275" s="28">
        <f>COUNTIFS('Toolbox Talks'!$E$4:$E$100003,"Chemical Safety",'Toolbox Talks'!$F$4:$F$100003,"Maintenance",'Toolbox Talks'!$D$4:$D$100003,mCrit)</f>
        <v>0</v>
      </c>
      <c r="E275" s="28">
        <f>COUNTIFS('Toolbox Talks'!$E$4:$E$100003,"Chemical Safety",'Toolbox Talks'!$F$4:$F$100003,"Engineering",'Toolbox Talks'!$D$4:$D$100003,mCrit)</f>
        <v>0</v>
      </c>
      <c r="F275" s="28">
        <f>COUNTIFS('Toolbox Talks'!$E$4:$E$100003,"Chemical Safety",'Toolbox Talks'!$F$4:$F$100003,"Construction",'Toolbox Talks'!$D$4:$D$100003,mCrit)</f>
        <v>0</v>
      </c>
      <c r="G275" s="28">
        <f>COUNTIFS('Toolbox Talks'!$E$4:$E$100003,"Chemical Safety",'Toolbox Talks'!$F$4:$F$100003,"Safety",'Toolbox Talks'!$D$4:$D$100003,mCrit)</f>
        <v>0</v>
      </c>
      <c r="H275" s="28">
        <f>COUNTIFS('Toolbox Talks'!$E$4:$E$100003,"Chemical Safety",'Toolbox Talks'!$F$4:$F$100003,"Logistics",'Toolbox Talks'!$D$4:$D$100003,mCrit)</f>
        <v>0</v>
      </c>
    </row>
    <row r="276" spans="2:8">
      <c r="B276" s="13" t="s">
        <v>16</v>
      </c>
      <c r="C276" s="28">
        <f>COUNTIFS('Toolbox Talks'!$E$4:$E$100003,"Housekeeping",'Toolbox Talks'!$F$4:$F$100003,"Operations",'Toolbox Talks'!$D$4:$D$100003,mCrit)</f>
        <v>0</v>
      </c>
      <c r="D276" s="28">
        <f>COUNTIFS('Toolbox Talks'!$E$4:$E$100003,"Housekeeping",'Toolbox Talks'!$F$4:$F$100003,"Maintenance",'Toolbox Talks'!$D$4:$D$100003,mCrit)</f>
        <v>0</v>
      </c>
      <c r="E276" s="28">
        <f>COUNTIFS('Toolbox Talks'!$E$4:$E$100003,"Housekeeping",'Toolbox Talks'!$F$4:$F$100003,"Engineering",'Toolbox Talks'!$D$4:$D$100003,mCrit)</f>
        <v>0</v>
      </c>
      <c r="F276" s="28">
        <f>COUNTIFS('Toolbox Talks'!$E$4:$E$100003,"Housekeeping",'Toolbox Talks'!$F$4:$F$100003,"Construction",'Toolbox Talks'!$D$4:$D$100003,mCrit)</f>
        <v>0</v>
      </c>
      <c r="G276" s="28">
        <f>COUNTIFS('Toolbox Talks'!$E$4:$E$100003,"Housekeeping",'Toolbox Talks'!$F$4:$F$100003,"Safety",'Toolbox Talks'!$D$4:$D$100003,mCrit)</f>
        <v>0</v>
      </c>
      <c r="H276" s="28">
        <f>COUNTIFS('Toolbox Talks'!$E$4:$E$100003,"Housekeeping",'Toolbox Talks'!$F$4:$F$100003,"Logistics",'Toolbox Talks'!$D$4:$D$100003,mCrit)</f>
        <v>0</v>
      </c>
    </row>
    <row r="277" spans="2:8">
      <c r="B277" s="13" t="s">
        <v>54</v>
      </c>
      <c r="C277" s="28">
        <f>COUNTIFS('Toolbox Talks'!$E$4:$E$100003,"Heat Stress",'Toolbox Talks'!$F$4:$F$100003,"Operations",'Toolbox Talks'!$D$4:$D$100003,mCrit)</f>
        <v>0</v>
      </c>
      <c r="D277" s="28">
        <f>COUNTIFS('Toolbox Talks'!$E$4:$E$100003,"Heat Stress",'Toolbox Talks'!$F$4:$F$100003,"Maintenance",'Toolbox Talks'!$D$4:$D$100003,mCrit)</f>
        <v>0</v>
      </c>
      <c r="E277" s="28">
        <f>COUNTIFS('Toolbox Talks'!$E$4:$E$100003,"Heat Stress",'Toolbox Talks'!$F$4:$F$100003,"Engineering",'Toolbox Talks'!$D$4:$D$100003,mCrit)</f>
        <v>0</v>
      </c>
      <c r="F277" s="28">
        <f>COUNTIFS('Toolbox Talks'!$E$4:$E$100003,"Heat Stress",'Toolbox Talks'!$F$4:$F$100003,"Construction",'Toolbox Talks'!$D$4:$D$100003,mCrit)</f>
        <v>0</v>
      </c>
      <c r="G277" s="28">
        <f>COUNTIFS('Toolbox Talks'!$E$4:$E$100003,"Heat Stress",'Toolbox Talks'!$F$4:$F$100003,"Safety",'Toolbox Talks'!$D$4:$D$100003,mCrit)</f>
        <v>0</v>
      </c>
      <c r="H277" s="28">
        <f>COUNTIFS('Toolbox Talks'!$E$4:$E$100003,"Heat Stress",'Toolbox Talks'!$F$4:$F$100003,"Logistics",'Toolbox Talks'!$D$4:$D$100003,mCrit)</f>
        <v>0</v>
      </c>
    </row>
    <row r="279" spans="2:8">
      <c r="B279" s="12" t="s">
        <v>1944</v>
      </c>
      <c r="C279" s="12" t="s">
        <v>1887</v>
      </c>
    </row>
    <row r="280" spans="2:8">
      <c r="B280" s="13" t="s">
        <v>1945</v>
      </c>
      <c r="C280" s="22">
        <f>COUNTIFS('Training'!$Q$4:$Q$100003,"&lt;&gt;",'Training'!$Q$4:$Q$100003,"&lt;="&amp;(TODAY()+30),'Training'!$Q$4:$Q$100003,"&gt;="&amp;TODAY(),'Training'!$G$4:$G$100003,dCrit)</f>
        <v>0</v>
      </c>
    </row>
    <row r="281" spans="2:8">
      <c r="B281" s="13" t="s">
        <v>1946</v>
      </c>
      <c r="C281" s="22">
        <f>COUNTIFS('Training'!$Q$4:$Q$100003,"&lt;&gt;",'Training'!$Q$4:$Q$100003,"&lt;="&amp;(TODAY()+60),'Training'!$Q$4:$Q$100003,"&gt;="&amp;TODAY(),'Training'!$G$4:$G$100003,dCrit)</f>
        <v>0</v>
      </c>
    </row>
    <row r="282" spans="2:8">
      <c r="B282" s="13" t="s">
        <v>1947</v>
      </c>
      <c r="C282" s="22">
        <f>COUNTIFS('Training'!$Q$4:$Q$100003,"&lt;&gt;",'Training'!$Q$4:$Q$100003,"&lt;="&amp;(TODAY()+90),'Training'!$Q$4:$Q$100003,"&gt;="&amp;TODAY(),'Training'!$G$4:$G$100003,dCrit)</f>
        <v>0</v>
      </c>
    </row>
    <row r="284" spans="2:8">
      <c r="B284" s="12" t="s">
        <v>129</v>
      </c>
      <c r="C284" s="12" t="s">
        <v>1948</v>
      </c>
    </row>
    <row r="285" spans="2:8">
      <c r="B285" s="13" t="s">
        <v>27</v>
      </c>
      <c r="C285" s="22">
        <f>COUNTIFS('Training'!$Q$4:$Q$100003,"&lt;&gt;",'Training'!$Q$4:$Q$100003,"&lt;="&amp;(TODAY()+90),'Training'!$Q$4:$Q$100003,"&gt;="&amp;TODAY(),'Training'!$G$4:$G$100003,"Operations")</f>
        <v>0</v>
      </c>
    </row>
    <row r="286" spans="2:8">
      <c r="B286" s="13" t="s">
        <v>92</v>
      </c>
      <c r="C286" s="22">
        <f>COUNTIFS('Training'!$Q$4:$Q$100003,"&lt;&gt;",'Training'!$Q$4:$Q$100003,"&lt;="&amp;(TODAY()+90),'Training'!$Q$4:$Q$100003,"&gt;="&amp;TODAY(),'Training'!$G$4:$G$100003,"Maintenance")</f>
        <v>0</v>
      </c>
    </row>
    <row r="287" spans="2:8">
      <c r="B287" s="13" t="s">
        <v>39</v>
      </c>
      <c r="C287" s="22">
        <f>COUNTIFS('Training'!$Q$4:$Q$100003,"&lt;&gt;",'Training'!$Q$4:$Q$100003,"&lt;="&amp;(TODAY()+90),'Training'!$Q$4:$Q$100003,"&gt;="&amp;TODAY(),'Training'!$G$4:$G$100003,"Engineering")</f>
        <v>0</v>
      </c>
    </row>
    <row r="288" spans="2:8">
      <c r="B288" s="13" t="s">
        <v>89</v>
      </c>
      <c r="C288" s="22">
        <f>COUNTIFS('Training'!$Q$4:$Q$100003,"&lt;&gt;",'Training'!$Q$4:$Q$100003,"&lt;="&amp;(TODAY()+90),'Training'!$Q$4:$Q$100003,"&gt;="&amp;TODAY(),'Training'!$G$4:$G$100003,"Construction")</f>
        <v>0</v>
      </c>
    </row>
    <row r="289" spans="2:3">
      <c r="B289" s="13" t="s">
        <v>65</v>
      </c>
      <c r="C289" s="22">
        <f>COUNTIFS('Training'!$Q$4:$Q$100003,"&lt;&gt;",'Training'!$Q$4:$Q$100003,"&lt;="&amp;(TODAY()+90),'Training'!$Q$4:$Q$100003,"&gt;="&amp;TODAY(),'Training'!$G$4:$G$100003,"Safety")</f>
        <v>0</v>
      </c>
    </row>
    <row r="290" spans="2:3">
      <c r="B290" s="13" t="s">
        <v>5</v>
      </c>
      <c r="C290" s="22">
        <f>COUNTIFS('Training'!$Q$4:$Q$100003,"&lt;&gt;",'Training'!$Q$4:$Q$100003,"&lt;="&amp;(TODAY()+90),'Training'!$Q$4:$Q$100003,"&gt;="&amp;TODAY(),'Training'!$G$4:$G$100003,"Logistics")</f>
        <v>0</v>
      </c>
    </row>
    <row r="291" spans="2:3">
      <c r="B291" s="13" t="s">
        <v>50</v>
      </c>
      <c r="C291" s="22">
        <f>COUNTIFS('Training'!$Q$4:$Q$100003,"&lt;&gt;",'Training'!$Q$4:$Q$100003,"&lt;="&amp;(TODAY()+90),'Training'!$Q$4:$Q$100003,"&gt;="&amp;TODAY(),'Training'!$G$4:$G$100003,"Quality")</f>
        <v>0</v>
      </c>
    </row>
    <row r="292" spans="2:3">
      <c r="B292" s="13" t="s">
        <v>46</v>
      </c>
      <c r="C292" s="22">
        <f>COUNTIFS('Training'!$Q$4:$Q$100003,"&lt;&gt;",'Training'!$Q$4:$Q$100003,"&lt;="&amp;(TODAY()+90),'Training'!$Q$4:$Q$100003,"&gt;="&amp;TODAY(),'Training'!$G$4:$G$100003,"Admin")</f>
        <v>0</v>
      </c>
    </row>
    <row r="293" spans="2:3">
      <c r="B293" s="13" t="s">
        <v>13</v>
      </c>
      <c r="C293" s="22">
        <f>COUNTIFS('Training'!$Q$4:$Q$100003,"&lt;&gt;",'Training'!$Q$4:$Q$100003,"&lt;="&amp;(TODAY()+90),'Training'!$Q$4:$Q$100003,"&gt;="&amp;TODAY(),'Training'!$G$4:$G$100003,"Projects")</f>
        <v>0</v>
      </c>
    </row>
    <row r="294" spans="2:3">
      <c r="B294" s="13" t="s">
        <v>58</v>
      </c>
      <c r="C294" s="22">
        <f>COUNTIFS('Training'!$Q$4:$Q$100003,"&lt;&gt;",'Training'!$Q$4:$Q$100003,"&lt;="&amp;(TODAY()+90),'Training'!$Q$4:$Q$100003,"&gt;="&amp;TODAY(),'Training'!$G$4:$G$100003,"Contractor")</f>
        <v>0</v>
      </c>
    </row>
    <row r="296" spans="2:3">
      <c r="B296" s="12" t="s">
        <v>1949</v>
      </c>
      <c r="C296" s="12" t="s">
        <v>1887</v>
      </c>
    </row>
    <row r="297" spans="2:3">
      <c r="B297" s="13" t="s">
        <v>1939</v>
      </c>
      <c r="C297" s="22">
        <f>COUNTIFS('Corrective Actions'!$N$4:$N$100003,"Overdue",'Corrective Actions'!$L$4:$L$100003,"&lt;="&amp;(TODAY()-0),'Corrective Actions'!$L$4:$L$100003,"&gt;="&amp;(TODAY()-7),'Corrective Actions'!$D$4:$D$100003,mCrit,'Corrective Actions'!$F$4:$F$100003,dCrit)</f>
        <v>0</v>
      </c>
    </row>
    <row r="298" spans="2:3">
      <c r="B298" s="13" t="s">
        <v>1940</v>
      </c>
      <c r="C298" s="22">
        <f>COUNTIFS('Corrective Actions'!$N$4:$N$100003,"Overdue",'Corrective Actions'!$L$4:$L$100003,"&lt;="&amp;(TODAY()-8),'Corrective Actions'!$L$4:$L$100003,"&gt;="&amp;(TODAY()-15),'Corrective Actions'!$D$4:$D$100003,mCrit,'Corrective Actions'!$F$4:$F$100003,dCrit)</f>
        <v>0</v>
      </c>
    </row>
    <row r="299" spans="2:3">
      <c r="B299" s="13" t="s">
        <v>1941</v>
      </c>
      <c r="C299" s="22">
        <f>COUNTIFS('Corrective Actions'!$N$4:$N$100003,"Overdue",'Corrective Actions'!$L$4:$L$100003,"&lt;="&amp;(TODAY()-16),'Corrective Actions'!$L$4:$L$100003,"&gt;="&amp;(TODAY()-30),'Corrective Actions'!$D$4:$D$100003,mCrit,'Corrective Actions'!$F$4:$F$100003,dCrit)</f>
        <v>0</v>
      </c>
    </row>
    <row r="300" spans="2:3">
      <c r="B300" s="13" t="s">
        <v>1942</v>
      </c>
      <c r="C300" s="22">
        <f>COUNTIFS('Corrective Actions'!$N$4:$N$100003,"Overdue",'Corrective Actions'!$L$4:$L$100003,"&lt;="&amp;(TODAY()-31),'Corrective Actions'!$D$4:$D$100003,mCrit,'Corrective Actions'!$F$4:$F$100003,dCrit)</f>
        <v>0</v>
      </c>
    </row>
    <row r="302" spans="2:3">
      <c r="B302" s="12" t="s">
        <v>1949</v>
      </c>
      <c r="C302" s="12" t="s">
        <v>1887</v>
      </c>
    </row>
    <row r="303" spans="2:3">
      <c r="B303" s="13" t="s">
        <v>1939</v>
      </c>
      <c r="C303" s="22">
        <f>COUNTIFS('NC Management'!$M$4:$M$100003,"Overdue",'NC Management'!$K$4:$K$100003,"&lt;="&amp;(TODAY()-0),'NC Management'!$K$4:$K$100003,"&gt;="&amp;(TODAY()-7),'NC Management'!$D$4:$D$100003,mCrit,'NC Management'!$G$4:$G$100003,dCrit)</f>
        <v>0</v>
      </c>
    </row>
    <row r="304" spans="2:3">
      <c r="B304" s="13" t="s">
        <v>1940</v>
      </c>
      <c r="C304" s="22">
        <f>COUNTIFS('NC Management'!$M$4:$M$100003,"Overdue",'NC Management'!$K$4:$K$100003,"&lt;="&amp;(TODAY()-8),'NC Management'!$K$4:$K$100003,"&gt;="&amp;(TODAY()-15),'NC Management'!$D$4:$D$100003,mCrit,'NC Management'!$G$4:$G$100003,dCrit)</f>
        <v>0</v>
      </c>
    </row>
    <row r="305" spans="2:3">
      <c r="B305" s="13" t="s">
        <v>1941</v>
      </c>
      <c r="C305" s="22">
        <f>COUNTIFS('NC Management'!$M$4:$M$100003,"Overdue",'NC Management'!$K$4:$K$100003,"&lt;="&amp;(TODAY()-16),'NC Management'!$K$4:$K$100003,"&gt;="&amp;(TODAY()-30),'NC Management'!$D$4:$D$100003,mCrit,'NC Management'!$G$4:$G$100003,dCrit)</f>
        <v>0</v>
      </c>
    </row>
    <row r="306" spans="2:3">
      <c r="B306" s="13" t="s">
        <v>1942</v>
      </c>
      <c r="C306" s="22">
        <f>COUNTIFS('NC Management'!$M$4:$M$100003,"Overdue",'NC Management'!$K$4:$K$100003,"&lt;="&amp;(TODAY()-31),'NC Management'!$D$4:$D$100003,mCrit,'NC Management'!$G$4:$G$100003,dCrit)</f>
        <v>0</v>
      </c>
    </row>
    <row r="308" spans="2:3">
      <c r="B308" s="12" t="s">
        <v>1949</v>
      </c>
      <c r="C308" s="12" t="s">
        <v>1887</v>
      </c>
    </row>
    <row r="309" spans="2:3">
      <c r="B309" s="13" t="s">
        <v>1939</v>
      </c>
      <c r="C309" s="22">
        <f>COUNTIFS('HSE Observations'!$M$4:$M$100003,"Overdue",'HSE Observations'!$O$4:$O$100003,"&lt;="&amp;(TODAY()-0),'HSE Observations'!$O$4:$O$100003,"&gt;="&amp;(TODAY()-7),'HSE Observations'!$D$4:$D$100003,mCrit,'HSE Observations'!$G$4:$G$100003,dCrit)</f>
        <v>0</v>
      </c>
    </row>
    <row r="310" spans="2:3">
      <c r="B310" s="13" t="s">
        <v>1940</v>
      </c>
      <c r="C310" s="22">
        <f>COUNTIFS('HSE Observations'!$M$4:$M$100003,"Overdue",'HSE Observations'!$O$4:$O$100003,"&lt;="&amp;(TODAY()-8),'HSE Observations'!$O$4:$O$100003,"&gt;="&amp;(TODAY()-15),'HSE Observations'!$D$4:$D$100003,mCrit,'HSE Observations'!$G$4:$G$100003,dCrit)</f>
        <v>0</v>
      </c>
    </row>
    <row r="311" spans="2:3">
      <c r="B311" s="13" t="s">
        <v>1941</v>
      </c>
      <c r="C311" s="22">
        <f>COUNTIFS('HSE Observations'!$M$4:$M$100003,"Overdue",'HSE Observations'!$O$4:$O$100003,"&lt;="&amp;(TODAY()-16),'HSE Observations'!$O$4:$O$100003,"&gt;="&amp;(TODAY()-30),'HSE Observations'!$D$4:$D$100003,mCrit,'HSE Observations'!$G$4:$G$100003,dCrit)</f>
        <v>0</v>
      </c>
    </row>
    <row r="312" spans="2:3">
      <c r="B312" s="13" t="s">
        <v>1942</v>
      </c>
      <c r="C312" s="22">
        <f>COUNTIFS('HSE Observations'!$M$4:$M$100003,"Overdue",'HSE Observations'!$O$4:$O$100003,"&lt;="&amp;(TODAY()-31),'HSE Observations'!$D$4:$D$100003,mCrit,'HSE Observations'!$G$4:$G$100003,dCrit)</f>
        <v>0</v>
      </c>
    </row>
    <row r="314" spans="2:3">
      <c r="B314" s="12" t="s">
        <v>1949</v>
      </c>
      <c r="C314" s="12" t="s">
        <v>1887</v>
      </c>
    </row>
    <row r="315" spans="2:3">
      <c r="B315" s="13" t="s">
        <v>1939</v>
      </c>
      <c r="C315" s="22">
        <f>COUNTIFS('Workplace Inspections'!$M$4:$M$100003,"Overdue",'Workplace Inspections'!$O$4:$O$100003,"&lt;="&amp;(TODAY()-0),'Workplace Inspections'!$O$4:$O$100003,"&gt;="&amp;(TODAY()-7),'Workplace Inspections'!$D$4:$D$100003,mCrit,'Workplace Inspections'!$F$4:$F$100003,dCrit)</f>
        <v>0</v>
      </c>
    </row>
    <row r="316" spans="2:3">
      <c r="B316" s="13" t="s">
        <v>1940</v>
      </c>
      <c r="C316" s="22">
        <f>COUNTIFS('Workplace Inspections'!$M$4:$M$100003,"Overdue",'Workplace Inspections'!$O$4:$O$100003,"&lt;="&amp;(TODAY()-8),'Workplace Inspections'!$O$4:$O$100003,"&gt;="&amp;(TODAY()-15),'Workplace Inspections'!$D$4:$D$100003,mCrit,'Workplace Inspections'!$F$4:$F$100003,dCrit)</f>
        <v>0</v>
      </c>
    </row>
    <row r="317" spans="2:3">
      <c r="B317" s="13" t="s">
        <v>1941</v>
      </c>
      <c r="C317" s="22">
        <f>COUNTIFS('Workplace Inspections'!$M$4:$M$100003,"Overdue",'Workplace Inspections'!$O$4:$O$100003,"&lt;="&amp;(TODAY()-16),'Workplace Inspections'!$O$4:$O$100003,"&gt;="&amp;(TODAY()-30),'Workplace Inspections'!$D$4:$D$100003,mCrit,'Workplace Inspections'!$F$4:$F$100003,dCrit)</f>
        <v>0</v>
      </c>
    </row>
    <row r="318" spans="2:3">
      <c r="B318" s="13" t="s">
        <v>1942</v>
      </c>
      <c r="C318" s="22">
        <f>COUNTIFS('Workplace Inspections'!$M$4:$M$100003,"Overdue",'Workplace Inspections'!$O$4:$O$100003,"&lt;="&amp;(TODAY()-31),'Workplace Inspections'!$D$4:$D$100003,mCrit,'Workplace Inspections'!$F$4:$F$100003,dCrit)</f>
        <v>0</v>
      </c>
    </row>
    <row r="320" spans="2:3">
      <c r="B320" s="12" t="s">
        <v>1949</v>
      </c>
      <c r="C320" s="12" t="s">
        <v>1887</v>
      </c>
    </row>
    <row r="321" spans="2:3">
      <c r="B321" s="13" t="s">
        <v>1939</v>
      </c>
      <c r="C321" s="22">
        <f>COUNTIFS('Equipment Inspections'!$M$4:$M$100003,"Overdue",'Equipment Inspections'!$O$4:$O$100003,"&lt;="&amp;(TODAY()-0),'Equipment Inspections'!$O$4:$O$100003,"&gt;="&amp;(TODAY()-7),'Equipment Inspections'!$D$4:$D$100003,mCrit,'Equipment Inspections'!$F$4:$F$100003,dCrit)</f>
        <v>0</v>
      </c>
    </row>
    <row r="322" spans="2:3">
      <c r="B322" s="13" t="s">
        <v>1940</v>
      </c>
      <c r="C322" s="22">
        <f>COUNTIFS('Equipment Inspections'!$M$4:$M$100003,"Overdue",'Equipment Inspections'!$O$4:$O$100003,"&lt;="&amp;(TODAY()-8),'Equipment Inspections'!$O$4:$O$100003,"&gt;="&amp;(TODAY()-15),'Equipment Inspections'!$D$4:$D$100003,mCrit,'Equipment Inspections'!$F$4:$F$100003,dCrit)</f>
        <v>0</v>
      </c>
    </row>
    <row r="323" spans="2:3">
      <c r="B323" s="13" t="s">
        <v>1941</v>
      </c>
      <c r="C323" s="22">
        <f>COUNTIFS('Equipment Inspections'!$M$4:$M$100003,"Overdue",'Equipment Inspections'!$O$4:$O$100003,"&lt;="&amp;(TODAY()-16),'Equipment Inspections'!$O$4:$O$100003,"&gt;="&amp;(TODAY()-30),'Equipment Inspections'!$D$4:$D$100003,mCrit,'Equipment Inspections'!$F$4:$F$100003,dCrit)</f>
        <v>0</v>
      </c>
    </row>
    <row r="324" spans="2:3">
      <c r="B324" s="13" t="s">
        <v>1942</v>
      </c>
      <c r="C324" s="22">
        <f>COUNTIFS('Equipment Inspections'!$M$4:$M$100003,"Overdue",'Equipment Inspections'!$O$4:$O$100003,"&lt;="&amp;(TODAY()-31),'Equipment Inspections'!$D$4:$D$100003,mCrit,'Equipment Inspections'!$F$4:$F$100003,dCrit)</f>
        <v>0</v>
      </c>
    </row>
    <row r="326" spans="2:3">
      <c r="B326" s="12" t="s">
        <v>1949</v>
      </c>
      <c r="C326" s="12" t="s">
        <v>1887</v>
      </c>
    </row>
    <row r="327" spans="2:3">
      <c r="B327" s="13" t="s">
        <v>1939</v>
      </c>
      <c r="C327" s="22">
        <f>COUNTIFS('Safety Walkthroughs'!$M$4:$M$100003,"Overdue",'Safety Walkthroughs'!$O$4:$O$100003,"&lt;="&amp;(TODAY()-0),'Safety Walkthroughs'!$O$4:$O$100003,"&gt;="&amp;(TODAY()-7),'Safety Walkthroughs'!$D$4:$D$100003,mCrit,'Safety Walkthroughs'!$F$4:$F$100003,dCrit)</f>
        <v>0</v>
      </c>
    </row>
    <row r="328" spans="2:3">
      <c r="B328" s="13" t="s">
        <v>1940</v>
      </c>
      <c r="C328" s="22">
        <f>COUNTIFS('Safety Walkthroughs'!$M$4:$M$100003,"Overdue",'Safety Walkthroughs'!$O$4:$O$100003,"&lt;="&amp;(TODAY()-8),'Safety Walkthroughs'!$O$4:$O$100003,"&gt;="&amp;(TODAY()-15),'Safety Walkthroughs'!$D$4:$D$100003,mCrit,'Safety Walkthroughs'!$F$4:$F$100003,dCrit)</f>
        <v>0</v>
      </c>
    </row>
    <row r="329" spans="2:3">
      <c r="B329" s="13" t="s">
        <v>1941</v>
      </c>
      <c r="C329" s="22">
        <f>COUNTIFS('Safety Walkthroughs'!$M$4:$M$100003,"Overdue",'Safety Walkthroughs'!$O$4:$O$100003,"&lt;="&amp;(TODAY()-16),'Safety Walkthroughs'!$O$4:$O$100003,"&gt;="&amp;(TODAY()-30),'Safety Walkthroughs'!$D$4:$D$100003,mCrit,'Safety Walkthroughs'!$F$4:$F$100003,dCrit)</f>
        <v>0</v>
      </c>
    </row>
    <row r="330" spans="2:3">
      <c r="B330" s="13" t="s">
        <v>1942</v>
      </c>
      <c r="C330" s="22">
        <f>COUNTIFS('Safety Walkthroughs'!$M$4:$M$100003,"Overdue",'Safety Walkthroughs'!$O$4:$O$100003,"&lt;="&amp;(TODAY()-31),'Safety Walkthroughs'!$D$4:$D$100003,mCrit,'Safety Walkthroughs'!$F$4:$F$100003,dCrit)</f>
        <v>0</v>
      </c>
    </row>
    <row r="332" spans="2:3">
      <c r="B332" s="12" t="s">
        <v>1949</v>
      </c>
      <c r="C332" s="12" t="s">
        <v>1887</v>
      </c>
    </row>
    <row r="333" spans="2:3">
      <c r="B333" s="13" t="s">
        <v>1939</v>
      </c>
      <c r="C333" s="22">
        <f>COUNTIFS('Unsafe Acts'!$M$4:$M$100003,"Overdue",'Unsafe Acts'!$L$4:$L$100003,"&lt;="&amp;(TODAY()-0),'Unsafe Acts'!$L$4:$L$100003,"&gt;="&amp;(TODAY()-7),'Unsafe Acts'!$D$4:$D$100003,mCrit,'Unsafe Acts'!$F$4:$F$100003,dCrit)</f>
        <v>0</v>
      </c>
    </row>
    <row r="334" spans="2:3">
      <c r="B334" s="13" t="s">
        <v>1940</v>
      </c>
      <c r="C334" s="22">
        <f>COUNTIFS('Unsafe Acts'!$M$4:$M$100003,"Overdue",'Unsafe Acts'!$L$4:$L$100003,"&lt;="&amp;(TODAY()-8),'Unsafe Acts'!$L$4:$L$100003,"&gt;="&amp;(TODAY()-15),'Unsafe Acts'!$D$4:$D$100003,mCrit,'Unsafe Acts'!$F$4:$F$100003,dCrit)</f>
        <v>0</v>
      </c>
    </row>
    <row r="335" spans="2:3">
      <c r="B335" s="13" t="s">
        <v>1941</v>
      </c>
      <c r="C335" s="22">
        <f>COUNTIFS('Unsafe Acts'!$M$4:$M$100003,"Overdue",'Unsafe Acts'!$L$4:$L$100003,"&lt;="&amp;(TODAY()-16),'Unsafe Acts'!$L$4:$L$100003,"&gt;="&amp;(TODAY()-30),'Unsafe Acts'!$D$4:$D$100003,mCrit,'Unsafe Acts'!$F$4:$F$100003,dCrit)</f>
        <v>0</v>
      </c>
    </row>
    <row r="336" spans="2:3">
      <c r="B336" s="13" t="s">
        <v>1942</v>
      </c>
      <c r="C336" s="22">
        <f>COUNTIFS('Unsafe Acts'!$M$4:$M$100003,"Overdue",'Unsafe Acts'!$L$4:$L$100003,"&lt;="&amp;(TODAY()-31),'Unsafe Acts'!$D$4:$D$100003,mCrit,'Unsafe Acts'!$F$4:$F$100003,dCrit)</f>
        <v>0</v>
      </c>
    </row>
    <row r="338" spans="2:3">
      <c r="B338" s="12" t="s">
        <v>1949</v>
      </c>
      <c r="C338" s="12" t="s">
        <v>1887</v>
      </c>
    </row>
    <row r="339" spans="2:3">
      <c r="B339" s="13" t="s">
        <v>1939</v>
      </c>
      <c r="C339" s="22">
        <f>COUNTIFS('Unsafe Conditions'!$M$4:$M$100003,"Overdue",'Unsafe Conditions'!$L$4:$L$100003,"&lt;="&amp;(TODAY()-0),'Unsafe Conditions'!$L$4:$L$100003,"&gt;="&amp;(TODAY()-7),'Unsafe Conditions'!$D$4:$D$100003,mCrit,'Unsafe Conditions'!$F$4:$F$100003,dCrit)</f>
        <v>0</v>
      </c>
    </row>
    <row r="340" spans="2:3">
      <c r="B340" s="13" t="s">
        <v>1940</v>
      </c>
      <c r="C340" s="22">
        <f>COUNTIFS('Unsafe Conditions'!$M$4:$M$100003,"Overdue",'Unsafe Conditions'!$L$4:$L$100003,"&lt;="&amp;(TODAY()-8),'Unsafe Conditions'!$L$4:$L$100003,"&gt;="&amp;(TODAY()-15),'Unsafe Conditions'!$D$4:$D$100003,mCrit,'Unsafe Conditions'!$F$4:$F$100003,dCrit)</f>
        <v>0</v>
      </c>
    </row>
    <row r="341" spans="2:3">
      <c r="B341" s="13" t="s">
        <v>1941</v>
      </c>
      <c r="C341" s="22">
        <f>COUNTIFS('Unsafe Conditions'!$M$4:$M$100003,"Overdue",'Unsafe Conditions'!$L$4:$L$100003,"&lt;="&amp;(TODAY()-16),'Unsafe Conditions'!$L$4:$L$100003,"&gt;="&amp;(TODAY()-30),'Unsafe Conditions'!$D$4:$D$100003,mCrit,'Unsafe Conditions'!$F$4:$F$100003,dCrit)</f>
        <v>0</v>
      </c>
    </row>
    <row r="342" spans="2:3">
      <c r="B342" s="13" t="s">
        <v>1942</v>
      </c>
      <c r="C342" s="22">
        <f>COUNTIFS('Unsafe Conditions'!$M$4:$M$100003,"Overdue",'Unsafe Conditions'!$L$4:$L$100003,"&lt;="&amp;(TODAY()-31),'Unsafe Conditions'!$D$4:$D$100003,mCrit,'Unsafe Conditions'!$F$4:$F$100003,dCrit)</f>
        <v>0</v>
      </c>
    </row>
    <row r="344" spans="2:3">
      <c r="B344" s="12" t="s">
        <v>1950</v>
      </c>
      <c r="C344" s="12" t="s">
        <v>1951</v>
      </c>
    </row>
    <row r="345" spans="2:3">
      <c r="B345" s="13" t="s">
        <v>1721</v>
      </c>
      <c r="C345" s="22">
        <f>SUM($C$297:$C$300)</f>
        <v>0</v>
      </c>
    </row>
    <row r="346" spans="2:3">
      <c r="B346" s="13" t="s">
        <v>1722</v>
      </c>
      <c r="C346" s="22">
        <f>SUM($C$303:$C$306)</f>
        <v>0</v>
      </c>
    </row>
    <row r="347" spans="2:3">
      <c r="B347" s="13" t="s">
        <v>1705</v>
      </c>
      <c r="C347" s="22">
        <f>SUM($C$309:$C$312)</f>
        <v>0</v>
      </c>
    </row>
    <row r="348" spans="2:3">
      <c r="B348" s="13" t="s">
        <v>1706</v>
      </c>
      <c r="C348" s="22">
        <f>SUM($C$315:$C$318)</f>
        <v>0</v>
      </c>
    </row>
    <row r="349" spans="2:3">
      <c r="B349" s="13" t="s">
        <v>1707</v>
      </c>
      <c r="C349" s="22">
        <f>SUM($C$321:$C$324)</f>
        <v>0</v>
      </c>
    </row>
    <row r="350" spans="2:3">
      <c r="B350" s="13" t="s">
        <v>1708</v>
      </c>
      <c r="C350" s="22">
        <f>SUM($C$327:$C$330)</f>
        <v>0</v>
      </c>
    </row>
    <row r="351" spans="2:3">
      <c r="B351" s="13" t="s">
        <v>1723</v>
      </c>
      <c r="C351" s="22">
        <f>SUM($C$333:$C$336)</f>
        <v>0</v>
      </c>
    </row>
    <row r="352" spans="2:3">
      <c r="B352" s="13" t="s">
        <v>1724</v>
      </c>
      <c r="C352" s="22">
        <f>SUM($C$339:$C$342)</f>
        <v>0</v>
      </c>
    </row>
    <row r="354" spans="2:11">
      <c r="B354" s="12" t="s">
        <v>1952</v>
      </c>
      <c r="C354" s="12" t="s">
        <v>1887</v>
      </c>
    </row>
    <row r="355" spans="2:11">
      <c r="B355" s="13" t="s">
        <v>1939</v>
      </c>
      <c r="C355" s="22">
        <f>$C$297+$C$303+$C$309+$C$315+$C$321+$C$327+$C$333+$C$339</f>
        <v>0</v>
      </c>
    </row>
    <row r="356" spans="2:11">
      <c r="B356" s="13" t="s">
        <v>1940</v>
      </c>
      <c r="C356" s="22">
        <f>$C$298+$C$304+$C$310+$C$316+$C$322+$C$328+$C$334+$C$340</f>
        <v>0</v>
      </c>
    </row>
    <row r="357" spans="2:11">
      <c r="B357" s="13" t="s">
        <v>1941</v>
      </c>
      <c r="C357" s="22">
        <f>$C$299+$C$305+$C$311+$C$317+$C$323+$C$329+$C$335+$C$341</f>
        <v>0</v>
      </c>
    </row>
    <row r="358" spans="2:11">
      <c r="B358" s="13" t="s">
        <v>1942</v>
      </c>
      <c r="C358" s="22">
        <f>$C$300+$C$306+$C$312+$C$318+$C$324+$C$330+$C$336+$C$342</f>
        <v>0</v>
      </c>
    </row>
    <row r="360" spans="2:11">
      <c r="B360" s="12" t="s">
        <v>1953</v>
      </c>
      <c r="C360" s="22">
        <f>SUM($C$355:$C$358)</f>
        <v>0</v>
      </c>
    </row>
    <row r="362" spans="2:11">
      <c r="B362" s="12" t="s">
        <v>129</v>
      </c>
      <c r="C362" s="12" t="s">
        <v>1854</v>
      </c>
      <c r="D362" s="12" t="s">
        <v>1954</v>
      </c>
      <c r="E362" s="12" t="s">
        <v>1955</v>
      </c>
      <c r="F362" s="12" t="s">
        <v>1956</v>
      </c>
      <c r="G362" s="12" t="s">
        <v>1914</v>
      </c>
      <c r="H362" s="12" t="s">
        <v>1906</v>
      </c>
      <c r="J362" s="12" t="s">
        <v>1957</v>
      </c>
      <c r="K362" s="12" t="s">
        <v>1958</v>
      </c>
    </row>
    <row r="363" spans="2:11">
      <c r="B363" s="13" t="s">
        <v>27</v>
      </c>
      <c r="C363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D363" s="25">
        <f>IFERROR(COUNTIFS('Training'!$N$4:$N$100003,"Completed",'Training'!$D$4:$D$100003,mCrit,'Training'!$G$4:$G$100003,"Operations")/COUNTIFS('Training'!$D$4:$D$100003,mCrit,'Training'!$G$4:$G$100003,"Operations")*100,0)</f>
        <v>0</v>
      </c>
      <c r="E363" s="25">
        <f>IFERROR(COUNTIFS('HSE Observations'!$M$4:$M$100003,"Completed",'HSE Observations'!$D$4:$D$100003,mCrit,'HSE Observations'!$G$4:$G$100003,"Operations")/COUNTIFS('HSE Observations'!$D$4:$D$100003,mCrit,'HSE Observations'!$G$4:$G$100003,"Operations")*100,0)</f>
        <v>0</v>
      </c>
      <c r="F363" s="25">
        <f>IFERROR(COUNTIFS('Corrective Actions'!$N$4:$N$100003,"Completed",'Corrective Actions'!$D$4:$D$100003,mCrit,'Corrective Actions'!$F$4:$F$100003,"Operations")/COUNTIFS('Corrective Actions'!$D$4:$D$100003,mCrit,'Corrective Actions'!$F$4:$F$100003,"Operations")*100,0)</f>
        <v>0</v>
      </c>
      <c r="G363" s="22">
        <f>MAX(0,MIN(100,ROUND(AVERAGE(D363,E363,F363)-C363*5,0)))</f>
        <v>0</v>
      </c>
      <c r="H363" s="26">
        <f>G363+ROW()/100000</f>
        <v>0</v>
      </c>
      <c r="J363" s="13">
        <f>INDEX($B$363:$B$372,MATCH(LARGE($H$363:$H$372,1),$H$363:$H$372,0))</f>
        <v>0</v>
      </c>
      <c r="K363" s="22">
        <f>INT(LARGE($H$363:$H$372,1))</f>
        <v>0</v>
      </c>
    </row>
    <row r="364" spans="2:11">
      <c r="B364" s="13" t="s">
        <v>92</v>
      </c>
      <c r="C364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D364" s="25">
        <f>IFERROR(COUNTIFS('Training'!$N$4:$N$100003,"Completed",'Training'!$D$4:$D$100003,mCrit,'Training'!$G$4:$G$100003,"Maintenance")/COUNTIFS('Training'!$D$4:$D$100003,mCrit,'Training'!$G$4:$G$100003,"Maintenance")*100,0)</f>
        <v>0</v>
      </c>
      <c r="E364" s="25">
        <f>IFERROR(COUNTIFS('HSE Observations'!$M$4:$M$100003,"Completed",'HSE Observations'!$D$4:$D$100003,mCrit,'HSE Observations'!$G$4:$G$100003,"Maintenance")/COUNTIFS('HSE Observations'!$D$4:$D$100003,mCrit,'HSE Observations'!$G$4:$G$100003,"Maintenance")*100,0)</f>
        <v>0</v>
      </c>
      <c r="F364" s="25">
        <f>IFERROR(COUNTIFS('Corrective Actions'!$N$4:$N$100003,"Completed",'Corrective Actions'!$D$4:$D$100003,mCrit,'Corrective Actions'!$F$4:$F$100003,"Maintenance")/COUNTIFS('Corrective Actions'!$D$4:$D$100003,mCrit,'Corrective Actions'!$F$4:$F$100003,"Maintenance")*100,0)</f>
        <v>0</v>
      </c>
      <c r="G364" s="22">
        <f>MAX(0,MIN(100,ROUND(AVERAGE(D364,E364,F364)-C364*5,0)))</f>
        <v>0</v>
      </c>
      <c r="H364" s="26">
        <f>G364+ROW()/100000</f>
        <v>0</v>
      </c>
      <c r="J364" s="13">
        <f>INDEX($B$363:$B$372,MATCH(LARGE($H$363:$H$372,2),$H$363:$H$372,0))</f>
        <v>0</v>
      </c>
      <c r="K364" s="22">
        <f>INT(LARGE($H$363:$H$372,2))</f>
        <v>0</v>
      </c>
    </row>
    <row r="365" spans="2:11">
      <c r="B365" s="13" t="s">
        <v>39</v>
      </c>
      <c r="C365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D365" s="25">
        <f>IFERROR(COUNTIFS('Training'!$N$4:$N$100003,"Completed",'Training'!$D$4:$D$100003,mCrit,'Training'!$G$4:$G$100003,"Engineering")/COUNTIFS('Training'!$D$4:$D$100003,mCrit,'Training'!$G$4:$G$100003,"Engineering")*100,0)</f>
        <v>0</v>
      </c>
      <c r="E365" s="25">
        <f>IFERROR(COUNTIFS('HSE Observations'!$M$4:$M$100003,"Completed",'HSE Observations'!$D$4:$D$100003,mCrit,'HSE Observations'!$G$4:$G$100003,"Engineering")/COUNTIFS('HSE Observations'!$D$4:$D$100003,mCrit,'HSE Observations'!$G$4:$G$100003,"Engineering")*100,0)</f>
        <v>0</v>
      </c>
      <c r="F365" s="25">
        <f>IFERROR(COUNTIFS('Corrective Actions'!$N$4:$N$100003,"Completed",'Corrective Actions'!$D$4:$D$100003,mCrit,'Corrective Actions'!$F$4:$F$100003,"Engineering")/COUNTIFS('Corrective Actions'!$D$4:$D$100003,mCrit,'Corrective Actions'!$F$4:$F$100003,"Engineering")*100,0)</f>
        <v>0</v>
      </c>
      <c r="G365" s="22">
        <f>MAX(0,MIN(100,ROUND(AVERAGE(D365,E365,F365)-C365*5,0)))</f>
        <v>0</v>
      </c>
      <c r="H365" s="26">
        <f>G365+ROW()/100000</f>
        <v>0</v>
      </c>
      <c r="J365" s="13">
        <f>INDEX($B$363:$B$372,MATCH(LARGE($H$363:$H$372,3),$H$363:$H$372,0))</f>
        <v>0</v>
      </c>
      <c r="K365" s="22">
        <f>INT(LARGE($H$363:$H$372,3))</f>
        <v>0</v>
      </c>
    </row>
    <row r="366" spans="2:11">
      <c r="B366" s="13" t="s">
        <v>89</v>
      </c>
      <c r="C366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D366" s="25">
        <f>IFERROR(COUNTIFS('Training'!$N$4:$N$100003,"Completed",'Training'!$D$4:$D$100003,mCrit,'Training'!$G$4:$G$100003,"Construction")/COUNTIFS('Training'!$D$4:$D$100003,mCrit,'Training'!$G$4:$G$100003,"Construction")*100,0)</f>
        <v>0</v>
      </c>
      <c r="E366" s="25">
        <f>IFERROR(COUNTIFS('HSE Observations'!$M$4:$M$100003,"Completed",'HSE Observations'!$D$4:$D$100003,mCrit,'HSE Observations'!$G$4:$G$100003,"Construction")/COUNTIFS('HSE Observations'!$D$4:$D$100003,mCrit,'HSE Observations'!$G$4:$G$100003,"Construction")*100,0)</f>
        <v>0</v>
      </c>
      <c r="F366" s="25">
        <f>IFERROR(COUNTIFS('Corrective Actions'!$N$4:$N$100003,"Completed",'Corrective Actions'!$D$4:$D$100003,mCrit,'Corrective Actions'!$F$4:$F$100003,"Construction")/COUNTIFS('Corrective Actions'!$D$4:$D$100003,mCrit,'Corrective Actions'!$F$4:$F$100003,"Construction")*100,0)</f>
        <v>0</v>
      </c>
      <c r="G366" s="22">
        <f>MAX(0,MIN(100,ROUND(AVERAGE(D366,E366,F366)-C366*5,0)))</f>
        <v>0</v>
      </c>
      <c r="H366" s="26">
        <f>G366+ROW()/100000</f>
        <v>0</v>
      </c>
      <c r="J366" s="13">
        <f>INDEX($B$363:$B$372,MATCH(LARGE($H$363:$H$372,4),$H$363:$H$372,0))</f>
        <v>0</v>
      </c>
      <c r="K366" s="22">
        <f>INT(LARGE($H$363:$H$372,4))</f>
        <v>0</v>
      </c>
    </row>
    <row r="367" spans="2:11">
      <c r="B367" s="13" t="s">
        <v>65</v>
      </c>
      <c r="C367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D367" s="25">
        <f>IFERROR(COUNTIFS('Training'!$N$4:$N$100003,"Completed",'Training'!$D$4:$D$100003,mCrit,'Training'!$G$4:$G$100003,"Safety")/COUNTIFS('Training'!$D$4:$D$100003,mCrit,'Training'!$G$4:$G$100003,"Safety")*100,0)</f>
        <v>0</v>
      </c>
      <c r="E367" s="25">
        <f>IFERROR(COUNTIFS('HSE Observations'!$M$4:$M$100003,"Completed",'HSE Observations'!$D$4:$D$100003,mCrit,'HSE Observations'!$G$4:$G$100003,"Safety")/COUNTIFS('HSE Observations'!$D$4:$D$100003,mCrit,'HSE Observations'!$G$4:$G$100003,"Safety")*100,0)</f>
        <v>0</v>
      </c>
      <c r="F367" s="25">
        <f>IFERROR(COUNTIFS('Corrective Actions'!$N$4:$N$100003,"Completed",'Corrective Actions'!$D$4:$D$100003,mCrit,'Corrective Actions'!$F$4:$F$100003,"Safety")/COUNTIFS('Corrective Actions'!$D$4:$D$100003,mCrit,'Corrective Actions'!$F$4:$F$100003,"Safety")*100,0)</f>
        <v>0</v>
      </c>
      <c r="G367" s="22">
        <f>MAX(0,MIN(100,ROUND(AVERAGE(D367,E367,F367)-C367*5,0)))</f>
        <v>0</v>
      </c>
      <c r="H367" s="26">
        <f>G367+ROW()/100000</f>
        <v>0</v>
      </c>
      <c r="J367" s="13">
        <f>INDEX($B$363:$B$372,MATCH(LARGE($H$363:$H$372,5),$H$363:$H$372,0))</f>
        <v>0</v>
      </c>
      <c r="K367" s="22">
        <f>INT(LARGE($H$363:$H$372,5))</f>
        <v>0</v>
      </c>
    </row>
    <row r="368" spans="2:11">
      <c r="B368" s="13" t="s">
        <v>5</v>
      </c>
      <c r="C368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D368" s="25">
        <f>IFERROR(COUNTIFS('Training'!$N$4:$N$100003,"Completed",'Training'!$D$4:$D$100003,mCrit,'Training'!$G$4:$G$100003,"Logistics")/COUNTIFS('Training'!$D$4:$D$100003,mCrit,'Training'!$G$4:$G$100003,"Logistics")*100,0)</f>
        <v>0</v>
      </c>
      <c r="E368" s="25">
        <f>IFERROR(COUNTIFS('HSE Observations'!$M$4:$M$100003,"Completed",'HSE Observations'!$D$4:$D$100003,mCrit,'HSE Observations'!$G$4:$G$100003,"Logistics")/COUNTIFS('HSE Observations'!$D$4:$D$100003,mCrit,'HSE Observations'!$G$4:$G$100003,"Logistics")*100,0)</f>
        <v>0</v>
      </c>
      <c r="F368" s="25">
        <f>IFERROR(COUNTIFS('Corrective Actions'!$N$4:$N$100003,"Completed",'Corrective Actions'!$D$4:$D$100003,mCrit,'Corrective Actions'!$F$4:$F$100003,"Logistics")/COUNTIFS('Corrective Actions'!$D$4:$D$100003,mCrit,'Corrective Actions'!$F$4:$F$100003,"Logistics")*100,0)</f>
        <v>0</v>
      </c>
      <c r="G368" s="22">
        <f>MAX(0,MIN(100,ROUND(AVERAGE(D368,E368,F368)-C368*5,0)))</f>
        <v>0</v>
      </c>
      <c r="H368" s="26">
        <f>G368+ROW()/100000</f>
        <v>0</v>
      </c>
      <c r="J368" s="13">
        <f>INDEX($B$363:$B$372,MATCH(LARGE($H$363:$H$372,6),$H$363:$H$372,0))</f>
        <v>0</v>
      </c>
      <c r="K368" s="22">
        <f>INT(LARGE($H$363:$H$372,6))</f>
        <v>0</v>
      </c>
    </row>
    <row r="369" spans="2:11">
      <c r="B369" s="13" t="s">
        <v>50</v>
      </c>
      <c r="C369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D369" s="25">
        <f>IFERROR(COUNTIFS('Training'!$N$4:$N$100003,"Completed",'Training'!$D$4:$D$100003,mCrit,'Training'!$G$4:$G$100003,"Quality")/COUNTIFS('Training'!$D$4:$D$100003,mCrit,'Training'!$G$4:$G$100003,"Quality")*100,0)</f>
        <v>0</v>
      </c>
      <c r="E369" s="25">
        <f>IFERROR(COUNTIFS('HSE Observations'!$M$4:$M$100003,"Completed",'HSE Observations'!$D$4:$D$100003,mCrit,'HSE Observations'!$G$4:$G$100003,"Quality")/COUNTIFS('HSE Observations'!$D$4:$D$100003,mCrit,'HSE Observations'!$G$4:$G$100003,"Quality")*100,0)</f>
        <v>0</v>
      </c>
      <c r="F369" s="25">
        <f>IFERROR(COUNTIFS('Corrective Actions'!$N$4:$N$100003,"Completed",'Corrective Actions'!$D$4:$D$100003,mCrit,'Corrective Actions'!$F$4:$F$100003,"Quality")/COUNTIFS('Corrective Actions'!$D$4:$D$100003,mCrit,'Corrective Actions'!$F$4:$F$100003,"Quality")*100,0)</f>
        <v>0</v>
      </c>
      <c r="G369" s="22">
        <f>MAX(0,MIN(100,ROUND(AVERAGE(D369,E369,F369)-C369*5,0)))</f>
        <v>0</v>
      </c>
      <c r="H369" s="26">
        <f>G369+ROW()/100000</f>
        <v>0</v>
      </c>
      <c r="J369" s="13">
        <f>INDEX($B$363:$B$372,MATCH(LARGE($H$363:$H$372,7),$H$363:$H$372,0))</f>
        <v>0</v>
      </c>
      <c r="K369" s="22">
        <f>INT(LARGE($H$363:$H$372,7))</f>
        <v>0</v>
      </c>
    </row>
    <row r="370" spans="2:11">
      <c r="B370" s="13" t="s">
        <v>46</v>
      </c>
      <c r="C370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D370" s="25">
        <f>IFERROR(COUNTIFS('Training'!$N$4:$N$100003,"Completed",'Training'!$D$4:$D$100003,mCrit,'Training'!$G$4:$G$100003,"Admin")/COUNTIFS('Training'!$D$4:$D$100003,mCrit,'Training'!$G$4:$G$100003,"Admin")*100,0)</f>
        <v>0</v>
      </c>
      <c r="E370" s="25">
        <f>IFERROR(COUNTIFS('HSE Observations'!$M$4:$M$100003,"Completed",'HSE Observations'!$D$4:$D$100003,mCrit,'HSE Observations'!$G$4:$G$100003,"Admin")/COUNTIFS('HSE Observations'!$D$4:$D$100003,mCrit,'HSE Observations'!$G$4:$G$100003,"Admin")*100,0)</f>
        <v>0</v>
      </c>
      <c r="F370" s="25">
        <f>IFERROR(COUNTIFS('Corrective Actions'!$N$4:$N$100003,"Completed",'Corrective Actions'!$D$4:$D$100003,mCrit,'Corrective Actions'!$F$4:$F$100003,"Admin")/COUNTIFS('Corrective Actions'!$D$4:$D$100003,mCrit,'Corrective Actions'!$F$4:$F$100003,"Admin")*100,0)</f>
        <v>0</v>
      </c>
      <c r="G370" s="22">
        <f>MAX(0,MIN(100,ROUND(AVERAGE(D370,E370,F370)-C370*5,0)))</f>
        <v>0</v>
      </c>
      <c r="H370" s="26">
        <f>G370+ROW()/100000</f>
        <v>0</v>
      </c>
      <c r="J370" s="13">
        <f>INDEX($B$363:$B$372,MATCH(LARGE($H$363:$H$372,8),$H$363:$H$372,0))</f>
        <v>0</v>
      </c>
      <c r="K370" s="22">
        <f>INT(LARGE($H$363:$H$372,8))</f>
        <v>0</v>
      </c>
    </row>
    <row r="371" spans="2:11">
      <c r="B371" s="13" t="s">
        <v>13</v>
      </c>
      <c r="C371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D371" s="25">
        <f>IFERROR(COUNTIFS('Training'!$N$4:$N$100003,"Completed",'Training'!$D$4:$D$100003,mCrit,'Training'!$G$4:$G$100003,"Projects")/COUNTIFS('Training'!$D$4:$D$100003,mCrit,'Training'!$G$4:$G$100003,"Projects")*100,0)</f>
        <v>0</v>
      </c>
      <c r="E371" s="25">
        <f>IFERROR(COUNTIFS('HSE Observations'!$M$4:$M$100003,"Completed",'HSE Observations'!$D$4:$D$100003,mCrit,'HSE Observations'!$G$4:$G$100003,"Projects")/COUNTIFS('HSE Observations'!$D$4:$D$100003,mCrit,'HSE Observations'!$G$4:$G$100003,"Projects")*100,0)</f>
        <v>0</v>
      </c>
      <c r="F371" s="25">
        <f>IFERROR(COUNTIFS('Corrective Actions'!$N$4:$N$100003,"Completed",'Corrective Actions'!$D$4:$D$100003,mCrit,'Corrective Actions'!$F$4:$F$100003,"Projects")/COUNTIFS('Corrective Actions'!$D$4:$D$100003,mCrit,'Corrective Actions'!$F$4:$F$100003,"Projects")*100,0)</f>
        <v>0</v>
      </c>
      <c r="G371" s="22">
        <f>MAX(0,MIN(100,ROUND(AVERAGE(D371,E371,F371)-C371*5,0)))</f>
        <v>0</v>
      </c>
      <c r="H371" s="26">
        <f>G371+ROW()/100000</f>
        <v>0</v>
      </c>
      <c r="J371" s="13">
        <f>INDEX($B$363:$B$372,MATCH(LARGE($H$363:$H$372,9),$H$363:$H$372,0))</f>
        <v>0</v>
      </c>
      <c r="K371" s="22">
        <f>INT(LARGE($H$363:$H$372,9))</f>
        <v>0</v>
      </c>
    </row>
    <row r="372" spans="2:11">
      <c r="B372" s="13" t="s">
        <v>58</v>
      </c>
      <c r="C372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D372" s="25">
        <f>IFERROR(COUNTIFS('Training'!$N$4:$N$100003,"Completed",'Training'!$D$4:$D$100003,mCrit,'Training'!$G$4:$G$100003,"Contractor")/COUNTIFS('Training'!$D$4:$D$100003,mCrit,'Training'!$G$4:$G$100003,"Contractor")*100,0)</f>
        <v>0</v>
      </c>
      <c r="E372" s="25">
        <f>IFERROR(COUNTIFS('HSE Observations'!$M$4:$M$100003,"Completed",'HSE Observations'!$D$4:$D$100003,mCrit,'HSE Observations'!$G$4:$G$100003,"Contractor")/COUNTIFS('HSE Observations'!$D$4:$D$100003,mCrit,'HSE Observations'!$G$4:$G$100003,"Contractor")*100,0)</f>
        <v>0</v>
      </c>
      <c r="F372" s="25">
        <f>IFERROR(COUNTIFS('Corrective Actions'!$N$4:$N$100003,"Completed",'Corrective Actions'!$D$4:$D$100003,mCrit,'Corrective Actions'!$F$4:$F$100003,"Contractor")/COUNTIFS('Corrective Actions'!$D$4:$D$100003,mCrit,'Corrective Actions'!$F$4:$F$100003,"Contractor")*100,0)</f>
        <v>0</v>
      </c>
      <c r="G372" s="22">
        <f>MAX(0,MIN(100,ROUND(AVERAGE(D372,E372,F372)-C372*5,0)))</f>
        <v>0</v>
      </c>
      <c r="H372" s="26">
        <f>G372+ROW()/100000</f>
        <v>0</v>
      </c>
      <c r="J372" s="13">
        <f>INDEX($B$363:$B$372,MATCH(LARGE($H$363:$H$372,10),$H$363:$H$372,0))</f>
        <v>0</v>
      </c>
      <c r="K372" s="22">
        <f>INT(LARGE($H$363:$H$372,10))</f>
        <v>0</v>
      </c>
    </row>
    <row r="374" spans="2:11">
      <c r="B374" s="12" t="s">
        <v>129</v>
      </c>
      <c r="C374" s="12" t="s">
        <v>1887</v>
      </c>
      <c r="D374" s="12" t="s">
        <v>1906</v>
      </c>
      <c r="F374" s="12" t="s">
        <v>1957</v>
      </c>
      <c r="G374" s="12" t="s">
        <v>1923</v>
      </c>
    </row>
    <row r="375" spans="2:11">
      <c r="B375" s="13" t="s">
        <v>27</v>
      </c>
      <c r="C375" s="22">
        <f>COUNTIFS('JSA Risk Assessment'!$J$4:$J$100003,"Critical",'JSA Risk Assessment'!$D$4:$D$100003,mCrit,'JSA Risk Assessment'!$F$4:$F$100003,"Operations")+COUNTIFS('JSA Risk Assessment'!$J$4:$J$100003,"High",'JSA Risk Assessment'!$D$4:$D$100003,mCrit,'JSA Risk Assessment'!$F$4:$F$100003,"Operations")</f>
        <v>0</v>
      </c>
      <c r="D375" s="26">
        <f>C375+ROW()/100000</f>
        <v>0</v>
      </c>
      <c r="F375" s="13">
        <f>INDEX($B$375:$B$384,MATCH(LARGE($D$375:$D$384,1),$D$375:$D$384,0))</f>
        <v>0</v>
      </c>
      <c r="G375" s="22">
        <f>INT(LARGE($D$375:$D$384,1))</f>
        <v>0</v>
      </c>
    </row>
    <row r="376" spans="2:11">
      <c r="B376" s="13" t="s">
        <v>92</v>
      </c>
      <c r="C376" s="22">
        <f>COUNTIFS('JSA Risk Assessment'!$J$4:$J$100003,"Critical",'JSA Risk Assessment'!$D$4:$D$100003,mCrit,'JSA Risk Assessment'!$F$4:$F$100003,"Maintenance")+COUNTIFS('JSA Risk Assessment'!$J$4:$J$100003,"High",'JSA Risk Assessment'!$D$4:$D$100003,mCrit,'JSA Risk Assessment'!$F$4:$F$100003,"Maintenance")</f>
        <v>0</v>
      </c>
      <c r="D376" s="26">
        <f>C376+ROW()/100000</f>
        <v>0</v>
      </c>
      <c r="F376" s="13">
        <f>INDEX($B$375:$B$384,MATCH(LARGE($D$375:$D$384,2),$D$375:$D$384,0))</f>
        <v>0</v>
      </c>
      <c r="G376" s="22">
        <f>INT(LARGE($D$375:$D$384,2))</f>
        <v>0</v>
      </c>
    </row>
    <row r="377" spans="2:11">
      <c r="B377" s="13" t="s">
        <v>39</v>
      </c>
      <c r="C377" s="22">
        <f>COUNTIFS('JSA Risk Assessment'!$J$4:$J$100003,"Critical",'JSA Risk Assessment'!$D$4:$D$100003,mCrit,'JSA Risk Assessment'!$F$4:$F$100003,"Engineering")+COUNTIFS('JSA Risk Assessment'!$J$4:$J$100003,"High",'JSA Risk Assessment'!$D$4:$D$100003,mCrit,'JSA Risk Assessment'!$F$4:$F$100003,"Engineering")</f>
        <v>0</v>
      </c>
      <c r="D377" s="26">
        <f>C377+ROW()/100000</f>
        <v>0</v>
      </c>
      <c r="F377" s="13">
        <f>INDEX($B$375:$B$384,MATCH(LARGE($D$375:$D$384,3),$D$375:$D$384,0))</f>
        <v>0</v>
      </c>
      <c r="G377" s="22">
        <f>INT(LARGE($D$375:$D$384,3))</f>
        <v>0</v>
      </c>
    </row>
    <row r="378" spans="2:11">
      <c r="B378" s="13" t="s">
        <v>89</v>
      </c>
      <c r="C378" s="22">
        <f>COUNTIFS('JSA Risk Assessment'!$J$4:$J$100003,"Critical",'JSA Risk Assessment'!$D$4:$D$100003,mCrit,'JSA Risk Assessment'!$F$4:$F$100003,"Construction")+COUNTIFS('JSA Risk Assessment'!$J$4:$J$100003,"High",'JSA Risk Assessment'!$D$4:$D$100003,mCrit,'JSA Risk Assessment'!$F$4:$F$100003,"Construction")</f>
        <v>0</v>
      </c>
      <c r="D378" s="26">
        <f>C378+ROW()/100000</f>
        <v>0</v>
      </c>
      <c r="F378" s="13">
        <f>INDEX($B$375:$B$384,MATCH(LARGE($D$375:$D$384,4),$D$375:$D$384,0))</f>
        <v>0</v>
      </c>
      <c r="G378" s="22">
        <f>INT(LARGE($D$375:$D$384,4))</f>
        <v>0</v>
      </c>
    </row>
    <row r="379" spans="2:11">
      <c r="B379" s="13" t="s">
        <v>65</v>
      </c>
      <c r="C379" s="22">
        <f>COUNTIFS('JSA Risk Assessment'!$J$4:$J$100003,"Critical",'JSA Risk Assessment'!$D$4:$D$100003,mCrit,'JSA Risk Assessment'!$F$4:$F$100003,"Safety")+COUNTIFS('JSA Risk Assessment'!$J$4:$J$100003,"High",'JSA Risk Assessment'!$D$4:$D$100003,mCrit,'JSA Risk Assessment'!$F$4:$F$100003,"Safety")</f>
        <v>0</v>
      </c>
      <c r="D379" s="26">
        <f>C379+ROW()/100000</f>
        <v>0</v>
      </c>
      <c r="F379" s="13">
        <f>INDEX($B$375:$B$384,MATCH(LARGE($D$375:$D$384,5),$D$375:$D$384,0))</f>
        <v>0</v>
      </c>
      <c r="G379" s="22">
        <f>INT(LARGE($D$375:$D$384,5))</f>
        <v>0</v>
      </c>
    </row>
    <row r="380" spans="2:11">
      <c r="B380" s="13" t="s">
        <v>5</v>
      </c>
      <c r="C380" s="22">
        <f>COUNTIFS('JSA Risk Assessment'!$J$4:$J$100003,"Critical",'JSA Risk Assessment'!$D$4:$D$100003,mCrit,'JSA Risk Assessment'!$F$4:$F$100003,"Logistics")+COUNTIFS('JSA Risk Assessment'!$J$4:$J$100003,"High",'JSA Risk Assessment'!$D$4:$D$100003,mCrit,'JSA Risk Assessment'!$F$4:$F$100003,"Logistics")</f>
        <v>0</v>
      </c>
      <c r="D380" s="26">
        <f>C380+ROW()/100000</f>
        <v>0</v>
      </c>
    </row>
    <row r="381" spans="2:11">
      <c r="B381" s="13" t="s">
        <v>50</v>
      </c>
      <c r="C381" s="22">
        <f>COUNTIFS('JSA Risk Assessment'!$J$4:$J$100003,"Critical",'JSA Risk Assessment'!$D$4:$D$100003,mCrit,'JSA Risk Assessment'!$F$4:$F$100003,"Quality")+COUNTIFS('JSA Risk Assessment'!$J$4:$J$100003,"High",'JSA Risk Assessment'!$D$4:$D$100003,mCrit,'JSA Risk Assessment'!$F$4:$F$100003,"Quality")</f>
        <v>0</v>
      </c>
      <c r="D381" s="26">
        <f>C381+ROW()/100000</f>
        <v>0</v>
      </c>
    </row>
    <row r="382" spans="2:11">
      <c r="B382" s="13" t="s">
        <v>46</v>
      </c>
      <c r="C382" s="22">
        <f>COUNTIFS('JSA Risk Assessment'!$J$4:$J$100003,"Critical",'JSA Risk Assessment'!$D$4:$D$100003,mCrit,'JSA Risk Assessment'!$F$4:$F$100003,"Admin")+COUNTIFS('JSA Risk Assessment'!$J$4:$J$100003,"High",'JSA Risk Assessment'!$D$4:$D$100003,mCrit,'JSA Risk Assessment'!$F$4:$F$100003,"Admin")</f>
        <v>0</v>
      </c>
      <c r="D382" s="26">
        <f>C382+ROW()/100000</f>
        <v>0</v>
      </c>
    </row>
    <row r="383" spans="2:11">
      <c r="B383" s="13" t="s">
        <v>13</v>
      </c>
      <c r="C383" s="22">
        <f>COUNTIFS('JSA Risk Assessment'!$J$4:$J$100003,"Critical",'JSA Risk Assessment'!$D$4:$D$100003,mCrit,'JSA Risk Assessment'!$F$4:$F$100003,"Projects")+COUNTIFS('JSA Risk Assessment'!$J$4:$J$100003,"High",'JSA Risk Assessment'!$D$4:$D$100003,mCrit,'JSA Risk Assessment'!$F$4:$F$100003,"Projects")</f>
        <v>0</v>
      </c>
      <c r="D383" s="26">
        <f>C383+ROW()/100000</f>
        <v>0</v>
      </c>
    </row>
    <row r="384" spans="2:11">
      <c r="B384" s="13" t="s">
        <v>58</v>
      </c>
      <c r="C384" s="22">
        <f>COUNTIFS('JSA Risk Assessment'!$J$4:$J$100003,"Critical",'JSA Risk Assessment'!$D$4:$D$100003,mCrit,'JSA Risk Assessment'!$F$4:$F$100003,"Contractor")+COUNTIFS('JSA Risk Assessment'!$J$4:$J$100003,"High",'JSA Risk Assessment'!$D$4:$D$100003,mCrit,'JSA Risk Assessment'!$F$4:$F$100003,"Contractor")</f>
        <v>0</v>
      </c>
      <c r="D384" s="26">
        <f>C384+ROW()/100000</f>
        <v>0</v>
      </c>
    </row>
    <row r="386" spans="2:7">
      <c r="B386" s="12" t="s">
        <v>129</v>
      </c>
      <c r="C386" s="12" t="s">
        <v>1887</v>
      </c>
      <c r="D386" s="12" t="s">
        <v>1906</v>
      </c>
      <c r="F386" s="12" t="s">
        <v>1957</v>
      </c>
      <c r="G386" s="12" t="s">
        <v>1923</v>
      </c>
    </row>
    <row r="387" spans="2:7">
      <c r="B387" s="13" t="s">
        <v>27</v>
      </c>
      <c r="C387" s="22">
        <f>COUNTIFS('HSE Observations'!$L$4:$L$100003,"Critical",'HSE Observations'!$D$4:$D$100003,mCrit,'HSE Observations'!$G$4:$G$100003,"Operations")+COUNTIFS('HSE Observations'!$L$4:$L$100003,"High",'HSE Observations'!$D$4:$D$100003,mCrit,'HSE Observations'!$G$4:$G$100003,"Operations")</f>
        <v>0</v>
      </c>
      <c r="D387" s="26">
        <f>C387+ROW()/100000</f>
        <v>0</v>
      </c>
      <c r="F387" s="13">
        <f>INDEX($B$387:$B$396,MATCH(LARGE($D$387:$D$396,1),$D$387:$D$396,0))</f>
        <v>0</v>
      </c>
      <c r="G387" s="22">
        <f>INT(LARGE($D$387:$D$396,1))</f>
        <v>0</v>
      </c>
    </row>
    <row r="388" spans="2:7">
      <c r="B388" s="13" t="s">
        <v>92</v>
      </c>
      <c r="C388" s="22">
        <f>COUNTIFS('HSE Observations'!$L$4:$L$100003,"Critical",'HSE Observations'!$D$4:$D$100003,mCrit,'HSE Observations'!$G$4:$G$100003,"Maintenance")+COUNTIFS('HSE Observations'!$L$4:$L$100003,"High",'HSE Observations'!$D$4:$D$100003,mCrit,'HSE Observations'!$G$4:$G$100003,"Maintenance")</f>
        <v>0</v>
      </c>
      <c r="D388" s="26">
        <f>C388+ROW()/100000</f>
        <v>0</v>
      </c>
      <c r="F388" s="13">
        <f>INDEX($B$387:$B$396,MATCH(LARGE($D$387:$D$396,2),$D$387:$D$396,0))</f>
        <v>0</v>
      </c>
      <c r="G388" s="22">
        <f>INT(LARGE($D$387:$D$396,2))</f>
        <v>0</v>
      </c>
    </row>
    <row r="389" spans="2:7">
      <c r="B389" s="13" t="s">
        <v>39</v>
      </c>
      <c r="C389" s="22">
        <f>COUNTIFS('HSE Observations'!$L$4:$L$100003,"Critical",'HSE Observations'!$D$4:$D$100003,mCrit,'HSE Observations'!$G$4:$G$100003,"Engineering")+COUNTIFS('HSE Observations'!$L$4:$L$100003,"High",'HSE Observations'!$D$4:$D$100003,mCrit,'HSE Observations'!$G$4:$G$100003,"Engineering")</f>
        <v>0</v>
      </c>
      <c r="D389" s="26">
        <f>C389+ROW()/100000</f>
        <v>0</v>
      </c>
      <c r="F389" s="13">
        <f>INDEX($B$387:$B$396,MATCH(LARGE($D$387:$D$396,3),$D$387:$D$396,0))</f>
        <v>0</v>
      </c>
      <c r="G389" s="22">
        <f>INT(LARGE($D$387:$D$396,3))</f>
        <v>0</v>
      </c>
    </row>
    <row r="390" spans="2:7">
      <c r="B390" s="13" t="s">
        <v>89</v>
      </c>
      <c r="C390" s="22">
        <f>COUNTIFS('HSE Observations'!$L$4:$L$100003,"Critical",'HSE Observations'!$D$4:$D$100003,mCrit,'HSE Observations'!$G$4:$G$100003,"Construction")+COUNTIFS('HSE Observations'!$L$4:$L$100003,"High",'HSE Observations'!$D$4:$D$100003,mCrit,'HSE Observations'!$G$4:$G$100003,"Construction")</f>
        <v>0</v>
      </c>
      <c r="D390" s="26">
        <f>C390+ROW()/100000</f>
        <v>0</v>
      </c>
      <c r="F390" s="13">
        <f>INDEX($B$387:$B$396,MATCH(LARGE($D$387:$D$396,4),$D$387:$D$396,0))</f>
        <v>0</v>
      </c>
      <c r="G390" s="22">
        <f>INT(LARGE($D$387:$D$396,4))</f>
        <v>0</v>
      </c>
    </row>
    <row r="391" spans="2:7">
      <c r="B391" s="13" t="s">
        <v>65</v>
      </c>
      <c r="C391" s="22">
        <f>COUNTIFS('HSE Observations'!$L$4:$L$100003,"Critical",'HSE Observations'!$D$4:$D$100003,mCrit,'HSE Observations'!$G$4:$G$100003,"Safety")+COUNTIFS('HSE Observations'!$L$4:$L$100003,"High",'HSE Observations'!$D$4:$D$100003,mCrit,'HSE Observations'!$G$4:$G$100003,"Safety")</f>
        <v>0</v>
      </c>
      <c r="D391" s="26">
        <f>C391+ROW()/100000</f>
        <v>0</v>
      </c>
      <c r="F391" s="13">
        <f>INDEX($B$387:$B$396,MATCH(LARGE($D$387:$D$396,5),$D$387:$D$396,0))</f>
        <v>0</v>
      </c>
      <c r="G391" s="22">
        <f>INT(LARGE($D$387:$D$396,5))</f>
        <v>0</v>
      </c>
    </row>
    <row r="392" spans="2:7">
      <c r="B392" s="13" t="s">
        <v>5</v>
      </c>
      <c r="C392" s="22">
        <f>COUNTIFS('HSE Observations'!$L$4:$L$100003,"Critical",'HSE Observations'!$D$4:$D$100003,mCrit,'HSE Observations'!$G$4:$G$100003,"Logistics")+COUNTIFS('HSE Observations'!$L$4:$L$100003,"High",'HSE Observations'!$D$4:$D$100003,mCrit,'HSE Observations'!$G$4:$G$100003,"Logistics")</f>
        <v>0</v>
      </c>
      <c r="D392" s="26">
        <f>C392+ROW()/100000</f>
        <v>0</v>
      </c>
    </row>
    <row r="393" spans="2:7">
      <c r="B393" s="13" t="s">
        <v>50</v>
      </c>
      <c r="C393" s="22">
        <f>COUNTIFS('HSE Observations'!$L$4:$L$100003,"Critical",'HSE Observations'!$D$4:$D$100003,mCrit,'HSE Observations'!$G$4:$G$100003,"Quality")+COUNTIFS('HSE Observations'!$L$4:$L$100003,"High",'HSE Observations'!$D$4:$D$100003,mCrit,'HSE Observations'!$G$4:$G$100003,"Quality")</f>
        <v>0</v>
      </c>
      <c r="D393" s="26">
        <f>C393+ROW()/100000</f>
        <v>0</v>
      </c>
    </row>
    <row r="394" spans="2:7">
      <c r="B394" s="13" t="s">
        <v>46</v>
      </c>
      <c r="C394" s="22">
        <f>COUNTIFS('HSE Observations'!$L$4:$L$100003,"Critical",'HSE Observations'!$D$4:$D$100003,mCrit,'HSE Observations'!$G$4:$G$100003,"Admin")+COUNTIFS('HSE Observations'!$L$4:$L$100003,"High",'HSE Observations'!$D$4:$D$100003,mCrit,'HSE Observations'!$G$4:$G$100003,"Admin")</f>
        <v>0</v>
      </c>
      <c r="D394" s="26">
        <f>C394+ROW()/100000</f>
        <v>0</v>
      </c>
    </row>
    <row r="395" spans="2:7">
      <c r="B395" s="13" t="s">
        <v>13</v>
      </c>
      <c r="C395" s="22">
        <f>COUNTIFS('HSE Observations'!$L$4:$L$100003,"Critical",'HSE Observations'!$D$4:$D$100003,mCrit,'HSE Observations'!$G$4:$G$100003,"Projects")+COUNTIFS('HSE Observations'!$L$4:$L$100003,"High",'HSE Observations'!$D$4:$D$100003,mCrit,'HSE Observations'!$G$4:$G$100003,"Projects")</f>
        <v>0</v>
      </c>
      <c r="D395" s="26">
        <f>C395+ROW()/100000</f>
        <v>0</v>
      </c>
    </row>
    <row r="396" spans="2:7">
      <c r="B396" s="13" t="s">
        <v>58</v>
      </c>
      <c r="C396" s="22">
        <f>COUNTIFS('HSE Observations'!$L$4:$L$100003,"Critical",'HSE Observations'!$D$4:$D$100003,mCrit,'HSE Observations'!$G$4:$G$100003,"Contractor")+COUNTIFS('HSE Observations'!$L$4:$L$100003,"High",'HSE Observations'!$D$4:$D$100003,mCrit,'HSE Observations'!$G$4:$G$100003,"Contractor")</f>
        <v>0</v>
      </c>
      <c r="D396" s="26">
        <f>C396+ROW()/100000</f>
        <v>0</v>
      </c>
    </row>
    <row r="398" spans="2:7">
      <c r="B398" s="12" t="s">
        <v>129</v>
      </c>
      <c r="C398" s="12" t="s">
        <v>1887</v>
      </c>
      <c r="D398" s="12" t="s">
        <v>1906</v>
      </c>
      <c r="F398" s="12" t="s">
        <v>1957</v>
      </c>
      <c r="G398" s="12" t="s">
        <v>1923</v>
      </c>
    </row>
    <row r="399" spans="2:7">
      <c r="B399" s="13" t="s">
        <v>27</v>
      </c>
      <c r="C399" s="22">
        <f>SUMIFS('Workplace Inspections'!$K$4:$K$100003,'Workplace Inspections'!$D$4:$D$100003,mCrit,'Workplace Inspections'!$F$4:$F$100003,"Operations")</f>
        <v>0</v>
      </c>
      <c r="D399" s="26">
        <f>C399+ROW()/100000</f>
        <v>0</v>
      </c>
      <c r="F399" s="13">
        <f>INDEX($B$399:$B$408,MATCH(LARGE($D$399:$D$408,1),$D$399:$D$408,0))</f>
        <v>0</v>
      </c>
      <c r="G399" s="22">
        <f>INT(LARGE($D$399:$D$408,1))</f>
        <v>0</v>
      </c>
    </row>
    <row r="400" spans="2:7">
      <c r="B400" s="13" t="s">
        <v>92</v>
      </c>
      <c r="C400" s="22">
        <f>SUMIFS('Workplace Inspections'!$K$4:$K$100003,'Workplace Inspections'!$D$4:$D$100003,mCrit,'Workplace Inspections'!$F$4:$F$100003,"Maintenance")</f>
        <v>0</v>
      </c>
      <c r="D400" s="26">
        <f>C400+ROW()/100000</f>
        <v>0</v>
      </c>
      <c r="F400" s="13">
        <f>INDEX($B$399:$B$408,MATCH(LARGE($D$399:$D$408,2),$D$399:$D$408,0))</f>
        <v>0</v>
      </c>
      <c r="G400" s="22">
        <f>INT(LARGE($D$399:$D$408,2))</f>
        <v>0</v>
      </c>
    </row>
    <row r="401" spans="2:7">
      <c r="B401" s="13" t="s">
        <v>39</v>
      </c>
      <c r="C401" s="22">
        <f>SUMIFS('Workplace Inspections'!$K$4:$K$100003,'Workplace Inspections'!$D$4:$D$100003,mCrit,'Workplace Inspections'!$F$4:$F$100003,"Engineering")</f>
        <v>0</v>
      </c>
      <c r="D401" s="26">
        <f>C401+ROW()/100000</f>
        <v>0</v>
      </c>
      <c r="F401" s="13">
        <f>INDEX($B$399:$B$408,MATCH(LARGE($D$399:$D$408,3),$D$399:$D$408,0))</f>
        <v>0</v>
      </c>
      <c r="G401" s="22">
        <f>INT(LARGE($D$399:$D$408,3))</f>
        <v>0</v>
      </c>
    </row>
    <row r="402" spans="2:7">
      <c r="B402" s="13" t="s">
        <v>89</v>
      </c>
      <c r="C402" s="22">
        <f>SUMIFS('Workplace Inspections'!$K$4:$K$100003,'Workplace Inspections'!$D$4:$D$100003,mCrit,'Workplace Inspections'!$F$4:$F$100003,"Construction")</f>
        <v>0</v>
      </c>
      <c r="D402" s="26">
        <f>C402+ROW()/100000</f>
        <v>0</v>
      </c>
      <c r="F402" s="13">
        <f>INDEX($B$399:$B$408,MATCH(LARGE($D$399:$D$408,4),$D$399:$D$408,0))</f>
        <v>0</v>
      </c>
      <c r="G402" s="22">
        <f>INT(LARGE($D$399:$D$408,4))</f>
        <v>0</v>
      </c>
    </row>
    <row r="403" spans="2:7">
      <c r="B403" s="13" t="s">
        <v>65</v>
      </c>
      <c r="C403" s="22">
        <f>SUMIFS('Workplace Inspections'!$K$4:$K$100003,'Workplace Inspections'!$D$4:$D$100003,mCrit,'Workplace Inspections'!$F$4:$F$100003,"Safety")</f>
        <v>0</v>
      </c>
      <c r="D403" s="26">
        <f>C403+ROW()/100000</f>
        <v>0</v>
      </c>
      <c r="F403" s="13">
        <f>INDEX($B$399:$B$408,MATCH(LARGE($D$399:$D$408,5),$D$399:$D$408,0))</f>
        <v>0</v>
      </c>
      <c r="G403" s="22">
        <f>INT(LARGE($D$399:$D$408,5))</f>
        <v>0</v>
      </c>
    </row>
    <row r="404" spans="2:7">
      <c r="B404" s="13" t="s">
        <v>5</v>
      </c>
      <c r="C404" s="22">
        <f>SUMIFS('Workplace Inspections'!$K$4:$K$100003,'Workplace Inspections'!$D$4:$D$100003,mCrit,'Workplace Inspections'!$F$4:$F$100003,"Logistics")</f>
        <v>0</v>
      </c>
      <c r="D404" s="26">
        <f>C404+ROW()/100000</f>
        <v>0</v>
      </c>
    </row>
    <row r="405" spans="2:7">
      <c r="B405" s="13" t="s">
        <v>50</v>
      </c>
      <c r="C405" s="22">
        <f>SUMIFS('Workplace Inspections'!$K$4:$K$100003,'Workplace Inspections'!$D$4:$D$100003,mCrit,'Workplace Inspections'!$F$4:$F$100003,"Quality")</f>
        <v>0</v>
      </c>
      <c r="D405" s="26">
        <f>C405+ROW()/100000</f>
        <v>0</v>
      </c>
    </row>
    <row r="406" spans="2:7">
      <c r="B406" s="13" t="s">
        <v>46</v>
      </c>
      <c r="C406" s="22">
        <f>SUMIFS('Workplace Inspections'!$K$4:$K$100003,'Workplace Inspections'!$D$4:$D$100003,mCrit,'Workplace Inspections'!$F$4:$F$100003,"Admin")</f>
        <v>0</v>
      </c>
      <c r="D406" s="26">
        <f>C406+ROW()/100000</f>
        <v>0</v>
      </c>
    </row>
    <row r="407" spans="2:7">
      <c r="B407" s="13" t="s">
        <v>13</v>
      </c>
      <c r="C407" s="22">
        <f>SUMIFS('Workplace Inspections'!$K$4:$K$100003,'Workplace Inspections'!$D$4:$D$100003,mCrit,'Workplace Inspections'!$F$4:$F$100003,"Projects")</f>
        <v>0</v>
      </c>
      <c r="D407" s="26">
        <f>C407+ROW()/100000</f>
        <v>0</v>
      </c>
    </row>
    <row r="408" spans="2:7">
      <c r="B408" s="13" t="s">
        <v>58</v>
      </c>
      <c r="C408" s="22">
        <f>SUMIFS('Workplace Inspections'!$K$4:$K$100003,'Workplace Inspections'!$D$4:$D$100003,mCrit,'Workplace Inspections'!$F$4:$F$100003,"Contractor")</f>
        <v>0</v>
      </c>
      <c r="D408" s="26">
        <f>C408+ROW()/100000</f>
        <v>0</v>
      </c>
    </row>
    <row r="410" spans="2:7">
      <c r="B410" s="12" t="s">
        <v>129</v>
      </c>
      <c r="C410" s="12" t="s">
        <v>1887</v>
      </c>
      <c r="D410" s="12" t="s">
        <v>1906</v>
      </c>
      <c r="F410" s="12" t="s">
        <v>1957</v>
      </c>
      <c r="G410" s="12" t="s">
        <v>1923</v>
      </c>
    </row>
    <row r="411" spans="2:7">
      <c r="B411" s="13" t="s">
        <v>27</v>
      </c>
      <c r="C411" s="22">
        <f>SUMIFS('Equipment Inspections'!$K$4:$K$100003,'Equipment Inspections'!$D$4:$D$100003,mCrit,'Equipment Inspections'!$F$4:$F$100003,"Operations")</f>
        <v>0</v>
      </c>
      <c r="D411" s="26">
        <f>C411+ROW()/100000</f>
        <v>0</v>
      </c>
      <c r="F411" s="13">
        <f>INDEX($B$411:$B$420,MATCH(LARGE($D$411:$D$420,1),$D$411:$D$420,0))</f>
        <v>0</v>
      </c>
      <c r="G411" s="22">
        <f>INT(LARGE($D$411:$D$420,1))</f>
        <v>0</v>
      </c>
    </row>
    <row r="412" spans="2:7">
      <c r="B412" s="13" t="s">
        <v>92</v>
      </c>
      <c r="C412" s="22">
        <f>SUMIFS('Equipment Inspections'!$K$4:$K$100003,'Equipment Inspections'!$D$4:$D$100003,mCrit,'Equipment Inspections'!$F$4:$F$100003,"Maintenance")</f>
        <v>0</v>
      </c>
      <c r="D412" s="26">
        <f>C412+ROW()/100000</f>
        <v>0</v>
      </c>
      <c r="F412" s="13">
        <f>INDEX($B$411:$B$420,MATCH(LARGE($D$411:$D$420,2),$D$411:$D$420,0))</f>
        <v>0</v>
      </c>
      <c r="G412" s="22">
        <f>INT(LARGE($D$411:$D$420,2))</f>
        <v>0</v>
      </c>
    </row>
    <row r="413" spans="2:7">
      <c r="B413" s="13" t="s">
        <v>39</v>
      </c>
      <c r="C413" s="22">
        <f>SUMIFS('Equipment Inspections'!$K$4:$K$100003,'Equipment Inspections'!$D$4:$D$100003,mCrit,'Equipment Inspections'!$F$4:$F$100003,"Engineering")</f>
        <v>0</v>
      </c>
      <c r="D413" s="26">
        <f>C413+ROW()/100000</f>
        <v>0</v>
      </c>
      <c r="F413" s="13">
        <f>INDEX($B$411:$B$420,MATCH(LARGE($D$411:$D$420,3),$D$411:$D$420,0))</f>
        <v>0</v>
      </c>
      <c r="G413" s="22">
        <f>INT(LARGE($D$411:$D$420,3))</f>
        <v>0</v>
      </c>
    </row>
    <row r="414" spans="2:7">
      <c r="B414" s="13" t="s">
        <v>89</v>
      </c>
      <c r="C414" s="22">
        <f>SUMIFS('Equipment Inspections'!$K$4:$K$100003,'Equipment Inspections'!$D$4:$D$100003,mCrit,'Equipment Inspections'!$F$4:$F$100003,"Construction")</f>
        <v>0</v>
      </c>
      <c r="D414" s="26">
        <f>C414+ROW()/100000</f>
        <v>0</v>
      </c>
      <c r="F414" s="13">
        <f>INDEX($B$411:$B$420,MATCH(LARGE($D$411:$D$420,4),$D$411:$D$420,0))</f>
        <v>0</v>
      </c>
      <c r="G414" s="22">
        <f>INT(LARGE($D$411:$D$420,4))</f>
        <v>0</v>
      </c>
    </row>
    <row r="415" spans="2:7">
      <c r="B415" s="13" t="s">
        <v>65</v>
      </c>
      <c r="C415" s="22">
        <f>SUMIFS('Equipment Inspections'!$K$4:$K$100003,'Equipment Inspections'!$D$4:$D$100003,mCrit,'Equipment Inspections'!$F$4:$F$100003,"Safety")</f>
        <v>0</v>
      </c>
      <c r="D415" s="26">
        <f>C415+ROW()/100000</f>
        <v>0</v>
      </c>
      <c r="F415" s="13">
        <f>INDEX($B$411:$B$420,MATCH(LARGE($D$411:$D$420,5),$D$411:$D$420,0))</f>
        <v>0</v>
      </c>
      <c r="G415" s="22">
        <f>INT(LARGE($D$411:$D$420,5))</f>
        <v>0</v>
      </c>
    </row>
    <row r="416" spans="2:7">
      <c r="B416" s="13" t="s">
        <v>5</v>
      </c>
      <c r="C416" s="22">
        <f>SUMIFS('Equipment Inspections'!$K$4:$K$100003,'Equipment Inspections'!$D$4:$D$100003,mCrit,'Equipment Inspections'!$F$4:$F$100003,"Logistics")</f>
        <v>0</v>
      </c>
      <c r="D416" s="26">
        <f>C416+ROW()/100000</f>
        <v>0</v>
      </c>
    </row>
    <row r="417" spans="2:7">
      <c r="B417" s="13" t="s">
        <v>50</v>
      </c>
      <c r="C417" s="22">
        <f>SUMIFS('Equipment Inspections'!$K$4:$K$100003,'Equipment Inspections'!$D$4:$D$100003,mCrit,'Equipment Inspections'!$F$4:$F$100003,"Quality")</f>
        <v>0</v>
      </c>
      <c r="D417" s="26">
        <f>C417+ROW()/100000</f>
        <v>0</v>
      </c>
    </row>
    <row r="418" spans="2:7">
      <c r="B418" s="13" t="s">
        <v>46</v>
      </c>
      <c r="C418" s="22">
        <f>SUMIFS('Equipment Inspections'!$K$4:$K$100003,'Equipment Inspections'!$D$4:$D$100003,mCrit,'Equipment Inspections'!$F$4:$F$100003,"Admin")</f>
        <v>0</v>
      </c>
      <c r="D418" s="26">
        <f>C418+ROW()/100000</f>
        <v>0</v>
      </c>
    </row>
    <row r="419" spans="2:7">
      <c r="B419" s="13" t="s">
        <v>13</v>
      </c>
      <c r="C419" s="22">
        <f>SUMIFS('Equipment Inspections'!$K$4:$K$100003,'Equipment Inspections'!$D$4:$D$100003,mCrit,'Equipment Inspections'!$F$4:$F$100003,"Projects")</f>
        <v>0</v>
      </c>
      <c r="D419" s="26">
        <f>C419+ROW()/100000</f>
        <v>0</v>
      </c>
    </row>
    <row r="420" spans="2:7">
      <c r="B420" s="13" t="s">
        <v>58</v>
      </c>
      <c r="C420" s="22">
        <f>SUMIFS('Equipment Inspections'!$K$4:$K$100003,'Equipment Inspections'!$D$4:$D$100003,mCrit,'Equipment Inspections'!$F$4:$F$100003,"Contractor")</f>
        <v>0</v>
      </c>
      <c r="D420" s="26">
        <f>C420+ROW()/100000</f>
        <v>0</v>
      </c>
    </row>
    <row r="422" spans="2:7">
      <c r="B422" s="12" t="s">
        <v>129</v>
      </c>
      <c r="C422" s="12" t="s">
        <v>1887</v>
      </c>
      <c r="D422" s="12" t="s">
        <v>1906</v>
      </c>
      <c r="F422" s="12" t="s">
        <v>1957</v>
      </c>
      <c r="G422" s="12" t="s">
        <v>1923</v>
      </c>
    </row>
    <row r="423" spans="2:7">
      <c r="B423" s="13" t="s">
        <v>27</v>
      </c>
      <c r="C423" s="22">
        <f>SUMIFS('Safety Walkthroughs'!$K$4:$K$100003,'Safety Walkthroughs'!$D$4:$D$100003,mCrit,'Safety Walkthroughs'!$F$4:$F$100003,"Operations")</f>
        <v>0</v>
      </c>
      <c r="D423" s="26">
        <f>C423+ROW()/100000</f>
        <v>0</v>
      </c>
      <c r="F423" s="13">
        <f>INDEX($B$423:$B$432,MATCH(LARGE($D$423:$D$432,1),$D$423:$D$432,0))</f>
        <v>0</v>
      </c>
      <c r="G423" s="22">
        <f>INT(LARGE($D$423:$D$432,1))</f>
        <v>0</v>
      </c>
    </row>
    <row r="424" spans="2:7">
      <c r="B424" s="13" t="s">
        <v>92</v>
      </c>
      <c r="C424" s="22">
        <f>SUMIFS('Safety Walkthroughs'!$K$4:$K$100003,'Safety Walkthroughs'!$D$4:$D$100003,mCrit,'Safety Walkthroughs'!$F$4:$F$100003,"Maintenance")</f>
        <v>0</v>
      </c>
      <c r="D424" s="26">
        <f>C424+ROW()/100000</f>
        <v>0</v>
      </c>
      <c r="F424" s="13">
        <f>INDEX($B$423:$B$432,MATCH(LARGE($D$423:$D$432,2),$D$423:$D$432,0))</f>
        <v>0</v>
      </c>
      <c r="G424" s="22">
        <f>INT(LARGE($D$423:$D$432,2))</f>
        <v>0</v>
      </c>
    </row>
    <row r="425" spans="2:7">
      <c r="B425" s="13" t="s">
        <v>39</v>
      </c>
      <c r="C425" s="22">
        <f>SUMIFS('Safety Walkthroughs'!$K$4:$K$100003,'Safety Walkthroughs'!$D$4:$D$100003,mCrit,'Safety Walkthroughs'!$F$4:$F$100003,"Engineering")</f>
        <v>0</v>
      </c>
      <c r="D425" s="26">
        <f>C425+ROW()/100000</f>
        <v>0</v>
      </c>
      <c r="F425" s="13">
        <f>INDEX($B$423:$B$432,MATCH(LARGE($D$423:$D$432,3),$D$423:$D$432,0))</f>
        <v>0</v>
      </c>
      <c r="G425" s="22">
        <f>INT(LARGE($D$423:$D$432,3))</f>
        <v>0</v>
      </c>
    </row>
    <row r="426" spans="2:7">
      <c r="B426" s="13" t="s">
        <v>89</v>
      </c>
      <c r="C426" s="22">
        <f>SUMIFS('Safety Walkthroughs'!$K$4:$K$100003,'Safety Walkthroughs'!$D$4:$D$100003,mCrit,'Safety Walkthroughs'!$F$4:$F$100003,"Construction")</f>
        <v>0</v>
      </c>
      <c r="D426" s="26">
        <f>C426+ROW()/100000</f>
        <v>0</v>
      </c>
      <c r="F426" s="13">
        <f>INDEX($B$423:$B$432,MATCH(LARGE($D$423:$D$432,4),$D$423:$D$432,0))</f>
        <v>0</v>
      </c>
      <c r="G426" s="22">
        <f>INT(LARGE($D$423:$D$432,4))</f>
        <v>0</v>
      </c>
    </row>
    <row r="427" spans="2:7">
      <c r="B427" s="13" t="s">
        <v>65</v>
      </c>
      <c r="C427" s="22">
        <f>SUMIFS('Safety Walkthroughs'!$K$4:$K$100003,'Safety Walkthroughs'!$D$4:$D$100003,mCrit,'Safety Walkthroughs'!$F$4:$F$100003,"Safety")</f>
        <v>0</v>
      </c>
      <c r="D427" s="26">
        <f>C427+ROW()/100000</f>
        <v>0</v>
      </c>
      <c r="F427" s="13">
        <f>INDEX($B$423:$B$432,MATCH(LARGE($D$423:$D$432,5),$D$423:$D$432,0))</f>
        <v>0</v>
      </c>
      <c r="G427" s="22">
        <f>INT(LARGE($D$423:$D$432,5))</f>
        <v>0</v>
      </c>
    </row>
    <row r="428" spans="2:7">
      <c r="B428" s="13" t="s">
        <v>5</v>
      </c>
      <c r="C428" s="22">
        <f>SUMIFS('Safety Walkthroughs'!$K$4:$K$100003,'Safety Walkthroughs'!$D$4:$D$100003,mCrit,'Safety Walkthroughs'!$F$4:$F$100003,"Logistics")</f>
        <v>0</v>
      </c>
      <c r="D428" s="26">
        <f>C428+ROW()/100000</f>
        <v>0</v>
      </c>
    </row>
    <row r="429" spans="2:7">
      <c r="B429" s="13" t="s">
        <v>50</v>
      </c>
      <c r="C429" s="22">
        <f>SUMIFS('Safety Walkthroughs'!$K$4:$K$100003,'Safety Walkthroughs'!$D$4:$D$100003,mCrit,'Safety Walkthroughs'!$F$4:$F$100003,"Quality")</f>
        <v>0</v>
      </c>
      <c r="D429" s="26">
        <f>C429+ROW()/100000</f>
        <v>0</v>
      </c>
    </row>
    <row r="430" spans="2:7">
      <c r="B430" s="13" t="s">
        <v>46</v>
      </c>
      <c r="C430" s="22">
        <f>SUMIFS('Safety Walkthroughs'!$K$4:$K$100003,'Safety Walkthroughs'!$D$4:$D$100003,mCrit,'Safety Walkthroughs'!$F$4:$F$100003,"Admin")</f>
        <v>0</v>
      </c>
      <c r="D430" s="26">
        <f>C430+ROW()/100000</f>
        <v>0</v>
      </c>
    </row>
    <row r="431" spans="2:7">
      <c r="B431" s="13" t="s">
        <v>13</v>
      </c>
      <c r="C431" s="22">
        <f>SUMIFS('Safety Walkthroughs'!$K$4:$K$100003,'Safety Walkthroughs'!$D$4:$D$100003,mCrit,'Safety Walkthroughs'!$F$4:$F$100003,"Projects")</f>
        <v>0</v>
      </c>
      <c r="D431" s="26">
        <f>C431+ROW()/100000</f>
        <v>0</v>
      </c>
    </row>
    <row r="432" spans="2:7">
      <c r="B432" s="13" t="s">
        <v>58</v>
      </c>
      <c r="C432" s="22">
        <f>SUMIFS('Safety Walkthroughs'!$K$4:$K$100003,'Safety Walkthroughs'!$D$4:$D$100003,mCrit,'Safety Walkthroughs'!$F$4:$F$100003,"Contractor")</f>
        <v>0</v>
      </c>
      <c r="D432" s="26">
        <f>C432+ROW()/100000</f>
        <v>0</v>
      </c>
    </row>
    <row r="434" spans="2:7">
      <c r="B434" s="12" t="s">
        <v>129</v>
      </c>
      <c r="C434" s="12" t="s">
        <v>1887</v>
      </c>
      <c r="D434" s="12" t="s">
        <v>1906</v>
      </c>
      <c r="F434" s="12" t="s">
        <v>1957</v>
      </c>
      <c r="G434" s="12" t="s">
        <v>1923</v>
      </c>
    </row>
    <row r="435" spans="2:7">
      <c r="B435" s="13" t="s">
        <v>27</v>
      </c>
      <c r="C435" s="22">
        <f>COUNTIFS('Unsafe Acts'!$I$4:$I$100003,"Critical",'Unsafe Acts'!$D$4:$D$100003,mCrit,'Unsafe Acts'!$F$4:$F$100003,"Operations")+COUNTIFS('Unsafe Acts'!$I$4:$I$100003,"High",'Unsafe Acts'!$D$4:$D$100003,mCrit,'Unsafe Acts'!$F$4:$F$100003,"Operations")</f>
        <v>0</v>
      </c>
      <c r="D435" s="26">
        <f>C435+ROW()/100000</f>
        <v>0</v>
      </c>
      <c r="F435" s="13">
        <f>INDEX($B$435:$B$444,MATCH(LARGE($D$435:$D$444,1),$D$435:$D$444,0))</f>
        <v>0</v>
      </c>
      <c r="G435" s="22">
        <f>INT(LARGE($D$435:$D$444,1))</f>
        <v>0</v>
      </c>
    </row>
    <row r="436" spans="2:7">
      <c r="B436" s="13" t="s">
        <v>92</v>
      </c>
      <c r="C436" s="22">
        <f>COUNTIFS('Unsafe Acts'!$I$4:$I$100003,"Critical",'Unsafe Acts'!$D$4:$D$100003,mCrit,'Unsafe Acts'!$F$4:$F$100003,"Maintenance")+COUNTIFS('Unsafe Acts'!$I$4:$I$100003,"High",'Unsafe Acts'!$D$4:$D$100003,mCrit,'Unsafe Acts'!$F$4:$F$100003,"Maintenance")</f>
        <v>0</v>
      </c>
      <c r="D436" s="26">
        <f>C436+ROW()/100000</f>
        <v>0</v>
      </c>
      <c r="F436" s="13">
        <f>INDEX($B$435:$B$444,MATCH(LARGE($D$435:$D$444,2),$D$435:$D$444,0))</f>
        <v>0</v>
      </c>
      <c r="G436" s="22">
        <f>INT(LARGE($D$435:$D$444,2))</f>
        <v>0</v>
      </c>
    </row>
    <row r="437" spans="2:7">
      <c r="B437" s="13" t="s">
        <v>39</v>
      </c>
      <c r="C437" s="22">
        <f>COUNTIFS('Unsafe Acts'!$I$4:$I$100003,"Critical",'Unsafe Acts'!$D$4:$D$100003,mCrit,'Unsafe Acts'!$F$4:$F$100003,"Engineering")+COUNTIFS('Unsafe Acts'!$I$4:$I$100003,"High",'Unsafe Acts'!$D$4:$D$100003,mCrit,'Unsafe Acts'!$F$4:$F$100003,"Engineering")</f>
        <v>0</v>
      </c>
      <c r="D437" s="26">
        <f>C437+ROW()/100000</f>
        <v>0</v>
      </c>
      <c r="F437" s="13">
        <f>INDEX($B$435:$B$444,MATCH(LARGE($D$435:$D$444,3),$D$435:$D$444,0))</f>
        <v>0</v>
      </c>
      <c r="G437" s="22">
        <f>INT(LARGE($D$435:$D$444,3))</f>
        <v>0</v>
      </c>
    </row>
    <row r="438" spans="2:7">
      <c r="B438" s="13" t="s">
        <v>89</v>
      </c>
      <c r="C438" s="22">
        <f>COUNTIFS('Unsafe Acts'!$I$4:$I$100003,"Critical",'Unsafe Acts'!$D$4:$D$100003,mCrit,'Unsafe Acts'!$F$4:$F$100003,"Construction")+COUNTIFS('Unsafe Acts'!$I$4:$I$100003,"High",'Unsafe Acts'!$D$4:$D$100003,mCrit,'Unsafe Acts'!$F$4:$F$100003,"Construction")</f>
        <v>0</v>
      </c>
      <c r="D438" s="26">
        <f>C438+ROW()/100000</f>
        <v>0</v>
      </c>
      <c r="F438" s="13">
        <f>INDEX($B$435:$B$444,MATCH(LARGE($D$435:$D$444,4),$D$435:$D$444,0))</f>
        <v>0</v>
      </c>
      <c r="G438" s="22">
        <f>INT(LARGE($D$435:$D$444,4))</f>
        <v>0</v>
      </c>
    </row>
    <row r="439" spans="2:7">
      <c r="B439" s="13" t="s">
        <v>65</v>
      </c>
      <c r="C439" s="22">
        <f>COUNTIFS('Unsafe Acts'!$I$4:$I$100003,"Critical",'Unsafe Acts'!$D$4:$D$100003,mCrit,'Unsafe Acts'!$F$4:$F$100003,"Safety")+COUNTIFS('Unsafe Acts'!$I$4:$I$100003,"High",'Unsafe Acts'!$D$4:$D$100003,mCrit,'Unsafe Acts'!$F$4:$F$100003,"Safety")</f>
        <v>0</v>
      </c>
      <c r="D439" s="26">
        <f>C439+ROW()/100000</f>
        <v>0</v>
      </c>
      <c r="F439" s="13">
        <f>INDEX($B$435:$B$444,MATCH(LARGE($D$435:$D$444,5),$D$435:$D$444,0))</f>
        <v>0</v>
      </c>
      <c r="G439" s="22">
        <f>INT(LARGE($D$435:$D$444,5))</f>
        <v>0</v>
      </c>
    </row>
    <row r="440" spans="2:7">
      <c r="B440" s="13" t="s">
        <v>5</v>
      </c>
      <c r="C440" s="22">
        <f>COUNTIFS('Unsafe Acts'!$I$4:$I$100003,"Critical",'Unsafe Acts'!$D$4:$D$100003,mCrit,'Unsafe Acts'!$F$4:$F$100003,"Logistics")+COUNTIFS('Unsafe Acts'!$I$4:$I$100003,"High",'Unsafe Acts'!$D$4:$D$100003,mCrit,'Unsafe Acts'!$F$4:$F$100003,"Logistics")</f>
        <v>0</v>
      </c>
      <c r="D440" s="26">
        <f>C440+ROW()/100000</f>
        <v>0</v>
      </c>
    </row>
    <row r="441" spans="2:7">
      <c r="B441" s="13" t="s">
        <v>50</v>
      </c>
      <c r="C441" s="22">
        <f>COUNTIFS('Unsafe Acts'!$I$4:$I$100003,"Critical",'Unsafe Acts'!$D$4:$D$100003,mCrit,'Unsafe Acts'!$F$4:$F$100003,"Quality")+COUNTIFS('Unsafe Acts'!$I$4:$I$100003,"High",'Unsafe Acts'!$D$4:$D$100003,mCrit,'Unsafe Acts'!$F$4:$F$100003,"Quality")</f>
        <v>0</v>
      </c>
      <c r="D441" s="26">
        <f>C441+ROW()/100000</f>
        <v>0</v>
      </c>
    </row>
    <row r="442" spans="2:7">
      <c r="B442" s="13" t="s">
        <v>46</v>
      </c>
      <c r="C442" s="22">
        <f>COUNTIFS('Unsafe Acts'!$I$4:$I$100003,"Critical",'Unsafe Acts'!$D$4:$D$100003,mCrit,'Unsafe Acts'!$F$4:$F$100003,"Admin")+COUNTIFS('Unsafe Acts'!$I$4:$I$100003,"High",'Unsafe Acts'!$D$4:$D$100003,mCrit,'Unsafe Acts'!$F$4:$F$100003,"Admin")</f>
        <v>0</v>
      </c>
      <c r="D442" s="26">
        <f>C442+ROW()/100000</f>
        <v>0</v>
      </c>
    </row>
    <row r="443" spans="2:7">
      <c r="B443" s="13" t="s">
        <v>13</v>
      </c>
      <c r="C443" s="22">
        <f>COUNTIFS('Unsafe Acts'!$I$4:$I$100003,"Critical",'Unsafe Acts'!$D$4:$D$100003,mCrit,'Unsafe Acts'!$F$4:$F$100003,"Projects")+COUNTIFS('Unsafe Acts'!$I$4:$I$100003,"High",'Unsafe Acts'!$D$4:$D$100003,mCrit,'Unsafe Acts'!$F$4:$F$100003,"Projects")</f>
        <v>0</v>
      </c>
      <c r="D443" s="26">
        <f>C443+ROW()/100000</f>
        <v>0</v>
      </c>
    </row>
    <row r="444" spans="2:7">
      <c r="B444" s="13" t="s">
        <v>58</v>
      </c>
      <c r="C444" s="22">
        <f>COUNTIFS('Unsafe Acts'!$I$4:$I$100003,"Critical",'Unsafe Acts'!$D$4:$D$100003,mCrit,'Unsafe Acts'!$F$4:$F$100003,"Contractor")+COUNTIFS('Unsafe Acts'!$I$4:$I$100003,"High",'Unsafe Acts'!$D$4:$D$100003,mCrit,'Unsafe Acts'!$F$4:$F$100003,"Contractor")</f>
        <v>0</v>
      </c>
      <c r="D444" s="26">
        <f>C444+ROW()/100000</f>
        <v>0</v>
      </c>
    </row>
    <row r="446" spans="2:7">
      <c r="B446" s="12" t="s">
        <v>129</v>
      </c>
      <c r="C446" s="12" t="s">
        <v>1887</v>
      </c>
      <c r="D446" s="12" t="s">
        <v>1906</v>
      </c>
      <c r="F446" s="12" t="s">
        <v>1957</v>
      </c>
      <c r="G446" s="12" t="s">
        <v>1923</v>
      </c>
    </row>
    <row r="447" spans="2:7">
      <c r="B447" s="13" t="s">
        <v>27</v>
      </c>
      <c r="C447" s="22">
        <f>COUNTIFS('Unsafe Conditions'!$I$4:$I$100003,"Critical",'Unsafe Conditions'!$D$4:$D$100003,mCrit,'Unsafe Conditions'!$F$4:$F$100003,"Operations")+COUNTIFS('Unsafe Conditions'!$I$4:$I$100003,"High",'Unsafe Conditions'!$D$4:$D$100003,mCrit,'Unsafe Conditions'!$F$4:$F$100003,"Operations")</f>
        <v>0</v>
      </c>
      <c r="D447" s="26">
        <f>C447+ROW()/100000</f>
        <v>0</v>
      </c>
      <c r="F447" s="13">
        <f>INDEX($B$447:$B$456,MATCH(LARGE($D$447:$D$456,1),$D$447:$D$456,0))</f>
        <v>0</v>
      </c>
      <c r="G447" s="22">
        <f>INT(LARGE($D$447:$D$456,1))</f>
        <v>0</v>
      </c>
    </row>
    <row r="448" spans="2:7">
      <c r="B448" s="13" t="s">
        <v>92</v>
      </c>
      <c r="C448" s="22">
        <f>COUNTIFS('Unsafe Conditions'!$I$4:$I$100003,"Critical",'Unsafe Conditions'!$D$4:$D$100003,mCrit,'Unsafe Conditions'!$F$4:$F$100003,"Maintenance")+COUNTIFS('Unsafe Conditions'!$I$4:$I$100003,"High",'Unsafe Conditions'!$D$4:$D$100003,mCrit,'Unsafe Conditions'!$F$4:$F$100003,"Maintenance")</f>
        <v>0</v>
      </c>
      <c r="D448" s="26">
        <f>C448+ROW()/100000</f>
        <v>0</v>
      </c>
      <c r="F448" s="13">
        <f>INDEX($B$447:$B$456,MATCH(LARGE($D$447:$D$456,2),$D$447:$D$456,0))</f>
        <v>0</v>
      </c>
      <c r="G448" s="22">
        <f>INT(LARGE($D$447:$D$456,2))</f>
        <v>0</v>
      </c>
    </row>
    <row r="449" spans="2:7">
      <c r="B449" s="13" t="s">
        <v>39</v>
      </c>
      <c r="C449" s="22">
        <f>COUNTIFS('Unsafe Conditions'!$I$4:$I$100003,"Critical",'Unsafe Conditions'!$D$4:$D$100003,mCrit,'Unsafe Conditions'!$F$4:$F$100003,"Engineering")+COUNTIFS('Unsafe Conditions'!$I$4:$I$100003,"High",'Unsafe Conditions'!$D$4:$D$100003,mCrit,'Unsafe Conditions'!$F$4:$F$100003,"Engineering")</f>
        <v>0</v>
      </c>
      <c r="D449" s="26">
        <f>C449+ROW()/100000</f>
        <v>0</v>
      </c>
      <c r="F449" s="13">
        <f>INDEX($B$447:$B$456,MATCH(LARGE($D$447:$D$456,3),$D$447:$D$456,0))</f>
        <v>0</v>
      </c>
      <c r="G449" s="22">
        <f>INT(LARGE($D$447:$D$456,3))</f>
        <v>0</v>
      </c>
    </row>
    <row r="450" spans="2:7">
      <c r="B450" s="13" t="s">
        <v>89</v>
      </c>
      <c r="C450" s="22">
        <f>COUNTIFS('Unsafe Conditions'!$I$4:$I$100003,"Critical",'Unsafe Conditions'!$D$4:$D$100003,mCrit,'Unsafe Conditions'!$F$4:$F$100003,"Construction")+COUNTIFS('Unsafe Conditions'!$I$4:$I$100003,"High",'Unsafe Conditions'!$D$4:$D$100003,mCrit,'Unsafe Conditions'!$F$4:$F$100003,"Construction")</f>
        <v>0</v>
      </c>
      <c r="D450" s="26">
        <f>C450+ROW()/100000</f>
        <v>0</v>
      </c>
      <c r="F450" s="13">
        <f>INDEX($B$447:$B$456,MATCH(LARGE($D$447:$D$456,4),$D$447:$D$456,0))</f>
        <v>0</v>
      </c>
      <c r="G450" s="22">
        <f>INT(LARGE($D$447:$D$456,4))</f>
        <v>0</v>
      </c>
    </row>
    <row r="451" spans="2:7">
      <c r="B451" s="13" t="s">
        <v>65</v>
      </c>
      <c r="C451" s="22">
        <f>COUNTIFS('Unsafe Conditions'!$I$4:$I$100003,"Critical",'Unsafe Conditions'!$D$4:$D$100003,mCrit,'Unsafe Conditions'!$F$4:$F$100003,"Safety")+COUNTIFS('Unsafe Conditions'!$I$4:$I$100003,"High",'Unsafe Conditions'!$D$4:$D$100003,mCrit,'Unsafe Conditions'!$F$4:$F$100003,"Safety")</f>
        <v>0</v>
      </c>
      <c r="D451" s="26">
        <f>C451+ROW()/100000</f>
        <v>0</v>
      </c>
      <c r="F451" s="13">
        <f>INDEX($B$447:$B$456,MATCH(LARGE($D$447:$D$456,5),$D$447:$D$456,0))</f>
        <v>0</v>
      </c>
      <c r="G451" s="22">
        <f>INT(LARGE($D$447:$D$456,5))</f>
        <v>0</v>
      </c>
    </row>
    <row r="452" spans="2:7">
      <c r="B452" s="13" t="s">
        <v>5</v>
      </c>
      <c r="C452" s="22">
        <f>COUNTIFS('Unsafe Conditions'!$I$4:$I$100003,"Critical",'Unsafe Conditions'!$D$4:$D$100003,mCrit,'Unsafe Conditions'!$F$4:$F$100003,"Logistics")+COUNTIFS('Unsafe Conditions'!$I$4:$I$100003,"High",'Unsafe Conditions'!$D$4:$D$100003,mCrit,'Unsafe Conditions'!$F$4:$F$100003,"Logistics")</f>
        <v>0</v>
      </c>
      <c r="D452" s="26">
        <f>C452+ROW()/100000</f>
        <v>0</v>
      </c>
    </row>
    <row r="453" spans="2:7">
      <c r="B453" s="13" t="s">
        <v>50</v>
      </c>
      <c r="C453" s="22">
        <f>COUNTIFS('Unsafe Conditions'!$I$4:$I$100003,"Critical",'Unsafe Conditions'!$D$4:$D$100003,mCrit,'Unsafe Conditions'!$F$4:$F$100003,"Quality")+COUNTIFS('Unsafe Conditions'!$I$4:$I$100003,"High",'Unsafe Conditions'!$D$4:$D$100003,mCrit,'Unsafe Conditions'!$F$4:$F$100003,"Quality")</f>
        <v>0</v>
      </c>
      <c r="D453" s="26">
        <f>C453+ROW()/100000</f>
        <v>0</v>
      </c>
    </row>
    <row r="454" spans="2:7">
      <c r="B454" s="13" t="s">
        <v>46</v>
      </c>
      <c r="C454" s="22">
        <f>COUNTIFS('Unsafe Conditions'!$I$4:$I$100003,"Critical",'Unsafe Conditions'!$D$4:$D$100003,mCrit,'Unsafe Conditions'!$F$4:$F$100003,"Admin")+COUNTIFS('Unsafe Conditions'!$I$4:$I$100003,"High",'Unsafe Conditions'!$D$4:$D$100003,mCrit,'Unsafe Conditions'!$F$4:$F$100003,"Admin")</f>
        <v>0</v>
      </c>
      <c r="D454" s="26">
        <f>C454+ROW()/100000</f>
        <v>0</v>
      </c>
    </row>
    <row r="455" spans="2:7">
      <c r="B455" s="13" t="s">
        <v>13</v>
      </c>
      <c r="C455" s="22">
        <f>COUNTIFS('Unsafe Conditions'!$I$4:$I$100003,"Critical",'Unsafe Conditions'!$D$4:$D$100003,mCrit,'Unsafe Conditions'!$F$4:$F$100003,"Projects")+COUNTIFS('Unsafe Conditions'!$I$4:$I$100003,"High",'Unsafe Conditions'!$D$4:$D$100003,mCrit,'Unsafe Conditions'!$F$4:$F$100003,"Projects")</f>
        <v>0</v>
      </c>
      <c r="D455" s="26">
        <f>C455+ROW()/100000</f>
        <v>0</v>
      </c>
    </row>
    <row r="456" spans="2:7">
      <c r="B456" s="13" t="s">
        <v>58</v>
      </c>
      <c r="C456" s="22">
        <f>COUNTIFS('Unsafe Conditions'!$I$4:$I$100003,"Critical",'Unsafe Conditions'!$D$4:$D$100003,mCrit,'Unsafe Conditions'!$F$4:$F$100003,"Contractor")+COUNTIFS('Unsafe Conditions'!$I$4:$I$100003,"High",'Unsafe Conditions'!$D$4:$D$100003,mCrit,'Unsafe Conditions'!$F$4:$F$100003,"Contractor")</f>
        <v>0</v>
      </c>
      <c r="D456" s="26">
        <f>C456+ROW()/100000</f>
        <v>0</v>
      </c>
    </row>
    <row r="458" spans="2:7">
      <c r="B458" s="12" t="s">
        <v>129</v>
      </c>
      <c r="C458" s="12" t="s">
        <v>1887</v>
      </c>
      <c r="D458" s="12" t="s">
        <v>1906</v>
      </c>
      <c r="F458" s="12" t="s">
        <v>1957</v>
      </c>
      <c r="G458" s="12" t="s">
        <v>1923</v>
      </c>
    </row>
    <row r="459" spans="2:7">
      <c r="B459" s="13" t="s">
        <v>27</v>
      </c>
      <c r="C459" s="22">
        <f>COUNTIFS('NC Management'!$F$4:$F$100003,"Major",'NC Management'!$D$4:$D$100003,mCrit,'NC Management'!$G$4:$G$100003,"Operations")</f>
        <v>0</v>
      </c>
      <c r="D459" s="26">
        <f>C459+ROW()/100000</f>
        <v>0</v>
      </c>
      <c r="F459" s="13">
        <f>INDEX($B$459:$B$468,MATCH(LARGE($D$459:$D$468,1),$D$459:$D$468,0))</f>
        <v>0</v>
      </c>
      <c r="G459" s="22">
        <f>INT(LARGE($D$459:$D$468,1))</f>
        <v>0</v>
      </c>
    </row>
    <row r="460" spans="2:7">
      <c r="B460" s="13" t="s">
        <v>92</v>
      </c>
      <c r="C460" s="22">
        <f>COUNTIFS('NC Management'!$F$4:$F$100003,"Major",'NC Management'!$D$4:$D$100003,mCrit,'NC Management'!$G$4:$G$100003,"Maintenance")</f>
        <v>0</v>
      </c>
      <c r="D460" s="26">
        <f>C460+ROW()/100000</f>
        <v>0</v>
      </c>
      <c r="F460" s="13">
        <f>INDEX($B$459:$B$468,MATCH(LARGE($D$459:$D$468,2),$D$459:$D$468,0))</f>
        <v>0</v>
      </c>
      <c r="G460" s="22">
        <f>INT(LARGE($D$459:$D$468,2))</f>
        <v>0</v>
      </c>
    </row>
    <row r="461" spans="2:7">
      <c r="B461" s="13" t="s">
        <v>39</v>
      </c>
      <c r="C461" s="22">
        <f>COUNTIFS('NC Management'!$F$4:$F$100003,"Major",'NC Management'!$D$4:$D$100003,mCrit,'NC Management'!$G$4:$G$100003,"Engineering")</f>
        <v>0</v>
      </c>
      <c r="D461" s="26">
        <f>C461+ROW()/100000</f>
        <v>0</v>
      </c>
      <c r="F461" s="13">
        <f>INDEX($B$459:$B$468,MATCH(LARGE($D$459:$D$468,3),$D$459:$D$468,0))</f>
        <v>0</v>
      </c>
      <c r="G461" s="22">
        <f>INT(LARGE($D$459:$D$468,3))</f>
        <v>0</v>
      </c>
    </row>
    <row r="462" spans="2:7">
      <c r="B462" s="13" t="s">
        <v>89</v>
      </c>
      <c r="C462" s="22">
        <f>COUNTIFS('NC Management'!$F$4:$F$100003,"Major",'NC Management'!$D$4:$D$100003,mCrit,'NC Management'!$G$4:$G$100003,"Construction")</f>
        <v>0</v>
      </c>
      <c r="D462" s="26">
        <f>C462+ROW()/100000</f>
        <v>0</v>
      </c>
      <c r="F462" s="13">
        <f>INDEX($B$459:$B$468,MATCH(LARGE($D$459:$D$468,4),$D$459:$D$468,0))</f>
        <v>0</v>
      </c>
      <c r="G462" s="22">
        <f>INT(LARGE($D$459:$D$468,4))</f>
        <v>0</v>
      </c>
    </row>
    <row r="463" spans="2:7">
      <c r="B463" s="13" t="s">
        <v>65</v>
      </c>
      <c r="C463" s="22">
        <f>COUNTIFS('NC Management'!$F$4:$F$100003,"Major",'NC Management'!$D$4:$D$100003,mCrit,'NC Management'!$G$4:$G$100003,"Safety")</f>
        <v>0</v>
      </c>
      <c r="D463" s="26">
        <f>C463+ROW()/100000</f>
        <v>0</v>
      </c>
      <c r="F463" s="13">
        <f>INDEX($B$459:$B$468,MATCH(LARGE($D$459:$D$468,5),$D$459:$D$468,0))</f>
        <v>0</v>
      </c>
      <c r="G463" s="22">
        <f>INT(LARGE($D$459:$D$468,5))</f>
        <v>0</v>
      </c>
    </row>
    <row r="464" spans="2:7">
      <c r="B464" s="13" t="s">
        <v>5</v>
      </c>
      <c r="C464" s="22">
        <f>COUNTIFS('NC Management'!$F$4:$F$100003,"Major",'NC Management'!$D$4:$D$100003,mCrit,'NC Management'!$G$4:$G$100003,"Logistics")</f>
        <v>0</v>
      </c>
      <c r="D464" s="26">
        <f>C464+ROW()/100000</f>
        <v>0</v>
      </c>
    </row>
    <row r="465" spans="2:7">
      <c r="B465" s="13" t="s">
        <v>50</v>
      </c>
      <c r="C465" s="22">
        <f>COUNTIFS('NC Management'!$F$4:$F$100003,"Major",'NC Management'!$D$4:$D$100003,mCrit,'NC Management'!$G$4:$G$100003,"Quality")</f>
        <v>0</v>
      </c>
      <c r="D465" s="26">
        <f>C465+ROW()/100000</f>
        <v>0</v>
      </c>
    </row>
    <row r="466" spans="2:7">
      <c r="B466" s="13" t="s">
        <v>46</v>
      </c>
      <c r="C466" s="22">
        <f>COUNTIFS('NC Management'!$F$4:$F$100003,"Major",'NC Management'!$D$4:$D$100003,mCrit,'NC Management'!$G$4:$G$100003,"Admin")</f>
        <v>0</v>
      </c>
      <c r="D466" s="26">
        <f>C466+ROW()/100000</f>
        <v>0</v>
      </c>
    </row>
    <row r="467" spans="2:7">
      <c r="B467" s="13" t="s">
        <v>13</v>
      </c>
      <c r="C467" s="22">
        <f>COUNTIFS('NC Management'!$F$4:$F$100003,"Major",'NC Management'!$D$4:$D$100003,mCrit,'NC Management'!$G$4:$G$100003,"Projects")</f>
        <v>0</v>
      </c>
      <c r="D467" s="26">
        <f>C467+ROW()/100000</f>
        <v>0</v>
      </c>
    </row>
    <row r="468" spans="2:7">
      <c r="B468" s="13" t="s">
        <v>58</v>
      </c>
      <c r="C468" s="22">
        <f>COUNTIFS('NC Management'!$F$4:$F$100003,"Major",'NC Management'!$D$4:$D$100003,mCrit,'NC Management'!$G$4:$G$100003,"Contractor")</f>
        <v>0</v>
      </c>
      <c r="D468" s="26">
        <f>C468+ROW()/100000</f>
        <v>0</v>
      </c>
    </row>
    <row r="470" spans="2:7">
      <c r="B470" s="12" t="s">
        <v>129</v>
      </c>
      <c r="C470" s="12" t="s">
        <v>1887</v>
      </c>
      <c r="D470" s="12" t="s">
        <v>1906</v>
      </c>
      <c r="F470" s="12" t="s">
        <v>1957</v>
      </c>
      <c r="G470" s="12" t="s">
        <v>1923</v>
      </c>
    </row>
    <row r="471" spans="2:7">
      <c r="B471" s="13" t="s">
        <v>27</v>
      </c>
      <c r="C471" s="22">
        <f>COUNTIFS('Stop Work Authority'!$K$4:$K$100003,"Critical",'Stop Work Authority'!$D$4:$D$100003,mCrit,'Stop Work Authority'!$F$4:$F$100003,"Operations")+COUNTIFS('Stop Work Authority'!$K$4:$K$100003,"High",'Stop Work Authority'!$D$4:$D$100003,mCrit,'Stop Work Authority'!$F$4:$F$100003,"Operations")</f>
        <v>0</v>
      </c>
      <c r="D471" s="26">
        <f>C471+ROW()/100000</f>
        <v>0</v>
      </c>
      <c r="F471" s="13">
        <f>INDEX($B$471:$B$480,MATCH(LARGE($D$471:$D$480,1),$D$471:$D$480,0))</f>
        <v>0</v>
      </c>
      <c r="G471" s="22">
        <f>INT(LARGE($D$471:$D$480,1))</f>
        <v>0</v>
      </c>
    </row>
    <row r="472" spans="2:7">
      <c r="B472" s="13" t="s">
        <v>92</v>
      </c>
      <c r="C472" s="22">
        <f>COUNTIFS('Stop Work Authority'!$K$4:$K$100003,"Critical",'Stop Work Authority'!$D$4:$D$100003,mCrit,'Stop Work Authority'!$F$4:$F$100003,"Maintenance")+COUNTIFS('Stop Work Authority'!$K$4:$K$100003,"High",'Stop Work Authority'!$D$4:$D$100003,mCrit,'Stop Work Authority'!$F$4:$F$100003,"Maintenance")</f>
        <v>0</v>
      </c>
      <c r="D472" s="26">
        <f>C472+ROW()/100000</f>
        <v>0</v>
      </c>
      <c r="F472" s="13">
        <f>INDEX($B$471:$B$480,MATCH(LARGE($D$471:$D$480,2),$D$471:$D$480,0))</f>
        <v>0</v>
      </c>
      <c r="G472" s="22">
        <f>INT(LARGE($D$471:$D$480,2))</f>
        <v>0</v>
      </c>
    </row>
    <row r="473" spans="2:7">
      <c r="B473" s="13" t="s">
        <v>39</v>
      </c>
      <c r="C473" s="22">
        <f>COUNTIFS('Stop Work Authority'!$K$4:$K$100003,"Critical",'Stop Work Authority'!$D$4:$D$100003,mCrit,'Stop Work Authority'!$F$4:$F$100003,"Engineering")+COUNTIFS('Stop Work Authority'!$K$4:$K$100003,"High",'Stop Work Authority'!$D$4:$D$100003,mCrit,'Stop Work Authority'!$F$4:$F$100003,"Engineering")</f>
        <v>0</v>
      </c>
      <c r="D473" s="26">
        <f>C473+ROW()/100000</f>
        <v>0</v>
      </c>
      <c r="F473" s="13">
        <f>INDEX($B$471:$B$480,MATCH(LARGE($D$471:$D$480,3),$D$471:$D$480,0))</f>
        <v>0</v>
      </c>
      <c r="G473" s="22">
        <f>INT(LARGE($D$471:$D$480,3))</f>
        <v>0</v>
      </c>
    </row>
    <row r="474" spans="2:7">
      <c r="B474" s="13" t="s">
        <v>89</v>
      </c>
      <c r="C474" s="22">
        <f>COUNTIFS('Stop Work Authority'!$K$4:$K$100003,"Critical",'Stop Work Authority'!$D$4:$D$100003,mCrit,'Stop Work Authority'!$F$4:$F$100003,"Construction")+COUNTIFS('Stop Work Authority'!$K$4:$K$100003,"High",'Stop Work Authority'!$D$4:$D$100003,mCrit,'Stop Work Authority'!$F$4:$F$100003,"Construction")</f>
        <v>0</v>
      </c>
      <c r="D474" s="26">
        <f>C474+ROW()/100000</f>
        <v>0</v>
      </c>
      <c r="F474" s="13">
        <f>INDEX($B$471:$B$480,MATCH(LARGE($D$471:$D$480,4),$D$471:$D$480,0))</f>
        <v>0</v>
      </c>
      <c r="G474" s="22">
        <f>INT(LARGE($D$471:$D$480,4))</f>
        <v>0</v>
      </c>
    </row>
    <row r="475" spans="2:7">
      <c r="B475" s="13" t="s">
        <v>65</v>
      </c>
      <c r="C475" s="22">
        <f>COUNTIFS('Stop Work Authority'!$K$4:$K$100003,"Critical",'Stop Work Authority'!$D$4:$D$100003,mCrit,'Stop Work Authority'!$F$4:$F$100003,"Safety")+COUNTIFS('Stop Work Authority'!$K$4:$K$100003,"High",'Stop Work Authority'!$D$4:$D$100003,mCrit,'Stop Work Authority'!$F$4:$F$100003,"Safety")</f>
        <v>0</v>
      </c>
      <c r="D475" s="26">
        <f>C475+ROW()/100000</f>
        <v>0</v>
      </c>
      <c r="F475" s="13">
        <f>INDEX($B$471:$B$480,MATCH(LARGE($D$471:$D$480,5),$D$471:$D$480,0))</f>
        <v>0</v>
      </c>
      <c r="G475" s="22">
        <f>INT(LARGE($D$471:$D$480,5))</f>
        <v>0</v>
      </c>
    </row>
    <row r="476" spans="2:7">
      <c r="B476" s="13" t="s">
        <v>5</v>
      </c>
      <c r="C476" s="22">
        <f>COUNTIFS('Stop Work Authority'!$K$4:$K$100003,"Critical",'Stop Work Authority'!$D$4:$D$100003,mCrit,'Stop Work Authority'!$F$4:$F$100003,"Logistics")+COUNTIFS('Stop Work Authority'!$K$4:$K$100003,"High",'Stop Work Authority'!$D$4:$D$100003,mCrit,'Stop Work Authority'!$F$4:$F$100003,"Logistics")</f>
        <v>0</v>
      </c>
      <c r="D476" s="26">
        <f>C476+ROW()/100000</f>
        <v>0</v>
      </c>
    </row>
    <row r="477" spans="2:7">
      <c r="B477" s="13" t="s">
        <v>50</v>
      </c>
      <c r="C477" s="22">
        <f>COUNTIFS('Stop Work Authority'!$K$4:$K$100003,"Critical",'Stop Work Authority'!$D$4:$D$100003,mCrit,'Stop Work Authority'!$F$4:$F$100003,"Quality")+COUNTIFS('Stop Work Authority'!$K$4:$K$100003,"High",'Stop Work Authority'!$D$4:$D$100003,mCrit,'Stop Work Authority'!$F$4:$F$100003,"Quality")</f>
        <v>0</v>
      </c>
      <c r="D477" s="26">
        <f>C477+ROW()/100000</f>
        <v>0</v>
      </c>
    </row>
    <row r="478" spans="2:7">
      <c r="B478" s="13" t="s">
        <v>46</v>
      </c>
      <c r="C478" s="22">
        <f>COUNTIFS('Stop Work Authority'!$K$4:$K$100003,"Critical",'Stop Work Authority'!$D$4:$D$100003,mCrit,'Stop Work Authority'!$F$4:$F$100003,"Admin")+COUNTIFS('Stop Work Authority'!$K$4:$K$100003,"High",'Stop Work Authority'!$D$4:$D$100003,mCrit,'Stop Work Authority'!$F$4:$F$100003,"Admin")</f>
        <v>0</v>
      </c>
      <c r="D478" s="26">
        <f>C478+ROW()/100000</f>
        <v>0</v>
      </c>
    </row>
    <row r="479" spans="2:7">
      <c r="B479" s="13" t="s">
        <v>13</v>
      </c>
      <c r="C479" s="22">
        <f>COUNTIFS('Stop Work Authority'!$K$4:$K$100003,"Critical",'Stop Work Authority'!$D$4:$D$100003,mCrit,'Stop Work Authority'!$F$4:$F$100003,"Projects")+COUNTIFS('Stop Work Authority'!$K$4:$K$100003,"High",'Stop Work Authority'!$D$4:$D$100003,mCrit,'Stop Work Authority'!$F$4:$F$100003,"Projects")</f>
        <v>0</v>
      </c>
      <c r="D479" s="26">
        <f>C479+ROW()/100000</f>
        <v>0</v>
      </c>
    </row>
    <row r="480" spans="2:7">
      <c r="B480" s="13" t="s">
        <v>58</v>
      </c>
      <c r="C480" s="22">
        <f>COUNTIFS('Stop Work Authority'!$K$4:$K$100003,"Critical",'Stop Work Authority'!$D$4:$D$100003,mCrit,'Stop Work Authority'!$F$4:$F$100003,"Contractor")+COUNTIFS('Stop Work Authority'!$K$4:$K$100003,"High",'Stop Work Authority'!$D$4:$D$100003,mCrit,'Stop Work Authority'!$F$4:$F$100003,"Contractor")</f>
        <v>0</v>
      </c>
      <c r="D480" s="26">
        <f>C480+ROW()/100000</f>
        <v>0</v>
      </c>
    </row>
    <row r="482" spans="2:34">
      <c r="B482" s="17" t="s">
        <v>1959</v>
      </c>
    </row>
    <row r="483" spans="2:34">
      <c r="B483" s="12" t="s">
        <v>127</v>
      </c>
      <c r="C483" s="12" t="s">
        <v>1887</v>
      </c>
      <c r="E483" s="12" t="s">
        <v>136</v>
      </c>
      <c r="F483" s="12" t="s">
        <v>1887</v>
      </c>
      <c r="G483" s="12" t="s">
        <v>138</v>
      </c>
      <c r="H483" s="12" t="s">
        <v>1887</v>
      </c>
      <c r="M483" s="12" t="s">
        <v>1849</v>
      </c>
      <c r="N483" s="12" t="s">
        <v>1960</v>
      </c>
      <c r="P483" s="12" t="s">
        <v>129</v>
      </c>
      <c r="Q483" s="12" t="s">
        <v>1887</v>
      </c>
      <c r="R483" s="12" t="s">
        <v>1694</v>
      </c>
      <c r="S483" s="12" t="s">
        <v>1969</v>
      </c>
      <c r="U483" s="12" t="s">
        <v>1970</v>
      </c>
      <c r="V483" s="12" t="s">
        <v>3</v>
      </c>
      <c r="W483" s="12" t="s">
        <v>19</v>
      </c>
      <c r="X483" s="12" t="s">
        <v>44</v>
      </c>
      <c r="Y483" s="12" t="s">
        <v>53</v>
      </c>
      <c r="Z483" s="12" t="s">
        <v>60</v>
      </c>
      <c r="AA483" s="12" t="s">
        <v>73</v>
      </c>
      <c r="AB483" s="12" t="s">
        <v>76</v>
      </c>
      <c r="AC483" s="12" t="s">
        <v>86</v>
      </c>
      <c r="AD483" s="12" t="s">
        <v>102</v>
      </c>
      <c r="AE483" s="12" t="s">
        <v>106</v>
      </c>
      <c r="AF483" s="12" t="s">
        <v>111</v>
      </c>
      <c r="AG483" s="12" t="s">
        <v>122</v>
      </c>
      <c r="AH483" s="12" t="s">
        <v>1971</v>
      </c>
    </row>
    <row r="484" spans="2:34">
      <c r="B484" s="23" t="s">
        <v>3</v>
      </c>
      <c r="C484" s="22">
        <f>COUNTIFS('Toolbox Talks'!$D$4:$D$100003,"Jan",'Toolbox Talks'!$F$4:$F$100003,dCrit)</f>
        <v>0</v>
      </c>
      <c r="E484" s="13" t="s">
        <v>8</v>
      </c>
      <c r="F484" s="22">
        <f>COUNTIFS('Toolbox Talks'!$M$4:$M$100003,"Ergonomics",'Toolbox Talks'!$D$4:$D$100003,mCrit,'Toolbox Talks'!$F$4:$F$100003,dCrit)</f>
        <v>0</v>
      </c>
      <c r="G484" s="13" t="s">
        <v>10</v>
      </c>
      <c r="H484" s="22">
        <f>COUNTIFS('Toolbox Talks'!$O$4:$O$100003,"Excellent",'Toolbox Talks'!$D$4:$D$100003,mCrit,'Toolbox Talks'!$F$4:$F$100003,dCrit)</f>
        <v>0</v>
      </c>
      <c r="M484" s="13" t="s">
        <v>1961</v>
      </c>
      <c r="N484" s="22">
        <f>COUNTIFS('Toolbox Talks'!$D$4:$D$100003,mCrit,'Toolbox Talks'!$F$4:$F$100003,dCrit)</f>
        <v>0</v>
      </c>
      <c r="P484" s="13" t="s">
        <v>27</v>
      </c>
      <c r="Q484" s="22">
        <f>COUNTIFS('Toolbox Talks'!$D$4:$D$100003,mCrit,'Toolbox Talks'!$F$4:$F$100003,"Operations")</f>
        <v>0</v>
      </c>
      <c r="R484" s="22">
        <f>COUNTIFS('Toolbox Talks'!$D$4:$D$100003,mCrit,'Toolbox Talks'!$F$4:$F$100003,"Operations")</f>
        <v>0</v>
      </c>
      <c r="S484" s="25">
        <f>IFERROR(AVERAGEIFS('Toolbox Talks'!$K$4:$K$100003,'Toolbox Talks'!$D$4:$D$100003,mCrit,'Toolbox Talks'!$F$4:$F$100003,"Operations"),0)</f>
        <v>0</v>
      </c>
      <c r="U484" s="13" t="s">
        <v>1694</v>
      </c>
      <c r="V484" s="22">
        <f>COUNTIFS('Toolbox Talks'!$D$4:$D$100003,"Jan",'Toolbox Talks'!$F$4:$F$100003,dCrit)</f>
        <v>0</v>
      </c>
      <c r="W484" s="22">
        <f>COUNTIFS('Toolbox Talks'!$D$4:$D$100003,"Feb",'Toolbox Talks'!$F$4:$F$100003,dCrit)</f>
        <v>0</v>
      </c>
      <c r="X484" s="22">
        <f>COUNTIFS('Toolbox Talks'!$D$4:$D$100003,"Mar",'Toolbox Talks'!$F$4:$F$100003,dCrit)</f>
        <v>0</v>
      </c>
      <c r="Y484" s="22">
        <f>COUNTIFS('Toolbox Talks'!$D$4:$D$100003,"Apr",'Toolbox Talks'!$F$4:$F$100003,dCrit)</f>
        <v>0</v>
      </c>
      <c r="Z484" s="22">
        <f>COUNTIFS('Toolbox Talks'!$D$4:$D$100003,"May",'Toolbox Talks'!$F$4:$F$100003,dCrit)</f>
        <v>0</v>
      </c>
      <c r="AA484" s="22">
        <f>COUNTIFS('Toolbox Talks'!$D$4:$D$100003,"Jun",'Toolbox Talks'!$F$4:$F$100003,dCrit)</f>
        <v>0</v>
      </c>
      <c r="AB484" s="22">
        <f>COUNTIFS('Toolbox Talks'!$D$4:$D$100003,"Jul",'Toolbox Talks'!$F$4:$F$100003,dCrit)</f>
        <v>0</v>
      </c>
      <c r="AC484" s="22">
        <f>COUNTIFS('Toolbox Talks'!$D$4:$D$100003,"Aug",'Toolbox Talks'!$F$4:$F$100003,dCrit)</f>
        <v>0</v>
      </c>
      <c r="AD484" s="22">
        <f>COUNTIFS('Toolbox Talks'!$D$4:$D$100003,"Sep",'Toolbox Talks'!$F$4:$F$100003,dCrit)</f>
        <v>0</v>
      </c>
      <c r="AE484" s="22">
        <f>COUNTIFS('Toolbox Talks'!$D$4:$D$100003,"Oct",'Toolbox Talks'!$F$4:$F$100003,dCrit)</f>
        <v>0</v>
      </c>
      <c r="AF484" s="22">
        <f>COUNTIFS('Toolbox Talks'!$D$4:$D$100003,"Nov",'Toolbox Talks'!$F$4:$F$100003,dCrit)</f>
        <v>0</v>
      </c>
      <c r="AG484" s="22">
        <f>COUNTIFS('Toolbox Talks'!$D$4:$D$100003,"Dec",'Toolbox Talks'!$F$4:$F$100003,dCrit)</f>
        <v>0</v>
      </c>
      <c r="AH484" s="22">
        <f>SUM(V484:AG484)</f>
        <v>0</v>
      </c>
    </row>
    <row r="485" spans="2:34">
      <c r="B485" s="23" t="s">
        <v>19</v>
      </c>
      <c r="C485" s="22">
        <f>COUNTIFS('Toolbox Talks'!$D$4:$D$100003,"Feb",'Toolbox Talks'!$F$4:$F$100003,dCrit)</f>
        <v>0</v>
      </c>
      <c r="E485" s="13" t="s">
        <v>16</v>
      </c>
      <c r="F485" s="22">
        <f>COUNTIFS('Toolbox Talks'!$M$4:$M$100003,"Housekeeping",'Toolbox Talks'!$D$4:$D$100003,mCrit,'Toolbox Talks'!$F$4:$F$100003,dCrit)</f>
        <v>0</v>
      </c>
      <c r="G485" s="13" t="s">
        <v>42</v>
      </c>
      <c r="H485" s="22">
        <f>COUNTIFS('Toolbox Talks'!$O$4:$O$100003,"Good",'Toolbox Talks'!$D$4:$D$100003,mCrit,'Toolbox Talks'!$F$4:$F$100003,dCrit)</f>
        <v>0</v>
      </c>
      <c r="M485" s="13" t="s">
        <v>1962</v>
      </c>
      <c r="N485" s="22">
        <f>COUNTIFS('Toolbox Talks'!$N$4:$N$100003,"Yes",'Toolbox Talks'!$D$4:$D$100003,mCrit,'Toolbox Talks'!$F$4:$F$100003,dCrit)</f>
        <v>0</v>
      </c>
      <c r="P485" s="13" t="s">
        <v>92</v>
      </c>
      <c r="Q485" s="22">
        <f>COUNTIFS('Toolbox Talks'!$D$4:$D$100003,mCrit,'Toolbox Talks'!$F$4:$F$100003,"Maintenance")</f>
        <v>0</v>
      </c>
      <c r="R485" s="22">
        <f>COUNTIFS('Toolbox Talks'!$D$4:$D$100003,mCrit,'Toolbox Talks'!$F$4:$F$100003,"Maintenance")</f>
        <v>0</v>
      </c>
      <c r="S485" s="25">
        <f>IFERROR(AVERAGEIFS('Toolbox Talks'!$K$4:$K$100003,'Toolbox Talks'!$D$4:$D$100003,mCrit,'Toolbox Talks'!$F$4:$F$100003,"Maintenance"),0)</f>
        <v>0</v>
      </c>
      <c r="U485" s="13" t="s">
        <v>1969</v>
      </c>
      <c r="V485" s="25">
        <f>IFERROR(AVERAGEIFS('Toolbox Talks'!$K$4:$K$100003,'Toolbox Talks'!$D$4:$D$100003,"Jan",'Toolbox Talks'!$F$4:$F$100003,dCrit),0)</f>
        <v>0</v>
      </c>
      <c r="W485" s="25">
        <f>IFERROR(AVERAGEIFS('Toolbox Talks'!$K$4:$K$100003,'Toolbox Talks'!$D$4:$D$100003,"Feb",'Toolbox Talks'!$F$4:$F$100003,dCrit),0)</f>
        <v>0</v>
      </c>
      <c r="X485" s="25">
        <f>IFERROR(AVERAGEIFS('Toolbox Talks'!$K$4:$K$100003,'Toolbox Talks'!$D$4:$D$100003,"Mar",'Toolbox Talks'!$F$4:$F$100003,dCrit),0)</f>
        <v>0</v>
      </c>
      <c r="Y485" s="25">
        <f>IFERROR(AVERAGEIFS('Toolbox Talks'!$K$4:$K$100003,'Toolbox Talks'!$D$4:$D$100003,"Apr",'Toolbox Talks'!$F$4:$F$100003,dCrit),0)</f>
        <v>0</v>
      </c>
      <c r="Z485" s="25">
        <f>IFERROR(AVERAGEIFS('Toolbox Talks'!$K$4:$K$100003,'Toolbox Talks'!$D$4:$D$100003,"May",'Toolbox Talks'!$F$4:$F$100003,dCrit),0)</f>
        <v>0</v>
      </c>
      <c r="AA485" s="25">
        <f>IFERROR(AVERAGEIFS('Toolbox Talks'!$K$4:$K$100003,'Toolbox Talks'!$D$4:$D$100003,"Jun",'Toolbox Talks'!$F$4:$F$100003,dCrit),0)</f>
        <v>0</v>
      </c>
      <c r="AB485" s="25">
        <f>IFERROR(AVERAGEIFS('Toolbox Talks'!$K$4:$K$100003,'Toolbox Talks'!$D$4:$D$100003,"Jul",'Toolbox Talks'!$F$4:$F$100003,dCrit),0)</f>
        <v>0</v>
      </c>
      <c r="AC485" s="25">
        <f>IFERROR(AVERAGEIFS('Toolbox Talks'!$K$4:$K$100003,'Toolbox Talks'!$D$4:$D$100003,"Aug",'Toolbox Talks'!$F$4:$F$100003,dCrit),0)</f>
        <v>0</v>
      </c>
      <c r="AD485" s="25">
        <f>IFERROR(AVERAGEIFS('Toolbox Talks'!$K$4:$K$100003,'Toolbox Talks'!$D$4:$D$100003,"Sep",'Toolbox Talks'!$F$4:$F$100003,dCrit),0)</f>
        <v>0</v>
      </c>
      <c r="AE485" s="25">
        <f>IFERROR(AVERAGEIFS('Toolbox Talks'!$K$4:$K$100003,'Toolbox Talks'!$D$4:$D$100003,"Oct",'Toolbox Talks'!$F$4:$F$100003,dCrit),0)</f>
        <v>0</v>
      </c>
      <c r="AF485" s="25">
        <f>IFERROR(AVERAGEIFS('Toolbox Talks'!$K$4:$K$100003,'Toolbox Talks'!$D$4:$D$100003,"Nov",'Toolbox Talks'!$F$4:$F$100003,dCrit),0)</f>
        <v>0</v>
      </c>
      <c r="AG485" s="25">
        <f>IFERROR(AVERAGEIFS('Toolbox Talks'!$K$4:$K$100003,'Toolbox Talks'!$D$4:$D$100003,"Dec",'Toolbox Talks'!$F$4:$F$100003,dCrit),0)</f>
        <v>0</v>
      </c>
      <c r="AH485" s="25">
        <f>IFERROR(AVERAGE(V485:AG485),0)</f>
        <v>0</v>
      </c>
    </row>
    <row r="486" spans="2:34">
      <c r="B486" s="23" t="s">
        <v>44</v>
      </c>
      <c r="C486" s="22">
        <f>COUNTIFS('Toolbox Talks'!$D$4:$D$100003,"Mar",'Toolbox Talks'!$F$4:$F$100003,dCrit)</f>
        <v>0</v>
      </c>
      <c r="E486" s="13" t="s">
        <v>33</v>
      </c>
      <c r="F486" s="22">
        <f>COUNTIFS('Toolbox Talks'!$M$4:$M$100003,"BBS",'Toolbox Talks'!$D$4:$D$100003,mCrit,'Toolbox Talks'!$F$4:$F$100003,dCrit)</f>
        <v>0</v>
      </c>
      <c r="G486" s="13" t="s">
        <v>17</v>
      </c>
      <c r="H486" s="22">
        <f>COUNTIFS('Toolbox Talks'!$O$4:$O$100003,"Satisfactory",'Toolbox Talks'!$D$4:$D$100003,mCrit,'Toolbox Talks'!$F$4:$F$100003,dCrit)</f>
        <v>0</v>
      </c>
      <c r="M486" s="13" t="s">
        <v>1963</v>
      </c>
      <c r="N486" s="22">
        <f>COUNTIFS('Toolbox Talks'!$N$4:$N$100003,"No",'Toolbox Talks'!$D$4:$D$100003,mCrit,'Toolbox Talks'!$F$4:$F$100003,dCrit)</f>
        <v>0</v>
      </c>
      <c r="P486" s="13" t="s">
        <v>39</v>
      </c>
      <c r="Q486" s="22">
        <f>COUNTIFS('Toolbox Talks'!$D$4:$D$100003,mCrit,'Toolbox Talks'!$F$4:$F$100003,"Engineering")</f>
        <v>0</v>
      </c>
      <c r="R486" s="22">
        <f>COUNTIFS('Toolbox Talks'!$D$4:$D$100003,mCrit,'Toolbox Talks'!$F$4:$F$100003,"Engineering")</f>
        <v>0</v>
      </c>
      <c r="S486" s="25">
        <f>IFERROR(AVERAGEIFS('Toolbox Talks'!$K$4:$K$100003,'Toolbox Talks'!$D$4:$D$100003,mCrit,'Toolbox Talks'!$F$4:$F$100003,"Engineering"),0)</f>
        <v>0</v>
      </c>
    </row>
    <row r="487" spans="2:34">
      <c r="B487" s="23" t="s">
        <v>53</v>
      </c>
      <c r="C487" s="22">
        <f>COUNTIFS('Toolbox Talks'!$D$4:$D$100003,"Apr",'Toolbox Talks'!$F$4:$F$100003,dCrit)</f>
        <v>0</v>
      </c>
      <c r="E487" s="13" t="s">
        <v>47</v>
      </c>
      <c r="F487" s="22">
        <f>COUNTIFS('Toolbox Talks'!$M$4:$M$100003,"General",'Toolbox Talks'!$D$4:$D$100003,mCrit,'Toolbox Talks'!$F$4:$F$100003,dCrit)</f>
        <v>0</v>
      </c>
      <c r="G487" s="13" t="s">
        <v>96</v>
      </c>
      <c r="H487" s="22">
        <f>COUNTIFS('Toolbox Talks'!$O$4:$O$100003,"Needs Improvement",'Toolbox Talks'!$D$4:$D$100003,mCrit,'Toolbox Talks'!$F$4:$F$100003,dCrit)</f>
        <v>0</v>
      </c>
      <c r="M487" s="13" t="s">
        <v>1964</v>
      </c>
      <c r="N487" s="25">
        <f>IFERROR(AVERAGEIFS('Toolbox Talks'!$K$4:$K$100003,'Toolbox Talks'!$D$4:$D$100003,mCrit,'Toolbox Talks'!$F$4:$F$100003,dCrit),0)</f>
        <v>0</v>
      </c>
      <c r="P487" s="13" t="s">
        <v>89</v>
      </c>
      <c r="Q487" s="22">
        <f>COUNTIFS('Toolbox Talks'!$D$4:$D$100003,mCrit,'Toolbox Talks'!$F$4:$F$100003,"Construction")</f>
        <v>0</v>
      </c>
      <c r="R487" s="22">
        <f>COUNTIFS('Toolbox Talks'!$D$4:$D$100003,mCrit,'Toolbox Talks'!$F$4:$F$100003,"Construction")</f>
        <v>0</v>
      </c>
      <c r="S487" s="25">
        <f>IFERROR(AVERAGEIFS('Toolbox Talks'!$K$4:$K$100003,'Toolbox Talks'!$D$4:$D$100003,mCrit,'Toolbox Talks'!$F$4:$F$100003,"Construction"),0)</f>
        <v>0</v>
      </c>
    </row>
    <row r="488" spans="2:34">
      <c r="B488" s="23" t="s">
        <v>60</v>
      </c>
      <c r="C488" s="22">
        <f>COUNTIFS('Toolbox Talks'!$D$4:$D$100003,"May",'Toolbox Talks'!$F$4:$F$100003,dCrit)</f>
        <v>0</v>
      </c>
      <c r="E488" s="13" t="s">
        <v>55</v>
      </c>
      <c r="F488" s="22">
        <f>COUNTIFS('Toolbox Talks'!$M$4:$M$100003,"Process Safety",'Toolbox Talks'!$D$4:$D$100003,mCrit,'Toolbox Talks'!$F$4:$F$100003,dCrit)</f>
        <v>0</v>
      </c>
      <c r="G488" s="13" t="s">
        <v>24</v>
      </c>
      <c r="H488" s="22">
        <f>COUNTIFS('Toolbox Talks'!$O$4:$O$100003,"Unsatisfactory",'Toolbox Talks'!$D$4:$D$100003,mCrit,'Toolbox Talks'!$F$4:$F$100003,dCrit)</f>
        <v>0</v>
      </c>
      <c r="M488" s="13" t="s">
        <v>1965</v>
      </c>
      <c r="N488" s="22">
        <f>SUMIFS('Toolbox Talks'!$I$4:$I$100003,'Toolbox Talks'!$D$4:$D$100003,mCrit,'Toolbox Talks'!$F$4:$F$100003,dCrit)</f>
        <v>0</v>
      </c>
      <c r="P488" s="13" t="s">
        <v>65</v>
      </c>
      <c r="Q488" s="22">
        <f>COUNTIFS('Toolbox Talks'!$D$4:$D$100003,mCrit,'Toolbox Talks'!$F$4:$F$100003,"Safety")</f>
        <v>0</v>
      </c>
      <c r="R488" s="22">
        <f>COUNTIFS('Toolbox Talks'!$D$4:$D$100003,mCrit,'Toolbox Talks'!$F$4:$F$100003,"Safety")</f>
        <v>0</v>
      </c>
      <c r="S488" s="25">
        <f>IFERROR(AVERAGEIFS('Toolbox Talks'!$K$4:$K$100003,'Toolbox Talks'!$D$4:$D$100003,mCrit,'Toolbox Talks'!$F$4:$F$100003,"Safety"),0)</f>
        <v>0</v>
      </c>
    </row>
    <row r="489" spans="2:34">
      <c r="B489" s="23" t="s">
        <v>73</v>
      </c>
      <c r="C489" s="22">
        <f>COUNTIFS('Toolbox Talks'!$D$4:$D$100003,"Jun",'Toolbox Talks'!$F$4:$F$100003,dCrit)</f>
        <v>0</v>
      </c>
      <c r="E489" s="13" t="s">
        <v>99</v>
      </c>
      <c r="F489" s="22">
        <f>COUNTIFS('Toolbox Talks'!$M$4:$M$100003,"PPE",'Toolbox Talks'!$D$4:$D$100003,mCrit,'Toolbox Talks'!$F$4:$F$100003,dCrit)</f>
        <v>0</v>
      </c>
      <c r="M489" s="13" t="s">
        <v>1966</v>
      </c>
      <c r="N489" s="22">
        <f>SUMIFS('Toolbox Talks'!$J$4:$J$100003,'Toolbox Talks'!$D$4:$D$100003,mCrit,'Toolbox Talks'!$F$4:$F$100003,dCrit)</f>
        <v>0</v>
      </c>
      <c r="P489" s="13" t="s">
        <v>5</v>
      </c>
      <c r="Q489" s="22">
        <f>COUNTIFS('Toolbox Talks'!$D$4:$D$100003,mCrit,'Toolbox Talks'!$F$4:$F$100003,"Logistics")</f>
        <v>0</v>
      </c>
      <c r="R489" s="22">
        <f>COUNTIFS('Toolbox Talks'!$D$4:$D$100003,mCrit,'Toolbox Talks'!$F$4:$F$100003,"Logistics")</f>
        <v>0</v>
      </c>
      <c r="S489" s="25">
        <f>IFERROR(AVERAGEIFS('Toolbox Talks'!$K$4:$K$100003,'Toolbox Talks'!$D$4:$D$100003,mCrit,'Toolbox Talks'!$F$4:$F$100003,"Logistics"),0)</f>
        <v>0</v>
      </c>
    </row>
    <row r="490" spans="2:34">
      <c r="B490" s="23" t="s">
        <v>76</v>
      </c>
      <c r="C490" s="22">
        <f>COUNTIFS('Toolbox Talks'!$D$4:$D$100003,"Jul",'Toolbox Talks'!$F$4:$F$100003,dCrit)</f>
        <v>0</v>
      </c>
      <c r="M490" s="13" t="s">
        <v>1967</v>
      </c>
      <c r="N490" s="22">
        <f>IFERROR(AVERAGEIFS('Toolbox Talks'!$L$4:$L$100003,'Toolbox Talks'!$D$4:$D$100003,mCrit,'Toolbox Talks'!$F$4:$F$100003,dCrit),0)</f>
        <v>0</v>
      </c>
      <c r="P490" s="13" t="s">
        <v>50</v>
      </c>
      <c r="Q490" s="22">
        <f>COUNTIFS('Toolbox Talks'!$D$4:$D$100003,mCrit,'Toolbox Talks'!$F$4:$F$100003,"Quality")</f>
        <v>0</v>
      </c>
      <c r="R490" s="22">
        <f>COUNTIFS('Toolbox Talks'!$D$4:$D$100003,mCrit,'Toolbox Talks'!$F$4:$F$100003,"Quality")</f>
        <v>0</v>
      </c>
      <c r="S490" s="25">
        <f>IFERROR(AVERAGEIFS('Toolbox Talks'!$K$4:$K$100003,'Toolbox Talks'!$D$4:$D$100003,mCrit,'Toolbox Talks'!$F$4:$F$100003,"Quality"),0)</f>
        <v>0</v>
      </c>
    </row>
    <row r="491" spans="2:34">
      <c r="B491" s="23" t="s">
        <v>86</v>
      </c>
      <c r="C491" s="22">
        <f>COUNTIFS('Toolbox Talks'!$D$4:$D$100003,"Aug",'Toolbox Talks'!$F$4:$F$100003,dCrit)</f>
        <v>0</v>
      </c>
      <c r="M491" s="13" t="s">
        <v>1968</v>
      </c>
      <c r="N491" s="22">
        <f>--(COUNTIFS('Toolbox Talks'!$E$4:$E$100003,"PPE Usage",'Toolbox Talks'!$D$4:$D$100003,mCrit,'Toolbox Talks'!$F$4:$F$100003,dCrit)&gt;0)+--(COUNTIFS('Toolbox Talks'!$E$4:$E$100003,"Fire Safety",'Toolbox Talks'!$D$4:$D$100003,mCrit,'Toolbox Talks'!$F$4:$F$100003,dCrit)&gt;0)+--(COUNTIFS('Toolbox Talks'!$E$4:$E$100003,"Working at Heights",'Toolbox Talks'!$D$4:$D$100003,mCrit,'Toolbox Talks'!$F$4:$F$100003,dCrit)&gt;0)+--(COUNTIFS('Toolbox Talks'!$E$4:$E$100003,"Manual Handling",'Toolbox Talks'!$D$4:$D$100003,mCrit,'Toolbox Talks'!$F$4:$F$100003,dCrit)&gt;0)+--(COUNTIFS('Toolbox Talks'!$E$4:$E$100003,"Electrical Safety",'Toolbox Talks'!$D$4:$D$100003,mCrit,'Toolbox Talks'!$F$4:$F$100003,dCrit)&gt;0)+--(COUNTIFS('Toolbox Talks'!$E$4:$E$100003,"Chemical Safety",'Toolbox Talks'!$D$4:$D$100003,mCrit,'Toolbox Talks'!$F$4:$F$100003,dCrit)&gt;0)+--(COUNTIFS('Toolbox Talks'!$E$4:$E$100003,"Housekeeping",'Toolbox Talks'!$D$4:$D$100003,mCrit,'Toolbox Talks'!$F$4:$F$100003,dCrit)&gt;0)+--(COUNTIFS('Toolbox Talks'!$E$4:$E$100003,"Heat Stress",'Toolbox Talks'!$D$4:$D$100003,mCrit,'Toolbox Talks'!$F$4:$F$100003,dCrit)&gt;0)+--(COUNTIFS('Toolbox Talks'!$E$4:$E$100003,"Slip Trip Fall",'Toolbox Talks'!$D$4:$D$100003,mCrit,'Toolbox Talks'!$F$4:$F$100003,dCrit)&gt;0)+--(COUNTIFS('Toolbox Talks'!$E$4:$E$100003,"Confined Space",'Toolbox Talks'!$D$4:$D$100003,mCrit,'Toolbox Talks'!$F$4:$F$100003,dCrit)&gt;0)+--(COUNTIFS('Toolbox Talks'!$E$4:$E$100003,"LOTO",'Toolbox Talks'!$D$4:$D$100003,mCrit,'Toolbox Talks'!$F$4:$F$100003,dCrit)&gt;0)+--(COUNTIFS('Toolbox Talks'!$E$4:$E$100003,"Emergency Procedures",'Toolbox Talks'!$D$4:$D$100003,mCrit,'Toolbox Talks'!$F$4:$F$100003,dCrit)&gt;0)+--(COUNTIFS('Toolbox Talks'!$E$4:$E$100003,"Hot Work",'Toolbox Talks'!$D$4:$D$100003,mCrit,'Toolbox Talks'!$F$4:$F$100003,dCrit)&gt;0)+--(COUNTIFS('Toolbox Talks'!$E$4:$E$100003,"Machine Guarding",'Toolbox Talks'!$D$4:$D$100003,mCrit,'Toolbox Talks'!$F$4:$F$100003,dCrit)&gt;0)</f>
        <v>0</v>
      </c>
      <c r="P491" s="13" t="s">
        <v>46</v>
      </c>
      <c r="Q491" s="22">
        <f>COUNTIFS('Toolbox Talks'!$D$4:$D$100003,mCrit,'Toolbox Talks'!$F$4:$F$100003,"Admin")</f>
        <v>0</v>
      </c>
      <c r="R491" s="22">
        <f>COUNTIFS('Toolbox Talks'!$D$4:$D$100003,mCrit,'Toolbox Talks'!$F$4:$F$100003,"Admin")</f>
        <v>0</v>
      </c>
      <c r="S491" s="25">
        <f>IFERROR(AVERAGEIFS('Toolbox Talks'!$K$4:$K$100003,'Toolbox Talks'!$D$4:$D$100003,mCrit,'Toolbox Talks'!$F$4:$F$100003,"Admin"),0)</f>
        <v>0</v>
      </c>
    </row>
    <row r="492" spans="2:34">
      <c r="B492" s="23" t="s">
        <v>102</v>
      </c>
      <c r="C492" s="22">
        <f>COUNTIFS('Toolbox Talks'!$D$4:$D$100003,"Sep",'Toolbox Talks'!$F$4:$F$100003,dCrit)</f>
        <v>0</v>
      </c>
      <c r="P492" s="13" t="s">
        <v>13</v>
      </c>
      <c r="Q492" s="22">
        <f>COUNTIFS('Toolbox Talks'!$D$4:$D$100003,mCrit,'Toolbox Talks'!$F$4:$F$100003,"Projects")</f>
        <v>0</v>
      </c>
      <c r="R492" s="22">
        <f>COUNTIFS('Toolbox Talks'!$D$4:$D$100003,mCrit,'Toolbox Talks'!$F$4:$F$100003,"Projects")</f>
        <v>0</v>
      </c>
      <c r="S492" s="25">
        <f>IFERROR(AVERAGEIFS('Toolbox Talks'!$K$4:$K$100003,'Toolbox Talks'!$D$4:$D$100003,mCrit,'Toolbox Talks'!$F$4:$F$100003,"Projects"),0)</f>
        <v>0</v>
      </c>
    </row>
    <row r="493" spans="2:34">
      <c r="B493" s="23" t="s">
        <v>106</v>
      </c>
      <c r="C493" s="22">
        <f>COUNTIFS('Toolbox Talks'!$D$4:$D$100003,"Oct",'Toolbox Talks'!$F$4:$F$100003,dCrit)</f>
        <v>0</v>
      </c>
      <c r="P493" s="13" t="s">
        <v>58</v>
      </c>
      <c r="Q493" s="22">
        <f>COUNTIFS('Toolbox Talks'!$D$4:$D$100003,mCrit,'Toolbox Talks'!$F$4:$F$100003,"Contractor")</f>
        <v>0</v>
      </c>
      <c r="R493" s="22">
        <f>COUNTIFS('Toolbox Talks'!$D$4:$D$100003,mCrit,'Toolbox Talks'!$F$4:$F$100003,"Contractor")</f>
        <v>0</v>
      </c>
      <c r="S493" s="25">
        <f>IFERROR(AVERAGEIFS('Toolbox Talks'!$K$4:$K$100003,'Toolbox Talks'!$D$4:$D$100003,mCrit,'Toolbox Talks'!$F$4:$F$100003,"Contractor"),0)</f>
        <v>0</v>
      </c>
    </row>
    <row r="494" spans="2:34">
      <c r="B494" s="23" t="s">
        <v>111</v>
      </c>
      <c r="C494" s="22">
        <f>COUNTIFS('Toolbox Talks'!$D$4:$D$100003,"Nov",'Toolbox Talks'!$F$4:$F$100003,dCrit)</f>
        <v>0</v>
      </c>
    </row>
    <row r="495" spans="2:34">
      <c r="B495" s="23" t="s">
        <v>122</v>
      </c>
      <c r="C495" s="22">
        <f>COUNTIFS('Toolbox Talks'!$D$4:$D$100003,"Dec",'Toolbox Talks'!$F$4:$F$100003,dCrit)</f>
        <v>0</v>
      </c>
    </row>
    <row r="508" spans="2:34">
      <c r="B508" s="17" t="s">
        <v>1972</v>
      </c>
    </row>
    <row r="509" spans="2:34">
      <c r="B509" s="12" t="s">
        <v>127</v>
      </c>
      <c r="C509" s="12" t="s">
        <v>1887</v>
      </c>
      <c r="E509" s="12" t="s">
        <v>210</v>
      </c>
      <c r="F509" s="12" t="s">
        <v>1887</v>
      </c>
      <c r="G509" s="12" t="s">
        <v>212</v>
      </c>
      <c r="H509" s="12" t="s">
        <v>1887</v>
      </c>
      <c r="J509" s="12" t="s">
        <v>213</v>
      </c>
      <c r="K509" s="12" t="s">
        <v>1887</v>
      </c>
      <c r="M509" s="12" t="s">
        <v>1849</v>
      </c>
      <c r="N509" s="12" t="s">
        <v>1960</v>
      </c>
      <c r="P509" s="12" t="s">
        <v>129</v>
      </c>
      <c r="Q509" s="12" t="s">
        <v>1887</v>
      </c>
      <c r="R509" s="12" t="s">
        <v>1979</v>
      </c>
      <c r="S509" s="12" t="s">
        <v>1694</v>
      </c>
      <c r="U509" s="12" t="s">
        <v>1970</v>
      </c>
      <c r="V509" s="12" t="s">
        <v>3</v>
      </c>
      <c r="W509" s="12" t="s">
        <v>19</v>
      </c>
      <c r="X509" s="12" t="s">
        <v>44</v>
      </c>
      <c r="Y509" s="12" t="s">
        <v>53</v>
      </c>
      <c r="Z509" s="12" t="s">
        <v>60</v>
      </c>
      <c r="AA509" s="12" t="s">
        <v>73</v>
      </c>
      <c r="AB509" s="12" t="s">
        <v>76</v>
      </c>
      <c r="AC509" s="12" t="s">
        <v>86</v>
      </c>
      <c r="AD509" s="12" t="s">
        <v>102</v>
      </c>
      <c r="AE509" s="12" t="s">
        <v>106</v>
      </c>
      <c r="AF509" s="12" t="s">
        <v>111</v>
      </c>
      <c r="AG509" s="12" t="s">
        <v>122</v>
      </c>
      <c r="AH509" s="12" t="s">
        <v>1971</v>
      </c>
    </row>
    <row r="510" spans="2:34">
      <c r="B510" s="23" t="s">
        <v>3</v>
      </c>
      <c r="C510" s="22">
        <f>COUNTIFS('JSA Risk Assessment'!$D$4:$D$100003,"Jan",'JSA Risk Assessment'!$F$4:$F$100003,dCrit)</f>
        <v>0</v>
      </c>
      <c r="E510" s="13" t="s">
        <v>157</v>
      </c>
      <c r="F510" s="22">
        <f>COUNTIFS('JSA Risk Assessment'!$J$4:$J$100003,"Critical",'JSA Risk Assessment'!$D$4:$D$100003,mCrit,'JSA Risk Assessment'!$F$4:$F$100003,dCrit)</f>
        <v>0</v>
      </c>
      <c r="G510" s="13" t="s">
        <v>167</v>
      </c>
      <c r="H510" s="22">
        <f>COUNTIFS('JSA Risk Assessment'!$L$4:$L$100003,"HIRA",'JSA Risk Assessment'!$D$4:$D$100003,mCrit,'JSA Risk Assessment'!$F$4:$F$100003,dCrit)</f>
        <v>0</v>
      </c>
      <c r="J510" s="13" t="s">
        <v>144</v>
      </c>
      <c r="K510" s="22">
        <f>COUNTIFS('JSA Risk Assessment'!$M$4:$M$100003,"Approved",'JSA Risk Assessment'!$D$4:$D$100003,mCrit,'JSA Risk Assessment'!$F$4:$F$100003,dCrit)</f>
        <v>0</v>
      </c>
      <c r="M510" s="13" t="s">
        <v>1973</v>
      </c>
      <c r="N510" s="22">
        <f>COUNTIFS('JSA Risk Assessment'!$D$4:$D$100003,mCrit,'JSA Risk Assessment'!$F$4:$F$100003,dCrit)</f>
        <v>0</v>
      </c>
      <c r="P510" s="13" t="s">
        <v>27</v>
      </c>
      <c r="Q510" s="22">
        <f>COUNTIFS('JSA Risk Assessment'!$D$4:$D$100003,mCrit,'JSA Risk Assessment'!$F$4:$F$100003,"Operations")</f>
        <v>0</v>
      </c>
      <c r="R510" s="25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510" s="22">
        <f>COUNTIFS('JSA Risk Assessment'!$D$4:$D$100003,mCrit,'JSA Risk Assessment'!$F$4:$F$100003,"Operations")</f>
        <v>0</v>
      </c>
      <c r="U510" s="13" t="s">
        <v>1694</v>
      </c>
      <c r="V510" s="22">
        <f>COUNTIFS('JSA Risk Assessment'!$D$4:$D$100003,"Jan",'JSA Risk Assessment'!$F$4:$F$100003,dCrit)</f>
        <v>0</v>
      </c>
      <c r="W510" s="22">
        <f>COUNTIFS('JSA Risk Assessment'!$D$4:$D$100003,"Feb",'JSA Risk Assessment'!$F$4:$F$100003,dCrit)</f>
        <v>0</v>
      </c>
      <c r="X510" s="22">
        <f>COUNTIFS('JSA Risk Assessment'!$D$4:$D$100003,"Mar",'JSA Risk Assessment'!$F$4:$F$100003,dCrit)</f>
        <v>0</v>
      </c>
      <c r="Y510" s="22">
        <f>COUNTIFS('JSA Risk Assessment'!$D$4:$D$100003,"Apr",'JSA Risk Assessment'!$F$4:$F$100003,dCrit)</f>
        <v>0</v>
      </c>
      <c r="Z510" s="22">
        <f>COUNTIFS('JSA Risk Assessment'!$D$4:$D$100003,"May",'JSA Risk Assessment'!$F$4:$F$100003,dCrit)</f>
        <v>0</v>
      </c>
      <c r="AA510" s="22">
        <f>COUNTIFS('JSA Risk Assessment'!$D$4:$D$100003,"Jun",'JSA Risk Assessment'!$F$4:$F$100003,dCrit)</f>
        <v>0</v>
      </c>
      <c r="AB510" s="22">
        <f>COUNTIFS('JSA Risk Assessment'!$D$4:$D$100003,"Jul",'JSA Risk Assessment'!$F$4:$F$100003,dCrit)</f>
        <v>0</v>
      </c>
      <c r="AC510" s="22">
        <f>COUNTIFS('JSA Risk Assessment'!$D$4:$D$100003,"Aug",'JSA Risk Assessment'!$F$4:$F$100003,dCrit)</f>
        <v>0</v>
      </c>
      <c r="AD510" s="22">
        <f>COUNTIFS('JSA Risk Assessment'!$D$4:$D$100003,"Sep",'JSA Risk Assessment'!$F$4:$F$100003,dCrit)</f>
        <v>0</v>
      </c>
      <c r="AE510" s="22">
        <f>COUNTIFS('JSA Risk Assessment'!$D$4:$D$100003,"Oct",'JSA Risk Assessment'!$F$4:$F$100003,dCrit)</f>
        <v>0</v>
      </c>
      <c r="AF510" s="22">
        <f>COUNTIFS('JSA Risk Assessment'!$D$4:$D$100003,"Nov",'JSA Risk Assessment'!$F$4:$F$100003,dCrit)</f>
        <v>0</v>
      </c>
      <c r="AG510" s="22">
        <f>COUNTIFS('JSA Risk Assessment'!$D$4:$D$100003,"Dec",'JSA Risk Assessment'!$F$4:$F$100003,dCrit)</f>
        <v>0</v>
      </c>
      <c r="AH510" s="22">
        <f>SUM(V510:AG510)</f>
        <v>0</v>
      </c>
    </row>
    <row r="511" spans="2:34">
      <c r="B511" s="23" t="s">
        <v>19</v>
      </c>
      <c r="C511" s="22">
        <f>COUNTIFS('JSA Risk Assessment'!$D$4:$D$100003,"Feb",'JSA Risk Assessment'!$F$4:$F$100003,dCrit)</f>
        <v>0</v>
      </c>
      <c r="E511" s="13" t="s">
        <v>151</v>
      </c>
      <c r="F511" s="22">
        <f>COUNTIFS('JSA Risk Assessment'!$J$4:$J$100003,"High",'JSA Risk Assessment'!$D$4:$D$100003,mCrit,'JSA Risk Assessment'!$F$4:$F$100003,dCrit)</f>
        <v>0</v>
      </c>
      <c r="G511" s="13" t="s">
        <v>147</v>
      </c>
      <c r="H511" s="22">
        <f>COUNTIFS('JSA Risk Assessment'!$L$4:$L$100003,"Task RA",'JSA Risk Assessment'!$D$4:$D$100003,mCrit,'JSA Risk Assessment'!$F$4:$F$100003,dCrit)</f>
        <v>0</v>
      </c>
      <c r="J511" s="13" t="s">
        <v>148</v>
      </c>
      <c r="K511" s="22">
        <f>COUNTIFS('JSA Risk Assessment'!$M$4:$M$100003,"Pending Review",'JSA Risk Assessment'!$D$4:$D$100003,mCrit,'JSA Risk Assessment'!$F$4:$F$100003,dCrit)</f>
        <v>0</v>
      </c>
      <c r="M511" s="13" t="s">
        <v>144</v>
      </c>
      <c r="N511" s="22">
        <f>COUNTIFS('JSA Risk Assessment'!$M$4:$M$100003,"Approved",'JSA Risk Assessment'!$D$4:$D$100003,mCrit,'JSA Risk Assessment'!$F$4:$F$100003,dCrit)</f>
        <v>0</v>
      </c>
      <c r="P511" s="13" t="s">
        <v>92</v>
      </c>
      <c r="Q511" s="22">
        <f>COUNTIFS('JSA Risk Assessment'!$D$4:$D$100003,mCrit,'JSA Risk Assessment'!$F$4:$F$100003,"Maintenance")</f>
        <v>0</v>
      </c>
      <c r="R511" s="25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511" s="22">
        <f>COUNTIFS('JSA Risk Assessment'!$D$4:$D$100003,mCrit,'JSA Risk Assessment'!$F$4:$F$100003,"Maintenance")</f>
        <v>0</v>
      </c>
      <c r="U511" s="13" t="s">
        <v>1980</v>
      </c>
      <c r="V511" s="25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511" s="25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511" s="25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511" s="25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511" s="25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511" s="25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511" s="25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511" s="25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511" s="25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511" s="25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511" s="25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511" s="25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511" s="25">
        <f>IFERROR(AVERAGE(V511:AG511),0)</f>
        <v>0</v>
      </c>
    </row>
    <row r="512" spans="2:34">
      <c r="B512" s="23" t="s">
        <v>44</v>
      </c>
      <c r="C512" s="22">
        <f>COUNTIFS('JSA Risk Assessment'!$D$4:$D$100003,"Mar",'JSA Risk Assessment'!$F$4:$F$100003,dCrit)</f>
        <v>0</v>
      </c>
      <c r="E512" s="13" t="s">
        <v>142</v>
      </c>
      <c r="F512" s="22">
        <f>COUNTIFS('JSA Risk Assessment'!$J$4:$J$100003,"Medium",'JSA Risk Assessment'!$D$4:$D$100003,mCrit,'JSA Risk Assessment'!$F$4:$F$100003,dCrit)</f>
        <v>0</v>
      </c>
      <c r="G512" s="13" t="s">
        <v>152</v>
      </c>
      <c r="H512" s="22">
        <f>COUNTIFS('JSA Risk Assessment'!$L$4:$L$100003,"HAZOP",'JSA Risk Assessment'!$D$4:$D$100003,mCrit,'JSA Risk Assessment'!$F$4:$F$100003,dCrit)</f>
        <v>0</v>
      </c>
      <c r="J512" s="13" t="s">
        <v>165</v>
      </c>
      <c r="K512" s="22">
        <f>COUNTIFS('JSA Risk Assessment'!$M$4:$M$100003,"Revision Required",'JSA Risk Assessment'!$D$4:$D$100003,mCrit,'JSA Risk Assessment'!$F$4:$F$100003,dCrit)</f>
        <v>0</v>
      </c>
      <c r="M512" s="13" t="s">
        <v>302</v>
      </c>
      <c r="N512" s="22">
        <f>COUNTIFS('JSA Risk Assessment'!$M$4:$M$100003,"Pending Review",'JSA Risk Assessment'!$D$4:$D$100003,mCrit,'JSA Risk Assessment'!$F$4:$F$100003,dCrit)</f>
        <v>0</v>
      </c>
      <c r="P512" s="13" t="s">
        <v>39</v>
      </c>
      <c r="Q512" s="22">
        <f>COUNTIFS('JSA Risk Assessment'!$D$4:$D$100003,mCrit,'JSA Risk Assessment'!$F$4:$F$100003,"Engineering")</f>
        <v>0</v>
      </c>
      <c r="R512" s="25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512" s="22">
        <f>COUNTIFS('JSA Risk Assessment'!$D$4:$D$100003,mCrit,'JSA Risk Assessment'!$F$4:$F$100003,"Engineering")</f>
        <v>0</v>
      </c>
    </row>
    <row r="513" spans="2:19">
      <c r="B513" s="23" t="s">
        <v>53</v>
      </c>
      <c r="C513" s="22">
        <f>COUNTIFS('JSA Risk Assessment'!$D$4:$D$100003,"Apr",'JSA Risk Assessment'!$F$4:$F$100003,dCrit)</f>
        <v>0</v>
      </c>
      <c r="E513" s="13" t="s">
        <v>161</v>
      </c>
      <c r="F513" s="22">
        <f>COUNTIFS('JSA Risk Assessment'!$J$4:$J$100003,"Low",'JSA Risk Assessment'!$D$4:$D$100003,mCrit,'JSA Risk Assessment'!$F$4:$F$100003,dCrit)</f>
        <v>0</v>
      </c>
      <c r="G513" s="13" t="s">
        <v>158</v>
      </c>
      <c r="H513" s="22">
        <f>COUNTIFS('JSA Risk Assessment'!$L$4:$L$100003,"What-If",'JSA Risk Assessment'!$D$4:$D$100003,mCrit,'JSA Risk Assessment'!$F$4:$F$100003,dCrit)</f>
        <v>0</v>
      </c>
      <c r="J513" s="13" t="s">
        <v>168</v>
      </c>
      <c r="K513" s="22">
        <f>COUNTIFS('JSA Risk Assessment'!$M$4:$M$100003,"Rejected",'JSA Risk Assessment'!$D$4:$D$100003,mCrit,'JSA Risk Assessment'!$F$4:$F$100003,dCrit)</f>
        <v>0</v>
      </c>
      <c r="M513" s="13" t="s">
        <v>1974</v>
      </c>
      <c r="N513" s="22">
        <f>COUNTIFS('JSA Risk Assessment'!$J$4:$J$100003,"High",'JSA Risk Assessment'!$D$4:$D$100003,mCrit,'JSA Risk Assessment'!$F$4:$F$100003,dCrit)</f>
        <v>0</v>
      </c>
      <c r="P513" s="13" t="s">
        <v>89</v>
      </c>
      <c r="Q513" s="22">
        <f>COUNTIFS('JSA Risk Assessment'!$D$4:$D$100003,mCrit,'JSA Risk Assessment'!$F$4:$F$100003,"Construction")</f>
        <v>0</v>
      </c>
      <c r="R513" s="25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513" s="22">
        <f>COUNTIFS('JSA Risk Assessment'!$D$4:$D$100003,mCrit,'JSA Risk Assessment'!$F$4:$F$100003,"Construction")</f>
        <v>0</v>
      </c>
    </row>
    <row r="514" spans="2:19">
      <c r="B514" s="23" t="s">
        <v>60</v>
      </c>
      <c r="C514" s="22">
        <f>COUNTIFS('JSA Risk Assessment'!$D$4:$D$100003,"May",'JSA Risk Assessment'!$F$4:$F$100003,dCrit)</f>
        <v>0</v>
      </c>
      <c r="G514" s="13" t="s">
        <v>155</v>
      </c>
      <c r="H514" s="22">
        <f>COUNTIFS('JSA Risk Assessment'!$L$4:$L$100003,"Bow Tie",'JSA Risk Assessment'!$D$4:$D$100003,mCrit,'JSA Risk Assessment'!$F$4:$F$100003,dCrit)</f>
        <v>0</v>
      </c>
      <c r="M514" s="13" t="s">
        <v>1975</v>
      </c>
      <c r="N514" s="22">
        <f>COUNTIFS('JSA Risk Assessment'!$J$4:$J$100003,"Medium",'JSA Risk Assessment'!$D$4:$D$100003,mCrit,'JSA Risk Assessment'!$F$4:$F$100003,dCrit)</f>
        <v>0</v>
      </c>
      <c r="P514" s="13" t="s">
        <v>65</v>
      </c>
      <c r="Q514" s="22">
        <f>COUNTIFS('JSA Risk Assessment'!$D$4:$D$100003,mCrit,'JSA Risk Assessment'!$F$4:$F$100003,"Safety")</f>
        <v>0</v>
      </c>
      <c r="R514" s="25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514" s="22">
        <f>COUNTIFS('JSA Risk Assessment'!$D$4:$D$100003,mCrit,'JSA Risk Assessment'!$F$4:$F$100003,"Safety")</f>
        <v>0</v>
      </c>
    </row>
    <row r="515" spans="2:19">
      <c r="B515" s="23" t="s">
        <v>73</v>
      </c>
      <c r="C515" s="22">
        <f>COUNTIFS('JSA Risk Assessment'!$D$4:$D$100003,"Jun",'JSA Risk Assessment'!$F$4:$F$100003,dCrit)</f>
        <v>0</v>
      </c>
      <c r="G515" s="13" t="s">
        <v>143</v>
      </c>
      <c r="H515" s="22">
        <f>COUNTIFS('JSA Risk Assessment'!$L$4:$L$100003,"JSA",'JSA Risk Assessment'!$D$4:$D$100003,mCrit,'JSA Risk Assessment'!$F$4:$F$100003,dCrit)</f>
        <v>0</v>
      </c>
      <c r="M515" s="13" t="s">
        <v>1976</v>
      </c>
      <c r="N515" s="22">
        <f>COUNTIFS('JSA Risk Assessment'!$J$4:$J$100003,"Low",'JSA Risk Assessment'!$D$4:$D$100003,mCrit,'JSA Risk Assessment'!$F$4:$F$100003,dCrit)</f>
        <v>0</v>
      </c>
      <c r="P515" s="13" t="s">
        <v>5</v>
      </c>
      <c r="Q515" s="22">
        <f>COUNTIFS('JSA Risk Assessment'!$D$4:$D$100003,mCrit,'JSA Risk Assessment'!$F$4:$F$100003,"Logistics")</f>
        <v>0</v>
      </c>
      <c r="R515" s="25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515" s="22">
        <f>COUNTIFS('JSA Risk Assessment'!$D$4:$D$100003,mCrit,'JSA Risk Assessment'!$F$4:$F$100003,"Logistics")</f>
        <v>0</v>
      </c>
    </row>
    <row r="516" spans="2:19">
      <c r="B516" s="23" t="s">
        <v>76</v>
      </c>
      <c r="C516" s="22">
        <f>COUNTIFS('JSA Risk Assessment'!$D$4:$D$100003,"Jul",'JSA Risk Assessment'!$F$4:$F$100003,dCrit)</f>
        <v>0</v>
      </c>
      <c r="M516" s="13" t="s">
        <v>1977</v>
      </c>
      <c r="N516" s="22">
        <f>SUMIFS('JSA Risk Assessment'!$K$4:$K$100003,'JSA Risk Assessment'!$D$4:$D$100003,mCrit,'JSA Risk Assessment'!$F$4:$F$100003,dCrit)</f>
        <v>0</v>
      </c>
      <c r="P516" s="13" t="s">
        <v>50</v>
      </c>
      <c r="Q516" s="22">
        <f>COUNTIFS('JSA Risk Assessment'!$D$4:$D$100003,mCrit,'JSA Risk Assessment'!$F$4:$F$100003,"Quality")</f>
        <v>0</v>
      </c>
      <c r="R516" s="25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516" s="22">
        <f>COUNTIFS('JSA Risk Assessment'!$D$4:$D$100003,mCrit,'JSA Risk Assessment'!$F$4:$F$100003,"Quality")</f>
        <v>0</v>
      </c>
    </row>
    <row r="517" spans="2:19">
      <c r="B517" s="23" t="s">
        <v>86</v>
      </c>
      <c r="C517" s="22">
        <f>COUNTIFS('JSA Risk Assessment'!$D$4:$D$100003,"Aug",'JSA Risk Assessment'!$F$4:$F$100003,dCrit)</f>
        <v>0</v>
      </c>
      <c r="M517" s="13" t="s">
        <v>1978</v>
      </c>
      <c r="N517" s="22">
        <f>COUNTIFS('JSA Risk Assessment'!$O$4:$O$100003,"Compliant",'JSA Risk Assessment'!$D$4:$D$100003,mCrit,'JSA Risk Assessment'!$F$4:$F$100003,dCrit)</f>
        <v>0</v>
      </c>
      <c r="P517" s="13" t="s">
        <v>46</v>
      </c>
      <c r="Q517" s="22">
        <f>COUNTIFS('JSA Risk Assessment'!$D$4:$D$100003,mCrit,'JSA Risk Assessment'!$F$4:$F$100003,"Admin")</f>
        <v>0</v>
      </c>
      <c r="R517" s="25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517" s="22">
        <f>COUNTIFS('JSA Risk Assessment'!$D$4:$D$100003,mCrit,'JSA Risk Assessment'!$F$4:$F$100003,"Admin")</f>
        <v>0</v>
      </c>
    </row>
    <row r="518" spans="2:19">
      <c r="B518" s="23" t="s">
        <v>102</v>
      </c>
      <c r="C518" s="22">
        <f>COUNTIFS('JSA Risk Assessment'!$D$4:$D$100003,"Sep",'JSA Risk Assessment'!$F$4:$F$100003,dCrit)</f>
        <v>0</v>
      </c>
      <c r="P518" s="13" t="s">
        <v>13</v>
      </c>
      <c r="Q518" s="22">
        <f>COUNTIFS('JSA Risk Assessment'!$D$4:$D$100003,mCrit,'JSA Risk Assessment'!$F$4:$F$100003,"Projects")</f>
        <v>0</v>
      </c>
      <c r="R518" s="25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518" s="22">
        <f>COUNTIFS('JSA Risk Assessment'!$D$4:$D$100003,mCrit,'JSA Risk Assessment'!$F$4:$F$100003,"Projects")</f>
        <v>0</v>
      </c>
    </row>
    <row r="519" spans="2:19">
      <c r="B519" s="23" t="s">
        <v>106</v>
      </c>
      <c r="C519" s="22">
        <f>COUNTIFS('JSA Risk Assessment'!$D$4:$D$100003,"Oct",'JSA Risk Assessment'!$F$4:$F$100003,dCrit)</f>
        <v>0</v>
      </c>
      <c r="P519" s="13" t="s">
        <v>58</v>
      </c>
      <c r="Q519" s="22">
        <f>COUNTIFS('JSA Risk Assessment'!$D$4:$D$100003,mCrit,'JSA Risk Assessment'!$F$4:$F$100003,"Contractor")</f>
        <v>0</v>
      </c>
      <c r="R519" s="25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519" s="22">
        <f>COUNTIFS('JSA Risk Assessment'!$D$4:$D$100003,mCrit,'JSA Risk Assessment'!$F$4:$F$100003,"Contractor")</f>
        <v>0</v>
      </c>
    </row>
    <row r="520" spans="2:19">
      <c r="B520" s="23" t="s">
        <v>111</v>
      </c>
      <c r="C520" s="22">
        <f>COUNTIFS('JSA Risk Assessment'!$D$4:$D$100003,"Nov",'JSA Risk Assessment'!$F$4:$F$100003,dCrit)</f>
        <v>0</v>
      </c>
    </row>
    <row r="521" spans="2:19">
      <c r="B521" s="23" t="s">
        <v>122</v>
      </c>
      <c r="C521" s="22">
        <f>COUNTIFS('JSA Risk Assessment'!$D$4:$D$100003,"Dec",'JSA Risk Assessment'!$F$4:$F$100003,dCrit)</f>
        <v>0</v>
      </c>
    </row>
    <row r="534" spans="2:34">
      <c r="B534" s="17" t="s">
        <v>1981</v>
      </c>
    </row>
    <row r="535" spans="2:34">
      <c r="B535" s="12" t="s">
        <v>127</v>
      </c>
      <c r="C535" s="12" t="s">
        <v>1887</v>
      </c>
      <c r="E535" s="12" t="s">
        <v>282</v>
      </c>
      <c r="F535" s="12" t="s">
        <v>1887</v>
      </c>
      <c r="G535" s="12" t="s">
        <v>284</v>
      </c>
      <c r="H535" s="12" t="s">
        <v>1887</v>
      </c>
      <c r="J535" s="12" t="s">
        <v>286</v>
      </c>
      <c r="K535" s="12" t="s">
        <v>1887</v>
      </c>
      <c r="M535" s="12" t="s">
        <v>1849</v>
      </c>
      <c r="N535" s="12" t="s">
        <v>1960</v>
      </c>
      <c r="P535" s="12" t="s">
        <v>129</v>
      </c>
      <c r="Q535" s="12" t="s">
        <v>1887</v>
      </c>
      <c r="R535" s="12" t="s">
        <v>1979</v>
      </c>
      <c r="S535" s="12" t="s">
        <v>1969</v>
      </c>
      <c r="U535" s="12" t="s">
        <v>1970</v>
      </c>
      <c r="V535" s="12" t="s">
        <v>3</v>
      </c>
      <c r="W535" s="12" t="s">
        <v>19</v>
      </c>
      <c r="X535" s="12" t="s">
        <v>44</v>
      </c>
      <c r="Y535" s="12" t="s">
        <v>53</v>
      </c>
      <c r="Z535" s="12" t="s">
        <v>60</v>
      </c>
      <c r="AA535" s="12" t="s">
        <v>73</v>
      </c>
      <c r="AB535" s="12" t="s">
        <v>76</v>
      </c>
      <c r="AC535" s="12" t="s">
        <v>86</v>
      </c>
      <c r="AD535" s="12" t="s">
        <v>102</v>
      </c>
      <c r="AE535" s="12" t="s">
        <v>106</v>
      </c>
      <c r="AF535" s="12" t="s">
        <v>111</v>
      </c>
      <c r="AG535" s="12" t="s">
        <v>122</v>
      </c>
      <c r="AH535" s="12" t="s">
        <v>1971</v>
      </c>
    </row>
    <row r="536" spans="2:34">
      <c r="B536" s="23" t="s">
        <v>3</v>
      </c>
      <c r="C536" s="22">
        <f>COUNTIFS('Training'!$D$4:$D$100003,"Jan",'Training'!$G$4:$G$100003,dCrit)</f>
        <v>0</v>
      </c>
      <c r="E536" s="13" t="s">
        <v>237</v>
      </c>
      <c r="F536" s="22">
        <f>COUNTIFS('Training'!$F$4:$F$100003,"Induction",'Training'!$D$4:$D$100003,mCrit,'Training'!$G$4:$G$100003,dCrit)</f>
        <v>0</v>
      </c>
      <c r="G536" s="13" t="s">
        <v>240</v>
      </c>
      <c r="H536" s="22">
        <f>COUNTIFS('Training'!$I$4:$I$100003,"Internal",'Training'!$D$4:$D$100003,mCrit,'Training'!$G$4:$G$100003,dCrit)</f>
        <v>0</v>
      </c>
      <c r="J536" s="13" t="s">
        <v>220</v>
      </c>
      <c r="K536" s="22">
        <f>COUNTIFS('Training'!$N$4:$N$100003,"Completed",'Training'!$D$4:$D$100003,mCrit,'Training'!$G$4:$G$100003,dCrit)</f>
        <v>0</v>
      </c>
      <c r="M536" s="13" t="s">
        <v>1982</v>
      </c>
      <c r="N536" s="22">
        <f>COUNTIFS('Training'!$D$4:$D$100003,mCrit,'Training'!$G$4:$G$100003,dCrit)</f>
        <v>0</v>
      </c>
      <c r="P536" s="13" t="s">
        <v>27</v>
      </c>
      <c r="Q536" s="22">
        <f>COUNTIFS('Training'!$D$4:$D$100003,mCrit,'Training'!$G$4:$G$100003,"Operations")</f>
        <v>0</v>
      </c>
      <c r="R536" s="25">
        <f>IFERROR((COUNTIFS('Training'!$N$4:$N$100003,"Completed",'Training'!$D$4:$D$100003,mCrit,'Training'!$G$4:$G$100003,"Operations"))/COUNTIFS('Training'!$D$4:$D$100003,mCrit,'Training'!$G$4:$G$100003,"Operations")*100,0)</f>
        <v>0</v>
      </c>
      <c r="S536" s="25">
        <f>IFERROR(AVERAGEIFS('Training'!$L$4:$L$100003,'Training'!$D$4:$D$100003,mCrit,'Training'!$G$4:$G$100003,"Operations"),0)</f>
        <v>0</v>
      </c>
      <c r="U536" s="13" t="s">
        <v>1694</v>
      </c>
      <c r="V536" s="22">
        <f>COUNTIFS('Training'!$D$4:$D$100003,"Jan",'Training'!$G$4:$G$100003,dCrit)</f>
        <v>0</v>
      </c>
      <c r="W536" s="22">
        <f>COUNTIFS('Training'!$D$4:$D$100003,"Feb",'Training'!$G$4:$G$100003,dCrit)</f>
        <v>0</v>
      </c>
      <c r="X536" s="22">
        <f>COUNTIFS('Training'!$D$4:$D$100003,"Mar",'Training'!$G$4:$G$100003,dCrit)</f>
        <v>0</v>
      </c>
      <c r="Y536" s="22">
        <f>COUNTIFS('Training'!$D$4:$D$100003,"Apr",'Training'!$G$4:$G$100003,dCrit)</f>
        <v>0</v>
      </c>
      <c r="Z536" s="22">
        <f>COUNTIFS('Training'!$D$4:$D$100003,"May",'Training'!$G$4:$G$100003,dCrit)</f>
        <v>0</v>
      </c>
      <c r="AA536" s="22">
        <f>COUNTIFS('Training'!$D$4:$D$100003,"Jun",'Training'!$G$4:$G$100003,dCrit)</f>
        <v>0</v>
      </c>
      <c r="AB536" s="22">
        <f>COUNTIFS('Training'!$D$4:$D$100003,"Jul",'Training'!$G$4:$G$100003,dCrit)</f>
        <v>0</v>
      </c>
      <c r="AC536" s="22">
        <f>COUNTIFS('Training'!$D$4:$D$100003,"Aug",'Training'!$G$4:$G$100003,dCrit)</f>
        <v>0</v>
      </c>
      <c r="AD536" s="22">
        <f>COUNTIFS('Training'!$D$4:$D$100003,"Sep",'Training'!$G$4:$G$100003,dCrit)</f>
        <v>0</v>
      </c>
      <c r="AE536" s="22">
        <f>COUNTIFS('Training'!$D$4:$D$100003,"Oct",'Training'!$G$4:$G$100003,dCrit)</f>
        <v>0</v>
      </c>
      <c r="AF536" s="22">
        <f>COUNTIFS('Training'!$D$4:$D$100003,"Nov",'Training'!$G$4:$G$100003,dCrit)</f>
        <v>0</v>
      </c>
      <c r="AG536" s="22">
        <f>COUNTIFS('Training'!$D$4:$D$100003,"Dec",'Training'!$G$4:$G$100003,dCrit)</f>
        <v>0</v>
      </c>
      <c r="AH536" s="22">
        <f>SUM(V536:AG536)</f>
        <v>0</v>
      </c>
    </row>
    <row r="537" spans="2:34">
      <c r="B537" s="23" t="s">
        <v>19</v>
      </c>
      <c r="C537" s="22">
        <f>COUNTIFS('Training'!$D$4:$D$100003,"Feb",'Training'!$G$4:$G$100003,dCrit)</f>
        <v>0</v>
      </c>
      <c r="E537" s="13" t="s">
        <v>235</v>
      </c>
      <c r="F537" s="22">
        <f>COUNTIFS('Training'!$F$4:$F$100003,"Refresher",'Training'!$D$4:$D$100003,mCrit,'Training'!$G$4:$G$100003,dCrit)</f>
        <v>0</v>
      </c>
      <c r="G537" s="13" t="s">
        <v>227</v>
      </c>
      <c r="H537" s="22">
        <f>COUNTIFS('Training'!$I$4:$I$100003,"External",'Training'!$D$4:$D$100003,mCrit,'Training'!$G$4:$G$100003,dCrit)</f>
        <v>0</v>
      </c>
      <c r="J537" s="13" t="s">
        <v>224</v>
      </c>
      <c r="K537" s="22">
        <f>COUNTIFS('Training'!$N$4:$N$100003,"In Progress",'Training'!$D$4:$D$100003,mCrit,'Training'!$G$4:$G$100003,dCrit)</f>
        <v>0</v>
      </c>
      <c r="M537" s="13" t="s">
        <v>220</v>
      </c>
      <c r="N537" s="22">
        <f>COUNTIFS('Training'!$N$4:$N$100003,"Completed",'Training'!$D$4:$D$100003,mCrit,'Training'!$G$4:$G$100003,dCrit)</f>
        <v>0</v>
      </c>
      <c r="P537" s="13" t="s">
        <v>92</v>
      </c>
      <c r="Q537" s="22">
        <f>COUNTIFS('Training'!$D$4:$D$100003,mCrit,'Training'!$G$4:$G$100003,"Maintenance")</f>
        <v>0</v>
      </c>
      <c r="R537" s="25">
        <f>IFERROR((COUNTIFS('Training'!$N$4:$N$100003,"Completed",'Training'!$D$4:$D$100003,mCrit,'Training'!$G$4:$G$100003,"Maintenance"))/COUNTIFS('Training'!$D$4:$D$100003,mCrit,'Training'!$G$4:$G$100003,"Maintenance")*100,0)</f>
        <v>0</v>
      </c>
      <c r="S537" s="25">
        <f>IFERROR(AVERAGEIFS('Training'!$L$4:$L$100003,'Training'!$D$4:$D$100003,mCrit,'Training'!$G$4:$G$100003,"Maintenance"),0)</f>
        <v>0</v>
      </c>
      <c r="U537" s="13" t="s">
        <v>1980</v>
      </c>
      <c r="V537" s="25">
        <f>IFERROR((COUNTIFS('Training'!$N$4:$N$100003,"Completed",'Training'!$D$4:$D$100003,"Jan",'Training'!$G$4:$G$100003,dCrit))/COUNTIFS('Training'!$D$4:$D$100003,"Jan",'Training'!$G$4:$G$100003,dCrit)*100,0)</f>
        <v>0</v>
      </c>
      <c r="W537" s="25">
        <f>IFERROR((COUNTIFS('Training'!$N$4:$N$100003,"Completed",'Training'!$D$4:$D$100003,"Feb",'Training'!$G$4:$G$100003,dCrit))/COUNTIFS('Training'!$D$4:$D$100003,"Feb",'Training'!$G$4:$G$100003,dCrit)*100,0)</f>
        <v>0</v>
      </c>
      <c r="X537" s="25">
        <f>IFERROR((COUNTIFS('Training'!$N$4:$N$100003,"Completed",'Training'!$D$4:$D$100003,"Mar",'Training'!$G$4:$G$100003,dCrit))/COUNTIFS('Training'!$D$4:$D$100003,"Mar",'Training'!$G$4:$G$100003,dCrit)*100,0)</f>
        <v>0</v>
      </c>
      <c r="Y537" s="25">
        <f>IFERROR((COUNTIFS('Training'!$N$4:$N$100003,"Completed",'Training'!$D$4:$D$100003,"Apr",'Training'!$G$4:$G$100003,dCrit))/COUNTIFS('Training'!$D$4:$D$100003,"Apr",'Training'!$G$4:$G$100003,dCrit)*100,0)</f>
        <v>0</v>
      </c>
      <c r="Z537" s="25">
        <f>IFERROR((COUNTIFS('Training'!$N$4:$N$100003,"Completed",'Training'!$D$4:$D$100003,"May",'Training'!$G$4:$G$100003,dCrit))/COUNTIFS('Training'!$D$4:$D$100003,"May",'Training'!$G$4:$G$100003,dCrit)*100,0)</f>
        <v>0</v>
      </c>
      <c r="AA537" s="25">
        <f>IFERROR((COUNTIFS('Training'!$N$4:$N$100003,"Completed",'Training'!$D$4:$D$100003,"Jun",'Training'!$G$4:$G$100003,dCrit))/COUNTIFS('Training'!$D$4:$D$100003,"Jun",'Training'!$G$4:$G$100003,dCrit)*100,0)</f>
        <v>0</v>
      </c>
      <c r="AB537" s="25">
        <f>IFERROR((COUNTIFS('Training'!$N$4:$N$100003,"Completed",'Training'!$D$4:$D$100003,"Jul",'Training'!$G$4:$G$100003,dCrit))/COUNTIFS('Training'!$D$4:$D$100003,"Jul",'Training'!$G$4:$G$100003,dCrit)*100,0)</f>
        <v>0</v>
      </c>
      <c r="AC537" s="25">
        <f>IFERROR((COUNTIFS('Training'!$N$4:$N$100003,"Completed",'Training'!$D$4:$D$100003,"Aug",'Training'!$G$4:$G$100003,dCrit))/COUNTIFS('Training'!$D$4:$D$100003,"Aug",'Training'!$G$4:$G$100003,dCrit)*100,0)</f>
        <v>0</v>
      </c>
      <c r="AD537" s="25">
        <f>IFERROR((COUNTIFS('Training'!$N$4:$N$100003,"Completed",'Training'!$D$4:$D$100003,"Sep",'Training'!$G$4:$G$100003,dCrit))/COUNTIFS('Training'!$D$4:$D$100003,"Sep",'Training'!$G$4:$G$100003,dCrit)*100,0)</f>
        <v>0</v>
      </c>
      <c r="AE537" s="25">
        <f>IFERROR((COUNTIFS('Training'!$N$4:$N$100003,"Completed",'Training'!$D$4:$D$100003,"Oct",'Training'!$G$4:$G$100003,dCrit))/COUNTIFS('Training'!$D$4:$D$100003,"Oct",'Training'!$G$4:$G$100003,dCrit)*100,0)</f>
        <v>0</v>
      </c>
      <c r="AF537" s="25">
        <f>IFERROR((COUNTIFS('Training'!$N$4:$N$100003,"Completed",'Training'!$D$4:$D$100003,"Nov",'Training'!$G$4:$G$100003,dCrit))/COUNTIFS('Training'!$D$4:$D$100003,"Nov",'Training'!$G$4:$G$100003,dCrit)*100,0)</f>
        <v>0</v>
      </c>
      <c r="AG537" s="25">
        <f>IFERROR((COUNTIFS('Training'!$N$4:$N$100003,"Completed",'Training'!$D$4:$D$100003,"Dec",'Training'!$G$4:$G$100003,dCrit))/COUNTIFS('Training'!$D$4:$D$100003,"Dec",'Training'!$G$4:$G$100003,dCrit)*100,0)</f>
        <v>0</v>
      </c>
      <c r="AH537" s="25">
        <f>IFERROR(AVERAGE(V537:AG537),0)</f>
        <v>0</v>
      </c>
    </row>
    <row r="538" spans="2:34">
      <c r="B538" s="23" t="s">
        <v>44</v>
      </c>
      <c r="C538" s="22">
        <f>COUNTIFS('Training'!$D$4:$D$100003,"Mar",'Training'!$G$4:$G$100003,dCrit)</f>
        <v>0</v>
      </c>
      <c r="E538" s="13" t="s">
        <v>229</v>
      </c>
      <c r="F538" s="22">
        <f>COUNTIFS('Training'!$F$4:$F$100003,"Advanced",'Training'!$D$4:$D$100003,mCrit,'Training'!$G$4:$G$100003,dCrit)</f>
        <v>0</v>
      </c>
      <c r="G538" s="13" t="s">
        <v>219</v>
      </c>
      <c r="H538" s="22">
        <f>COUNTIFS('Training'!$I$4:$I$100003,"Online",'Training'!$D$4:$D$100003,mCrit,'Training'!$G$4:$G$100003,dCrit)</f>
        <v>0</v>
      </c>
      <c r="J538" s="13" t="s">
        <v>230</v>
      </c>
      <c r="K538" s="22">
        <f>COUNTIFS('Training'!$N$4:$N$100003,"Scheduled",'Training'!$D$4:$D$100003,mCrit,'Training'!$G$4:$G$100003,dCrit)</f>
        <v>0</v>
      </c>
      <c r="M538" s="13" t="s">
        <v>224</v>
      </c>
      <c r="N538" s="22">
        <f>COUNTIFS('Training'!$N$4:$N$100003,"In Progress",'Training'!$D$4:$D$100003,mCrit,'Training'!$G$4:$G$100003,dCrit)</f>
        <v>0</v>
      </c>
      <c r="P538" s="13" t="s">
        <v>39</v>
      </c>
      <c r="Q538" s="22">
        <f>COUNTIFS('Training'!$D$4:$D$100003,mCrit,'Training'!$G$4:$G$100003,"Engineering")</f>
        <v>0</v>
      </c>
      <c r="R538" s="25">
        <f>IFERROR((COUNTIFS('Training'!$N$4:$N$100003,"Completed",'Training'!$D$4:$D$100003,mCrit,'Training'!$G$4:$G$100003,"Engineering"))/COUNTIFS('Training'!$D$4:$D$100003,mCrit,'Training'!$G$4:$G$100003,"Engineering")*100,0)</f>
        <v>0</v>
      </c>
      <c r="S538" s="25">
        <f>IFERROR(AVERAGEIFS('Training'!$L$4:$L$100003,'Training'!$D$4:$D$100003,mCrit,'Training'!$G$4:$G$100003,"Engineering"),0)</f>
        <v>0</v>
      </c>
      <c r="U538" s="13" t="s">
        <v>1969</v>
      </c>
      <c r="V538" s="25">
        <f>IFERROR(AVERAGEIFS('Training'!$L$4:$L$100003,'Training'!$D$4:$D$100003,"Jan",'Training'!$G$4:$G$100003,dCrit),0)</f>
        <v>0</v>
      </c>
      <c r="W538" s="25">
        <f>IFERROR(AVERAGEIFS('Training'!$L$4:$L$100003,'Training'!$D$4:$D$100003,"Feb",'Training'!$G$4:$G$100003,dCrit),0)</f>
        <v>0</v>
      </c>
      <c r="X538" s="25">
        <f>IFERROR(AVERAGEIFS('Training'!$L$4:$L$100003,'Training'!$D$4:$D$100003,"Mar",'Training'!$G$4:$G$100003,dCrit),0)</f>
        <v>0</v>
      </c>
      <c r="Y538" s="25">
        <f>IFERROR(AVERAGEIFS('Training'!$L$4:$L$100003,'Training'!$D$4:$D$100003,"Apr",'Training'!$G$4:$G$100003,dCrit),0)</f>
        <v>0</v>
      </c>
      <c r="Z538" s="25">
        <f>IFERROR(AVERAGEIFS('Training'!$L$4:$L$100003,'Training'!$D$4:$D$100003,"May",'Training'!$G$4:$G$100003,dCrit),0)</f>
        <v>0</v>
      </c>
      <c r="AA538" s="25">
        <f>IFERROR(AVERAGEIFS('Training'!$L$4:$L$100003,'Training'!$D$4:$D$100003,"Jun",'Training'!$G$4:$G$100003,dCrit),0)</f>
        <v>0</v>
      </c>
      <c r="AB538" s="25">
        <f>IFERROR(AVERAGEIFS('Training'!$L$4:$L$100003,'Training'!$D$4:$D$100003,"Jul",'Training'!$G$4:$G$100003,dCrit),0)</f>
        <v>0</v>
      </c>
      <c r="AC538" s="25">
        <f>IFERROR(AVERAGEIFS('Training'!$L$4:$L$100003,'Training'!$D$4:$D$100003,"Aug",'Training'!$G$4:$G$100003,dCrit),0)</f>
        <v>0</v>
      </c>
      <c r="AD538" s="25">
        <f>IFERROR(AVERAGEIFS('Training'!$L$4:$L$100003,'Training'!$D$4:$D$100003,"Sep",'Training'!$G$4:$G$100003,dCrit),0)</f>
        <v>0</v>
      </c>
      <c r="AE538" s="25">
        <f>IFERROR(AVERAGEIFS('Training'!$L$4:$L$100003,'Training'!$D$4:$D$100003,"Oct",'Training'!$G$4:$G$100003,dCrit),0)</f>
        <v>0</v>
      </c>
      <c r="AF538" s="25">
        <f>IFERROR(AVERAGEIFS('Training'!$L$4:$L$100003,'Training'!$D$4:$D$100003,"Nov",'Training'!$G$4:$G$100003,dCrit),0)</f>
        <v>0</v>
      </c>
      <c r="AG538" s="25">
        <f>IFERROR(AVERAGEIFS('Training'!$L$4:$L$100003,'Training'!$D$4:$D$100003,"Dec",'Training'!$G$4:$G$100003,dCrit),0)</f>
        <v>0</v>
      </c>
      <c r="AH538" s="25">
        <f>IFERROR(AVERAGE(V538:AG538),0)</f>
        <v>0</v>
      </c>
    </row>
    <row r="539" spans="2:34">
      <c r="B539" s="23" t="s">
        <v>53</v>
      </c>
      <c r="C539" s="22">
        <f>COUNTIFS('Training'!$D$4:$D$100003,"Apr",'Training'!$G$4:$G$100003,dCrit)</f>
        <v>0</v>
      </c>
      <c r="E539" s="13" t="s">
        <v>223</v>
      </c>
      <c r="F539" s="22">
        <f>COUNTIFS('Training'!$F$4:$F$100003,"On-the-Job",'Training'!$D$4:$D$100003,mCrit,'Training'!$G$4:$G$100003,dCrit)</f>
        <v>0</v>
      </c>
      <c r="G539" s="13" t="s">
        <v>223</v>
      </c>
      <c r="H539" s="22">
        <f>COUNTIFS('Training'!$I$4:$I$100003,"On-the-Job",'Training'!$D$4:$D$100003,mCrit,'Training'!$G$4:$G$100003,dCrit)</f>
        <v>0</v>
      </c>
      <c r="M539" s="13" t="s">
        <v>230</v>
      </c>
      <c r="N539" s="22">
        <f>COUNTIFS('Training'!$N$4:$N$100003,"Scheduled",'Training'!$D$4:$D$100003,mCrit,'Training'!$G$4:$G$100003,dCrit)</f>
        <v>0</v>
      </c>
      <c r="P539" s="13" t="s">
        <v>89</v>
      </c>
      <c r="Q539" s="22">
        <f>COUNTIFS('Training'!$D$4:$D$100003,mCrit,'Training'!$G$4:$G$100003,"Construction")</f>
        <v>0</v>
      </c>
      <c r="R539" s="25">
        <f>IFERROR((COUNTIFS('Training'!$N$4:$N$100003,"Completed",'Training'!$D$4:$D$100003,mCrit,'Training'!$G$4:$G$100003,"Construction"))/COUNTIFS('Training'!$D$4:$D$100003,mCrit,'Training'!$G$4:$G$100003,"Construction")*100,0)</f>
        <v>0</v>
      </c>
      <c r="S539" s="25">
        <f>IFERROR(AVERAGEIFS('Training'!$L$4:$L$100003,'Training'!$D$4:$D$100003,mCrit,'Training'!$G$4:$G$100003,"Construction"),0)</f>
        <v>0</v>
      </c>
    </row>
    <row r="540" spans="2:34">
      <c r="B540" s="23" t="s">
        <v>60</v>
      </c>
      <c r="C540" s="22">
        <f>COUNTIFS('Training'!$D$4:$D$100003,"May",'Training'!$G$4:$G$100003,dCrit)</f>
        <v>0</v>
      </c>
      <c r="E540" s="13" t="s">
        <v>218</v>
      </c>
      <c r="F540" s="22">
        <f>COUNTIFS('Training'!$F$4:$F$100003,"Awareness",'Training'!$D$4:$D$100003,mCrit,'Training'!$G$4:$G$100003,dCrit)</f>
        <v>0</v>
      </c>
      <c r="M540" s="13" t="s">
        <v>1969</v>
      </c>
      <c r="N540" s="25">
        <f>IFERROR(AVERAGEIFS('Training'!$L$4:$L$100003,'Training'!$D$4:$D$100003,mCrit,'Training'!$G$4:$G$100003,dCrit),0)</f>
        <v>0</v>
      </c>
      <c r="P540" s="13" t="s">
        <v>65</v>
      </c>
      <c r="Q540" s="22">
        <f>COUNTIFS('Training'!$D$4:$D$100003,mCrit,'Training'!$G$4:$G$100003,"Safety")</f>
        <v>0</v>
      </c>
      <c r="R540" s="25">
        <f>IFERROR((COUNTIFS('Training'!$N$4:$N$100003,"Completed",'Training'!$D$4:$D$100003,mCrit,'Training'!$G$4:$G$100003,"Safety"))/COUNTIFS('Training'!$D$4:$D$100003,mCrit,'Training'!$G$4:$G$100003,"Safety")*100,0)</f>
        <v>0</v>
      </c>
      <c r="S540" s="25">
        <f>IFERROR(AVERAGEIFS('Training'!$L$4:$L$100003,'Training'!$D$4:$D$100003,mCrit,'Training'!$G$4:$G$100003,"Safety"),0)</f>
        <v>0</v>
      </c>
    </row>
    <row r="541" spans="2:34">
      <c r="B541" s="23" t="s">
        <v>73</v>
      </c>
      <c r="C541" s="22">
        <f>COUNTIFS('Training'!$D$4:$D$100003,"Jun",'Training'!$G$4:$G$100003,dCrit)</f>
        <v>0</v>
      </c>
      <c r="E541" s="13" t="s">
        <v>233</v>
      </c>
      <c r="F541" s="22">
        <f>COUNTIFS('Training'!$F$4:$F$100003,"Competency",'Training'!$D$4:$D$100003,mCrit,'Training'!$G$4:$G$100003,dCrit)</f>
        <v>0</v>
      </c>
      <c r="M541" s="13" t="s">
        <v>1983</v>
      </c>
      <c r="N541" s="22">
        <f>SUMIFS('Training'!$M$4:$M$100003,'Training'!$D$4:$D$100003,mCrit,'Training'!$G$4:$G$100003,dCrit)</f>
        <v>0</v>
      </c>
      <c r="P541" s="13" t="s">
        <v>5</v>
      </c>
      <c r="Q541" s="22">
        <f>COUNTIFS('Training'!$D$4:$D$100003,mCrit,'Training'!$G$4:$G$100003,"Logistics")</f>
        <v>0</v>
      </c>
      <c r="R541" s="25">
        <f>IFERROR((COUNTIFS('Training'!$N$4:$N$100003,"Completed",'Training'!$D$4:$D$100003,mCrit,'Training'!$G$4:$G$100003,"Logistics"))/COUNTIFS('Training'!$D$4:$D$100003,mCrit,'Training'!$G$4:$G$100003,"Logistics")*100,0)</f>
        <v>0</v>
      </c>
      <c r="S541" s="25">
        <f>IFERROR(AVERAGEIFS('Training'!$L$4:$L$100003,'Training'!$D$4:$D$100003,mCrit,'Training'!$G$4:$G$100003,"Logistics"),0)</f>
        <v>0</v>
      </c>
    </row>
    <row r="542" spans="2:34">
      <c r="B542" s="23" t="s">
        <v>76</v>
      </c>
      <c r="C542" s="22">
        <f>COUNTIFS('Training'!$D$4:$D$100003,"Jul",'Training'!$G$4:$G$100003,dCrit)</f>
        <v>0</v>
      </c>
      <c r="M542" s="13" t="s">
        <v>1984</v>
      </c>
      <c r="N542" s="25">
        <f>IFERROR((COUNTIFS('Training'!$O$4:$O$100003,"Pass",'Training'!$D$4:$D$100003,mCrit,'Training'!$G$4:$G$100003,dCrit))/(COUNTIFS('Training'!$D$4:$D$100003,mCrit,'Training'!$G$4:$G$100003,dCrit))*100,0)</f>
        <v>0</v>
      </c>
      <c r="P542" s="13" t="s">
        <v>50</v>
      </c>
      <c r="Q542" s="22">
        <f>COUNTIFS('Training'!$D$4:$D$100003,mCrit,'Training'!$G$4:$G$100003,"Quality")</f>
        <v>0</v>
      </c>
      <c r="R542" s="25">
        <f>IFERROR((COUNTIFS('Training'!$N$4:$N$100003,"Completed",'Training'!$D$4:$D$100003,mCrit,'Training'!$G$4:$G$100003,"Quality"))/COUNTIFS('Training'!$D$4:$D$100003,mCrit,'Training'!$G$4:$G$100003,"Quality")*100,0)</f>
        <v>0</v>
      </c>
      <c r="S542" s="25">
        <f>IFERROR(AVERAGEIFS('Training'!$L$4:$L$100003,'Training'!$D$4:$D$100003,mCrit,'Training'!$G$4:$G$100003,"Quality"),0)</f>
        <v>0</v>
      </c>
    </row>
    <row r="543" spans="2:34">
      <c r="B543" s="23" t="s">
        <v>86</v>
      </c>
      <c r="C543" s="22">
        <f>COUNTIFS('Training'!$D$4:$D$100003,"Aug",'Training'!$G$4:$G$100003,dCrit)</f>
        <v>0</v>
      </c>
      <c r="M543" s="13" t="s">
        <v>1985</v>
      </c>
      <c r="N543" s="22">
        <f>COUNTIFS('Training'!$P$4:$P$100003,"Yes",'Training'!$D$4:$D$100003,mCrit,'Training'!$G$4:$G$100003,dCrit)</f>
        <v>0</v>
      </c>
      <c r="P543" s="13" t="s">
        <v>46</v>
      </c>
      <c r="Q543" s="22">
        <f>COUNTIFS('Training'!$D$4:$D$100003,mCrit,'Training'!$G$4:$G$100003,"Admin")</f>
        <v>0</v>
      </c>
      <c r="R543" s="25">
        <f>IFERROR((COUNTIFS('Training'!$N$4:$N$100003,"Completed",'Training'!$D$4:$D$100003,mCrit,'Training'!$G$4:$G$100003,"Admin"))/COUNTIFS('Training'!$D$4:$D$100003,mCrit,'Training'!$G$4:$G$100003,"Admin")*100,0)</f>
        <v>0</v>
      </c>
      <c r="S543" s="25">
        <f>IFERROR(AVERAGEIFS('Training'!$L$4:$L$100003,'Training'!$D$4:$D$100003,mCrit,'Training'!$G$4:$G$100003,"Admin"),0)</f>
        <v>0</v>
      </c>
    </row>
    <row r="544" spans="2:34">
      <c r="B544" s="23" t="s">
        <v>102</v>
      </c>
      <c r="C544" s="22">
        <f>COUNTIFS('Training'!$D$4:$D$100003,"Sep",'Training'!$G$4:$G$100003,dCrit)</f>
        <v>0</v>
      </c>
      <c r="P544" s="13" t="s">
        <v>13</v>
      </c>
      <c r="Q544" s="22">
        <f>COUNTIFS('Training'!$D$4:$D$100003,mCrit,'Training'!$G$4:$G$100003,"Projects")</f>
        <v>0</v>
      </c>
      <c r="R544" s="25">
        <f>IFERROR((COUNTIFS('Training'!$N$4:$N$100003,"Completed",'Training'!$D$4:$D$100003,mCrit,'Training'!$G$4:$G$100003,"Projects"))/COUNTIFS('Training'!$D$4:$D$100003,mCrit,'Training'!$G$4:$G$100003,"Projects")*100,0)</f>
        <v>0</v>
      </c>
      <c r="S544" s="25">
        <f>IFERROR(AVERAGEIFS('Training'!$L$4:$L$100003,'Training'!$D$4:$D$100003,mCrit,'Training'!$G$4:$G$100003,"Projects"),0)</f>
        <v>0</v>
      </c>
    </row>
    <row r="545" spans="2:19">
      <c r="B545" s="23" t="s">
        <v>106</v>
      </c>
      <c r="C545" s="22">
        <f>COUNTIFS('Training'!$D$4:$D$100003,"Oct",'Training'!$G$4:$G$100003,dCrit)</f>
        <v>0</v>
      </c>
      <c r="P545" s="13" t="s">
        <v>58</v>
      </c>
      <c r="Q545" s="22">
        <f>COUNTIFS('Training'!$D$4:$D$100003,mCrit,'Training'!$G$4:$G$100003,"Contractor")</f>
        <v>0</v>
      </c>
      <c r="R545" s="25">
        <f>IFERROR((COUNTIFS('Training'!$N$4:$N$100003,"Completed",'Training'!$D$4:$D$100003,mCrit,'Training'!$G$4:$G$100003,"Contractor"))/COUNTIFS('Training'!$D$4:$D$100003,mCrit,'Training'!$G$4:$G$100003,"Contractor")*100,0)</f>
        <v>0</v>
      </c>
      <c r="S545" s="25">
        <f>IFERROR(AVERAGEIFS('Training'!$L$4:$L$100003,'Training'!$D$4:$D$100003,mCrit,'Training'!$G$4:$G$100003,"Contractor"),0)</f>
        <v>0</v>
      </c>
    </row>
    <row r="546" spans="2:19">
      <c r="B546" s="23" t="s">
        <v>111</v>
      </c>
      <c r="C546" s="22">
        <f>COUNTIFS('Training'!$D$4:$D$100003,"Nov",'Training'!$G$4:$G$100003,dCrit)</f>
        <v>0</v>
      </c>
    </row>
    <row r="547" spans="2:19">
      <c r="B547" s="23" t="s">
        <v>122</v>
      </c>
      <c r="C547" s="22">
        <f>COUNTIFS('Training'!$D$4:$D$100003,"Dec",'Training'!$G$4:$G$100003,dCrit)</f>
        <v>0</v>
      </c>
    </row>
    <row r="560" spans="2:19">
      <c r="B560" s="17" t="s">
        <v>1986</v>
      </c>
    </row>
    <row r="561" spans="2:34">
      <c r="B561" s="12" t="s">
        <v>127</v>
      </c>
      <c r="C561" s="12" t="s">
        <v>1887</v>
      </c>
      <c r="E561" s="12" t="s">
        <v>352</v>
      </c>
      <c r="F561" s="12" t="s">
        <v>1887</v>
      </c>
      <c r="G561" s="12" t="s">
        <v>356</v>
      </c>
      <c r="H561" s="12" t="s">
        <v>1887</v>
      </c>
      <c r="J561" s="12" t="s">
        <v>286</v>
      </c>
      <c r="K561" s="12" t="s">
        <v>1887</v>
      </c>
      <c r="M561" s="12" t="s">
        <v>1849</v>
      </c>
      <c r="N561" s="12" t="s">
        <v>1960</v>
      </c>
      <c r="P561" s="12" t="s">
        <v>129</v>
      </c>
      <c r="Q561" s="12" t="s">
        <v>1887</v>
      </c>
      <c r="R561" s="12" t="s">
        <v>1979</v>
      </c>
      <c r="S561" s="12" t="s">
        <v>1694</v>
      </c>
      <c r="U561" s="12" t="s">
        <v>1970</v>
      </c>
      <c r="V561" s="12" t="s">
        <v>3</v>
      </c>
      <c r="W561" s="12" t="s">
        <v>19</v>
      </c>
      <c r="X561" s="12" t="s">
        <v>44</v>
      </c>
      <c r="Y561" s="12" t="s">
        <v>53</v>
      </c>
      <c r="Z561" s="12" t="s">
        <v>60</v>
      </c>
      <c r="AA561" s="12" t="s">
        <v>73</v>
      </c>
      <c r="AB561" s="12" t="s">
        <v>76</v>
      </c>
      <c r="AC561" s="12" t="s">
        <v>86</v>
      </c>
      <c r="AD561" s="12" t="s">
        <v>102</v>
      </c>
      <c r="AE561" s="12" t="s">
        <v>106</v>
      </c>
      <c r="AF561" s="12" t="s">
        <v>111</v>
      </c>
      <c r="AG561" s="12" t="s">
        <v>122</v>
      </c>
      <c r="AH561" s="12" t="s">
        <v>1971</v>
      </c>
    </row>
    <row r="562" spans="2:34">
      <c r="B562" s="23" t="s">
        <v>3</v>
      </c>
      <c r="C562" s="22">
        <f>COUNTIFS('HSE Observations'!$D$4:$D$100003,"Jan",'HSE Observations'!$G$4:$G$100003,dCrit)</f>
        <v>0</v>
      </c>
      <c r="E562" s="13" t="s">
        <v>295</v>
      </c>
      <c r="F562" s="22">
        <f>COUNTIFS('HSE Observations'!$E$4:$E$100003,"Safe Act",'HSE Observations'!$D$4:$D$100003,mCrit,'HSE Observations'!$G$4:$G$100003,dCrit)</f>
        <v>0</v>
      </c>
      <c r="G562" s="13" t="s">
        <v>33</v>
      </c>
      <c r="H562" s="22">
        <f>COUNTIFS('HSE Observations'!$K$4:$K$100003,"BBS",'HSE Observations'!$D$4:$D$100003,mCrit,'HSE Observations'!$G$4:$G$100003,dCrit)</f>
        <v>0</v>
      </c>
      <c r="J562" s="13" t="s">
        <v>220</v>
      </c>
      <c r="K562" s="22">
        <f>COUNTIFS('HSE Observations'!$M$4:$M$100003,"Completed",'HSE Observations'!$D$4:$D$100003,mCrit,'HSE Observations'!$G$4:$G$100003,dCrit)</f>
        <v>0</v>
      </c>
      <c r="M562" s="13" t="s">
        <v>1987</v>
      </c>
      <c r="N562" s="22">
        <f>COUNTIFS('HSE Observations'!$D$4:$D$100003,mCrit,'HSE Observations'!$G$4:$G$100003,dCrit)</f>
        <v>0</v>
      </c>
      <c r="P562" s="13" t="s">
        <v>27</v>
      </c>
      <c r="Q562" s="22">
        <f>COUNTIFS('HSE Observations'!$D$4:$D$100003,mCrit,'HSE Observations'!$G$4:$G$100003,"Operations")</f>
        <v>0</v>
      </c>
      <c r="R562" s="25">
        <f>IFERROR((COUNTIFS('HSE Observations'!$M$4:$M$100003,"Completed",'HSE Observations'!$D$4:$D$100003,mCrit,'HSE Observations'!$G$4:$G$100003,"Operations"))/COUNTIFS('HSE Observations'!$D$4:$D$100003,mCrit,'HSE Observations'!$G$4:$G$100003,"Operations")*100,0)</f>
        <v>0</v>
      </c>
      <c r="S562" s="22">
        <f>COUNTIFS('HSE Observations'!$D$4:$D$100003,mCrit,'HSE Observations'!$G$4:$G$100003,"Operations")</f>
        <v>0</v>
      </c>
      <c r="U562" s="13" t="s">
        <v>1694</v>
      </c>
      <c r="V562" s="22">
        <f>COUNTIFS('HSE Observations'!$D$4:$D$100003,"Jan",'HSE Observations'!$G$4:$G$100003,dCrit)</f>
        <v>0</v>
      </c>
      <c r="W562" s="22">
        <f>COUNTIFS('HSE Observations'!$D$4:$D$100003,"Feb",'HSE Observations'!$G$4:$G$100003,dCrit)</f>
        <v>0</v>
      </c>
      <c r="X562" s="22">
        <f>COUNTIFS('HSE Observations'!$D$4:$D$100003,"Mar",'HSE Observations'!$G$4:$G$100003,dCrit)</f>
        <v>0</v>
      </c>
      <c r="Y562" s="22">
        <f>COUNTIFS('HSE Observations'!$D$4:$D$100003,"Apr",'HSE Observations'!$G$4:$G$100003,dCrit)</f>
        <v>0</v>
      </c>
      <c r="Z562" s="22">
        <f>COUNTIFS('HSE Observations'!$D$4:$D$100003,"May",'HSE Observations'!$G$4:$G$100003,dCrit)</f>
        <v>0</v>
      </c>
      <c r="AA562" s="22">
        <f>COUNTIFS('HSE Observations'!$D$4:$D$100003,"Jun",'HSE Observations'!$G$4:$G$100003,dCrit)</f>
        <v>0</v>
      </c>
      <c r="AB562" s="22">
        <f>COUNTIFS('HSE Observations'!$D$4:$D$100003,"Jul",'HSE Observations'!$G$4:$G$100003,dCrit)</f>
        <v>0</v>
      </c>
      <c r="AC562" s="22">
        <f>COUNTIFS('HSE Observations'!$D$4:$D$100003,"Aug",'HSE Observations'!$G$4:$G$100003,dCrit)</f>
        <v>0</v>
      </c>
      <c r="AD562" s="22">
        <f>COUNTIFS('HSE Observations'!$D$4:$D$100003,"Sep",'HSE Observations'!$G$4:$G$100003,dCrit)</f>
        <v>0</v>
      </c>
      <c r="AE562" s="22">
        <f>COUNTIFS('HSE Observations'!$D$4:$D$100003,"Oct",'HSE Observations'!$G$4:$G$100003,dCrit)</f>
        <v>0</v>
      </c>
      <c r="AF562" s="22">
        <f>COUNTIFS('HSE Observations'!$D$4:$D$100003,"Nov",'HSE Observations'!$G$4:$G$100003,dCrit)</f>
        <v>0</v>
      </c>
      <c r="AG562" s="22">
        <f>COUNTIFS('HSE Observations'!$D$4:$D$100003,"Dec",'HSE Observations'!$G$4:$G$100003,dCrit)</f>
        <v>0</v>
      </c>
      <c r="AH562" s="22">
        <f>SUM(V562:AG562)</f>
        <v>0</v>
      </c>
    </row>
    <row r="563" spans="2:34">
      <c r="B563" s="23" t="s">
        <v>19</v>
      </c>
      <c r="C563" s="22">
        <f>COUNTIFS('HSE Observations'!$D$4:$D$100003,"Feb",'HSE Observations'!$G$4:$G$100003,dCrit)</f>
        <v>0</v>
      </c>
      <c r="E563" s="13" t="s">
        <v>305</v>
      </c>
      <c r="F563" s="22">
        <f>COUNTIFS('HSE Observations'!$E$4:$E$100003,"Unsafe Act",'HSE Observations'!$D$4:$D$100003,mCrit,'HSE Observations'!$G$4:$G$100003,dCrit)</f>
        <v>0</v>
      </c>
      <c r="G563" s="13" t="s">
        <v>47</v>
      </c>
      <c r="H563" s="22">
        <f>COUNTIFS('HSE Observations'!$K$4:$K$100003,"General",'HSE Observations'!$D$4:$D$100003,mCrit,'HSE Observations'!$G$4:$G$100003,dCrit)</f>
        <v>0</v>
      </c>
      <c r="J563" s="13" t="s">
        <v>224</v>
      </c>
      <c r="K563" s="22">
        <f>COUNTIFS('HSE Observations'!$M$4:$M$100003,"In Progress",'HSE Observations'!$D$4:$D$100003,mCrit,'HSE Observations'!$G$4:$G$100003,dCrit)</f>
        <v>0</v>
      </c>
      <c r="M563" s="13" t="s">
        <v>220</v>
      </c>
      <c r="N563" s="22">
        <f>COUNTIFS('HSE Observations'!$M$4:$M$100003,"Completed",'HSE Observations'!$D$4:$D$100003,mCrit,'HSE Observations'!$G$4:$G$100003,dCrit)</f>
        <v>0</v>
      </c>
      <c r="P563" s="13" t="s">
        <v>92</v>
      </c>
      <c r="Q563" s="22">
        <f>COUNTIFS('HSE Observations'!$D$4:$D$100003,mCrit,'HSE Observations'!$G$4:$G$100003,"Maintenance")</f>
        <v>0</v>
      </c>
      <c r="R563" s="25">
        <f>IFERROR((COUNTIFS('HSE Observations'!$M$4:$M$100003,"Completed",'HSE Observations'!$D$4:$D$100003,mCrit,'HSE Observations'!$G$4:$G$100003,"Maintenance"))/COUNTIFS('HSE Observations'!$D$4:$D$100003,mCrit,'HSE Observations'!$G$4:$G$100003,"Maintenance")*100,0)</f>
        <v>0</v>
      </c>
      <c r="S563" s="22">
        <f>COUNTIFS('HSE Observations'!$D$4:$D$100003,mCrit,'HSE Observations'!$G$4:$G$100003,"Maintenance")</f>
        <v>0</v>
      </c>
      <c r="U563" s="13" t="s">
        <v>1980</v>
      </c>
      <c r="V563" s="25">
        <f>IFERROR((COUNTIFS('HSE Observations'!$M$4:$M$100003,"Completed",'HSE Observations'!$D$4:$D$100003,"Jan",'HSE Observations'!$G$4:$G$100003,dCrit))/COUNTIFS('HSE Observations'!$D$4:$D$100003,"Jan",'HSE Observations'!$G$4:$G$100003,dCrit)*100,0)</f>
        <v>0</v>
      </c>
      <c r="W563" s="25">
        <f>IFERROR((COUNTIFS('HSE Observations'!$M$4:$M$100003,"Completed",'HSE Observations'!$D$4:$D$100003,"Feb",'HSE Observations'!$G$4:$G$100003,dCrit))/COUNTIFS('HSE Observations'!$D$4:$D$100003,"Feb",'HSE Observations'!$G$4:$G$100003,dCrit)*100,0)</f>
        <v>0</v>
      </c>
      <c r="X563" s="25">
        <f>IFERROR((COUNTIFS('HSE Observations'!$M$4:$M$100003,"Completed",'HSE Observations'!$D$4:$D$100003,"Mar",'HSE Observations'!$G$4:$G$100003,dCrit))/COUNTIFS('HSE Observations'!$D$4:$D$100003,"Mar",'HSE Observations'!$G$4:$G$100003,dCrit)*100,0)</f>
        <v>0</v>
      </c>
      <c r="Y563" s="25">
        <f>IFERROR((COUNTIFS('HSE Observations'!$M$4:$M$100003,"Completed",'HSE Observations'!$D$4:$D$100003,"Apr",'HSE Observations'!$G$4:$G$100003,dCrit))/COUNTIFS('HSE Observations'!$D$4:$D$100003,"Apr",'HSE Observations'!$G$4:$G$100003,dCrit)*100,0)</f>
        <v>0</v>
      </c>
      <c r="Z563" s="25">
        <f>IFERROR((COUNTIFS('HSE Observations'!$M$4:$M$100003,"Completed",'HSE Observations'!$D$4:$D$100003,"May",'HSE Observations'!$G$4:$G$100003,dCrit))/COUNTIFS('HSE Observations'!$D$4:$D$100003,"May",'HSE Observations'!$G$4:$G$100003,dCrit)*100,0)</f>
        <v>0</v>
      </c>
      <c r="AA563" s="25">
        <f>IFERROR((COUNTIFS('HSE Observations'!$M$4:$M$100003,"Completed",'HSE Observations'!$D$4:$D$100003,"Jun",'HSE Observations'!$G$4:$G$100003,dCrit))/COUNTIFS('HSE Observations'!$D$4:$D$100003,"Jun",'HSE Observations'!$G$4:$G$100003,dCrit)*100,0)</f>
        <v>0</v>
      </c>
      <c r="AB563" s="25">
        <f>IFERROR((COUNTIFS('HSE Observations'!$M$4:$M$100003,"Completed",'HSE Observations'!$D$4:$D$100003,"Jul",'HSE Observations'!$G$4:$G$100003,dCrit))/COUNTIFS('HSE Observations'!$D$4:$D$100003,"Jul",'HSE Observations'!$G$4:$G$100003,dCrit)*100,0)</f>
        <v>0</v>
      </c>
      <c r="AC563" s="25">
        <f>IFERROR((COUNTIFS('HSE Observations'!$M$4:$M$100003,"Completed",'HSE Observations'!$D$4:$D$100003,"Aug",'HSE Observations'!$G$4:$G$100003,dCrit))/COUNTIFS('HSE Observations'!$D$4:$D$100003,"Aug",'HSE Observations'!$G$4:$G$100003,dCrit)*100,0)</f>
        <v>0</v>
      </c>
      <c r="AD563" s="25">
        <f>IFERROR((COUNTIFS('HSE Observations'!$M$4:$M$100003,"Completed",'HSE Observations'!$D$4:$D$100003,"Sep",'HSE Observations'!$G$4:$G$100003,dCrit))/COUNTIFS('HSE Observations'!$D$4:$D$100003,"Sep",'HSE Observations'!$G$4:$G$100003,dCrit)*100,0)</f>
        <v>0</v>
      </c>
      <c r="AE563" s="25">
        <f>IFERROR((COUNTIFS('HSE Observations'!$M$4:$M$100003,"Completed",'HSE Observations'!$D$4:$D$100003,"Oct",'HSE Observations'!$G$4:$G$100003,dCrit))/COUNTIFS('HSE Observations'!$D$4:$D$100003,"Oct",'HSE Observations'!$G$4:$G$100003,dCrit)*100,0)</f>
        <v>0</v>
      </c>
      <c r="AF563" s="25">
        <f>IFERROR((COUNTIFS('HSE Observations'!$M$4:$M$100003,"Completed",'HSE Observations'!$D$4:$D$100003,"Nov",'HSE Observations'!$G$4:$G$100003,dCrit))/COUNTIFS('HSE Observations'!$D$4:$D$100003,"Nov",'HSE Observations'!$G$4:$G$100003,dCrit)*100,0)</f>
        <v>0</v>
      </c>
      <c r="AG563" s="25">
        <f>IFERROR((COUNTIFS('HSE Observations'!$M$4:$M$100003,"Completed",'HSE Observations'!$D$4:$D$100003,"Dec",'HSE Observations'!$G$4:$G$100003,dCrit))/COUNTIFS('HSE Observations'!$D$4:$D$100003,"Dec",'HSE Observations'!$G$4:$G$100003,dCrit)*100,0)</f>
        <v>0</v>
      </c>
      <c r="AH563" s="25">
        <f>IFERROR(AVERAGE(V563:AG563),0)</f>
        <v>0</v>
      </c>
    </row>
    <row r="564" spans="2:34">
      <c r="B564" s="23" t="s">
        <v>44</v>
      </c>
      <c r="C564" s="22">
        <f>COUNTIFS('HSE Observations'!$D$4:$D$100003,"Mar",'HSE Observations'!$G$4:$G$100003,dCrit)</f>
        <v>0</v>
      </c>
      <c r="E564" s="13" t="s">
        <v>315</v>
      </c>
      <c r="F564" s="22">
        <f>COUNTIFS('HSE Observations'!$E$4:$E$100003,"Safe Condition",'HSE Observations'!$D$4:$D$100003,mCrit,'HSE Observations'!$G$4:$G$100003,dCrit)</f>
        <v>0</v>
      </c>
      <c r="G564" s="13" t="s">
        <v>99</v>
      </c>
      <c r="H564" s="22">
        <f>COUNTIFS('HSE Observations'!$K$4:$K$100003,"PPE",'HSE Observations'!$D$4:$D$100003,mCrit,'HSE Observations'!$G$4:$G$100003,dCrit)</f>
        <v>0</v>
      </c>
      <c r="J564" s="13" t="s">
        <v>302</v>
      </c>
      <c r="K564" s="22">
        <f>COUNTIFS('HSE Observations'!$M$4:$M$100003,"Pending",'HSE Observations'!$D$4:$D$100003,mCrit,'HSE Observations'!$G$4:$G$100003,dCrit)</f>
        <v>0</v>
      </c>
      <c r="M564" s="13" t="s">
        <v>224</v>
      </c>
      <c r="N564" s="22">
        <f>COUNTIFS('HSE Observations'!$M$4:$M$100003,"In Progress",'HSE Observations'!$D$4:$D$100003,mCrit,'HSE Observations'!$G$4:$G$100003,dCrit)</f>
        <v>0</v>
      </c>
      <c r="P564" s="13" t="s">
        <v>39</v>
      </c>
      <c r="Q564" s="22">
        <f>COUNTIFS('HSE Observations'!$D$4:$D$100003,mCrit,'HSE Observations'!$G$4:$G$100003,"Engineering")</f>
        <v>0</v>
      </c>
      <c r="R564" s="25">
        <f>IFERROR((COUNTIFS('HSE Observations'!$M$4:$M$100003,"Completed",'HSE Observations'!$D$4:$D$100003,mCrit,'HSE Observations'!$G$4:$G$100003,"Engineering"))/COUNTIFS('HSE Observations'!$D$4:$D$100003,mCrit,'HSE Observations'!$G$4:$G$100003,"Engineering")*100,0)</f>
        <v>0</v>
      </c>
      <c r="S564" s="22">
        <f>COUNTIFS('HSE Observations'!$D$4:$D$100003,mCrit,'HSE Observations'!$G$4:$G$100003,"Engineering")</f>
        <v>0</v>
      </c>
    </row>
    <row r="565" spans="2:34">
      <c r="B565" s="23" t="s">
        <v>53</v>
      </c>
      <c r="C565" s="22">
        <f>COUNTIFS('HSE Observations'!$D$4:$D$100003,"Apr",'HSE Observations'!$G$4:$G$100003,dCrit)</f>
        <v>0</v>
      </c>
      <c r="E565" s="13" t="s">
        <v>297</v>
      </c>
      <c r="F565" s="22">
        <f>COUNTIFS('HSE Observations'!$E$4:$E$100003,"Unsafe Condition",'HSE Observations'!$D$4:$D$100003,mCrit,'HSE Observations'!$G$4:$G$100003,dCrit)</f>
        <v>0</v>
      </c>
      <c r="G565" s="13" t="s">
        <v>16</v>
      </c>
      <c r="H565" s="22">
        <f>COUNTIFS('HSE Observations'!$K$4:$K$100003,"Housekeeping",'HSE Observations'!$D$4:$D$100003,mCrit,'HSE Observations'!$G$4:$G$100003,dCrit)</f>
        <v>0</v>
      </c>
      <c r="J565" s="13" t="s">
        <v>326</v>
      </c>
      <c r="K565" s="22">
        <f>COUNTIFS('HSE Observations'!$M$4:$M$100003,"Overdue",'HSE Observations'!$D$4:$D$100003,mCrit,'HSE Observations'!$G$4:$G$100003,dCrit)</f>
        <v>0</v>
      </c>
      <c r="M565" s="13" t="s">
        <v>326</v>
      </c>
      <c r="N565" s="22">
        <f>COUNTIFS('HSE Observations'!$M$4:$M$100003,"Overdue",'HSE Observations'!$D$4:$D$100003,mCrit,'HSE Observations'!$G$4:$G$100003,dCrit)</f>
        <v>0</v>
      </c>
      <c r="P565" s="13" t="s">
        <v>89</v>
      </c>
      <c r="Q565" s="22">
        <f>COUNTIFS('HSE Observations'!$D$4:$D$100003,mCrit,'HSE Observations'!$G$4:$G$100003,"Construction")</f>
        <v>0</v>
      </c>
      <c r="R565" s="25">
        <f>IFERROR((COUNTIFS('HSE Observations'!$M$4:$M$100003,"Completed",'HSE Observations'!$D$4:$D$100003,mCrit,'HSE Observations'!$G$4:$G$100003,"Construction"))/COUNTIFS('HSE Observations'!$D$4:$D$100003,mCrit,'HSE Observations'!$G$4:$G$100003,"Construction")*100,0)</f>
        <v>0</v>
      </c>
      <c r="S565" s="22">
        <f>COUNTIFS('HSE Observations'!$D$4:$D$100003,mCrit,'HSE Observations'!$G$4:$G$100003,"Construction")</f>
        <v>0</v>
      </c>
    </row>
    <row r="566" spans="2:34">
      <c r="B566" s="23" t="s">
        <v>60</v>
      </c>
      <c r="C566" s="22">
        <f>COUNTIFS('HSE Observations'!$D$4:$D$100003,"May",'HSE Observations'!$G$4:$G$100003,dCrit)</f>
        <v>0</v>
      </c>
      <c r="G566" s="13" t="s">
        <v>8</v>
      </c>
      <c r="H566" s="22">
        <f>COUNTIFS('HSE Observations'!$K$4:$K$100003,"Ergonomics",'HSE Observations'!$D$4:$D$100003,mCrit,'HSE Observations'!$G$4:$G$100003,dCrit)</f>
        <v>0</v>
      </c>
      <c r="M566" s="13" t="s">
        <v>1988</v>
      </c>
      <c r="N566" s="22">
        <f>COUNTIFS('HSE Observations'!$E$4:$E$100003,"Safe Act",'HSE Observations'!$D$4:$D$100003,mCrit,'HSE Observations'!$G$4:$G$100003,dCrit)+COUNTIFS('HSE Observations'!$E$4:$E$100003,"Safe Condition",'HSE Observations'!$D$4:$D$100003,mCrit,'HSE Observations'!$G$4:$G$100003,dCrit)</f>
        <v>0</v>
      </c>
      <c r="P566" s="13" t="s">
        <v>65</v>
      </c>
      <c r="Q566" s="22">
        <f>COUNTIFS('HSE Observations'!$D$4:$D$100003,mCrit,'HSE Observations'!$G$4:$G$100003,"Safety")</f>
        <v>0</v>
      </c>
      <c r="R566" s="25">
        <f>IFERROR((COUNTIFS('HSE Observations'!$M$4:$M$100003,"Completed",'HSE Observations'!$D$4:$D$100003,mCrit,'HSE Observations'!$G$4:$G$100003,"Safety"))/COUNTIFS('HSE Observations'!$D$4:$D$100003,mCrit,'HSE Observations'!$G$4:$G$100003,"Safety")*100,0)</f>
        <v>0</v>
      </c>
      <c r="S566" s="22">
        <f>COUNTIFS('HSE Observations'!$D$4:$D$100003,mCrit,'HSE Observations'!$G$4:$G$100003,"Safety")</f>
        <v>0</v>
      </c>
    </row>
    <row r="567" spans="2:34">
      <c r="B567" s="23" t="s">
        <v>73</v>
      </c>
      <c r="C567" s="22">
        <f>COUNTIFS('HSE Observations'!$D$4:$D$100003,"Jun",'HSE Observations'!$G$4:$G$100003,dCrit)</f>
        <v>0</v>
      </c>
      <c r="G567" s="13" t="s">
        <v>55</v>
      </c>
      <c r="H567" s="22">
        <f>COUNTIFS('HSE Observations'!$K$4:$K$100003,"Process Safety",'HSE Observations'!$D$4:$D$100003,mCrit,'HSE Observations'!$G$4:$G$100003,dCrit)</f>
        <v>0</v>
      </c>
      <c r="M567" s="13" t="s">
        <v>1723</v>
      </c>
      <c r="N567" s="22">
        <f>COUNTIFS('HSE Observations'!$E$4:$E$100003,"Unsafe Act",'HSE Observations'!$D$4:$D$100003,mCrit,'HSE Observations'!$G$4:$G$100003,dCrit)+COUNTIFS('HSE Observations'!$E$4:$E$100003,"Unsafe Condition",'HSE Observations'!$D$4:$D$100003,mCrit,'HSE Observations'!$G$4:$G$100003,dCrit)</f>
        <v>0</v>
      </c>
      <c r="P567" s="13" t="s">
        <v>5</v>
      </c>
      <c r="Q567" s="22">
        <f>COUNTIFS('HSE Observations'!$D$4:$D$100003,mCrit,'HSE Observations'!$G$4:$G$100003,"Logistics")</f>
        <v>0</v>
      </c>
      <c r="R567" s="25">
        <f>IFERROR((COUNTIFS('HSE Observations'!$M$4:$M$100003,"Completed",'HSE Observations'!$D$4:$D$100003,mCrit,'HSE Observations'!$G$4:$G$100003,"Logistics"))/COUNTIFS('HSE Observations'!$D$4:$D$100003,mCrit,'HSE Observations'!$G$4:$G$100003,"Logistics")*100,0)</f>
        <v>0</v>
      </c>
      <c r="S567" s="22">
        <f>COUNTIFS('HSE Observations'!$D$4:$D$100003,mCrit,'HSE Observations'!$G$4:$G$100003,"Logistics")</f>
        <v>0</v>
      </c>
    </row>
    <row r="568" spans="2:34">
      <c r="B568" s="23" t="s">
        <v>76</v>
      </c>
      <c r="C568" s="22">
        <f>COUNTIFS('HSE Observations'!$D$4:$D$100003,"Jul",'HSE Observations'!$G$4:$G$100003,dCrit)</f>
        <v>0</v>
      </c>
      <c r="M568" s="13" t="s">
        <v>1974</v>
      </c>
      <c r="N568" s="22">
        <f>COUNTIFS('HSE Observations'!$L$4:$L$100003,"High",'HSE Observations'!$D$4:$D$100003,mCrit,'HSE Observations'!$G$4:$G$100003,dCrit)</f>
        <v>0</v>
      </c>
      <c r="P568" s="13" t="s">
        <v>50</v>
      </c>
      <c r="Q568" s="22">
        <f>COUNTIFS('HSE Observations'!$D$4:$D$100003,mCrit,'HSE Observations'!$G$4:$G$100003,"Quality")</f>
        <v>0</v>
      </c>
      <c r="R568" s="25">
        <f>IFERROR((COUNTIFS('HSE Observations'!$M$4:$M$100003,"Completed",'HSE Observations'!$D$4:$D$100003,mCrit,'HSE Observations'!$G$4:$G$100003,"Quality"))/COUNTIFS('HSE Observations'!$D$4:$D$100003,mCrit,'HSE Observations'!$G$4:$G$100003,"Quality")*100,0)</f>
        <v>0</v>
      </c>
      <c r="S568" s="22">
        <f>COUNTIFS('HSE Observations'!$D$4:$D$100003,mCrit,'HSE Observations'!$G$4:$G$100003,"Quality")</f>
        <v>0</v>
      </c>
    </row>
    <row r="569" spans="2:34">
      <c r="B569" s="23" t="s">
        <v>86</v>
      </c>
      <c r="C569" s="22">
        <f>COUNTIFS('HSE Observations'!$D$4:$D$100003,"Aug",'HSE Observations'!$G$4:$G$100003,dCrit)</f>
        <v>0</v>
      </c>
      <c r="M569" s="13" t="s">
        <v>1989</v>
      </c>
      <c r="N569" s="25">
        <f>IFERROR((COUNTIFS('HSE Observations'!$M$4:$M$100003,"Completed",'HSE Observations'!$D$4:$D$100003,mCrit,'HSE Observations'!$G$4:$G$100003,dCrit))/(COUNTIFS('HSE Observations'!$D$4:$D$100003,mCrit,'HSE Observations'!$G$4:$G$100003,dCrit))*100,0)</f>
        <v>0</v>
      </c>
      <c r="P569" s="13" t="s">
        <v>46</v>
      </c>
      <c r="Q569" s="22">
        <f>COUNTIFS('HSE Observations'!$D$4:$D$100003,mCrit,'HSE Observations'!$G$4:$G$100003,"Admin")</f>
        <v>0</v>
      </c>
      <c r="R569" s="25">
        <f>IFERROR((COUNTIFS('HSE Observations'!$M$4:$M$100003,"Completed",'HSE Observations'!$D$4:$D$100003,mCrit,'HSE Observations'!$G$4:$G$100003,"Admin"))/COUNTIFS('HSE Observations'!$D$4:$D$100003,mCrit,'HSE Observations'!$G$4:$G$100003,"Admin")*100,0)</f>
        <v>0</v>
      </c>
      <c r="S569" s="22">
        <f>COUNTIFS('HSE Observations'!$D$4:$D$100003,mCrit,'HSE Observations'!$G$4:$G$100003,"Admin")</f>
        <v>0</v>
      </c>
    </row>
    <row r="570" spans="2:34">
      <c r="B570" s="23" t="s">
        <v>102</v>
      </c>
      <c r="C570" s="22">
        <f>COUNTIFS('HSE Observations'!$D$4:$D$100003,"Sep",'HSE Observations'!$G$4:$G$100003,dCrit)</f>
        <v>0</v>
      </c>
      <c r="P570" s="13" t="s">
        <v>13</v>
      </c>
      <c r="Q570" s="22">
        <f>COUNTIFS('HSE Observations'!$D$4:$D$100003,mCrit,'HSE Observations'!$G$4:$G$100003,"Projects")</f>
        <v>0</v>
      </c>
      <c r="R570" s="25">
        <f>IFERROR((COUNTIFS('HSE Observations'!$M$4:$M$100003,"Completed",'HSE Observations'!$D$4:$D$100003,mCrit,'HSE Observations'!$G$4:$G$100003,"Projects"))/COUNTIFS('HSE Observations'!$D$4:$D$100003,mCrit,'HSE Observations'!$G$4:$G$100003,"Projects")*100,0)</f>
        <v>0</v>
      </c>
      <c r="S570" s="22">
        <f>COUNTIFS('HSE Observations'!$D$4:$D$100003,mCrit,'HSE Observations'!$G$4:$G$100003,"Projects")</f>
        <v>0</v>
      </c>
    </row>
    <row r="571" spans="2:34">
      <c r="B571" s="23" t="s">
        <v>106</v>
      </c>
      <c r="C571" s="22">
        <f>COUNTIFS('HSE Observations'!$D$4:$D$100003,"Oct",'HSE Observations'!$G$4:$G$100003,dCrit)</f>
        <v>0</v>
      </c>
      <c r="P571" s="13" t="s">
        <v>58</v>
      </c>
      <c r="Q571" s="22">
        <f>COUNTIFS('HSE Observations'!$D$4:$D$100003,mCrit,'HSE Observations'!$G$4:$G$100003,"Contractor")</f>
        <v>0</v>
      </c>
      <c r="R571" s="25">
        <f>IFERROR((COUNTIFS('HSE Observations'!$M$4:$M$100003,"Completed",'HSE Observations'!$D$4:$D$100003,mCrit,'HSE Observations'!$G$4:$G$100003,"Contractor"))/COUNTIFS('HSE Observations'!$D$4:$D$100003,mCrit,'HSE Observations'!$G$4:$G$100003,"Contractor")*100,0)</f>
        <v>0</v>
      </c>
      <c r="S571" s="22">
        <f>COUNTIFS('HSE Observations'!$D$4:$D$100003,mCrit,'HSE Observations'!$G$4:$G$100003,"Contractor")</f>
        <v>0</v>
      </c>
    </row>
    <row r="572" spans="2:34">
      <c r="B572" s="23" t="s">
        <v>111</v>
      </c>
      <c r="C572" s="22">
        <f>COUNTIFS('HSE Observations'!$D$4:$D$100003,"Nov",'HSE Observations'!$G$4:$G$100003,dCrit)</f>
        <v>0</v>
      </c>
    </row>
    <row r="573" spans="2:34">
      <c r="B573" s="23" t="s">
        <v>122</v>
      </c>
      <c r="C573" s="22">
        <f>COUNTIFS('HSE Observations'!$D$4:$D$100003,"Dec",'HSE Observations'!$G$4:$G$100003,dCrit)</f>
        <v>0</v>
      </c>
    </row>
    <row r="586" spans="2:34">
      <c r="B586" s="17" t="s">
        <v>1990</v>
      </c>
    </row>
    <row r="587" spans="2:34">
      <c r="B587" s="12" t="s">
        <v>127</v>
      </c>
      <c r="C587" s="12" t="s">
        <v>1887</v>
      </c>
      <c r="E587" s="12" t="s">
        <v>413</v>
      </c>
      <c r="F587" s="12" t="s">
        <v>1887</v>
      </c>
      <c r="J587" s="12" t="s">
        <v>286</v>
      </c>
      <c r="K587" s="12" t="s">
        <v>1887</v>
      </c>
      <c r="M587" s="12" t="s">
        <v>1849</v>
      </c>
      <c r="N587" s="12" t="s">
        <v>1960</v>
      </c>
      <c r="P587" s="12" t="s">
        <v>129</v>
      </c>
      <c r="Q587" s="12" t="s">
        <v>1887</v>
      </c>
      <c r="R587" s="12" t="s">
        <v>1979</v>
      </c>
      <c r="S587" s="12" t="s">
        <v>1694</v>
      </c>
      <c r="U587" s="12" t="s">
        <v>1970</v>
      </c>
      <c r="V587" s="12" t="s">
        <v>3</v>
      </c>
      <c r="W587" s="12" t="s">
        <v>19</v>
      </c>
      <c r="X587" s="12" t="s">
        <v>44</v>
      </c>
      <c r="Y587" s="12" t="s">
        <v>53</v>
      </c>
      <c r="Z587" s="12" t="s">
        <v>60</v>
      </c>
      <c r="AA587" s="12" t="s">
        <v>73</v>
      </c>
      <c r="AB587" s="12" t="s">
        <v>76</v>
      </c>
      <c r="AC587" s="12" t="s">
        <v>86</v>
      </c>
      <c r="AD587" s="12" t="s">
        <v>102</v>
      </c>
      <c r="AE587" s="12" t="s">
        <v>106</v>
      </c>
      <c r="AF587" s="12" t="s">
        <v>111</v>
      </c>
      <c r="AG587" s="12" t="s">
        <v>122</v>
      </c>
      <c r="AH587" s="12" t="s">
        <v>1971</v>
      </c>
    </row>
    <row r="588" spans="2:34">
      <c r="B588" s="23" t="s">
        <v>3</v>
      </c>
      <c r="C588" s="22">
        <f>COUNTIFS('Workplace Inspections'!$D$4:$D$100003,"Jan",'Workplace Inspections'!$F$4:$F$100003,dCrit)</f>
        <v>0</v>
      </c>
      <c r="E588" s="13" t="s">
        <v>10</v>
      </c>
      <c r="F588" s="22">
        <f>COUNTIFS('Workplace Inspections'!$L$4:$L$100003,"Excellent",'Workplace Inspections'!$D$4:$D$100003,mCrit,'Workplace Inspections'!$F$4:$F$100003,dCrit)</f>
        <v>0</v>
      </c>
      <c r="J588" s="13" t="s">
        <v>302</v>
      </c>
      <c r="K588" s="22">
        <f>COUNTIFS('Workplace Inspections'!$M$4:$M$100003,"Pending",'Workplace Inspections'!$D$4:$D$100003,mCrit,'Workplace Inspections'!$F$4:$F$100003,dCrit)</f>
        <v>0</v>
      </c>
      <c r="M588" s="13" t="s">
        <v>1961</v>
      </c>
      <c r="N588" s="22">
        <f>COUNTIFS('Workplace Inspections'!$D$4:$D$100003,mCrit,'Workplace Inspections'!$F$4:$F$100003,dCrit)</f>
        <v>0</v>
      </c>
      <c r="P588" s="13" t="s">
        <v>27</v>
      </c>
      <c r="Q588" s="22">
        <f>COUNTIFS('Workplace Inspections'!$D$4:$D$100003,mCrit,'Workplace Inspections'!$F$4:$F$100003,"Operations")</f>
        <v>0</v>
      </c>
      <c r="R588" s="25">
        <f>IFERROR((COUNTIFS('Workplace Inspections'!$M$4:$M$100003,"Completed",'Workplace Inspections'!$D$4:$D$100003,mCrit,'Workplace Inspections'!$F$4:$F$100003,"Operations"))/COUNTIFS('Workplace Inspections'!$D$4:$D$100003,mCrit,'Workplace Inspections'!$F$4:$F$100003,"Operations")*100,0)</f>
        <v>0</v>
      </c>
      <c r="S588" s="22">
        <f>COUNTIFS('Workplace Inspections'!$D$4:$D$100003,mCrit,'Workplace Inspections'!$F$4:$F$100003,"Operations")</f>
        <v>0</v>
      </c>
      <c r="U588" s="13" t="s">
        <v>1694</v>
      </c>
      <c r="V588" s="22">
        <f>COUNTIFS('Workplace Inspections'!$D$4:$D$100003,"Jan",'Workplace Inspections'!$F$4:$F$100003,dCrit)</f>
        <v>0</v>
      </c>
      <c r="W588" s="22">
        <f>COUNTIFS('Workplace Inspections'!$D$4:$D$100003,"Feb",'Workplace Inspections'!$F$4:$F$100003,dCrit)</f>
        <v>0</v>
      </c>
      <c r="X588" s="22">
        <f>COUNTIFS('Workplace Inspections'!$D$4:$D$100003,"Mar",'Workplace Inspections'!$F$4:$F$100003,dCrit)</f>
        <v>0</v>
      </c>
      <c r="Y588" s="22">
        <f>COUNTIFS('Workplace Inspections'!$D$4:$D$100003,"Apr",'Workplace Inspections'!$F$4:$F$100003,dCrit)</f>
        <v>0</v>
      </c>
      <c r="Z588" s="22">
        <f>COUNTIFS('Workplace Inspections'!$D$4:$D$100003,"May",'Workplace Inspections'!$F$4:$F$100003,dCrit)</f>
        <v>0</v>
      </c>
      <c r="AA588" s="22">
        <f>COUNTIFS('Workplace Inspections'!$D$4:$D$100003,"Jun",'Workplace Inspections'!$F$4:$F$100003,dCrit)</f>
        <v>0</v>
      </c>
      <c r="AB588" s="22">
        <f>COUNTIFS('Workplace Inspections'!$D$4:$D$100003,"Jul",'Workplace Inspections'!$F$4:$F$100003,dCrit)</f>
        <v>0</v>
      </c>
      <c r="AC588" s="22">
        <f>COUNTIFS('Workplace Inspections'!$D$4:$D$100003,"Aug",'Workplace Inspections'!$F$4:$F$100003,dCrit)</f>
        <v>0</v>
      </c>
      <c r="AD588" s="22">
        <f>COUNTIFS('Workplace Inspections'!$D$4:$D$100003,"Sep",'Workplace Inspections'!$F$4:$F$100003,dCrit)</f>
        <v>0</v>
      </c>
      <c r="AE588" s="22">
        <f>COUNTIFS('Workplace Inspections'!$D$4:$D$100003,"Oct",'Workplace Inspections'!$F$4:$F$100003,dCrit)</f>
        <v>0</v>
      </c>
      <c r="AF588" s="22">
        <f>COUNTIFS('Workplace Inspections'!$D$4:$D$100003,"Nov",'Workplace Inspections'!$F$4:$F$100003,dCrit)</f>
        <v>0</v>
      </c>
      <c r="AG588" s="22">
        <f>COUNTIFS('Workplace Inspections'!$D$4:$D$100003,"Dec",'Workplace Inspections'!$F$4:$F$100003,dCrit)</f>
        <v>0</v>
      </c>
      <c r="AH588" s="22">
        <f>SUM(V588:AG588)</f>
        <v>0</v>
      </c>
    </row>
    <row r="589" spans="2:34">
      <c r="B589" s="23" t="s">
        <v>19</v>
      </c>
      <c r="C589" s="22">
        <f>COUNTIFS('Workplace Inspections'!$D$4:$D$100003,"Feb",'Workplace Inspections'!$F$4:$F$100003,dCrit)</f>
        <v>0</v>
      </c>
      <c r="E589" s="13" t="s">
        <v>42</v>
      </c>
      <c r="F589" s="22">
        <f>COUNTIFS('Workplace Inspections'!$L$4:$L$100003,"Good",'Workplace Inspections'!$D$4:$D$100003,mCrit,'Workplace Inspections'!$F$4:$F$100003,dCrit)</f>
        <v>0</v>
      </c>
      <c r="J589" s="13" t="s">
        <v>224</v>
      </c>
      <c r="K589" s="22">
        <f>COUNTIFS('Workplace Inspections'!$M$4:$M$100003,"In Progress",'Workplace Inspections'!$D$4:$D$100003,mCrit,'Workplace Inspections'!$F$4:$F$100003,dCrit)</f>
        <v>0</v>
      </c>
      <c r="M589" s="13" t="s">
        <v>220</v>
      </c>
      <c r="N589" s="22">
        <f>COUNTIFS('Workplace Inspections'!$M$4:$M$100003,"Completed",'Workplace Inspections'!$D$4:$D$100003,mCrit,'Workplace Inspections'!$F$4:$F$100003,dCrit)</f>
        <v>0</v>
      </c>
      <c r="P589" s="13" t="s">
        <v>92</v>
      </c>
      <c r="Q589" s="22">
        <f>COUNTIFS('Workplace Inspections'!$D$4:$D$100003,mCrit,'Workplace Inspections'!$F$4:$F$100003,"Maintenance")</f>
        <v>0</v>
      </c>
      <c r="R589" s="25">
        <f>IFERROR((COUNTIFS('Workplace Inspections'!$M$4:$M$100003,"Completed",'Workplace Inspections'!$D$4:$D$100003,mCrit,'Workplace Inspections'!$F$4:$F$100003,"Maintenance"))/COUNTIFS('Workplace Inspections'!$D$4:$D$100003,mCrit,'Workplace Inspections'!$F$4:$F$100003,"Maintenance")*100,0)</f>
        <v>0</v>
      </c>
      <c r="S589" s="22">
        <f>COUNTIFS('Workplace Inspections'!$D$4:$D$100003,mCrit,'Workplace Inspections'!$F$4:$F$100003,"Maintenance")</f>
        <v>0</v>
      </c>
      <c r="U589" s="13" t="s">
        <v>1980</v>
      </c>
      <c r="V589" s="25">
        <f>IFERROR((COUNTIFS('Workplace Inspections'!$M$4:$M$100003,"Completed",'Workplace Inspections'!$D$4:$D$100003,"Jan",'Workplace Inspections'!$F$4:$F$100003,dCrit))/COUNTIFS('Workplace Inspections'!$D$4:$D$100003,"Jan",'Workplace Inspections'!$F$4:$F$100003,dCrit)*100,0)</f>
        <v>0</v>
      </c>
      <c r="W589" s="25">
        <f>IFERROR((COUNTIFS('Workplace Inspections'!$M$4:$M$100003,"Completed",'Workplace Inspections'!$D$4:$D$100003,"Feb",'Workplace Inspections'!$F$4:$F$100003,dCrit))/COUNTIFS('Workplace Inspections'!$D$4:$D$100003,"Feb",'Workplace Inspections'!$F$4:$F$100003,dCrit)*100,0)</f>
        <v>0</v>
      </c>
      <c r="X589" s="25">
        <f>IFERROR((COUNTIFS('Workplace Inspections'!$M$4:$M$100003,"Completed",'Workplace Inspections'!$D$4:$D$100003,"Mar",'Workplace Inspections'!$F$4:$F$100003,dCrit))/COUNTIFS('Workplace Inspections'!$D$4:$D$100003,"Mar",'Workplace Inspections'!$F$4:$F$100003,dCrit)*100,0)</f>
        <v>0</v>
      </c>
      <c r="Y589" s="25">
        <f>IFERROR((COUNTIFS('Workplace Inspections'!$M$4:$M$100003,"Completed",'Workplace Inspections'!$D$4:$D$100003,"Apr",'Workplace Inspections'!$F$4:$F$100003,dCrit))/COUNTIFS('Workplace Inspections'!$D$4:$D$100003,"Apr",'Workplace Inspections'!$F$4:$F$100003,dCrit)*100,0)</f>
        <v>0</v>
      </c>
      <c r="Z589" s="25">
        <f>IFERROR((COUNTIFS('Workplace Inspections'!$M$4:$M$100003,"Completed",'Workplace Inspections'!$D$4:$D$100003,"May",'Workplace Inspections'!$F$4:$F$100003,dCrit))/COUNTIFS('Workplace Inspections'!$D$4:$D$100003,"May",'Workplace Inspections'!$F$4:$F$100003,dCrit)*100,0)</f>
        <v>0</v>
      </c>
      <c r="AA589" s="25">
        <f>IFERROR((COUNTIFS('Workplace Inspections'!$M$4:$M$100003,"Completed",'Workplace Inspections'!$D$4:$D$100003,"Jun",'Workplace Inspections'!$F$4:$F$100003,dCrit))/COUNTIFS('Workplace Inspections'!$D$4:$D$100003,"Jun",'Workplace Inspections'!$F$4:$F$100003,dCrit)*100,0)</f>
        <v>0</v>
      </c>
      <c r="AB589" s="25">
        <f>IFERROR((COUNTIFS('Workplace Inspections'!$M$4:$M$100003,"Completed",'Workplace Inspections'!$D$4:$D$100003,"Jul",'Workplace Inspections'!$F$4:$F$100003,dCrit))/COUNTIFS('Workplace Inspections'!$D$4:$D$100003,"Jul",'Workplace Inspections'!$F$4:$F$100003,dCrit)*100,0)</f>
        <v>0</v>
      </c>
      <c r="AC589" s="25">
        <f>IFERROR((COUNTIFS('Workplace Inspections'!$M$4:$M$100003,"Completed",'Workplace Inspections'!$D$4:$D$100003,"Aug",'Workplace Inspections'!$F$4:$F$100003,dCrit))/COUNTIFS('Workplace Inspections'!$D$4:$D$100003,"Aug",'Workplace Inspections'!$F$4:$F$100003,dCrit)*100,0)</f>
        <v>0</v>
      </c>
      <c r="AD589" s="25">
        <f>IFERROR((COUNTIFS('Workplace Inspections'!$M$4:$M$100003,"Completed",'Workplace Inspections'!$D$4:$D$100003,"Sep",'Workplace Inspections'!$F$4:$F$100003,dCrit))/COUNTIFS('Workplace Inspections'!$D$4:$D$100003,"Sep",'Workplace Inspections'!$F$4:$F$100003,dCrit)*100,0)</f>
        <v>0</v>
      </c>
      <c r="AE589" s="25">
        <f>IFERROR((COUNTIFS('Workplace Inspections'!$M$4:$M$100003,"Completed",'Workplace Inspections'!$D$4:$D$100003,"Oct",'Workplace Inspections'!$F$4:$F$100003,dCrit))/COUNTIFS('Workplace Inspections'!$D$4:$D$100003,"Oct",'Workplace Inspections'!$F$4:$F$100003,dCrit)*100,0)</f>
        <v>0</v>
      </c>
      <c r="AF589" s="25">
        <f>IFERROR((COUNTIFS('Workplace Inspections'!$M$4:$M$100003,"Completed",'Workplace Inspections'!$D$4:$D$100003,"Nov",'Workplace Inspections'!$F$4:$F$100003,dCrit))/COUNTIFS('Workplace Inspections'!$D$4:$D$100003,"Nov",'Workplace Inspections'!$F$4:$F$100003,dCrit)*100,0)</f>
        <v>0</v>
      </c>
      <c r="AG589" s="25">
        <f>IFERROR((COUNTIFS('Workplace Inspections'!$M$4:$M$100003,"Completed",'Workplace Inspections'!$D$4:$D$100003,"Dec",'Workplace Inspections'!$F$4:$F$100003,dCrit))/COUNTIFS('Workplace Inspections'!$D$4:$D$100003,"Dec",'Workplace Inspections'!$F$4:$F$100003,dCrit)*100,0)</f>
        <v>0</v>
      </c>
      <c r="AH589" s="25">
        <f>IFERROR(AVERAGE(V589:AG589),0)</f>
        <v>0</v>
      </c>
    </row>
    <row r="590" spans="2:34">
      <c r="B590" s="23" t="s">
        <v>44</v>
      </c>
      <c r="C590" s="22">
        <f>COUNTIFS('Workplace Inspections'!$D$4:$D$100003,"Mar",'Workplace Inspections'!$F$4:$F$100003,dCrit)</f>
        <v>0</v>
      </c>
      <c r="E590" s="13" t="s">
        <v>17</v>
      </c>
      <c r="F590" s="22">
        <f>COUNTIFS('Workplace Inspections'!$L$4:$L$100003,"Satisfactory",'Workplace Inspections'!$D$4:$D$100003,mCrit,'Workplace Inspections'!$F$4:$F$100003,dCrit)</f>
        <v>0</v>
      </c>
      <c r="J590" s="13" t="s">
        <v>220</v>
      </c>
      <c r="K590" s="22">
        <f>COUNTIFS('Workplace Inspections'!$M$4:$M$100003,"Completed",'Workplace Inspections'!$D$4:$D$100003,mCrit,'Workplace Inspections'!$F$4:$F$100003,dCrit)</f>
        <v>0</v>
      </c>
      <c r="M590" s="13" t="s">
        <v>326</v>
      </c>
      <c r="N590" s="22">
        <f>COUNTIFS('Workplace Inspections'!$M$4:$M$100003,"Overdue",'Workplace Inspections'!$D$4:$D$100003,mCrit,'Workplace Inspections'!$F$4:$F$100003,dCrit)</f>
        <v>0</v>
      </c>
      <c r="P590" s="13" t="s">
        <v>39</v>
      </c>
      <c r="Q590" s="22">
        <f>COUNTIFS('Workplace Inspections'!$D$4:$D$100003,mCrit,'Workplace Inspections'!$F$4:$F$100003,"Engineering")</f>
        <v>0</v>
      </c>
      <c r="R590" s="25">
        <f>IFERROR((COUNTIFS('Workplace Inspections'!$M$4:$M$100003,"Completed",'Workplace Inspections'!$D$4:$D$100003,mCrit,'Workplace Inspections'!$F$4:$F$100003,"Engineering"))/COUNTIFS('Workplace Inspections'!$D$4:$D$100003,mCrit,'Workplace Inspections'!$F$4:$F$100003,"Engineering")*100,0)</f>
        <v>0</v>
      </c>
      <c r="S590" s="22">
        <f>COUNTIFS('Workplace Inspections'!$D$4:$D$100003,mCrit,'Workplace Inspections'!$F$4:$F$100003,"Engineering")</f>
        <v>0</v>
      </c>
    </row>
    <row r="591" spans="2:34">
      <c r="B591" s="23" t="s">
        <v>53</v>
      </c>
      <c r="C591" s="22">
        <f>COUNTIFS('Workplace Inspections'!$D$4:$D$100003,"Apr",'Workplace Inspections'!$F$4:$F$100003,dCrit)</f>
        <v>0</v>
      </c>
      <c r="E591" s="13" t="s">
        <v>96</v>
      </c>
      <c r="F591" s="22">
        <f>COUNTIFS('Workplace Inspections'!$L$4:$L$100003,"Needs Improvement",'Workplace Inspections'!$D$4:$D$100003,mCrit,'Workplace Inspections'!$F$4:$F$100003,dCrit)</f>
        <v>0</v>
      </c>
      <c r="M591" s="13" t="s">
        <v>157</v>
      </c>
      <c r="N591" s="22">
        <f>SUMIFS('Workplace Inspections'!$K$4:$K$100003,'Workplace Inspections'!$D$4:$D$100003,mCrit,'Workplace Inspections'!$F$4:$F$100003,dCrit)</f>
        <v>0</v>
      </c>
      <c r="P591" s="13" t="s">
        <v>89</v>
      </c>
      <c r="Q591" s="22">
        <f>COUNTIFS('Workplace Inspections'!$D$4:$D$100003,mCrit,'Workplace Inspections'!$F$4:$F$100003,"Construction")</f>
        <v>0</v>
      </c>
      <c r="R591" s="25">
        <f>IFERROR((COUNTIFS('Workplace Inspections'!$M$4:$M$100003,"Completed",'Workplace Inspections'!$D$4:$D$100003,mCrit,'Workplace Inspections'!$F$4:$F$100003,"Construction"))/COUNTIFS('Workplace Inspections'!$D$4:$D$100003,mCrit,'Workplace Inspections'!$F$4:$F$100003,"Construction")*100,0)</f>
        <v>0</v>
      </c>
      <c r="S591" s="22">
        <f>COUNTIFS('Workplace Inspections'!$D$4:$D$100003,mCrit,'Workplace Inspections'!$F$4:$F$100003,"Construction")</f>
        <v>0</v>
      </c>
    </row>
    <row r="592" spans="2:34">
      <c r="B592" s="23" t="s">
        <v>60</v>
      </c>
      <c r="C592" s="22">
        <f>COUNTIFS('Workplace Inspections'!$D$4:$D$100003,"May",'Workplace Inspections'!$F$4:$F$100003,dCrit)</f>
        <v>0</v>
      </c>
      <c r="E592" s="13" t="s">
        <v>24</v>
      </c>
      <c r="F592" s="22">
        <f>COUNTIFS('Workplace Inspections'!$L$4:$L$100003,"Unsatisfactory",'Workplace Inspections'!$D$4:$D$100003,mCrit,'Workplace Inspections'!$F$4:$F$100003,dCrit)</f>
        <v>0</v>
      </c>
      <c r="M592" s="13" t="s">
        <v>1991</v>
      </c>
      <c r="N592" s="22">
        <f>SUMIFS('Workplace Inspections'!$I$4:$I$100003,'Workplace Inspections'!$D$4:$D$100003,mCrit,'Workplace Inspections'!$F$4:$F$100003,dCrit)</f>
        <v>0</v>
      </c>
      <c r="P592" s="13" t="s">
        <v>65</v>
      </c>
      <c r="Q592" s="22">
        <f>COUNTIFS('Workplace Inspections'!$D$4:$D$100003,mCrit,'Workplace Inspections'!$F$4:$F$100003,"Safety")</f>
        <v>0</v>
      </c>
      <c r="R592" s="25">
        <f>IFERROR((COUNTIFS('Workplace Inspections'!$M$4:$M$100003,"Completed",'Workplace Inspections'!$D$4:$D$100003,mCrit,'Workplace Inspections'!$F$4:$F$100003,"Safety"))/COUNTIFS('Workplace Inspections'!$D$4:$D$100003,mCrit,'Workplace Inspections'!$F$4:$F$100003,"Safety")*100,0)</f>
        <v>0</v>
      </c>
      <c r="S592" s="22">
        <f>COUNTIFS('Workplace Inspections'!$D$4:$D$100003,mCrit,'Workplace Inspections'!$F$4:$F$100003,"Safety")</f>
        <v>0</v>
      </c>
    </row>
    <row r="593" spans="2:19">
      <c r="B593" s="23" t="s">
        <v>73</v>
      </c>
      <c r="C593" s="22">
        <f>COUNTIFS('Workplace Inspections'!$D$4:$D$100003,"Jun",'Workplace Inspections'!$F$4:$F$100003,dCrit)</f>
        <v>0</v>
      </c>
      <c r="M593" s="13" t="s">
        <v>1992</v>
      </c>
      <c r="N593" s="22">
        <f>SUMIFS('Workplace Inspections'!$J$4:$J$100003,'Workplace Inspections'!$D$4:$D$100003,mCrit,'Workplace Inspections'!$F$4:$F$100003,dCrit)</f>
        <v>0</v>
      </c>
      <c r="P593" s="13" t="s">
        <v>5</v>
      </c>
      <c r="Q593" s="22">
        <f>COUNTIFS('Workplace Inspections'!$D$4:$D$100003,mCrit,'Workplace Inspections'!$F$4:$F$100003,"Logistics")</f>
        <v>0</v>
      </c>
      <c r="R593" s="25">
        <f>IFERROR((COUNTIFS('Workplace Inspections'!$M$4:$M$100003,"Completed",'Workplace Inspections'!$D$4:$D$100003,mCrit,'Workplace Inspections'!$F$4:$F$100003,"Logistics"))/COUNTIFS('Workplace Inspections'!$D$4:$D$100003,mCrit,'Workplace Inspections'!$F$4:$F$100003,"Logistics")*100,0)</f>
        <v>0</v>
      </c>
      <c r="S593" s="22">
        <f>COUNTIFS('Workplace Inspections'!$D$4:$D$100003,mCrit,'Workplace Inspections'!$F$4:$F$100003,"Logistics")</f>
        <v>0</v>
      </c>
    </row>
    <row r="594" spans="2:19">
      <c r="B594" s="23" t="s">
        <v>76</v>
      </c>
      <c r="C594" s="22">
        <f>COUNTIFS('Workplace Inspections'!$D$4:$D$100003,"Jul",'Workplace Inspections'!$F$4:$F$100003,dCrit)</f>
        <v>0</v>
      </c>
      <c r="M594" s="13" t="s">
        <v>1993</v>
      </c>
      <c r="N594" s="25">
        <f>IFERROR((SUMIFS('Workplace Inspections'!$J$4:$J$100003,'Workplace Inspections'!$D$4:$D$100003,mCrit,'Workplace Inspections'!$F$4:$F$100003,dCrit))/(COUNTIFS('Workplace Inspections'!$D$4:$D$100003,mCrit,'Workplace Inspections'!$F$4:$F$100003,dCrit))*100,0)</f>
        <v>0</v>
      </c>
      <c r="P594" s="13" t="s">
        <v>50</v>
      </c>
      <c r="Q594" s="22">
        <f>COUNTIFS('Workplace Inspections'!$D$4:$D$100003,mCrit,'Workplace Inspections'!$F$4:$F$100003,"Quality")</f>
        <v>0</v>
      </c>
      <c r="R594" s="25">
        <f>IFERROR((COUNTIFS('Workplace Inspections'!$M$4:$M$100003,"Completed",'Workplace Inspections'!$D$4:$D$100003,mCrit,'Workplace Inspections'!$F$4:$F$100003,"Quality"))/COUNTIFS('Workplace Inspections'!$D$4:$D$100003,mCrit,'Workplace Inspections'!$F$4:$F$100003,"Quality")*100,0)</f>
        <v>0</v>
      </c>
      <c r="S594" s="22">
        <f>COUNTIFS('Workplace Inspections'!$D$4:$D$100003,mCrit,'Workplace Inspections'!$F$4:$F$100003,"Quality")</f>
        <v>0</v>
      </c>
    </row>
    <row r="595" spans="2:19">
      <c r="B595" s="23" t="s">
        <v>86</v>
      </c>
      <c r="C595" s="22">
        <f>COUNTIFS('Workplace Inspections'!$D$4:$D$100003,"Aug",'Workplace Inspections'!$F$4:$F$100003,dCrit)</f>
        <v>0</v>
      </c>
      <c r="M595" s="13" t="s">
        <v>1989</v>
      </c>
      <c r="N595" s="25">
        <f>IFERROR((COUNTIFS('Workplace Inspections'!$M$4:$M$100003,"Completed",'Workplace Inspections'!$D$4:$D$100003,mCrit,'Workplace Inspections'!$F$4:$F$100003,dCrit))/(COUNTIFS('Workplace Inspections'!$D$4:$D$100003,mCrit,'Workplace Inspections'!$F$4:$F$100003,dCrit))*100,0)</f>
        <v>0</v>
      </c>
      <c r="P595" s="13" t="s">
        <v>46</v>
      </c>
      <c r="Q595" s="22">
        <f>COUNTIFS('Workplace Inspections'!$D$4:$D$100003,mCrit,'Workplace Inspections'!$F$4:$F$100003,"Admin")</f>
        <v>0</v>
      </c>
      <c r="R595" s="25">
        <f>IFERROR((COUNTIFS('Workplace Inspections'!$M$4:$M$100003,"Completed",'Workplace Inspections'!$D$4:$D$100003,mCrit,'Workplace Inspections'!$F$4:$F$100003,"Admin"))/COUNTIFS('Workplace Inspections'!$D$4:$D$100003,mCrit,'Workplace Inspections'!$F$4:$F$100003,"Admin")*100,0)</f>
        <v>0</v>
      </c>
      <c r="S595" s="22">
        <f>COUNTIFS('Workplace Inspections'!$D$4:$D$100003,mCrit,'Workplace Inspections'!$F$4:$F$100003,"Admin")</f>
        <v>0</v>
      </c>
    </row>
    <row r="596" spans="2:19">
      <c r="B596" s="23" t="s">
        <v>102</v>
      </c>
      <c r="C596" s="22">
        <f>COUNTIFS('Workplace Inspections'!$D$4:$D$100003,"Sep",'Workplace Inspections'!$F$4:$F$100003,dCrit)</f>
        <v>0</v>
      </c>
      <c r="P596" s="13" t="s">
        <v>13</v>
      </c>
      <c r="Q596" s="22">
        <f>COUNTIFS('Workplace Inspections'!$D$4:$D$100003,mCrit,'Workplace Inspections'!$F$4:$F$100003,"Projects")</f>
        <v>0</v>
      </c>
      <c r="R596" s="25">
        <f>IFERROR((COUNTIFS('Workplace Inspections'!$M$4:$M$100003,"Completed",'Workplace Inspections'!$D$4:$D$100003,mCrit,'Workplace Inspections'!$F$4:$F$100003,"Projects"))/COUNTIFS('Workplace Inspections'!$D$4:$D$100003,mCrit,'Workplace Inspections'!$F$4:$F$100003,"Projects")*100,0)</f>
        <v>0</v>
      </c>
      <c r="S596" s="22">
        <f>COUNTIFS('Workplace Inspections'!$D$4:$D$100003,mCrit,'Workplace Inspections'!$F$4:$F$100003,"Projects")</f>
        <v>0</v>
      </c>
    </row>
    <row r="597" spans="2:19">
      <c r="B597" s="23" t="s">
        <v>106</v>
      </c>
      <c r="C597" s="22">
        <f>COUNTIFS('Workplace Inspections'!$D$4:$D$100003,"Oct",'Workplace Inspections'!$F$4:$F$100003,dCrit)</f>
        <v>0</v>
      </c>
      <c r="P597" s="13" t="s">
        <v>58</v>
      </c>
      <c r="Q597" s="22">
        <f>COUNTIFS('Workplace Inspections'!$D$4:$D$100003,mCrit,'Workplace Inspections'!$F$4:$F$100003,"Contractor")</f>
        <v>0</v>
      </c>
      <c r="R597" s="25">
        <f>IFERROR((COUNTIFS('Workplace Inspections'!$M$4:$M$100003,"Completed",'Workplace Inspections'!$D$4:$D$100003,mCrit,'Workplace Inspections'!$F$4:$F$100003,"Contractor"))/COUNTIFS('Workplace Inspections'!$D$4:$D$100003,mCrit,'Workplace Inspections'!$F$4:$F$100003,"Contractor")*100,0)</f>
        <v>0</v>
      </c>
      <c r="S597" s="22">
        <f>COUNTIFS('Workplace Inspections'!$D$4:$D$100003,mCrit,'Workplace Inspections'!$F$4:$F$100003,"Contractor")</f>
        <v>0</v>
      </c>
    </row>
    <row r="598" spans="2:19">
      <c r="B598" s="23" t="s">
        <v>111</v>
      </c>
      <c r="C598" s="22">
        <f>COUNTIFS('Workplace Inspections'!$D$4:$D$100003,"Nov",'Workplace Inspections'!$F$4:$F$100003,dCrit)</f>
        <v>0</v>
      </c>
    </row>
    <row r="599" spans="2:19">
      <c r="B599" s="23" t="s">
        <v>122</v>
      </c>
      <c r="C599" s="22">
        <f>COUNTIFS('Workplace Inspections'!$D$4:$D$100003,"Dec",'Workplace Inspections'!$F$4:$F$100003,dCrit)</f>
        <v>0</v>
      </c>
    </row>
    <row r="612" spans="2:34">
      <c r="B612" s="17" t="s">
        <v>1994</v>
      </c>
    </row>
    <row r="613" spans="2:34">
      <c r="B613" s="12" t="s">
        <v>127</v>
      </c>
      <c r="C613" s="12" t="s">
        <v>1887</v>
      </c>
      <c r="E613" s="12" t="s">
        <v>413</v>
      </c>
      <c r="F613" s="12" t="s">
        <v>1887</v>
      </c>
      <c r="J613" s="12" t="s">
        <v>286</v>
      </c>
      <c r="K613" s="12" t="s">
        <v>1887</v>
      </c>
      <c r="M613" s="12" t="s">
        <v>1849</v>
      </c>
      <c r="N613" s="12" t="s">
        <v>1960</v>
      </c>
      <c r="P613" s="12" t="s">
        <v>129</v>
      </c>
      <c r="Q613" s="12" t="s">
        <v>1887</v>
      </c>
      <c r="R613" s="12" t="s">
        <v>1979</v>
      </c>
      <c r="S613" s="12" t="s">
        <v>1694</v>
      </c>
      <c r="U613" s="12" t="s">
        <v>1970</v>
      </c>
      <c r="V613" s="12" t="s">
        <v>3</v>
      </c>
      <c r="W613" s="12" t="s">
        <v>19</v>
      </c>
      <c r="X613" s="12" t="s">
        <v>44</v>
      </c>
      <c r="Y613" s="12" t="s">
        <v>53</v>
      </c>
      <c r="Z613" s="12" t="s">
        <v>60</v>
      </c>
      <c r="AA613" s="12" t="s">
        <v>73</v>
      </c>
      <c r="AB613" s="12" t="s">
        <v>76</v>
      </c>
      <c r="AC613" s="12" t="s">
        <v>86</v>
      </c>
      <c r="AD613" s="12" t="s">
        <v>102</v>
      </c>
      <c r="AE613" s="12" t="s">
        <v>106</v>
      </c>
      <c r="AF613" s="12" t="s">
        <v>111</v>
      </c>
      <c r="AG613" s="12" t="s">
        <v>122</v>
      </c>
      <c r="AH613" s="12" t="s">
        <v>1971</v>
      </c>
    </row>
    <row r="614" spans="2:34">
      <c r="B614" s="23" t="s">
        <v>3</v>
      </c>
      <c r="C614" s="22">
        <f>COUNTIFS('Equipment Inspections'!$D$4:$D$100003,"Jan",'Equipment Inspections'!$F$4:$F$100003,dCrit)</f>
        <v>0</v>
      </c>
      <c r="E614" s="13" t="s">
        <v>10</v>
      </c>
      <c r="F614" s="22">
        <f>COUNTIFS('Equipment Inspections'!$L$4:$L$100003,"Excellent",'Equipment Inspections'!$D$4:$D$100003,mCrit,'Equipment Inspections'!$F$4:$F$100003,dCrit)</f>
        <v>0</v>
      </c>
      <c r="J614" s="13" t="s">
        <v>224</v>
      </c>
      <c r="K614" s="22">
        <f>COUNTIFS('Equipment Inspections'!$M$4:$M$100003,"In Progress",'Equipment Inspections'!$D$4:$D$100003,mCrit,'Equipment Inspections'!$F$4:$F$100003,dCrit)</f>
        <v>0</v>
      </c>
      <c r="M614" s="13" t="s">
        <v>1961</v>
      </c>
      <c r="N614" s="22">
        <f>COUNTIFS('Equipment Inspections'!$D$4:$D$100003,mCrit,'Equipment Inspections'!$F$4:$F$100003,dCrit)</f>
        <v>0</v>
      </c>
      <c r="P614" s="13" t="s">
        <v>27</v>
      </c>
      <c r="Q614" s="22">
        <f>COUNTIFS('Equipment Inspections'!$D$4:$D$100003,mCrit,'Equipment Inspections'!$F$4:$F$100003,"Operations")</f>
        <v>0</v>
      </c>
      <c r="R614" s="25">
        <f>IFERROR((COUNTIFS('Equipment Inspections'!$M$4:$M$100003,"Completed",'Equipment Inspections'!$D$4:$D$100003,mCrit,'Equipment Inspections'!$F$4:$F$100003,"Operations"))/COUNTIFS('Equipment Inspections'!$D$4:$D$100003,mCrit,'Equipment Inspections'!$F$4:$F$100003,"Operations")*100,0)</f>
        <v>0</v>
      </c>
      <c r="S614" s="22">
        <f>COUNTIFS('Equipment Inspections'!$D$4:$D$100003,mCrit,'Equipment Inspections'!$F$4:$F$100003,"Operations")</f>
        <v>0</v>
      </c>
      <c r="U614" s="13" t="s">
        <v>1694</v>
      </c>
      <c r="V614" s="22">
        <f>COUNTIFS('Equipment Inspections'!$D$4:$D$100003,"Jan",'Equipment Inspections'!$F$4:$F$100003,dCrit)</f>
        <v>0</v>
      </c>
      <c r="W614" s="22">
        <f>COUNTIFS('Equipment Inspections'!$D$4:$D$100003,"Feb",'Equipment Inspections'!$F$4:$F$100003,dCrit)</f>
        <v>0</v>
      </c>
      <c r="X614" s="22">
        <f>COUNTIFS('Equipment Inspections'!$D$4:$D$100003,"Mar",'Equipment Inspections'!$F$4:$F$100003,dCrit)</f>
        <v>0</v>
      </c>
      <c r="Y614" s="22">
        <f>COUNTIFS('Equipment Inspections'!$D$4:$D$100003,"Apr",'Equipment Inspections'!$F$4:$F$100003,dCrit)</f>
        <v>0</v>
      </c>
      <c r="Z614" s="22">
        <f>COUNTIFS('Equipment Inspections'!$D$4:$D$100003,"May",'Equipment Inspections'!$F$4:$F$100003,dCrit)</f>
        <v>0</v>
      </c>
      <c r="AA614" s="22">
        <f>COUNTIFS('Equipment Inspections'!$D$4:$D$100003,"Jun",'Equipment Inspections'!$F$4:$F$100003,dCrit)</f>
        <v>0</v>
      </c>
      <c r="AB614" s="22">
        <f>COUNTIFS('Equipment Inspections'!$D$4:$D$100003,"Jul",'Equipment Inspections'!$F$4:$F$100003,dCrit)</f>
        <v>0</v>
      </c>
      <c r="AC614" s="22">
        <f>COUNTIFS('Equipment Inspections'!$D$4:$D$100003,"Aug",'Equipment Inspections'!$F$4:$F$100003,dCrit)</f>
        <v>0</v>
      </c>
      <c r="AD614" s="22">
        <f>COUNTIFS('Equipment Inspections'!$D$4:$D$100003,"Sep",'Equipment Inspections'!$F$4:$F$100003,dCrit)</f>
        <v>0</v>
      </c>
      <c r="AE614" s="22">
        <f>COUNTIFS('Equipment Inspections'!$D$4:$D$100003,"Oct",'Equipment Inspections'!$F$4:$F$100003,dCrit)</f>
        <v>0</v>
      </c>
      <c r="AF614" s="22">
        <f>COUNTIFS('Equipment Inspections'!$D$4:$D$100003,"Nov",'Equipment Inspections'!$F$4:$F$100003,dCrit)</f>
        <v>0</v>
      </c>
      <c r="AG614" s="22">
        <f>COUNTIFS('Equipment Inspections'!$D$4:$D$100003,"Dec",'Equipment Inspections'!$F$4:$F$100003,dCrit)</f>
        <v>0</v>
      </c>
      <c r="AH614" s="22">
        <f>SUM(V614:AG614)</f>
        <v>0</v>
      </c>
    </row>
    <row r="615" spans="2:34">
      <c r="B615" s="23" t="s">
        <v>19</v>
      </c>
      <c r="C615" s="22">
        <f>COUNTIFS('Equipment Inspections'!$D$4:$D$100003,"Feb",'Equipment Inspections'!$F$4:$F$100003,dCrit)</f>
        <v>0</v>
      </c>
      <c r="E615" s="13" t="s">
        <v>42</v>
      </c>
      <c r="F615" s="22">
        <f>COUNTIFS('Equipment Inspections'!$L$4:$L$100003,"Good",'Equipment Inspections'!$D$4:$D$100003,mCrit,'Equipment Inspections'!$F$4:$F$100003,dCrit)</f>
        <v>0</v>
      </c>
      <c r="J615" s="13" t="s">
        <v>302</v>
      </c>
      <c r="K615" s="22">
        <f>COUNTIFS('Equipment Inspections'!$M$4:$M$100003,"Pending",'Equipment Inspections'!$D$4:$D$100003,mCrit,'Equipment Inspections'!$F$4:$F$100003,dCrit)</f>
        <v>0</v>
      </c>
      <c r="M615" s="13" t="s">
        <v>220</v>
      </c>
      <c r="N615" s="22">
        <f>COUNTIFS('Equipment Inspections'!$M$4:$M$100003,"Completed",'Equipment Inspections'!$D$4:$D$100003,mCrit,'Equipment Inspections'!$F$4:$F$100003,dCrit)</f>
        <v>0</v>
      </c>
      <c r="P615" s="13" t="s">
        <v>92</v>
      </c>
      <c r="Q615" s="22">
        <f>COUNTIFS('Equipment Inspections'!$D$4:$D$100003,mCrit,'Equipment Inspections'!$F$4:$F$100003,"Maintenance")</f>
        <v>0</v>
      </c>
      <c r="R615" s="25">
        <f>IFERROR((COUNTIFS('Equipment Inspections'!$M$4:$M$100003,"Completed",'Equipment Inspections'!$D$4:$D$100003,mCrit,'Equipment Inspections'!$F$4:$F$100003,"Maintenance"))/COUNTIFS('Equipment Inspections'!$D$4:$D$100003,mCrit,'Equipment Inspections'!$F$4:$F$100003,"Maintenance")*100,0)</f>
        <v>0</v>
      </c>
      <c r="S615" s="22">
        <f>COUNTIFS('Equipment Inspections'!$D$4:$D$100003,mCrit,'Equipment Inspections'!$F$4:$F$100003,"Maintenance")</f>
        <v>0</v>
      </c>
      <c r="U615" s="13" t="s">
        <v>1980</v>
      </c>
      <c r="V615" s="25">
        <f>IFERROR((COUNTIFS('Equipment Inspections'!$M$4:$M$100003,"Completed",'Equipment Inspections'!$D$4:$D$100003,"Jan",'Equipment Inspections'!$F$4:$F$100003,dCrit))/COUNTIFS('Equipment Inspections'!$D$4:$D$100003,"Jan",'Equipment Inspections'!$F$4:$F$100003,dCrit)*100,0)</f>
        <v>0</v>
      </c>
      <c r="W615" s="25">
        <f>IFERROR((COUNTIFS('Equipment Inspections'!$M$4:$M$100003,"Completed",'Equipment Inspections'!$D$4:$D$100003,"Feb",'Equipment Inspections'!$F$4:$F$100003,dCrit))/COUNTIFS('Equipment Inspections'!$D$4:$D$100003,"Feb",'Equipment Inspections'!$F$4:$F$100003,dCrit)*100,0)</f>
        <v>0</v>
      </c>
      <c r="X615" s="25">
        <f>IFERROR((COUNTIFS('Equipment Inspections'!$M$4:$M$100003,"Completed",'Equipment Inspections'!$D$4:$D$100003,"Mar",'Equipment Inspections'!$F$4:$F$100003,dCrit))/COUNTIFS('Equipment Inspections'!$D$4:$D$100003,"Mar",'Equipment Inspections'!$F$4:$F$100003,dCrit)*100,0)</f>
        <v>0</v>
      </c>
      <c r="Y615" s="25">
        <f>IFERROR((COUNTIFS('Equipment Inspections'!$M$4:$M$100003,"Completed",'Equipment Inspections'!$D$4:$D$100003,"Apr",'Equipment Inspections'!$F$4:$F$100003,dCrit))/COUNTIFS('Equipment Inspections'!$D$4:$D$100003,"Apr",'Equipment Inspections'!$F$4:$F$100003,dCrit)*100,0)</f>
        <v>0</v>
      </c>
      <c r="Z615" s="25">
        <f>IFERROR((COUNTIFS('Equipment Inspections'!$M$4:$M$100003,"Completed",'Equipment Inspections'!$D$4:$D$100003,"May",'Equipment Inspections'!$F$4:$F$100003,dCrit))/COUNTIFS('Equipment Inspections'!$D$4:$D$100003,"May",'Equipment Inspections'!$F$4:$F$100003,dCrit)*100,0)</f>
        <v>0</v>
      </c>
      <c r="AA615" s="25">
        <f>IFERROR((COUNTIFS('Equipment Inspections'!$M$4:$M$100003,"Completed",'Equipment Inspections'!$D$4:$D$100003,"Jun",'Equipment Inspections'!$F$4:$F$100003,dCrit))/COUNTIFS('Equipment Inspections'!$D$4:$D$100003,"Jun",'Equipment Inspections'!$F$4:$F$100003,dCrit)*100,0)</f>
        <v>0</v>
      </c>
      <c r="AB615" s="25">
        <f>IFERROR((COUNTIFS('Equipment Inspections'!$M$4:$M$100003,"Completed",'Equipment Inspections'!$D$4:$D$100003,"Jul",'Equipment Inspections'!$F$4:$F$100003,dCrit))/COUNTIFS('Equipment Inspections'!$D$4:$D$100003,"Jul",'Equipment Inspections'!$F$4:$F$100003,dCrit)*100,0)</f>
        <v>0</v>
      </c>
      <c r="AC615" s="25">
        <f>IFERROR((COUNTIFS('Equipment Inspections'!$M$4:$M$100003,"Completed",'Equipment Inspections'!$D$4:$D$100003,"Aug",'Equipment Inspections'!$F$4:$F$100003,dCrit))/COUNTIFS('Equipment Inspections'!$D$4:$D$100003,"Aug",'Equipment Inspections'!$F$4:$F$100003,dCrit)*100,0)</f>
        <v>0</v>
      </c>
      <c r="AD615" s="25">
        <f>IFERROR((COUNTIFS('Equipment Inspections'!$M$4:$M$100003,"Completed",'Equipment Inspections'!$D$4:$D$100003,"Sep",'Equipment Inspections'!$F$4:$F$100003,dCrit))/COUNTIFS('Equipment Inspections'!$D$4:$D$100003,"Sep",'Equipment Inspections'!$F$4:$F$100003,dCrit)*100,0)</f>
        <v>0</v>
      </c>
      <c r="AE615" s="25">
        <f>IFERROR((COUNTIFS('Equipment Inspections'!$M$4:$M$100003,"Completed",'Equipment Inspections'!$D$4:$D$100003,"Oct",'Equipment Inspections'!$F$4:$F$100003,dCrit))/COUNTIFS('Equipment Inspections'!$D$4:$D$100003,"Oct",'Equipment Inspections'!$F$4:$F$100003,dCrit)*100,0)</f>
        <v>0</v>
      </c>
      <c r="AF615" s="25">
        <f>IFERROR((COUNTIFS('Equipment Inspections'!$M$4:$M$100003,"Completed",'Equipment Inspections'!$D$4:$D$100003,"Nov",'Equipment Inspections'!$F$4:$F$100003,dCrit))/COUNTIFS('Equipment Inspections'!$D$4:$D$100003,"Nov",'Equipment Inspections'!$F$4:$F$100003,dCrit)*100,0)</f>
        <v>0</v>
      </c>
      <c r="AG615" s="25">
        <f>IFERROR((COUNTIFS('Equipment Inspections'!$M$4:$M$100003,"Completed",'Equipment Inspections'!$D$4:$D$100003,"Dec",'Equipment Inspections'!$F$4:$F$100003,dCrit))/COUNTIFS('Equipment Inspections'!$D$4:$D$100003,"Dec",'Equipment Inspections'!$F$4:$F$100003,dCrit)*100,0)</f>
        <v>0</v>
      </c>
      <c r="AH615" s="25">
        <f>IFERROR(AVERAGE(V615:AG615),0)</f>
        <v>0</v>
      </c>
    </row>
    <row r="616" spans="2:34">
      <c r="B616" s="23" t="s">
        <v>44</v>
      </c>
      <c r="C616" s="22">
        <f>COUNTIFS('Equipment Inspections'!$D$4:$D$100003,"Mar",'Equipment Inspections'!$F$4:$F$100003,dCrit)</f>
        <v>0</v>
      </c>
      <c r="E616" s="13" t="s">
        <v>17</v>
      </c>
      <c r="F616" s="22">
        <f>COUNTIFS('Equipment Inspections'!$L$4:$L$100003,"Satisfactory",'Equipment Inspections'!$D$4:$D$100003,mCrit,'Equipment Inspections'!$F$4:$F$100003,dCrit)</f>
        <v>0</v>
      </c>
      <c r="J616" s="13" t="s">
        <v>220</v>
      </c>
      <c r="K616" s="22">
        <f>COUNTIFS('Equipment Inspections'!$M$4:$M$100003,"Completed",'Equipment Inspections'!$D$4:$D$100003,mCrit,'Equipment Inspections'!$F$4:$F$100003,dCrit)</f>
        <v>0</v>
      </c>
      <c r="M616" s="13" t="s">
        <v>326</v>
      </c>
      <c r="N616" s="22">
        <f>COUNTIFS('Equipment Inspections'!$M$4:$M$100003,"Overdue",'Equipment Inspections'!$D$4:$D$100003,mCrit,'Equipment Inspections'!$F$4:$F$100003,dCrit)</f>
        <v>0</v>
      </c>
      <c r="P616" s="13" t="s">
        <v>39</v>
      </c>
      <c r="Q616" s="22">
        <f>COUNTIFS('Equipment Inspections'!$D$4:$D$100003,mCrit,'Equipment Inspections'!$F$4:$F$100003,"Engineering")</f>
        <v>0</v>
      </c>
      <c r="R616" s="25">
        <f>IFERROR((COUNTIFS('Equipment Inspections'!$M$4:$M$100003,"Completed",'Equipment Inspections'!$D$4:$D$100003,mCrit,'Equipment Inspections'!$F$4:$F$100003,"Engineering"))/COUNTIFS('Equipment Inspections'!$D$4:$D$100003,mCrit,'Equipment Inspections'!$F$4:$F$100003,"Engineering")*100,0)</f>
        <v>0</v>
      </c>
      <c r="S616" s="22">
        <f>COUNTIFS('Equipment Inspections'!$D$4:$D$100003,mCrit,'Equipment Inspections'!$F$4:$F$100003,"Engineering")</f>
        <v>0</v>
      </c>
    </row>
    <row r="617" spans="2:34">
      <c r="B617" s="23" t="s">
        <v>53</v>
      </c>
      <c r="C617" s="22">
        <f>COUNTIFS('Equipment Inspections'!$D$4:$D$100003,"Apr",'Equipment Inspections'!$F$4:$F$100003,dCrit)</f>
        <v>0</v>
      </c>
      <c r="E617" s="13" t="s">
        <v>96</v>
      </c>
      <c r="F617" s="22">
        <f>COUNTIFS('Equipment Inspections'!$L$4:$L$100003,"Needs Improvement",'Equipment Inspections'!$D$4:$D$100003,mCrit,'Equipment Inspections'!$F$4:$F$100003,dCrit)</f>
        <v>0</v>
      </c>
      <c r="J617" s="13" t="s">
        <v>326</v>
      </c>
      <c r="K617" s="22">
        <f>COUNTIFS('Equipment Inspections'!$M$4:$M$100003,"Overdue",'Equipment Inspections'!$D$4:$D$100003,mCrit,'Equipment Inspections'!$F$4:$F$100003,dCrit)</f>
        <v>0</v>
      </c>
      <c r="M617" s="13" t="s">
        <v>157</v>
      </c>
      <c r="N617" s="22">
        <f>SUMIFS('Equipment Inspections'!$K$4:$K$100003,'Equipment Inspections'!$D$4:$D$100003,mCrit,'Equipment Inspections'!$F$4:$F$100003,dCrit)</f>
        <v>0</v>
      </c>
      <c r="P617" s="13" t="s">
        <v>89</v>
      </c>
      <c r="Q617" s="22">
        <f>COUNTIFS('Equipment Inspections'!$D$4:$D$100003,mCrit,'Equipment Inspections'!$F$4:$F$100003,"Construction")</f>
        <v>0</v>
      </c>
      <c r="R617" s="25">
        <f>IFERROR((COUNTIFS('Equipment Inspections'!$M$4:$M$100003,"Completed",'Equipment Inspections'!$D$4:$D$100003,mCrit,'Equipment Inspections'!$F$4:$F$100003,"Construction"))/COUNTIFS('Equipment Inspections'!$D$4:$D$100003,mCrit,'Equipment Inspections'!$F$4:$F$100003,"Construction")*100,0)</f>
        <v>0</v>
      </c>
      <c r="S617" s="22">
        <f>COUNTIFS('Equipment Inspections'!$D$4:$D$100003,mCrit,'Equipment Inspections'!$F$4:$F$100003,"Construction")</f>
        <v>0</v>
      </c>
    </row>
    <row r="618" spans="2:34">
      <c r="B618" s="23" t="s">
        <v>60</v>
      </c>
      <c r="C618" s="22">
        <f>COUNTIFS('Equipment Inspections'!$D$4:$D$100003,"May",'Equipment Inspections'!$F$4:$F$100003,dCrit)</f>
        <v>0</v>
      </c>
      <c r="E618" s="13" t="s">
        <v>24</v>
      </c>
      <c r="F618" s="22">
        <f>COUNTIFS('Equipment Inspections'!$L$4:$L$100003,"Unsatisfactory",'Equipment Inspections'!$D$4:$D$100003,mCrit,'Equipment Inspections'!$F$4:$F$100003,dCrit)</f>
        <v>0</v>
      </c>
      <c r="M618" s="13" t="s">
        <v>1991</v>
      </c>
      <c r="N618" s="22">
        <f>SUMIFS('Equipment Inspections'!$I$4:$I$100003,'Equipment Inspections'!$D$4:$D$100003,mCrit,'Equipment Inspections'!$F$4:$F$100003,dCrit)</f>
        <v>0</v>
      </c>
      <c r="P618" s="13" t="s">
        <v>65</v>
      </c>
      <c r="Q618" s="22">
        <f>COUNTIFS('Equipment Inspections'!$D$4:$D$100003,mCrit,'Equipment Inspections'!$F$4:$F$100003,"Safety")</f>
        <v>0</v>
      </c>
      <c r="R618" s="25">
        <f>IFERROR((COUNTIFS('Equipment Inspections'!$M$4:$M$100003,"Completed",'Equipment Inspections'!$D$4:$D$100003,mCrit,'Equipment Inspections'!$F$4:$F$100003,"Safety"))/COUNTIFS('Equipment Inspections'!$D$4:$D$100003,mCrit,'Equipment Inspections'!$F$4:$F$100003,"Safety")*100,0)</f>
        <v>0</v>
      </c>
      <c r="S618" s="22">
        <f>COUNTIFS('Equipment Inspections'!$D$4:$D$100003,mCrit,'Equipment Inspections'!$F$4:$F$100003,"Safety")</f>
        <v>0</v>
      </c>
    </row>
    <row r="619" spans="2:34">
      <c r="B619" s="23" t="s">
        <v>73</v>
      </c>
      <c r="C619" s="22">
        <f>COUNTIFS('Equipment Inspections'!$D$4:$D$100003,"Jun",'Equipment Inspections'!$F$4:$F$100003,dCrit)</f>
        <v>0</v>
      </c>
      <c r="M619" s="13" t="s">
        <v>1992</v>
      </c>
      <c r="N619" s="22">
        <f>SUMIFS('Equipment Inspections'!$J$4:$J$100003,'Equipment Inspections'!$D$4:$D$100003,mCrit,'Equipment Inspections'!$F$4:$F$100003,dCrit)</f>
        <v>0</v>
      </c>
      <c r="P619" s="13" t="s">
        <v>5</v>
      </c>
      <c r="Q619" s="22">
        <f>COUNTIFS('Equipment Inspections'!$D$4:$D$100003,mCrit,'Equipment Inspections'!$F$4:$F$100003,"Logistics")</f>
        <v>0</v>
      </c>
      <c r="R619" s="25">
        <f>IFERROR((COUNTIFS('Equipment Inspections'!$M$4:$M$100003,"Completed",'Equipment Inspections'!$D$4:$D$100003,mCrit,'Equipment Inspections'!$F$4:$F$100003,"Logistics"))/COUNTIFS('Equipment Inspections'!$D$4:$D$100003,mCrit,'Equipment Inspections'!$F$4:$F$100003,"Logistics")*100,0)</f>
        <v>0</v>
      </c>
      <c r="S619" s="22">
        <f>COUNTIFS('Equipment Inspections'!$D$4:$D$100003,mCrit,'Equipment Inspections'!$F$4:$F$100003,"Logistics")</f>
        <v>0</v>
      </c>
    </row>
    <row r="620" spans="2:34">
      <c r="B620" s="23" t="s">
        <v>76</v>
      </c>
      <c r="C620" s="22">
        <f>COUNTIFS('Equipment Inspections'!$D$4:$D$100003,"Jul",'Equipment Inspections'!$F$4:$F$100003,dCrit)</f>
        <v>0</v>
      </c>
      <c r="M620" s="13" t="s">
        <v>1993</v>
      </c>
      <c r="N620" s="25">
        <f>IFERROR((SUMIFS('Equipment Inspections'!$J$4:$J$100003,'Equipment Inspections'!$D$4:$D$100003,mCrit,'Equipment Inspections'!$F$4:$F$100003,dCrit))/(COUNTIFS('Equipment Inspections'!$D$4:$D$100003,mCrit,'Equipment Inspections'!$F$4:$F$100003,dCrit))*100,0)</f>
        <v>0</v>
      </c>
      <c r="P620" s="13" t="s">
        <v>50</v>
      </c>
      <c r="Q620" s="22">
        <f>COUNTIFS('Equipment Inspections'!$D$4:$D$100003,mCrit,'Equipment Inspections'!$F$4:$F$100003,"Quality")</f>
        <v>0</v>
      </c>
      <c r="R620" s="25">
        <f>IFERROR((COUNTIFS('Equipment Inspections'!$M$4:$M$100003,"Completed",'Equipment Inspections'!$D$4:$D$100003,mCrit,'Equipment Inspections'!$F$4:$F$100003,"Quality"))/COUNTIFS('Equipment Inspections'!$D$4:$D$100003,mCrit,'Equipment Inspections'!$F$4:$F$100003,"Quality")*100,0)</f>
        <v>0</v>
      </c>
      <c r="S620" s="22">
        <f>COUNTIFS('Equipment Inspections'!$D$4:$D$100003,mCrit,'Equipment Inspections'!$F$4:$F$100003,"Quality")</f>
        <v>0</v>
      </c>
    </row>
    <row r="621" spans="2:34">
      <c r="B621" s="23" t="s">
        <v>86</v>
      </c>
      <c r="C621" s="22">
        <f>COUNTIFS('Equipment Inspections'!$D$4:$D$100003,"Aug",'Equipment Inspections'!$F$4:$F$100003,dCrit)</f>
        <v>0</v>
      </c>
      <c r="M621" s="13" t="s">
        <v>1989</v>
      </c>
      <c r="N621" s="25">
        <f>IFERROR((COUNTIFS('Equipment Inspections'!$M$4:$M$100003,"Completed",'Equipment Inspections'!$D$4:$D$100003,mCrit,'Equipment Inspections'!$F$4:$F$100003,dCrit))/(COUNTIFS('Equipment Inspections'!$D$4:$D$100003,mCrit,'Equipment Inspections'!$F$4:$F$100003,dCrit))*100,0)</f>
        <v>0</v>
      </c>
      <c r="P621" s="13" t="s">
        <v>46</v>
      </c>
      <c r="Q621" s="22">
        <f>COUNTIFS('Equipment Inspections'!$D$4:$D$100003,mCrit,'Equipment Inspections'!$F$4:$F$100003,"Admin")</f>
        <v>0</v>
      </c>
      <c r="R621" s="25">
        <f>IFERROR((COUNTIFS('Equipment Inspections'!$M$4:$M$100003,"Completed",'Equipment Inspections'!$D$4:$D$100003,mCrit,'Equipment Inspections'!$F$4:$F$100003,"Admin"))/COUNTIFS('Equipment Inspections'!$D$4:$D$100003,mCrit,'Equipment Inspections'!$F$4:$F$100003,"Admin")*100,0)</f>
        <v>0</v>
      </c>
      <c r="S621" s="22">
        <f>COUNTIFS('Equipment Inspections'!$D$4:$D$100003,mCrit,'Equipment Inspections'!$F$4:$F$100003,"Admin")</f>
        <v>0</v>
      </c>
    </row>
    <row r="622" spans="2:34">
      <c r="B622" s="23" t="s">
        <v>102</v>
      </c>
      <c r="C622" s="22">
        <f>COUNTIFS('Equipment Inspections'!$D$4:$D$100003,"Sep",'Equipment Inspections'!$F$4:$F$100003,dCrit)</f>
        <v>0</v>
      </c>
      <c r="P622" s="13" t="s">
        <v>13</v>
      </c>
      <c r="Q622" s="22">
        <f>COUNTIFS('Equipment Inspections'!$D$4:$D$100003,mCrit,'Equipment Inspections'!$F$4:$F$100003,"Projects")</f>
        <v>0</v>
      </c>
      <c r="R622" s="25">
        <f>IFERROR((COUNTIFS('Equipment Inspections'!$M$4:$M$100003,"Completed",'Equipment Inspections'!$D$4:$D$100003,mCrit,'Equipment Inspections'!$F$4:$F$100003,"Projects"))/COUNTIFS('Equipment Inspections'!$D$4:$D$100003,mCrit,'Equipment Inspections'!$F$4:$F$100003,"Projects")*100,0)</f>
        <v>0</v>
      </c>
      <c r="S622" s="22">
        <f>COUNTIFS('Equipment Inspections'!$D$4:$D$100003,mCrit,'Equipment Inspections'!$F$4:$F$100003,"Projects")</f>
        <v>0</v>
      </c>
    </row>
    <row r="623" spans="2:34">
      <c r="B623" s="23" t="s">
        <v>106</v>
      </c>
      <c r="C623" s="22">
        <f>COUNTIFS('Equipment Inspections'!$D$4:$D$100003,"Oct",'Equipment Inspections'!$F$4:$F$100003,dCrit)</f>
        <v>0</v>
      </c>
      <c r="P623" s="13" t="s">
        <v>58</v>
      </c>
      <c r="Q623" s="22">
        <f>COUNTIFS('Equipment Inspections'!$D$4:$D$100003,mCrit,'Equipment Inspections'!$F$4:$F$100003,"Contractor")</f>
        <v>0</v>
      </c>
      <c r="R623" s="25">
        <f>IFERROR((COUNTIFS('Equipment Inspections'!$M$4:$M$100003,"Completed",'Equipment Inspections'!$D$4:$D$100003,mCrit,'Equipment Inspections'!$F$4:$F$100003,"Contractor"))/COUNTIFS('Equipment Inspections'!$D$4:$D$100003,mCrit,'Equipment Inspections'!$F$4:$F$100003,"Contractor")*100,0)</f>
        <v>0</v>
      </c>
      <c r="S623" s="22">
        <f>COUNTIFS('Equipment Inspections'!$D$4:$D$100003,mCrit,'Equipment Inspections'!$F$4:$F$100003,"Contractor")</f>
        <v>0</v>
      </c>
    </row>
    <row r="624" spans="2:34">
      <c r="B624" s="23" t="s">
        <v>111</v>
      </c>
      <c r="C624" s="22">
        <f>COUNTIFS('Equipment Inspections'!$D$4:$D$100003,"Nov",'Equipment Inspections'!$F$4:$F$100003,dCrit)</f>
        <v>0</v>
      </c>
    </row>
    <row r="625" spans="2:34">
      <c r="B625" s="23" t="s">
        <v>122</v>
      </c>
      <c r="C625" s="22">
        <f>COUNTIFS('Equipment Inspections'!$D$4:$D$100003,"Dec",'Equipment Inspections'!$F$4:$F$100003,dCrit)</f>
        <v>0</v>
      </c>
    </row>
    <row r="638" spans="2:34">
      <c r="B638" s="17" t="s">
        <v>1995</v>
      </c>
    </row>
    <row r="639" spans="2:34">
      <c r="B639" s="12" t="s">
        <v>127</v>
      </c>
      <c r="C639" s="12" t="s">
        <v>1887</v>
      </c>
      <c r="E639" s="12" t="s">
        <v>413</v>
      </c>
      <c r="F639" s="12" t="s">
        <v>1887</v>
      </c>
      <c r="J639" s="12" t="s">
        <v>286</v>
      </c>
      <c r="K639" s="12" t="s">
        <v>1887</v>
      </c>
      <c r="M639" s="12" t="s">
        <v>1849</v>
      </c>
      <c r="N639" s="12" t="s">
        <v>1960</v>
      </c>
      <c r="P639" s="12" t="s">
        <v>129</v>
      </c>
      <c r="Q639" s="12" t="s">
        <v>1887</v>
      </c>
      <c r="R639" s="12" t="s">
        <v>1979</v>
      </c>
      <c r="S639" s="12" t="s">
        <v>1694</v>
      </c>
      <c r="U639" s="12" t="s">
        <v>1970</v>
      </c>
      <c r="V639" s="12" t="s">
        <v>3</v>
      </c>
      <c r="W639" s="12" t="s">
        <v>19</v>
      </c>
      <c r="X639" s="12" t="s">
        <v>44</v>
      </c>
      <c r="Y639" s="12" t="s">
        <v>53</v>
      </c>
      <c r="Z639" s="12" t="s">
        <v>60</v>
      </c>
      <c r="AA639" s="12" t="s">
        <v>73</v>
      </c>
      <c r="AB639" s="12" t="s">
        <v>76</v>
      </c>
      <c r="AC639" s="12" t="s">
        <v>86</v>
      </c>
      <c r="AD639" s="12" t="s">
        <v>102</v>
      </c>
      <c r="AE639" s="12" t="s">
        <v>106</v>
      </c>
      <c r="AF639" s="12" t="s">
        <v>111</v>
      </c>
      <c r="AG639" s="12" t="s">
        <v>122</v>
      </c>
      <c r="AH639" s="12" t="s">
        <v>1971</v>
      </c>
    </row>
    <row r="640" spans="2:34">
      <c r="B640" s="23" t="s">
        <v>3</v>
      </c>
      <c r="C640" s="22">
        <f>COUNTIFS('Safety Walkthroughs'!$D$4:$D$100003,"Jan",'Safety Walkthroughs'!$F$4:$F$100003,dCrit)</f>
        <v>0</v>
      </c>
      <c r="E640" s="13" t="s">
        <v>10</v>
      </c>
      <c r="F640" s="22">
        <f>COUNTIFS('Safety Walkthroughs'!$L$4:$L$100003,"Excellent",'Safety Walkthroughs'!$D$4:$D$100003,mCrit,'Safety Walkthroughs'!$F$4:$F$100003,dCrit)</f>
        <v>0</v>
      </c>
      <c r="J640" s="13" t="s">
        <v>302</v>
      </c>
      <c r="K640" s="22">
        <f>COUNTIFS('Safety Walkthroughs'!$M$4:$M$100003,"Pending",'Safety Walkthroughs'!$D$4:$D$100003,mCrit,'Safety Walkthroughs'!$F$4:$F$100003,dCrit)</f>
        <v>0</v>
      </c>
      <c r="M640" s="13" t="s">
        <v>1961</v>
      </c>
      <c r="N640" s="22">
        <f>COUNTIFS('Safety Walkthroughs'!$D$4:$D$100003,mCrit,'Safety Walkthroughs'!$F$4:$F$100003,dCrit)</f>
        <v>0</v>
      </c>
      <c r="P640" s="13" t="s">
        <v>27</v>
      </c>
      <c r="Q640" s="22">
        <f>COUNTIFS('Safety Walkthroughs'!$D$4:$D$100003,mCrit,'Safety Walkthroughs'!$F$4:$F$100003,"Operations")</f>
        <v>0</v>
      </c>
      <c r="R640" s="25">
        <f>IFERROR((COUNTIFS('Safety Walkthroughs'!$M$4:$M$100003,"Completed",'Safety Walkthroughs'!$D$4:$D$100003,mCrit,'Safety Walkthroughs'!$F$4:$F$100003,"Operations"))/COUNTIFS('Safety Walkthroughs'!$D$4:$D$100003,mCrit,'Safety Walkthroughs'!$F$4:$F$100003,"Operations")*100,0)</f>
        <v>0</v>
      </c>
      <c r="S640" s="22">
        <f>COUNTIFS('Safety Walkthroughs'!$D$4:$D$100003,mCrit,'Safety Walkthroughs'!$F$4:$F$100003,"Operations")</f>
        <v>0</v>
      </c>
      <c r="U640" s="13" t="s">
        <v>1694</v>
      </c>
      <c r="V640" s="22">
        <f>COUNTIFS('Safety Walkthroughs'!$D$4:$D$100003,"Jan",'Safety Walkthroughs'!$F$4:$F$100003,dCrit)</f>
        <v>0</v>
      </c>
      <c r="W640" s="22">
        <f>COUNTIFS('Safety Walkthroughs'!$D$4:$D$100003,"Feb",'Safety Walkthroughs'!$F$4:$F$100003,dCrit)</f>
        <v>0</v>
      </c>
      <c r="X640" s="22">
        <f>COUNTIFS('Safety Walkthroughs'!$D$4:$D$100003,"Mar",'Safety Walkthroughs'!$F$4:$F$100003,dCrit)</f>
        <v>0</v>
      </c>
      <c r="Y640" s="22">
        <f>COUNTIFS('Safety Walkthroughs'!$D$4:$D$100003,"Apr",'Safety Walkthroughs'!$F$4:$F$100003,dCrit)</f>
        <v>0</v>
      </c>
      <c r="Z640" s="22">
        <f>COUNTIFS('Safety Walkthroughs'!$D$4:$D$100003,"May",'Safety Walkthroughs'!$F$4:$F$100003,dCrit)</f>
        <v>0</v>
      </c>
      <c r="AA640" s="22">
        <f>COUNTIFS('Safety Walkthroughs'!$D$4:$D$100003,"Jun",'Safety Walkthroughs'!$F$4:$F$100003,dCrit)</f>
        <v>0</v>
      </c>
      <c r="AB640" s="22">
        <f>COUNTIFS('Safety Walkthroughs'!$D$4:$D$100003,"Jul",'Safety Walkthroughs'!$F$4:$F$100003,dCrit)</f>
        <v>0</v>
      </c>
      <c r="AC640" s="22">
        <f>COUNTIFS('Safety Walkthroughs'!$D$4:$D$100003,"Aug",'Safety Walkthroughs'!$F$4:$F$100003,dCrit)</f>
        <v>0</v>
      </c>
      <c r="AD640" s="22">
        <f>COUNTIFS('Safety Walkthroughs'!$D$4:$D$100003,"Sep",'Safety Walkthroughs'!$F$4:$F$100003,dCrit)</f>
        <v>0</v>
      </c>
      <c r="AE640" s="22">
        <f>COUNTIFS('Safety Walkthroughs'!$D$4:$D$100003,"Oct",'Safety Walkthroughs'!$F$4:$F$100003,dCrit)</f>
        <v>0</v>
      </c>
      <c r="AF640" s="22">
        <f>COUNTIFS('Safety Walkthroughs'!$D$4:$D$100003,"Nov",'Safety Walkthroughs'!$F$4:$F$100003,dCrit)</f>
        <v>0</v>
      </c>
      <c r="AG640" s="22">
        <f>COUNTIFS('Safety Walkthroughs'!$D$4:$D$100003,"Dec",'Safety Walkthroughs'!$F$4:$F$100003,dCrit)</f>
        <v>0</v>
      </c>
      <c r="AH640" s="22">
        <f>SUM(V640:AG640)</f>
        <v>0</v>
      </c>
    </row>
    <row r="641" spans="2:34">
      <c r="B641" s="23" t="s">
        <v>19</v>
      </c>
      <c r="C641" s="22">
        <f>COUNTIFS('Safety Walkthroughs'!$D$4:$D$100003,"Feb",'Safety Walkthroughs'!$F$4:$F$100003,dCrit)</f>
        <v>0</v>
      </c>
      <c r="E641" s="13" t="s">
        <v>42</v>
      </c>
      <c r="F641" s="22">
        <f>COUNTIFS('Safety Walkthroughs'!$L$4:$L$100003,"Good",'Safety Walkthroughs'!$D$4:$D$100003,mCrit,'Safety Walkthroughs'!$F$4:$F$100003,dCrit)</f>
        <v>0</v>
      </c>
      <c r="J641" s="13" t="s">
        <v>326</v>
      </c>
      <c r="K641" s="22">
        <f>COUNTIFS('Safety Walkthroughs'!$M$4:$M$100003,"Overdue",'Safety Walkthroughs'!$D$4:$D$100003,mCrit,'Safety Walkthroughs'!$F$4:$F$100003,dCrit)</f>
        <v>0</v>
      </c>
      <c r="M641" s="13" t="s">
        <v>220</v>
      </c>
      <c r="N641" s="22">
        <f>COUNTIFS('Safety Walkthroughs'!$M$4:$M$100003,"Completed",'Safety Walkthroughs'!$D$4:$D$100003,mCrit,'Safety Walkthroughs'!$F$4:$F$100003,dCrit)</f>
        <v>0</v>
      </c>
      <c r="P641" s="13" t="s">
        <v>92</v>
      </c>
      <c r="Q641" s="22">
        <f>COUNTIFS('Safety Walkthroughs'!$D$4:$D$100003,mCrit,'Safety Walkthroughs'!$F$4:$F$100003,"Maintenance")</f>
        <v>0</v>
      </c>
      <c r="R641" s="25">
        <f>IFERROR((COUNTIFS('Safety Walkthroughs'!$M$4:$M$100003,"Completed",'Safety Walkthroughs'!$D$4:$D$100003,mCrit,'Safety Walkthroughs'!$F$4:$F$100003,"Maintenance"))/COUNTIFS('Safety Walkthroughs'!$D$4:$D$100003,mCrit,'Safety Walkthroughs'!$F$4:$F$100003,"Maintenance")*100,0)</f>
        <v>0</v>
      </c>
      <c r="S641" s="22">
        <f>COUNTIFS('Safety Walkthroughs'!$D$4:$D$100003,mCrit,'Safety Walkthroughs'!$F$4:$F$100003,"Maintenance")</f>
        <v>0</v>
      </c>
      <c r="U641" s="13" t="s">
        <v>1980</v>
      </c>
      <c r="V641" s="25">
        <f>IFERROR((COUNTIFS('Safety Walkthroughs'!$M$4:$M$100003,"Completed",'Safety Walkthroughs'!$D$4:$D$100003,"Jan",'Safety Walkthroughs'!$F$4:$F$100003,dCrit))/COUNTIFS('Safety Walkthroughs'!$D$4:$D$100003,"Jan",'Safety Walkthroughs'!$F$4:$F$100003,dCrit)*100,0)</f>
        <v>0</v>
      </c>
      <c r="W641" s="25">
        <f>IFERROR((COUNTIFS('Safety Walkthroughs'!$M$4:$M$100003,"Completed",'Safety Walkthroughs'!$D$4:$D$100003,"Feb",'Safety Walkthroughs'!$F$4:$F$100003,dCrit))/COUNTIFS('Safety Walkthroughs'!$D$4:$D$100003,"Feb",'Safety Walkthroughs'!$F$4:$F$100003,dCrit)*100,0)</f>
        <v>0</v>
      </c>
      <c r="X641" s="25">
        <f>IFERROR((COUNTIFS('Safety Walkthroughs'!$M$4:$M$100003,"Completed",'Safety Walkthroughs'!$D$4:$D$100003,"Mar",'Safety Walkthroughs'!$F$4:$F$100003,dCrit))/COUNTIFS('Safety Walkthroughs'!$D$4:$D$100003,"Mar",'Safety Walkthroughs'!$F$4:$F$100003,dCrit)*100,0)</f>
        <v>0</v>
      </c>
      <c r="Y641" s="25">
        <f>IFERROR((COUNTIFS('Safety Walkthroughs'!$M$4:$M$100003,"Completed",'Safety Walkthroughs'!$D$4:$D$100003,"Apr",'Safety Walkthroughs'!$F$4:$F$100003,dCrit))/COUNTIFS('Safety Walkthroughs'!$D$4:$D$100003,"Apr",'Safety Walkthroughs'!$F$4:$F$100003,dCrit)*100,0)</f>
        <v>0</v>
      </c>
      <c r="Z641" s="25">
        <f>IFERROR((COUNTIFS('Safety Walkthroughs'!$M$4:$M$100003,"Completed",'Safety Walkthroughs'!$D$4:$D$100003,"May",'Safety Walkthroughs'!$F$4:$F$100003,dCrit))/COUNTIFS('Safety Walkthroughs'!$D$4:$D$100003,"May",'Safety Walkthroughs'!$F$4:$F$100003,dCrit)*100,0)</f>
        <v>0</v>
      </c>
      <c r="AA641" s="25">
        <f>IFERROR((COUNTIFS('Safety Walkthroughs'!$M$4:$M$100003,"Completed",'Safety Walkthroughs'!$D$4:$D$100003,"Jun",'Safety Walkthroughs'!$F$4:$F$100003,dCrit))/COUNTIFS('Safety Walkthroughs'!$D$4:$D$100003,"Jun",'Safety Walkthroughs'!$F$4:$F$100003,dCrit)*100,0)</f>
        <v>0</v>
      </c>
      <c r="AB641" s="25">
        <f>IFERROR((COUNTIFS('Safety Walkthroughs'!$M$4:$M$100003,"Completed",'Safety Walkthroughs'!$D$4:$D$100003,"Jul",'Safety Walkthroughs'!$F$4:$F$100003,dCrit))/COUNTIFS('Safety Walkthroughs'!$D$4:$D$100003,"Jul",'Safety Walkthroughs'!$F$4:$F$100003,dCrit)*100,0)</f>
        <v>0</v>
      </c>
      <c r="AC641" s="25">
        <f>IFERROR((COUNTIFS('Safety Walkthroughs'!$M$4:$M$100003,"Completed",'Safety Walkthroughs'!$D$4:$D$100003,"Aug",'Safety Walkthroughs'!$F$4:$F$100003,dCrit))/COUNTIFS('Safety Walkthroughs'!$D$4:$D$100003,"Aug",'Safety Walkthroughs'!$F$4:$F$100003,dCrit)*100,0)</f>
        <v>0</v>
      </c>
      <c r="AD641" s="25">
        <f>IFERROR((COUNTIFS('Safety Walkthroughs'!$M$4:$M$100003,"Completed",'Safety Walkthroughs'!$D$4:$D$100003,"Sep",'Safety Walkthroughs'!$F$4:$F$100003,dCrit))/COUNTIFS('Safety Walkthroughs'!$D$4:$D$100003,"Sep",'Safety Walkthroughs'!$F$4:$F$100003,dCrit)*100,0)</f>
        <v>0</v>
      </c>
      <c r="AE641" s="25">
        <f>IFERROR((COUNTIFS('Safety Walkthroughs'!$M$4:$M$100003,"Completed",'Safety Walkthroughs'!$D$4:$D$100003,"Oct",'Safety Walkthroughs'!$F$4:$F$100003,dCrit))/COUNTIFS('Safety Walkthroughs'!$D$4:$D$100003,"Oct",'Safety Walkthroughs'!$F$4:$F$100003,dCrit)*100,0)</f>
        <v>0</v>
      </c>
      <c r="AF641" s="25">
        <f>IFERROR((COUNTIFS('Safety Walkthroughs'!$M$4:$M$100003,"Completed",'Safety Walkthroughs'!$D$4:$D$100003,"Nov",'Safety Walkthroughs'!$F$4:$F$100003,dCrit))/COUNTIFS('Safety Walkthroughs'!$D$4:$D$100003,"Nov",'Safety Walkthroughs'!$F$4:$F$100003,dCrit)*100,0)</f>
        <v>0</v>
      </c>
      <c r="AG641" s="25">
        <f>IFERROR((COUNTIFS('Safety Walkthroughs'!$M$4:$M$100003,"Completed",'Safety Walkthroughs'!$D$4:$D$100003,"Dec",'Safety Walkthroughs'!$F$4:$F$100003,dCrit))/COUNTIFS('Safety Walkthroughs'!$D$4:$D$100003,"Dec",'Safety Walkthroughs'!$F$4:$F$100003,dCrit)*100,0)</f>
        <v>0</v>
      </c>
      <c r="AH641" s="25">
        <f>IFERROR(AVERAGE(V641:AG641),0)</f>
        <v>0</v>
      </c>
    </row>
    <row r="642" spans="2:34">
      <c r="B642" s="23" t="s">
        <v>44</v>
      </c>
      <c r="C642" s="22">
        <f>COUNTIFS('Safety Walkthroughs'!$D$4:$D$100003,"Mar",'Safety Walkthroughs'!$F$4:$F$100003,dCrit)</f>
        <v>0</v>
      </c>
      <c r="E642" s="13" t="s">
        <v>17</v>
      </c>
      <c r="F642" s="22">
        <f>COUNTIFS('Safety Walkthroughs'!$L$4:$L$100003,"Satisfactory",'Safety Walkthroughs'!$D$4:$D$100003,mCrit,'Safety Walkthroughs'!$F$4:$F$100003,dCrit)</f>
        <v>0</v>
      </c>
      <c r="J642" s="13" t="s">
        <v>224</v>
      </c>
      <c r="K642" s="22">
        <f>COUNTIFS('Safety Walkthroughs'!$M$4:$M$100003,"In Progress",'Safety Walkthroughs'!$D$4:$D$100003,mCrit,'Safety Walkthroughs'!$F$4:$F$100003,dCrit)</f>
        <v>0</v>
      </c>
      <c r="M642" s="13" t="s">
        <v>326</v>
      </c>
      <c r="N642" s="22">
        <f>COUNTIFS('Safety Walkthroughs'!$M$4:$M$100003,"Overdue",'Safety Walkthroughs'!$D$4:$D$100003,mCrit,'Safety Walkthroughs'!$F$4:$F$100003,dCrit)</f>
        <v>0</v>
      </c>
      <c r="P642" s="13" t="s">
        <v>39</v>
      </c>
      <c r="Q642" s="22">
        <f>COUNTIFS('Safety Walkthroughs'!$D$4:$D$100003,mCrit,'Safety Walkthroughs'!$F$4:$F$100003,"Engineering")</f>
        <v>0</v>
      </c>
      <c r="R642" s="25">
        <f>IFERROR((COUNTIFS('Safety Walkthroughs'!$M$4:$M$100003,"Completed",'Safety Walkthroughs'!$D$4:$D$100003,mCrit,'Safety Walkthroughs'!$F$4:$F$100003,"Engineering"))/COUNTIFS('Safety Walkthroughs'!$D$4:$D$100003,mCrit,'Safety Walkthroughs'!$F$4:$F$100003,"Engineering")*100,0)</f>
        <v>0</v>
      </c>
      <c r="S642" s="22">
        <f>COUNTIFS('Safety Walkthroughs'!$D$4:$D$100003,mCrit,'Safety Walkthroughs'!$F$4:$F$100003,"Engineering")</f>
        <v>0</v>
      </c>
    </row>
    <row r="643" spans="2:34">
      <c r="B643" s="23" t="s">
        <v>53</v>
      </c>
      <c r="C643" s="22">
        <f>COUNTIFS('Safety Walkthroughs'!$D$4:$D$100003,"Apr",'Safety Walkthroughs'!$F$4:$F$100003,dCrit)</f>
        <v>0</v>
      </c>
      <c r="E643" s="13" t="s">
        <v>96</v>
      </c>
      <c r="F643" s="22">
        <f>COUNTIFS('Safety Walkthroughs'!$L$4:$L$100003,"Needs Improvement",'Safety Walkthroughs'!$D$4:$D$100003,mCrit,'Safety Walkthroughs'!$F$4:$F$100003,dCrit)</f>
        <v>0</v>
      </c>
      <c r="J643" s="13" t="s">
        <v>220</v>
      </c>
      <c r="K643" s="22">
        <f>COUNTIFS('Safety Walkthroughs'!$M$4:$M$100003,"Completed",'Safety Walkthroughs'!$D$4:$D$100003,mCrit,'Safety Walkthroughs'!$F$4:$F$100003,dCrit)</f>
        <v>0</v>
      </c>
      <c r="M643" s="13" t="s">
        <v>157</v>
      </c>
      <c r="N643" s="22">
        <f>SUMIFS('Safety Walkthroughs'!$K$4:$K$100003,'Safety Walkthroughs'!$D$4:$D$100003,mCrit,'Safety Walkthroughs'!$F$4:$F$100003,dCrit)</f>
        <v>0</v>
      </c>
      <c r="P643" s="13" t="s">
        <v>89</v>
      </c>
      <c r="Q643" s="22">
        <f>COUNTIFS('Safety Walkthroughs'!$D$4:$D$100003,mCrit,'Safety Walkthroughs'!$F$4:$F$100003,"Construction")</f>
        <v>0</v>
      </c>
      <c r="R643" s="25">
        <f>IFERROR((COUNTIFS('Safety Walkthroughs'!$M$4:$M$100003,"Completed",'Safety Walkthroughs'!$D$4:$D$100003,mCrit,'Safety Walkthroughs'!$F$4:$F$100003,"Construction"))/COUNTIFS('Safety Walkthroughs'!$D$4:$D$100003,mCrit,'Safety Walkthroughs'!$F$4:$F$100003,"Construction")*100,0)</f>
        <v>0</v>
      </c>
      <c r="S643" s="22">
        <f>COUNTIFS('Safety Walkthroughs'!$D$4:$D$100003,mCrit,'Safety Walkthroughs'!$F$4:$F$100003,"Construction")</f>
        <v>0</v>
      </c>
    </row>
    <row r="644" spans="2:34">
      <c r="B644" s="23" t="s">
        <v>60</v>
      </c>
      <c r="C644" s="22">
        <f>COUNTIFS('Safety Walkthroughs'!$D$4:$D$100003,"May",'Safety Walkthroughs'!$F$4:$F$100003,dCrit)</f>
        <v>0</v>
      </c>
      <c r="E644" s="13" t="s">
        <v>24</v>
      </c>
      <c r="F644" s="22">
        <f>COUNTIFS('Safety Walkthroughs'!$L$4:$L$100003,"Unsatisfactory",'Safety Walkthroughs'!$D$4:$D$100003,mCrit,'Safety Walkthroughs'!$F$4:$F$100003,dCrit)</f>
        <v>0</v>
      </c>
      <c r="M644" s="13" t="s">
        <v>1991</v>
      </c>
      <c r="N644" s="22">
        <f>SUMIFS('Safety Walkthroughs'!$I$4:$I$100003,'Safety Walkthroughs'!$D$4:$D$100003,mCrit,'Safety Walkthroughs'!$F$4:$F$100003,dCrit)</f>
        <v>0</v>
      </c>
      <c r="P644" s="13" t="s">
        <v>65</v>
      </c>
      <c r="Q644" s="22">
        <f>COUNTIFS('Safety Walkthroughs'!$D$4:$D$100003,mCrit,'Safety Walkthroughs'!$F$4:$F$100003,"Safety")</f>
        <v>0</v>
      </c>
      <c r="R644" s="25">
        <f>IFERROR((COUNTIFS('Safety Walkthroughs'!$M$4:$M$100003,"Completed",'Safety Walkthroughs'!$D$4:$D$100003,mCrit,'Safety Walkthroughs'!$F$4:$F$100003,"Safety"))/COUNTIFS('Safety Walkthroughs'!$D$4:$D$100003,mCrit,'Safety Walkthroughs'!$F$4:$F$100003,"Safety")*100,0)</f>
        <v>0</v>
      </c>
      <c r="S644" s="22">
        <f>COUNTIFS('Safety Walkthroughs'!$D$4:$D$100003,mCrit,'Safety Walkthroughs'!$F$4:$F$100003,"Safety")</f>
        <v>0</v>
      </c>
    </row>
    <row r="645" spans="2:34">
      <c r="B645" s="23" t="s">
        <v>73</v>
      </c>
      <c r="C645" s="22">
        <f>COUNTIFS('Safety Walkthroughs'!$D$4:$D$100003,"Jun",'Safety Walkthroughs'!$F$4:$F$100003,dCrit)</f>
        <v>0</v>
      </c>
      <c r="M645" s="13" t="s">
        <v>1992</v>
      </c>
      <c r="N645" s="22">
        <f>SUMIFS('Safety Walkthroughs'!$J$4:$J$100003,'Safety Walkthroughs'!$D$4:$D$100003,mCrit,'Safety Walkthroughs'!$F$4:$F$100003,dCrit)</f>
        <v>0</v>
      </c>
      <c r="P645" s="13" t="s">
        <v>5</v>
      </c>
      <c r="Q645" s="22">
        <f>COUNTIFS('Safety Walkthroughs'!$D$4:$D$100003,mCrit,'Safety Walkthroughs'!$F$4:$F$100003,"Logistics")</f>
        <v>0</v>
      </c>
      <c r="R645" s="25">
        <f>IFERROR((COUNTIFS('Safety Walkthroughs'!$M$4:$M$100003,"Completed",'Safety Walkthroughs'!$D$4:$D$100003,mCrit,'Safety Walkthroughs'!$F$4:$F$100003,"Logistics"))/COUNTIFS('Safety Walkthroughs'!$D$4:$D$100003,mCrit,'Safety Walkthroughs'!$F$4:$F$100003,"Logistics")*100,0)</f>
        <v>0</v>
      </c>
      <c r="S645" s="22">
        <f>COUNTIFS('Safety Walkthroughs'!$D$4:$D$100003,mCrit,'Safety Walkthroughs'!$F$4:$F$100003,"Logistics")</f>
        <v>0</v>
      </c>
    </row>
    <row r="646" spans="2:34">
      <c r="B646" s="23" t="s">
        <v>76</v>
      </c>
      <c r="C646" s="22">
        <f>COUNTIFS('Safety Walkthroughs'!$D$4:$D$100003,"Jul",'Safety Walkthroughs'!$F$4:$F$100003,dCrit)</f>
        <v>0</v>
      </c>
      <c r="M646" s="13" t="s">
        <v>1993</v>
      </c>
      <c r="N646" s="25">
        <f>IFERROR((SUMIFS('Safety Walkthroughs'!$J$4:$J$100003,'Safety Walkthroughs'!$D$4:$D$100003,mCrit,'Safety Walkthroughs'!$F$4:$F$100003,dCrit))/(COUNTIFS('Safety Walkthroughs'!$D$4:$D$100003,mCrit,'Safety Walkthroughs'!$F$4:$F$100003,dCrit))*100,0)</f>
        <v>0</v>
      </c>
      <c r="P646" s="13" t="s">
        <v>50</v>
      </c>
      <c r="Q646" s="22">
        <f>COUNTIFS('Safety Walkthroughs'!$D$4:$D$100003,mCrit,'Safety Walkthroughs'!$F$4:$F$100003,"Quality")</f>
        <v>0</v>
      </c>
      <c r="R646" s="25">
        <f>IFERROR((COUNTIFS('Safety Walkthroughs'!$M$4:$M$100003,"Completed",'Safety Walkthroughs'!$D$4:$D$100003,mCrit,'Safety Walkthroughs'!$F$4:$F$100003,"Quality"))/COUNTIFS('Safety Walkthroughs'!$D$4:$D$100003,mCrit,'Safety Walkthroughs'!$F$4:$F$100003,"Quality")*100,0)</f>
        <v>0</v>
      </c>
      <c r="S646" s="22">
        <f>COUNTIFS('Safety Walkthroughs'!$D$4:$D$100003,mCrit,'Safety Walkthroughs'!$F$4:$F$100003,"Quality")</f>
        <v>0</v>
      </c>
    </row>
    <row r="647" spans="2:34">
      <c r="B647" s="23" t="s">
        <v>86</v>
      </c>
      <c r="C647" s="22">
        <f>COUNTIFS('Safety Walkthroughs'!$D$4:$D$100003,"Aug",'Safety Walkthroughs'!$F$4:$F$100003,dCrit)</f>
        <v>0</v>
      </c>
      <c r="M647" s="13" t="s">
        <v>1989</v>
      </c>
      <c r="N647" s="25">
        <f>IFERROR((COUNTIFS('Safety Walkthroughs'!$M$4:$M$100003,"Completed",'Safety Walkthroughs'!$D$4:$D$100003,mCrit,'Safety Walkthroughs'!$F$4:$F$100003,dCrit))/(COUNTIFS('Safety Walkthroughs'!$D$4:$D$100003,mCrit,'Safety Walkthroughs'!$F$4:$F$100003,dCrit))*100,0)</f>
        <v>0</v>
      </c>
      <c r="P647" s="13" t="s">
        <v>46</v>
      </c>
      <c r="Q647" s="22">
        <f>COUNTIFS('Safety Walkthroughs'!$D$4:$D$100003,mCrit,'Safety Walkthroughs'!$F$4:$F$100003,"Admin")</f>
        <v>0</v>
      </c>
      <c r="R647" s="25">
        <f>IFERROR((COUNTIFS('Safety Walkthroughs'!$M$4:$M$100003,"Completed",'Safety Walkthroughs'!$D$4:$D$100003,mCrit,'Safety Walkthroughs'!$F$4:$F$100003,"Admin"))/COUNTIFS('Safety Walkthroughs'!$D$4:$D$100003,mCrit,'Safety Walkthroughs'!$F$4:$F$100003,"Admin")*100,0)</f>
        <v>0</v>
      </c>
      <c r="S647" s="22">
        <f>COUNTIFS('Safety Walkthroughs'!$D$4:$D$100003,mCrit,'Safety Walkthroughs'!$F$4:$F$100003,"Admin")</f>
        <v>0</v>
      </c>
    </row>
    <row r="648" spans="2:34">
      <c r="B648" s="23" t="s">
        <v>102</v>
      </c>
      <c r="C648" s="22">
        <f>COUNTIFS('Safety Walkthroughs'!$D$4:$D$100003,"Sep",'Safety Walkthroughs'!$F$4:$F$100003,dCrit)</f>
        <v>0</v>
      </c>
      <c r="P648" s="13" t="s">
        <v>13</v>
      </c>
      <c r="Q648" s="22">
        <f>COUNTIFS('Safety Walkthroughs'!$D$4:$D$100003,mCrit,'Safety Walkthroughs'!$F$4:$F$100003,"Projects")</f>
        <v>0</v>
      </c>
      <c r="R648" s="25">
        <f>IFERROR((COUNTIFS('Safety Walkthroughs'!$M$4:$M$100003,"Completed",'Safety Walkthroughs'!$D$4:$D$100003,mCrit,'Safety Walkthroughs'!$F$4:$F$100003,"Projects"))/COUNTIFS('Safety Walkthroughs'!$D$4:$D$100003,mCrit,'Safety Walkthroughs'!$F$4:$F$100003,"Projects")*100,0)</f>
        <v>0</v>
      </c>
      <c r="S648" s="22">
        <f>COUNTIFS('Safety Walkthroughs'!$D$4:$D$100003,mCrit,'Safety Walkthroughs'!$F$4:$F$100003,"Projects")</f>
        <v>0</v>
      </c>
    </row>
    <row r="649" spans="2:34">
      <c r="B649" s="23" t="s">
        <v>106</v>
      </c>
      <c r="C649" s="22">
        <f>COUNTIFS('Safety Walkthroughs'!$D$4:$D$100003,"Oct",'Safety Walkthroughs'!$F$4:$F$100003,dCrit)</f>
        <v>0</v>
      </c>
      <c r="P649" s="13" t="s">
        <v>58</v>
      </c>
      <c r="Q649" s="22">
        <f>COUNTIFS('Safety Walkthroughs'!$D$4:$D$100003,mCrit,'Safety Walkthroughs'!$F$4:$F$100003,"Contractor")</f>
        <v>0</v>
      </c>
      <c r="R649" s="25">
        <f>IFERROR((COUNTIFS('Safety Walkthroughs'!$M$4:$M$100003,"Completed",'Safety Walkthroughs'!$D$4:$D$100003,mCrit,'Safety Walkthroughs'!$F$4:$F$100003,"Contractor"))/COUNTIFS('Safety Walkthroughs'!$D$4:$D$100003,mCrit,'Safety Walkthroughs'!$F$4:$F$100003,"Contractor")*100,0)</f>
        <v>0</v>
      </c>
      <c r="S649" s="22">
        <f>COUNTIFS('Safety Walkthroughs'!$D$4:$D$100003,mCrit,'Safety Walkthroughs'!$F$4:$F$100003,"Contractor")</f>
        <v>0</v>
      </c>
    </row>
    <row r="650" spans="2:34">
      <c r="B650" s="23" t="s">
        <v>111</v>
      </c>
      <c r="C650" s="22">
        <f>COUNTIFS('Safety Walkthroughs'!$D$4:$D$100003,"Nov",'Safety Walkthroughs'!$F$4:$F$100003,dCrit)</f>
        <v>0</v>
      </c>
    </row>
    <row r="651" spans="2:34">
      <c r="B651" s="23" t="s">
        <v>122</v>
      </c>
      <c r="C651" s="22">
        <f>COUNTIFS('Safety Walkthroughs'!$D$4:$D$100003,"Dec",'Safety Walkthroughs'!$F$4:$F$100003,dCrit)</f>
        <v>0</v>
      </c>
    </row>
    <row r="664" spans="2:34">
      <c r="B664" s="17" t="s">
        <v>1996</v>
      </c>
    </row>
    <row r="665" spans="2:34">
      <c r="B665" s="12" t="s">
        <v>127</v>
      </c>
      <c r="C665" s="12" t="s">
        <v>1887</v>
      </c>
      <c r="E665" s="12" t="s">
        <v>567</v>
      </c>
      <c r="F665" s="12" t="s">
        <v>1887</v>
      </c>
      <c r="G665" s="12" t="s">
        <v>575</v>
      </c>
      <c r="H665" s="12" t="s">
        <v>1887</v>
      </c>
      <c r="M665" s="12" t="s">
        <v>1849</v>
      </c>
      <c r="N665" s="12" t="s">
        <v>1960</v>
      </c>
      <c r="P665" s="12" t="s">
        <v>129</v>
      </c>
      <c r="Q665" s="12" t="s">
        <v>1887</v>
      </c>
      <c r="R665" s="12" t="s">
        <v>1694</v>
      </c>
      <c r="S665" s="12" t="s">
        <v>1969</v>
      </c>
      <c r="U665" s="12" t="s">
        <v>1970</v>
      </c>
      <c r="V665" s="12" t="s">
        <v>3</v>
      </c>
      <c r="W665" s="12" t="s">
        <v>19</v>
      </c>
      <c r="X665" s="12" t="s">
        <v>44</v>
      </c>
      <c r="Y665" s="12" t="s">
        <v>53</v>
      </c>
      <c r="Z665" s="12" t="s">
        <v>60</v>
      </c>
      <c r="AA665" s="12" t="s">
        <v>73</v>
      </c>
      <c r="AB665" s="12" t="s">
        <v>76</v>
      </c>
      <c r="AC665" s="12" t="s">
        <v>86</v>
      </c>
      <c r="AD665" s="12" t="s">
        <v>102</v>
      </c>
      <c r="AE665" s="12" t="s">
        <v>106</v>
      </c>
      <c r="AF665" s="12" t="s">
        <v>111</v>
      </c>
      <c r="AG665" s="12" t="s">
        <v>122</v>
      </c>
      <c r="AH665" s="12" t="s">
        <v>1971</v>
      </c>
    </row>
    <row r="666" spans="2:34">
      <c r="B666" s="23" t="s">
        <v>3</v>
      </c>
      <c r="C666" s="22">
        <f>COUNTIFS('Safety Meetings'!$D$4:$D$100003,"Jan",'Safety Meetings'!$G$4:$G$100003,dCrit)</f>
        <v>0</v>
      </c>
      <c r="E666" s="13" t="s">
        <v>517</v>
      </c>
      <c r="F666" s="22">
        <f>COUNTIFS('Safety Meetings'!$E$4:$E$100003,"Weekly",'Safety Meetings'!$D$4:$D$100003,mCrit,'Safety Meetings'!$G$4:$G$100003,dCrit)</f>
        <v>0</v>
      </c>
      <c r="G666" s="13" t="s">
        <v>9</v>
      </c>
      <c r="H666" s="22">
        <f>COUNTIFS('Safety Meetings'!$P$4:$P$100003,"Yes",'Safety Meetings'!$D$4:$D$100003,mCrit,'Safety Meetings'!$G$4:$G$100003,dCrit)</f>
        <v>0</v>
      </c>
      <c r="M666" s="13" t="s">
        <v>1997</v>
      </c>
      <c r="N666" s="22">
        <f>COUNTIFS('Safety Meetings'!$D$4:$D$100003,mCrit,'Safety Meetings'!$G$4:$G$100003,dCrit)</f>
        <v>0</v>
      </c>
      <c r="P666" s="13" t="s">
        <v>27</v>
      </c>
      <c r="Q666" s="22">
        <f>COUNTIFS('Safety Meetings'!$D$4:$D$100003,mCrit,'Safety Meetings'!$G$4:$G$100003,"Operations")</f>
        <v>0</v>
      </c>
      <c r="R666" s="22">
        <f>COUNTIFS('Safety Meetings'!$D$4:$D$100003,mCrit,'Safety Meetings'!$G$4:$G$100003,"Operations")</f>
        <v>0</v>
      </c>
      <c r="S666" s="25">
        <f>IFERROR(AVERAGEIFS('Safety Meetings'!$K$4:$K$100003,'Safety Meetings'!$D$4:$D$100003,mCrit,'Safety Meetings'!$G$4:$G$100003,"Operations"),0)</f>
        <v>0</v>
      </c>
      <c r="U666" s="13" t="s">
        <v>1694</v>
      </c>
      <c r="V666" s="22">
        <f>COUNTIFS('Safety Meetings'!$D$4:$D$100003,"Jan",'Safety Meetings'!$G$4:$G$100003,dCrit)</f>
        <v>0</v>
      </c>
      <c r="W666" s="22">
        <f>COUNTIFS('Safety Meetings'!$D$4:$D$100003,"Feb",'Safety Meetings'!$G$4:$G$100003,dCrit)</f>
        <v>0</v>
      </c>
      <c r="X666" s="22">
        <f>COUNTIFS('Safety Meetings'!$D$4:$D$100003,"Mar",'Safety Meetings'!$G$4:$G$100003,dCrit)</f>
        <v>0</v>
      </c>
      <c r="Y666" s="22">
        <f>COUNTIFS('Safety Meetings'!$D$4:$D$100003,"Apr",'Safety Meetings'!$G$4:$G$100003,dCrit)</f>
        <v>0</v>
      </c>
      <c r="Z666" s="22">
        <f>COUNTIFS('Safety Meetings'!$D$4:$D$100003,"May",'Safety Meetings'!$G$4:$G$100003,dCrit)</f>
        <v>0</v>
      </c>
      <c r="AA666" s="22">
        <f>COUNTIFS('Safety Meetings'!$D$4:$D$100003,"Jun",'Safety Meetings'!$G$4:$G$100003,dCrit)</f>
        <v>0</v>
      </c>
      <c r="AB666" s="22">
        <f>COUNTIFS('Safety Meetings'!$D$4:$D$100003,"Jul",'Safety Meetings'!$G$4:$G$100003,dCrit)</f>
        <v>0</v>
      </c>
      <c r="AC666" s="22">
        <f>COUNTIFS('Safety Meetings'!$D$4:$D$100003,"Aug",'Safety Meetings'!$G$4:$G$100003,dCrit)</f>
        <v>0</v>
      </c>
      <c r="AD666" s="22">
        <f>COUNTIFS('Safety Meetings'!$D$4:$D$100003,"Sep",'Safety Meetings'!$G$4:$G$100003,dCrit)</f>
        <v>0</v>
      </c>
      <c r="AE666" s="22">
        <f>COUNTIFS('Safety Meetings'!$D$4:$D$100003,"Oct",'Safety Meetings'!$G$4:$G$100003,dCrit)</f>
        <v>0</v>
      </c>
      <c r="AF666" s="22">
        <f>COUNTIFS('Safety Meetings'!$D$4:$D$100003,"Nov",'Safety Meetings'!$G$4:$G$100003,dCrit)</f>
        <v>0</v>
      </c>
      <c r="AG666" s="22">
        <f>COUNTIFS('Safety Meetings'!$D$4:$D$100003,"Dec",'Safety Meetings'!$G$4:$G$100003,dCrit)</f>
        <v>0</v>
      </c>
      <c r="AH666" s="22">
        <f>SUM(V666:AG666)</f>
        <v>0</v>
      </c>
    </row>
    <row r="667" spans="2:34">
      <c r="B667" s="23" t="s">
        <v>19</v>
      </c>
      <c r="C667" s="22">
        <f>COUNTIFS('Safety Meetings'!$D$4:$D$100003,"Feb",'Safety Meetings'!$G$4:$G$100003,dCrit)</f>
        <v>0</v>
      </c>
      <c r="E667" s="13" t="s">
        <v>521</v>
      </c>
      <c r="F667" s="22">
        <f>COUNTIFS('Safety Meetings'!$E$4:$E$100003,"Monthly",'Safety Meetings'!$D$4:$D$100003,mCrit,'Safety Meetings'!$G$4:$G$100003,dCrit)</f>
        <v>0</v>
      </c>
      <c r="G667" s="13" t="s">
        <v>23</v>
      </c>
      <c r="H667" s="22">
        <f>COUNTIFS('Safety Meetings'!$P$4:$P$100003,"No",'Safety Meetings'!$D$4:$D$100003,mCrit,'Safety Meetings'!$G$4:$G$100003,dCrit)</f>
        <v>0</v>
      </c>
      <c r="M667" s="13" t="s">
        <v>1964</v>
      </c>
      <c r="N667" s="25">
        <f>IFERROR(AVERAGEIFS('Safety Meetings'!$K$4:$K$100003,'Safety Meetings'!$D$4:$D$100003,mCrit,'Safety Meetings'!$G$4:$G$100003,dCrit),0)</f>
        <v>0</v>
      </c>
      <c r="P667" s="13" t="s">
        <v>92</v>
      </c>
      <c r="Q667" s="22">
        <f>COUNTIFS('Safety Meetings'!$D$4:$D$100003,mCrit,'Safety Meetings'!$G$4:$G$100003,"Maintenance")</f>
        <v>0</v>
      </c>
      <c r="R667" s="22">
        <f>COUNTIFS('Safety Meetings'!$D$4:$D$100003,mCrit,'Safety Meetings'!$G$4:$G$100003,"Maintenance")</f>
        <v>0</v>
      </c>
      <c r="S667" s="25">
        <f>IFERROR(AVERAGEIFS('Safety Meetings'!$K$4:$K$100003,'Safety Meetings'!$D$4:$D$100003,mCrit,'Safety Meetings'!$G$4:$G$100003,"Maintenance"),0)</f>
        <v>0</v>
      </c>
      <c r="U667" s="13" t="s">
        <v>1969</v>
      </c>
      <c r="V667" s="25">
        <f>IFERROR(AVERAGEIFS('Safety Meetings'!$K$4:$K$100003,'Safety Meetings'!$D$4:$D$100003,"Jan",'Safety Meetings'!$G$4:$G$100003,dCrit),0)</f>
        <v>0</v>
      </c>
      <c r="W667" s="25">
        <f>IFERROR(AVERAGEIFS('Safety Meetings'!$K$4:$K$100003,'Safety Meetings'!$D$4:$D$100003,"Feb",'Safety Meetings'!$G$4:$G$100003,dCrit),0)</f>
        <v>0</v>
      </c>
      <c r="X667" s="25">
        <f>IFERROR(AVERAGEIFS('Safety Meetings'!$K$4:$K$100003,'Safety Meetings'!$D$4:$D$100003,"Mar",'Safety Meetings'!$G$4:$G$100003,dCrit),0)</f>
        <v>0</v>
      </c>
      <c r="Y667" s="25">
        <f>IFERROR(AVERAGEIFS('Safety Meetings'!$K$4:$K$100003,'Safety Meetings'!$D$4:$D$100003,"Apr",'Safety Meetings'!$G$4:$G$100003,dCrit),0)</f>
        <v>0</v>
      </c>
      <c r="Z667" s="25">
        <f>IFERROR(AVERAGEIFS('Safety Meetings'!$K$4:$K$100003,'Safety Meetings'!$D$4:$D$100003,"May",'Safety Meetings'!$G$4:$G$100003,dCrit),0)</f>
        <v>0</v>
      </c>
      <c r="AA667" s="25">
        <f>IFERROR(AVERAGEIFS('Safety Meetings'!$K$4:$K$100003,'Safety Meetings'!$D$4:$D$100003,"Jun",'Safety Meetings'!$G$4:$G$100003,dCrit),0)</f>
        <v>0</v>
      </c>
      <c r="AB667" s="25">
        <f>IFERROR(AVERAGEIFS('Safety Meetings'!$K$4:$K$100003,'Safety Meetings'!$D$4:$D$100003,"Jul",'Safety Meetings'!$G$4:$G$100003,dCrit),0)</f>
        <v>0</v>
      </c>
      <c r="AC667" s="25">
        <f>IFERROR(AVERAGEIFS('Safety Meetings'!$K$4:$K$100003,'Safety Meetings'!$D$4:$D$100003,"Aug",'Safety Meetings'!$G$4:$G$100003,dCrit),0)</f>
        <v>0</v>
      </c>
      <c r="AD667" s="25">
        <f>IFERROR(AVERAGEIFS('Safety Meetings'!$K$4:$K$100003,'Safety Meetings'!$D$4:$D$100003,"Sep",'Safety Meetings'!$G$4:$G$100003,dCrit),0)</f>
        <v>0</v>
      </c>
      <c r="AE667" s="25">
        <f>IFERROR(AVERAGEIFS('Safety Meetings'!$K$4:$K$100003,'Safety Meetings'!$D$4:$D$100003,"Oct",'Safety Meetings'!$G$4:$G$100003,dCrit),0)</f>
        <v>0</v>
      </c>
      <c r="AF667" s="25">
        <f>IFERROR(AVERAGEIFS('Safety Meetings'!$K$4:$K$100003,'Safety Meetings'!$D$4:$D$100003,"Nov",'Safety Meetings'!$G$4:$G$100003,dCrit),0)</f>
        <v>0</v>
      </c>
      <c r="AG667" s="25">
        <f>IFERROR(AVERAGEIFS('Safety Meetings'!$K$4:$K$100003,'Safety Meetings'!$D$4:$D$100003,"Dec",'Safety Meetings'!$G$4:$G$100003,dCrit),0)</f>
        <v>0</v>
      </c>
      <c r="AH667" s="25">
        <f>IFERROR(AVERAGE(V667:AG667),0)</f>
        <v>0</v>
      </c>
    </row>
    <row r="668" spans="2:34">
      <c r="B668" s="23" t="s">
        <v>44</v>
      </c>
      <c r="C668" s="22">
        <f>COUNTIFS('Safety Meetings'!$D$4:$D$100003,"Mar",'Safety Meetings'!$G$4:$G$100003,dCrit)</f>
        <v>0</v>
      </c>
      <c r="E668" s="13" t="s">
        <v>519</v>
      </c>
      <c r="F668" s="22">
        <f>COUNTIFS('Safety Meetings'!$E$4:$E$100003,"Quarterly",'Safety Meetings'!$D$4:$D$100003,mCrit,'Safety Meetings'!$G$4:$G$100003,dCrit)</f>
        <v>0</v>
      </c>
      <c r="M668" s="13" t="s">
        <v>885</v>
      </c>
      <c r="N668" s="22">
        <f>SUMIFS('Safety Meetings'!$M$4:$M$100003,'Safety Meetings'!$D$4:$D$100003,mCrit,'Safety Meetings'!$G$4:$G$100003,dCrit)</f>
        <v>0</v>
      </c>
      <c r="P668" s="13" t="s">
        <v>39</v>
      </c>
      <c r="Q668" s="22">
        <f>COUNTIFS('Safety Meetings'!$D$4:$D$100003,mCrit,'Safety Meetings'!$G$4:$G$100003,"Engineering")</f>
        <v>0</v>
      </c>
      <c r="R668" s="22">
        <f>COUNTIFS('Safety Meetings'!$D$4:$D$100003,mCrit,'Safety Meetings'!$G$4:$G$100003,"Engineering")</f>
        <v>0</v>
      </c>
      <c r="S668" s="25">
        <f>IFERROR(AVERAGEIFS('Safety Meetings'!$K$4:$K$100003,'Safety Meetings'!$D$4:$D$100003,mCrit,'Safety Meetings'!$G$4:$G$100003,"Engineering"),0)</f>
        <v>0</v>
      </c>
    </row>
    <row r="669" spans="2:34">
      <c r="B669" s="23" t="s">
        <v>53</v>
      </c>
      <c r="C669" s="22">
        <f>COUNTIFS('Safety Meetings'!$D$4:$D$100003,"Apr",'Safety Meetings'!$G$4:$G$100003,dCrit)</f>
        <v>0</v>
      </c>
      <c r="E669" s="13" t="s">
        <v>515</v>
      </c>
      <c r="F669" s="22">
        <f>COUNTIFS('Safety Meetings'!$E$4:$E$100003,"Annual",'Safety Meetings'!$D$4:$D$100003,mCrit,'Safety Meetings'!$G$4:$G$100003,dCrit)</f>
        <v>0</v>
      </c>
      <c r="M669" s="13" t="s">
        <v>573</v>
      </c>
      <c r="N669" s="22">
        <f>SUMIFS('Safety Meetings'!$N$4:$N$100003,'Safety Meetings'!$D$4:$D$100003,mCrit,'Safety Meetings'!$G$4:$G$100003,dCrit)</f>
        <v>0</v>
      </c>
      <c r="P669" s="13" t="s">
        <v>89</v>
      </c>
      <c r="Q669" s="22">
        <f>COUNTIFS('Safety Meetings'!$D$4:$D$100003,mCrit,'Safety Meetings'!$G$4:$G$100003,"Construction")</f>
        <v>0</v>
      </c>
      <c r="R669" s="22">
        <f>COUNTIFS('Safety Meetings'!$D$4:$D$100003,mCrit,'Safety Meetings'!$G$4:$G$100003,"Construction")</f>
        <v>0</v>
      </c>
      <c r="S669" s="25">
        <f>IFERROR(AVERAGEIFS('Safety Meetings'!$K$4:$K$100003,'Safety Meetings'!$D$4:$D$100003,mCrit,'Safety Meetings'!$G$4:$G$100003,"Construction"),0)</f>
        <v>0</v>
      </c>
    </row>
    <row r="670" spans="2:34">
      <c r="B670" s="23" t="s">
        <v>60</v>
      </c>
      <c r="C670" s="22">
        <f>COUNTIFS('Safety Meetings'!$D$4:$D$100003,"May",'Safety Meetings'!$G$4:$G$100003,dCrit)</f>
        <v>0</v>
      </c>
      <c r="M670" s="13" t="s">
        <v>574</v>
      </c>
      <c r="N670" s="25">
        <f>IFERROR(AVERAGEIFS('Safety Meetings'!$O$4:$O$100003,'Safety Meetings'!$D$4:$D$100003,mCrit,'Safety Meetings'!$G$4:$G$100003,dCrit),0)</f>
        <v>0</v>
      </c>
      <c r="P670" s="13" t="s">
        <v>65</v>
      </c>
      <c r="Q670" s="22">
        <f>COUNTIFS('Safety Meetings'!$D$4:$D$100003,mCrit,'Safety Meetings'!$G$4:$G$100003,"Safety")</f>
        <v>0</v>
      </c>
      <c r="R670" s="22">
        <f>COUNTIFS('Safety Meetings'!$D$4:$D$100003,mCrit,'Safety Meetings'!$G$4:$G$100003,"Safety")</f>
        <v>0</v>
      </c>
      <c r="S670" s="25">
        <f>IFERROR(AVERAGEIFS('Safety Meetings'!$K$4:$K$100003,'Safety Meetings'!$D$4:$D$100003,mCrit,'Safety Meetings'!$G$4:$G$100003,"Safety"),0)</f>
        <v>0</v>
      </c>
    </row>
    <row r="671" spans="2:34">
      <c r="B671" s="23" t="s">
        <v>73</v>
      </c>
      <c r="C671" s="22">
        <f>COUNTIFS('Safety Meetings'!$D$4:$D$100003,"Jun",'Safety Meetings'!$G$4:$G$100003,dCrit)</f>
        <v>0</v>
      </c>
      <c r="M671" s="13" t="s">
        <v>1983</v>
      </c>
      <c r="N671" s="22">
        <f>(SUMIFS('Safety Meetings'!$L$4:$L$100003,'Safety Meetings'!$D$4:$D$100003,mCrit,'Safety Meetings'!$G$4:$G$100003,dCrit))/60</f>
        <v>0</v>
      </c>
      <c r="P671" s="13" t="s">
        <v>5</v>
      </c>
      <c r="Q671" s="22">
        <f>COUNTIFS('Safety Meetings'!$D$4:$D$100003,mCrit,'Safety Meetings'!$G$4:$G$100003,"Logistics")</f>
        <v>0</v>
      </c>
      <c r="R671" s="22">
        <f>COUNTIFS('Safety Meetings'!$D$4:$D$100003,mCrit,'Safety Meetings'!$G$4:$G$100003,"Logistics")</f>
        <v>0</v>
      </c>
      <c r="S671" s="25">
        <f>IFERROR(AVERAGEIFS('Safety Meetings'!$K$4:$K$100003,'Safety Meetings'!$D$4:$D$100003,mCrit,'Safety Meetings'!$G$4:$G$100003,"Logistics"),0)</f>
        <v>0</v>
      </c>
    </row>
    <row r="672" spans="2:34">
      <c r="B672" s="23" t="s">
        <v>76</v>
      </c>
      <c r="C672" s="22">
        <f>COUNTIFS('Safety Meetings'!$D$4:$D$100003,"Jul",'Safety Meetings'!$G$4:$G$100003,dCrit)</f>
        <v>0</v>
      </c>
      <c r="M672" s="13" t="s">
        <v>1998</v>
      </c>
      <c r="N672" s="22">
        <f>COUNTIFS('Safety Meetings'!$P$4:$P$100003,"Yes",'Safety Meetings'!$D$4:$D$100003,mCrit,'Safety Meetings'!$G$4:$G$100003,dCrit)</f>
        <v>0</v>
      </c>
      <c r="P672" s="13" t="s">
        <v>50</v>
      </c>
      <c r="Q672" s="22">
        <f>COUNTIFS('Safety Meetings'!$D$4:$D$100003,mCrit,'Safety Meetings'!$G$4:$G$100003,"Quality")</f>
        <v>0</v>
      </c>
      <c r="R672" s="22">
        <f>COUNTIFS('Safety Meetings'!$D$4:$D$100003,mCrit,'Safety Meetings'!$G$4:$G$100003,"Quality")</f>
        <v>0</v>
      </c>
      <c r="S672" s="25">
        <f>IFERROR(AVERAGEIFS('Safety Meetings'!$K$4:$K$100003,'Safety Meetings'!$D$4:$D$100003,mCrit,'Safety Meetings'!$G$4:$G$100003,"Quality"),0)</f>
        <v>0</v>
      </c>
    </row>
    <row r="673" spans="2:19">
      <c r="B673" s="23" t="s">
        <v>86</v>
      </c>
      <c r="C673" s="22">
        <f>COUNTIFS('Safety Meetings'!$D$4:$D$100003,"Aug",'Safety Meetings'!$G$4:$G$100003,dCrit)</f>
        <v>0</v>
      </c>
      <c r="M673" s="13" t="s">
        <v>1999</v>
      </c>
      <c r="N673" s="22">
        <f>COUNTIFS('Safety Meetings'!$P$4:$P$100003,"No",'Safety Meetings'!$D$4:$D$100003,mCrit,'Safety Meetings'!$G$4:$G$100003,dCrit)</f>
        <v>0</v>
      </c>
      <c r="P673" s="13" t="s">
        <v>46</v>
      </c>
      <c r="Q673" s="22">
        <f>COUNTIFS('Safety Meetings'!$D$4:$D$100003,mCrit,'Safety Meetings'!$G$4:$G$100003,"Admin")</f>
        <v>0</v>
      </c>
      <c r="R673" s="22">
        <f>COUNTIFS('Safety Meetings'!$D$4:$D$100003,mCrit,'Safety Meetings'!$G$4:$G$100003,"Admin")</f>
        <v>0</v>
      </c>
      <c r="S673" s="25">
        <f>IFERROR(AVERAGEIFS('Safety Meetings'!$K$4:$K$100003,'Safety Meetings'!$D$4:$D$100003,mCrit,'Safety Meetings'!$G$4:$G$100003,"Admin"),0)</f>
        <v>0</v>
      </c>
    </row>
    <row r="674" spans="2:19">
      <c r="B674" s="23" t="s">
        <v>102</v>
      </c>
      <c r="C674" s="22">
        <f>COUNTIFS('Safety Meetings'!$D$4:$D$100003,"Sep",'Safety Meetings'!$G$4:$G$100003,dCrit)</f>
        <v>0</v>
      </c>
      <c r="P674" s="13" t="s">
        <v>13</v>
      </c>
      <c r="Q674" s="22">
        <f>COUNTIFS('Safety Meetings'!$D$4:$D$100003,mCrit,'Safety Meetings'!$G$4:$G$100003,"Projects")</f>
        <v>0</v>
      </c>
      <c r="R674" s="22">
        <f>COUNTIFS('Safety Meetings'!$D$4:$D$100003,mCrit,'Safety Meetings'!$G$4:$G$100003,"Projects")</f>
        <v>0</v>
      </c>
      <c r="S674" s="25">
        <f>IFERROR(AVERAGEIFS('Safety Meetings'!$K$4:$K$100003,'Safety Meetings'!$D$4:$D$100003,mCrit,'Safety Meetings'!$G$4:$G$100003,"Projects"),0)</f>
        <v>0</v>
      </c>
    </row>
    <row r="675" spans="2:19">
      <c r="B675" s="23" t="s">
        <v>106</v>
      </c>
      <c r="C675" s="22">
        <f>COUNTIFS('Safety Meetings'!$D$4:$D$100003,"Oct",'Safety Meetings'!$G$4:$G$100003,dCrit)</f>
        <v>0</v>
      </c>
      <c r="P675" s="13" t="s">
        <v>58</v>
      </c>
      <c r="Q675" s="22">
        <f>COUNTIFS('Safety Meetings'!$D$4:$D$100003,mCrit,'Safety Meetings'!$G$4:$G$100003,"Contractor")</f>
        <v>0</v>
      </c>
      <c r="R675" s="22">
        <f>COUNTIFS('Safety Meetings'!$D$4:$D$100003,mCrit,'Safety Meetings'!$G$4:$G$100003,"Contractor")</f>
        <v>0</v>
      </c>
      <c r="S675" s="25">
        <f>IFERROR(AVERAGEIFS('Safety Meetings'!$K$4:$K$100003,'Safety Meetings'!$D$4:$D$100003,mCrit,'Safety Meetings'!$G$4:$G$100003,"Contractor"),0)</f>
        <v>0</v>
      </c>
    </row>
    <row r="676" spans="2:19">
      <c r="B676" s="23" t="s">
        <v>111</v>
      </c>
      <c r="C676" s="22">
        <f>COUNTIFS('Safety Meetings'!$D$4:$D$100003,"Nov",'Safety Meetings'!$G$4:$G$100003,dCrit)</f>
        <v>0</v>
      </c>
    </row>
    <row r="677" spans="2:19">
      <c r="B677" s="23" t="s">
        <v>122</v>
      </c>
      <c r="C677" s="22">
        <f>COUNTIFS('Safety Meetings'!$D$4:$D$100003,"Dec",'Safety Meetings'!$G$4:$G$100003,dCrit)</f>
        <v>0</v>
      </c>
    </row>
    <row r="690" spans="2:34">
      <c r="B690" s="17" t="s">
        <v>2000</v>
      </c>
    </row>
    <row r="691" spans="2:34">
      <c r="B691" s="12" t="s">
        <v>127</v>
      </c>
      <c r="C691" s="12" t="s">
        <v>1887</v>
      </c>
      <c r="E691" s="12" t="s">
        <v>640</v>
      </c>
      <c r="F691" s="12" t="s">
        <v>1887</v>
      </c>
      <c r="G691" s="12" t="s">
        <v>644</v>
      </c>
      <c r="H691" s="12" t="s">
        <v>1887</v>
      </c>
      <c r="J691" s="12" t="s">
        <v>286</v>
      </c>
      <c r="K691" s="12" t="s">
        <v>1887</v>
      </c>
      <c r="M691" s="12" t="s">
        <v>1849</v>
      </c>
      <c r="N691" s="12" t="s">
        <v>1960</v>
      </c>
      <c r="U691" s="12" t="s">
        <v>1970</v>
      </c>
      <c r="V691" s="12" t="s">
        <v>3</v>
      </c>
      <c r="W691" s="12" t="s">
        <v>19</v>
      </c>
      <c r="X691" s="12" t="s">
        <v>44</v>
      </c>
      <c r="Y691" s="12" t="s">
        <v>53</v>
      </c>
      <c r="Z691" s="12" t="s">
        <v>60</v>
      </c>
      <c r="AA691" s="12" t="s">
        <v>73</v>
      </c>
      <c r="AB691" s="12" t="s">
        <v>76</v>
      </c>
      <c r="AC691" s="12" t="s">
        <v>86</v>
      </c>
      <c r="AD691" s="12" t="s">
        <v>102</v>
      </c>
      <c r="AE691" s="12" t="s">
        <v>106</v>
      </c>
      <c r="AF691" s="12" t="s">
        <v>111</v>
      </c>
      <c r="AG691" s="12" t="s">
        <v>122</v>
      </c>
      <c r="AH691" s="12" t="s">
        <v>1971</v>
      </c>
    </row>
    <row r="692" spans="2:34">
      <c r="B692" s="23" t="s">
        <v>3</v>
      </c>
      <c r="C692" s="22">
        <f>COUNTIFS('Safety Bulletins'!$D$4:$D$100003,"Jan")</f>
        <v>0</v>
      </c>
      <c r="E692" s="13" t="s">
        <v>595</v>
      </c>
      <c r="F692" s="22">
        <f>COUNTIFS('Safety Bulletins'!$E$4:$E$100003,"Safety Alert",'Safety Bulletins'!$D$4:$D$100003,mCrit)</f>
        <v>0</v>
      </c>
      <c r="G692" s="13" t="s">
        <v>579</v>
      </c>
      <c r="H692" s="22">
        <f>COUNTIFS('Safety Bulletins'!$I$4:$I$100003,"Email",'Safety Bulletins'!$D$4:$D$100003,mCrit)</f>
        <v>0</v>
      </c>
      <c r="J692" s="13" t="s">
        <v>580</v>
      </c>
      <c r="K692" s="22">
        <f>COUNTIFS('Safety Bulletins'!$K$4:$K$100003,"Closed",'Safety Bulletins'!$D$4:$D$100003,mCrit)</f>
        <v>0</v>
      </c>
      <c r="M692" s="13" t="s">
        <v>1961</v>
      </c>
      <c r="N692" s="22">
        <f>COUNTIFS('Safety Bulletins'!$D$4:$D$100003,mCrit)</f>
        <v>0</v>
      </c>
      <c r="U692" s="13" t="s">
        <v>1694</v>
      </c>
      <c r="V692" s="22">
        <f>COUNTIFS('Safety Bulletins'!$D$4:$D$100003,"Jan")</f>
        <v>0</v>
      </c>
      <c r="W692" s="22">
        <f>COUNTIFS('Safety Bulletins'!$D$4:$D$100003,"Feb")</f>
        <v>0</v>
      </c>
      <c r="X692" s="22">
        <f>COUNTIFS('Safety Bulletins'!$D$4:$D$100003,"Mar")</f>
        <v>0</v>
      </c>
      <c r="Y692" s="22">
        <f>COUNTIFS('Safety Bulletins'!$D$4:$D$100003,"Apr")</f>
        <v>0</v>
      </c>
      <c r="Z692" s="22">
        <f>COUNTIFS('Safety Bulletins'!$D$4:$D$100003,"May")</f>
        <v>0</v>
      </c>
      <c r="AA692" s="22">
        <f>COUNTIFS('Safety Bulletins'!$D$4:$D$100003,"Jun")</f>
        <v>0</v>
      </c>
      <c r="AB692" s="22">
        <f>COUNTIFS('Safety Bulletins'!$D$4:$D$100003,"Jul")</f>
        <v>0</v>
      </c>
      <c r="AC692" s="22">
        <f>COUNTIFS('Safety Bulletins'!$D$4:$D$100003,"Aug")</f>
        <v>0</v>
      </c>
      <c r="AD692" s="22">
        <f>COUNTIFS('Safety Bulletins'!$D$4:$D$100003,"Sep")</f>
        <v>0</v>
      </c>
      <c r="AE692" s="22">
        <f>COUNTIFS('Safety Bulletins'!$D$4:$D$100003,"Oct")</f>
        <v>0</v>
      </c>
      <c r="AF692" s="22">
        <f>COUNTIFS('Safety Bulletins'!$D$4:$D$100003,"Nov")</f>
        <v>0</v>
      </c>
      <c r="AG692" s="22">
        <f>COUNTIFS('Safety Bulletins'!$D$4:$D$100003,"Dec")</f>
        <v>0</v>
      </c>
      <c r="AH692" s="22">
        <f>SUM(V692:AG692)</f>
        <v>0</v>
      </c>
    </row>
    <row r="693" spans="2:34">
      <c r="B693" s="23" t="s">
        <v>19</v>
      </c>
      <c r="C693" s="22">
        <f>COUNTIFS('Safety Bulletins'!$D$4:$D$100003,"Feb")</f>
        <v>0</v>
      </c>
      <c r="E693" s="13" t="s">
        <v>582</v>
      </c>
      <c r="F693" s="22">
        <f>COUNTIFS('Safety Bulletins'!$E$4:$E$100003,"Bulletin",'Safety Bulletins'!$D$4:$D$100003,mCrit)</f>
        <v>0</v>
      </c>
      <c r="G693" s="13" t="s">
        <v>583</v>
      </c>
      <c r="H693" s="22">
        <f>COUNTIFS('Safety Bulletins'!$I$4:$I$100003,"Notice Board",'Safety Bulletins'!$D$4:$D$100003,mCrit)</f>
        <v>0</v>
      </c>
      <c r="J693" s="13" t="s">
        <v>584</v>
      </c>
      <c r="K693" s="22">
        <f>COUNTIFS('Safety Bulletins'!$K$4:$K$100003,"Acknowledged",'Safety Bulletins'!$D$4:$D$100003,mCrit)</f>
        <v>0</v>
      </c>
      <c r="M693" s="13" t="s">
        <v>596</v>
      </c>
      <c r="N693" s="22">
        <f>COUNTIFS('Safety Bulletins'!$K$4:$K$100003,"Issued",'Safety Bulletins'!$D$4:$D$100003,mCrit)</f>
        <v>0</v>
      </c>
      <c r="U693" s="13" t="s">
        <v>1980</v>
      </c>
      <c r="V693" s="25">
        <f>IFERROR((COUNTIFS('Safety Bulletins'!$K$4:$K$100003,"Closed",'Safety Bulletins'!$D$4:$D$100003,"Jan")+COUNTIFS('Safety Bulletins'!$K$4:$K$100003,"Acknowledged",'Safety Bulletins'!$D$4:$D$100003,"Jan")+COUNTIFS('Safety Bulletins'!$K$4:$K$100003,"Issued",'Safety Bulletins'!$D$4:$D$100003,"Jan"))/COUNTIFS('Safety Bulletins'!$D$4:$D$100003,"Jan")*100,0)</f>
        <v>0</v>
      </c>
      <c r="W693" s="25">
        <f>IFERROR((COUNTIFS('Safety Bulletins'!$K$4:$K$100003,"Closed",'Safety Bulletins'!$D$4:$D$100003,"Feb")+COUNTIFS('Safety Bulletins'!$K$4:$K$100003,"Acknowledged",'Safety Bulletins'!$D$4:$D$100003,"Feb")+COUNTIFS('Safety Bulletins'!$K$4:$K$100003,"Issued",'Safety Bulletins'!$D$4:$D$100003,"Feb"))/COUNTIFS('Safety Bulletins'!$D$4:$D$100003,"Feb")*100,0)</f>
        <v>0</v>
      </c>
      <c r="X693" s="25">
        <f>IFERROR((COUNTIFS('Safety Bulletins'!$K$4:$K$100003,"Closed",'Safety Bulletins'!$D$4:$D$100003,"Mar")+COUNTIFS('Safety Bulletins'!$K$4:$K$100003,"Acknowledged",'Safety Bulletins'!$D$4:$D$100003,"Mar")+COUNTIFS('Safety Bulletins'!$K$4:$K$100003,"Issued",'Safety Bulletins'!$D$4:$D$100003,"Mar"))/COUNTIFS('Safety Bulletins'!$D$4:$D$100003,"Mar")*100,0)</f>
        <v>0</v>
      </c>
      <c r="Y693" s="25">
        <f>IFERROR((COUNTIFS('Safety Bulletins'!$K$4:$K$100003,"Closed",'Safety Bulletins'!$D$4:$D$100003,"Apr")+COUNTIFS('Safety Bulletins'!$K$4:$K$100003,"Acknowledged",'Safety Bulletins'!$D$4:$D$100003,"Apr")+COUNTIFS('Safety Bulletins'!$K$4:$K$100003,"Issued",'Safety Bulletins'!$D$4:$D$100003,"Apr"))/COUNTIFS('Safety Bulletins'!$D$4:$D$100003,"Apr")*100,0)</f>
        <v>0</v>
      </c>
      <c r="Z693" s="25">
        <f>IFERROR((COUNTIFS('Safety Bulletins'!$K$4:$K$100003,"Closed",'Safety Bulletins'!$D$4:$D$100003,"May")+COUNTIFS('Safety Bulletins'!$K$4:$K$100003,"Acknowledged",'Safety Bulletins'!$D$4:$D$100003,"May")+COUNTIFS('Safety Bulletins'!$K$4:$K$100003,"Issued",'Safety Bulletins'!$D$4:$D$100003,"May"))/COUNTIFS('Safety Bulletins'!$D$4:$D$100003,"May")*100,0)</f>
        <v>0</v>
      </c>
      <c r="AA693" s="25">
        <f>IFERROR((COUNTIFS('Safety Bulletins'!$K$4:$K$100003,"Closed",'Safety Bulletins'!$D$4:$D$100003,"Jun")+COUNTIFS('Safety Bulletins'!$K$4:$K$100003,"Acknowledged",'Safety Bulletins'!$D$4:$D$100003,"Jun")+COUNTIFS('Safety Bulletins'!$K$4:$K$100003,"Issued",'Safety Bulletins'!$D$4:$D$100003,"Jun"))/COUNTIFS('Safety Bulletins'!$D$4:$D$100003,"Jun")*100,0)</f>
        <v>0</v>
      </c>
      <c r="AB693" s="25">
        <f>IFERROR((COUNTIFS('Safety Bulletins'!$K$4:$K$100003,"Closed",'Safety Bulletins'!$D$4:$D$100003,"Jul")+COUNTIFS('Safety Bulletins'!$K$4:$K$100003,"Acknowledged",'Safety Bulletins'!$D$4:$D$100003,"Jul")+COUNTIFS('Safety Bulletins'!$K$4:$K$100003,"Issued",'Safety Bulletins'!$D$4:$D$100003,"Jul"))/COUNTIFS('Safety Bulletins'!$D$4:$D$100003,"Jul")*100,0)</f>
        <v>0</v>
      </c>
      <c r="AC693" s="25">
        <f>IFERROR((COUNTIFS('Safety Bulletins'!$K$4:$K$100003,"Closed",'Safety Bulletins'!$D$4:$D$100003,"Aug")+COUNTIFS('Safety Bulletins'!$K$4:$K$100003,"Acknowledged",'Safety Bulletins'!$D$4:$D$100003,"Aug")+COUNTIFS('Safety Bulletins'!$K$4:$K$100003,"Issued",'Safety Bulletins'!$D$4:$D$100003,"Aug"))/COUNTIFS('Safety Bulletins'!$D$4:$D$100003,"Aug")*100,0)</f>
        <v>0</v>
      </c>
      <c r="AD693" s="25">
        <f>IFERROR((COUNTIFS('Safety Bulletins'!$K$4:$K$100003,"Closed",'Safety Bulletins'!$D$4:$D$100003,"Sep")+COUNTIFS('Safety Bulletins'!$K$4:$K$100003,"Acknowledged",'Safety Bulletins'!$D$4:$D$100003,"Sep")+COUNTIFS('Safety Bulletins'!$K$4:$K$100003,"Issued",'Safety Bulletins'!$D$4:$D$100003,"Sep"))/COUNTIFS('Safety Bulletins'!$D$4:$D$100003,"Sep")*100,0)</f>
        <v>0</v>
      </c>
      <c r="AE693" s="25">
        <f>IFERROR((COUNTIFS('Safety Bulletins'!$K$4:$K$100003,"Closed",'Safety Bulletins'!$D$4:$D$100003,"Oct")+COUNTIFS('Safety Bulletins'!$K$4:$K$100003,"Acknowledged",'Safety Bulletins'!$D$4:$D$100003,"Oct")+COUNTIFS('Safety Bulletins'!$K$4:$K$100003,"Issued",'Safety Bulletins'!$D$4:$D$100003,"Oct"))/COUNTIFS('Safety Bulletins'!$D$4:$D$100003,"Oct")*100,0)</f>
        <v>0</v>
      </c>
      <c r="AF693" s="25">
        <f>IFERROR((COUNTIFS('Safety Bulletins'!$K$4:$K$100003,"Closed",'Safety Bulletins'!$D$4:$D$100003,"Nov")+COUNTIFS('Safety Bulletins'!$K$4:$K$100003,"Acknowledged",'Safety Bulletins'!$D$4:$D$100003,"Nov")+COUNTIFS('Safety Bulletins'!$K$4:$K$100003,"Issued",'Safety Bulletins'!$D$4:$D$100003,"Nov"))/COUNTIFS('Safety Bulletins'!$D$4:$D$100003,"Nov")*100,0)</f>
        <v>0</v>
      </c>
      <c r="AG693" s="25">
        <f>IFERROR((COUNTIFS('Safety Bulletins'!$K$4:$K$100003,"Closed",'Safety Bulletins'!$D$4:$D$100003,"Dec")+COUNTIFS('Safety Bulletins'!$K$4:$K$100003,"Acknowledged",'Safety Bulletins'!$D$4:$D$100003,"Dec")+COUNTIFS('Safety Bulletins'!$K$4:$K$100003,"Issued",'Safety Bulletins'!$D$4:$D$100003,"Dec"))/COUNTIFS('Safety Bulletins'!$D$4:$D$100003,"Dec")*100,0)</f>
        <v>0</v>
      </c>
      <c r="AH693" s="25">
        <f>IFERROR(AVERAGE(V693:AG693),0)</f>
        <v>0</v>
      </c>
    </row>
    <row r="694" spans="2:34">
      <c r="B694" s="23" t="s">
        <v>44</v>
      </c>
      <c r="C694" s="22">
        <f>COUNTIFS('Safety Bulletins'!$D$4:$D$100003,"Mar")</f>
        <v>0</v>
      </c>
      <c r="E694" s="13" t="s">
        <v>591</v>
      </c>
      <c r="F694" s="22">
        <f>COUNTIFS('Safety Bulletins'!$E$4:$E$100003,"Toolbox Topic",'Safety Bulletins'!$D$4:$D$100003,mCrit)</f>
        <v>0</v>
      </c>
      <c r="G694" s="13" t="s">
        <v>588</v>
      </c>
      <c r="H694" s="22">
        <f>COUNTIFS('Safety Bulletins'!$I$4:$I$100003,"App Notification",'Safety Bulletins'!$D$4:$D$100003,mCrit)</f>
        <v>0</v>
      </c>
      <c r="J694" s="13" t="s">
        <v>596</v>
      </c>
      <c r="K694" s="22">
        <f>COUNTIFS('Safety Bulletins'!$K$4:$K$100003,"Issued",'Safety Bulletins'!$D$4:$D$100003,mCrit)</f>
        <v>0</v>
      </c>
      <c r="M694" s="13" t="s">
        <v>584</v>
      </c>
      <c r="N694" s="22">
        <f>COUNTIFS('Safety Bulletins'!$K$4:$K$100003,"Acknowledged",'Safety Bulletins'!$D$4:$D$100003,mCrit)</f>
        <v>0</v>
      </c>
      <c r="U694" s="13" t="s">
        <v>1929</v>
      </c>
      <c r="V694" s="25">
        <f>IFERROR(AVERAGEIFS('Safety Bulletins'!$N$4:$N$100003,'Safety Bulletins'!$D$4:$D$100003,"Jan"),0)</f>
        <v>0</v>
      </c>
      <c r="W694" s="25">
        <f>IFERROR(AVERAGEIFS('Safety Bulletins'!$N$4:$N$100003,'Safety Bulletins'!$D$4:$D$100003,"Feb"),0)</f>
        <v>0</v>
      </c>
      <c r="X694" s="25">
        <f>IFERROR(AVERAGEIFS('Safety Bulletins'!$N$4:$N$100003,'Safety Bulletins'!$D$4:$D$100003,"Mar"),0)</f>
        <v>0</v>
      </c>
      <c r="Y694" s="25">
        <f>IFERROR(AVERAGEIFS('Safety Bulletins'!$N$4:$N$100003,'Safety Bulletins'!$D$4:$D$100003,"Apr"),0)</f>
        <v>0</v>
      </c>
      <c r="Z694" s="25">
        <f>IFERROR(AVERAGEIFS('Safety Bulletins'!$N$4:$N$100003,'Safety Bulletins'!$D$4:$D$100003,"May"),0)</f>
        <v>0</v>
      </c>
      <c r="AA694" s="25">
        <f>IFERROR(AVERAGEIFS('Safety Bulletins'!$N$4:$N$100003,'Safety Bulletins'!$D$4:$D$100003,"Jun"),0)</f>
        <v>0</v>
      </c>
      <c r="AB694" s="25">
        <f>IFERROR(AVERAGEIFS('Safety Bulletins'!$N$4:$N$100003,'Safety Bulletins'!$D$4:$D$100003,"Jul"),0)</f>
        <v>0</v>
      </c>
      <c r="AC694" s="25">
        <f>IFERROR(AVERAGEIFS('Safety Bulletins'!$N$4:$N$100003,'Safety Bulletins'!$D$4:$D$100003,"Aug"),0)</f>
        <v>0</v>
      </c>
      <c r="AD694" s="25">
        <f>IFERROR(AVERAGEIFS('Safety Bulletins'!$N$4:$N$100003,'Safety Bulletins'!$D$4:$D$100003,"Sep"),0)</f>
        <v>0</v>
      </c>
      <c r="AE694" s="25">
        <f>IFERROR(AVERAGEIFS('Safety Bulletins'!$N$4:$N$100003,'Safety Bulletins'!$D$4:$D$100003,"Oct"),0)</f>
        <v>0</v>
      </c>
      <c r="AF694" s="25">
        <f>IFERROR(AVERAGEIFS('Safety Bulletins'!$N$4:$N$100003,'Safety Bulletins'!$D$4:$D$100003,"Nov"),0)</f>
        <v>0</v>
      </c>
      <c r="AG694" s="25">
        <f>IFERROR(AVERAGEIFS('Safety Bulletins'!$N$4:$N$100003,'Safety Bulletins'!$D$4:$D$100003,"Dec"),0)</f>
        <v>0</v>
      </c>
      <c r="AH694" s="25">
        <f>IFERROR(AVERAGE(V694:AG694),0)</f>
        <v>0</v>
      </c>
    </row>
    <row r="695" spans="2:34">
      <c r="B695" s="23" t="s">
        <v>53</v>
      </c>
      <c r="C695" s="22">
        <f>COUNTIFS('Safety Bulletins'!$D$4:$D$100003,"Apr")</f>
        <v>0</v>
      </c>
      <c r="E695" s="13" t="s">
        <v>586</v>
      </c>
      <c r="F695" s="22">
        <f>COUNTIFS('Safety Bulletins'!$E$4:$E$100003,"Lesson Learned",'Safety Bulletins'!$D$4:$D$100003,mCrit)</f>
        <v>0</v>
      </c>
      <c r="G695" s="13" t="s">
        <v>592</v>
      </c>
      <c r="H695" s="22">
        <f>COUNTIFS('Safety Bulletins'!$I$4:$I$100003,"All Channels",'Safety Bulletins'!$D$4:$D$100003,mCrit)</f>
        <v>0</v>
      </c>
      <c r="M695" s="13" t="s">
        <v>580</v>
      </c>
      <c r="N695" s="22">
        <f>COUNTIFS('Safety Bulletins'!$K$4:$K$100003,"Closed",'Safety Bulletins'!$D$4:$D$100003,mCrit)</f>
        <v>0</v>
      </c>
    </row>
    <row r="696" spans="2:34">
      <c r="B696" s="23" t="s">
        <v>60</v>
      </c>
      <c r="C696" s="22">
        <f>COUNTIFS('Safety Bulletins'!$D$4:$D$100003,"May")</f>
        <v>0</v>
      </c>
      <c r="E696" s="13" t="s">
        <v>578</v>
      </c>
      <c r="F696" s="22">
        <f>COUNTIFS('Safety Bulletins'!$E$4:$E$100003,"Best Practice",'Safety Bulletins'!$D$4:$D$100003,mCrit)</f>
        <v>0</v>
      </c>
      <c r="M696" s="13" t="s">
        <v>646</v>
      </c>
      <c r="N696" s="22">
        <f>SUMIFS('Safety Bulletins'!$L$4:$L$100003,'Safety Bulletins'!$D$4:$D$100003,mCrit)</f>
        <v>0</v>
      </c>
    </row>
    <row r="697" spans="2:34">
      <c r="B697" s="23" t="s">
        <v>73</v>
      </c>
      <c r="C697" s="22">
        <f>COUNTIFS('Safety Bulletins'!$D$4:$D$100003,"Jun")</f>
        <v>0</v>
      </c>
      <c r="E697" s="13" t="s">
        <v>598</v>
      </c>
      <c r="F697" s="22">
        <f>COUNTIFS('Safety Bulletins'!$E$4:$E$100003,"Advisory",'Safety Bulletins'!$D$4:$D$100003,mCrit)</f>
        <v>0</v>
      </c>
      <c r="M697" s="13" t="s">
        <v>647</v>
      </c>
      <c r="N697" s="22">
        <f>SUMIFS('Safety Bulletins'!$M$4:$M$100003,'Safety Bulletins'!$D$4:$D$100003,mCrit)</f>
        <v>0</v>
      </c>
    </row>
    <row r="698" spans="2:34">
      <c r="B698" s="23" t="s">
        <v>76</v>
      </c>
      <c r="C698" s="22">
        <f>COUNTIFS('Safety Bulletins'!$D$4:$D$100003,"Jul")</f>
        <v>0</v>
      </c>
      <c r="M698" s="13" t="s">
        <v>648</v>
      </c>
      <c r="N698" s="25">
        <f>IFERROR(AVERAGEIFS('Safety Bulletins'!$N$4:$N$100003,'Safety Bulletins'!$D$4:$D$100003,mCrit),0)</f>
        <v>0</v>
      </c>
    </row>
    <row r="699" spans="2:34">
      <c r="B699" s="23" t="s">
        <v>86</v>
      </c>
      <c r="C699" s="22">
        <f>COUNTIFS('Safety Bulletins'!$D$4:$D$100003,"Aug")</f>
        <v>0</v>
      </c>
      <c r="M699" s="13" t="s">
        <v>2001</v>
      </c>
      <c r="N699" s="22">
        <f>COUNTIFS('Safety Bulletins'!$J$4:$J$100003,"High",'Safety Bulletins'!$D$4:$D$100003,mCrit)</f>
        <v>0</v>
      </c>
    </row>
    <row r="700" spans="2:34">
      <c r="B700" s="23" t="s">
        <v>102</v>
      </c>
      <c r="C700" s="22">
        <f>COUNTIFS('Safety Bulletins'!$D$4:$D$100003,"Sep")</f>
        <v>0</v>
      </c>
    </row>
    <row r="701" spans="2:34">
      <c r="B701" s="23" t="s">
        <v>106</v>
      </c>
      <c r="C701" s="22">
        <f>COUNTIFS('Safety Bulletins'!$D$4:$D$100003,"Oct")</f>
        <v>0</v>
      </c>
    </row>
    <row r="702" spans="2:34">
      <c r="B702" s="23" t="s">
        <v>111</v>
      </c>
      <c r="C702" s="22">
        <f>COUNTIFS('Safety Bulletins'!$D$4:$D$100003,"Nov")</f>
        <v>0</v>
      </c>
    </row>
    <row r="703" spans="2:34">
      <c r="B703" s="23" t="s">
        <v>122</v>
      </c>
      <c r="C703" s="22">
        <f>COUNTIFS('Safety Bulletins'!$D$4:$D$100003,"Dec")</f>
        <v>0</v>
      </c>
    </row>
    <row r="716" spans="2:34">
      <c r="B716" s="17" t="s">
        <v>2002</v>
      </c>
    </row>
    <row r="717" spans="2:34">
      <c r="B717" s="12" t="s">
        <v>127</v>
      </c>
      <c r="C717" s="12" t="s">
        <v>1887</v>
      </c>
      <c r="E717" s="12" t="s">
        <v>707</v>
      </c>
      <c r="F717" s="12" t="s">
        <v>1887</v>
      </c>
      <c r="G717" s="12" t="s">
        <v>413</v>
      </c>
      <c r="H717" s="12" t="s">
        <v>1887</v>
      </c>
      <c r="J717" s="12" t="s">
        <v>286</v>
      </c>
      <c r="K717" s="12" t="s">
        <v>1887</v>
      </c>
      <c r="M717" s="12" t="s">
        <v>1849</v>
      </c>
      <c r="N717" s="12" t="s">
        <v>1960</v>
      </c>
      <c r="U717" s="12" t="s">
        <v>1970</v>
      </c>
      <c r="V717" s="12" t="s">
        <v>3</v>
      </c>
      <c r="W717" s="12" t="s">
        <v>19</v>
      </c>
      <c r="X717" s="12" t="s">
        <v>44</v>
      </c>
      <c r="Y717" s="12" t="s">
        <v>53</v>
      </c>
      <c r="Z717" s="12" t="s">
        <v>60</v>
      </c>
      <c r="AA717" s="12" t="s">
        <v>73</v>
      </c>
      <c r="AB717" s="12" t="s">
        <v>76</v>
      </c>
      <c r="AC717" s="12" t="s">
        <v>86</v>
      </c>
      <c r="AD717" s="12" t="s">
        <v>102</v>
      </c>
      <c r="AE717" s="12" t="s">
        <v>106</v>
      </c>
      <c r="AF717" s="12" t="s">
        <v>111</v>
      </c>
      <c r="AG717" s="12" t="s">
        <v>122</v>
      </c>
      <c r="AH717" s="12" t="s">
        <v>1971</v>
      </c>
    </row>
    <row r="718" spans="2:34">
      <c r="B718" s="23" t="s">
        <v>3</v>
      </c>
      <c r="C718" s="22">
        <f>COUNTIFS('Emergency Drills'!$D$4:$D$100003,"Jan")</f>
        <v>0</v>
      </c>
      <c r="E718" s="13" t="s">
        <v>651</v>
      </c>
      <c r="F718" s="22">
        <f>COUNTIFS('Emergency Drills'!$E$4:$E$100003,"Fire Evacuation",'Emergency Drills'!$D$4:$D$100003,mCrit)</f>
        <v>0</v>
      </c>
      <c r="G718" s="13" t="s">
        <v>10</v>
      </c>
      <c r="H718" s="22">
        <f>COUNTIFS('Emergency Drills'!$M$4:$M$100003,"Excellent",'Emergency Drills'!$D$4:$D$100003,mCrit)</f>
        <v>0</v>
      </c>
      <c r="J718" s="13" t="s">
        <v>220</v>
      </c>
      <c r="K718" s="22">
        <f>COUNTIFS('Emergency Drills'!$O$4:$O$100003,"Completed",'Emergency Drills'!$D$4:$D$100003,mCrit)</f>
        <v>0</v>
      </c>
      <c r="M718" s="13" t="s">
        <v>2003</v>
      </c>
      <c r="N718" s="22">
        <f>COUNTIFS('Emergency Drills'!$D$4:$D$100003,mCrit)</f>
        <v>0</v>
      </c>
      <c r="U718" s="13" t="s">
        <v>1694</v>
      </c>
      <c r="V718" s="22">
        <f>COUNTIFS('Emergency Drills'!$D$4:$D$100003,"Jan")</f>
        <v>0</v>
      </c>
      <c r="W718" s="22">
        <f>COUNTIFS('Emergency Drills'!$D$4:$D$100003,"Feb")</f>
        <v>0</v>
      </c>
      <c r="X718" s="22">
        <f>COUNTIFS('Emergency Drills'!$D$4:$D$100003,"Mar")</f>
        <v>0</v>
      </c>
      <c r="Y718" s="22">
        <f>COUNTIFS('Emergency Drills'!$D$4:$D$100003,"Apr")</f>
        <v>0</v>
      </c>
      <c r="Z718" s="22">
        <f>COUNTIFS('Emergency Drills'!$D$4:$D$100003,"May")</f>
        <v>0</v>
      </c>
      <c r="AA718" s="22">
        <f>COUNTIFS('Emergency Drills'!$D$4:$D$100003,"Jun")</f>
        <v>0</v>
      </c>
      <c r="AB718" s="22">
        <f>COUNTIFS('Emergency Drills'!$D$4:$D$100003,"Jul")</f>
        <v>0</v>
      </c>
      <c r="AC718" s="22">
        <f>COUNTIFS('Emergency Drills'!$D$4:$D$100003,"Aug")</f>
        <v>0</v>
      </c>
      <c r="AD718" s="22">
        <f>COUNTIFS('Emergency Drills'!$D$4:$D$100003,"Sep")</f>
        <v>0</v>
      </c>
      <c r="AE718" s="22">
        <f>COUNTIFS('Emergency Drills'!$D$4:$D$100003,"Oct")</f>
        <v>0</v>
      </c>
      <c r="AF718" s="22">
        <f>COUNTIFS('Emergency Drills'!$D$4:$D$100003,"Nov")</f>
        <v>0</v>
      </c>
      <c r="AG718" s="22">
        <f>COUNTIFS('Emergency Drills'!$D$4:$D$100003,"Dec")</f>
        <v>0</v>
      </c>
      <c r="AH718" s="22">
        <f>SUM(V718:AG718)</f>
        <v>0</v>
      </c>
    </row>
    <row r="719" spans="2:34">
      <c r="B719" s="23" t="s">
        <v>19</v>
      </c>
      <c r="C719" s="22">
        <f>COUNTIFS('Emergency Drills'!$D$4:$D$100003,"Feb")</f>
        <v>0</v>
      </c>
      <c r="E719" s="13" t="s">
        <v>659</v>
      </c>
      <c r="F719" s="22">
        <f>COUNTIFS('Emergency Drills'!$E$4:$E$100003,"Chemical Spill",'Emergency Drills'!$D$4:$D$100003,mCrit)</f>
        <v>0</v>
      </c>
      <c r="G719" s="13" t="s">
        <v>42</v>
      </c>
      <c r="H719" s="22">
        <f>COUNTIFS('Emergency Drills'!$M$4:$M$100003,"Good",'Emergency Drills'!$D$4:$D$100003,mCrit)</f>
        <v>0</v>
      </c>
      <c r="J719" s="13" t="s">
        <v>660</v>
      </c>
      <c r="K719" s="22">
        <f>COUNTIFS('Emergency Drills'!$O$4:$O$100003,"Action Pending",'Emergency Drills'!$D$4:$D$100003,mCrit)</f>
        <v>0</v>
      </c>
      <c r="M719" s="13" t="s">
        <v>220</v>
      </c>
      <c r="N719" s="22">
        <f>COUNTIFS('Emergency Drills'!$O$4:$O$100003,"Completed",'Emergency Drills'!$D$4:$D$100003,mCrit)</f>
        <v>0</v>
      </c>
      <c r="U719" s="13" t="s">
        <v>1980</v>
      </c>
      <c r="V719" s="25">
        <f>IFERROR((COUNTIFS('Emergency Drills'!$O$4:$O$100003,"Completed",'Emergency Drills'!$D$4:$D$100003,"Jan"))/COUNTIFS('Emergency Drills'!$D$4:$D$100003,"Jan")*100,0)</f>
        <v>0</v>
      </c>
      <c r="W719" s="25">
        <f>IFERROR((COUNTIFS('Emergency Drills'!$O$4:$O$100003,"Completed",'Emergency Drills'!$D$4:$D$100003,"Feb"))/COUNTIFS('Emergency Drills'!$D$4:$D$100003,"Feb")*100,0)</f>
        <v>0</v>
      </c>
      <c r="X719" s="25">
        <f>IFERROR((COUNTIFS('Emergency Drills'!$O$4:$O$100003,"Completed",'Emergency Drills'!$D$4:$D$100003,"Mar"))/COUNTIFS('Emergency Drills'!$D$4:$D$100003,"Mar")*100,0)</f>
        <v>0</v>
      </c>
      <c r="Y719" s="25">
        <f>IFERROR((COUNTIFS('Emergency Drills'!$O$4:$O$100003,"Completed",'Emergency Drills'!$D$4:$D$100003,"Apr"))/COUNTIFS('Emergency Drills'!$D$4:$D$100003,"Apr")*100,0)</f>
        <v>0</v>
      </c>
      <c r="Z719" s="25">
        <f>IFERROR((COUNTIFS('Emergency Drills'!$O$4:$O$100003,"Completed",'Emergency Drills'!$D$4:$D$100003,"May"))/COUNTIFS('Emergency Drills'!$D$4:$D$100003,"May")*100,0)</f>
        <v>0</v>
      </c>
      <c r="AA719" s="25">
        <f>IFERROR((COUNTIFS('Emergency Drills'!$O$4:$O$100003,"Completed",'Emergency Drills'!$D$4:$D$100003,"Jun"))/COUNTIFS('Emergency Drills'!$D$4:$D$100003,"Jun")*100,0)</f>
        <v>0</v>
      </c>
      <c r="AB719" s="25">
        <f>IFERROR((COUNTIFS('Emergency Drills'!$O$4:$O$100003,"Completed",'Emergency Drills'!$D$4:$D$100003,"Jul"))/COUNTIFS('Emergency Drills'!$D$4:$D$100003,"Jul")*100,0)</f>
        <v>0</v>
      </c>
      <c r="AC719" s="25">
        <f>IFERROR((COUNTIFS('Emergency Drills'!$O$4:$O$100003,"Completed",'Emergency Drills'!$D$4:$D$100003,"Aug"))/COUNTIFS('Emergency Drills'!$D$4:$D$100003,"Aug")*100,0)</f>
        <v>0</v>
      </c>
      <c r="AD719" s="25">
        <f>IFERROR((COUNTIFS('Emergency Drills'!$O$4:$O$100003,"Completed",'Emergency Drills'!$D$4:$D$100003,"Sep"))/COUNTIFS('Emergency Drills'!$D$4:$D$100003,"Sep")*100,0)</f>
        <v>0</v>
      </c>
      <c r="AE719" s="25">
        <f>IFERROR((COUNTIFS('Emergency Drills'!$O$4:$O$100003,"Completed",'Emergency Drills'!$D$4:$D$100003,"Oct"))/COUNTIFS('Emergency Drills'!$D$4:$D$100003,"Oct")*100,0)</f>
        <v>0</v>
      </c>
      <c r="AF719" s="25">
        <f>IFERROR((COUNTIFS('Emergency Drills'!$O$4:$O$100003,"Completed",'Emergency Drills'!$D$4:$D$100003,"Nov"))/COUNTIFS('Emergency Drills'!$D$4:$D$100003,"Nov")*100,0)</f>
        <v>0</v>
      </c>
      <c r="AG719" s="25">
        <f>IFERROR((COUNTIFS('Emergency Drills'!$O$4:$O$100003,"Completed",'Emergency Drills'!$D$4:$D$100003,"Dec"))/COUNTIFS('Emergency Drills'!$D$4:$D$100003,"Dec")*100,0)</f>
        <v>0</v>
      </c>
      <c r="AH719" s="25">
        <f>IFERROR(AVERAGE(V719:AG719),0)</f>
        <v>0</v>
      </c>
    </row>
    <row r="720" spans="2:34">
      <c r="B720" s="23" t="s">
        <v>44</v>
      </c>
      <c r="C720" s="22">
        <f>COUNTIFS('Emergency Drills'!$D$4:$D$100003,"Mar")</f>
        <v>0</v>
      </c>
      <c r="E720" s="13" t="s">
        <v>656</v>
      </c>
      <c r="F720" s="22">
        <f>COUNTIFS('Emergency Drills'!$E$4:$E$100003,"Medical Emergency",'Emergency Drills'!$D$4:$D$100003,mCrit)</f>
        <v>0</v>
      </c>
      <c r="G720" s="13" t="s">
        <v>17</v>
      </c>
      <c r="H720" s="22">
        <f>COUNTIFS('Emergency Drills'!$M$4:$M$100003,"Satisfactory",'Emergency Drills'!$D$4:$D$100003,mCrit)</f>
        <v>0</v>
      </c>
      <c r="J720" s="13" t="s">
        <v>693</v>
      </c>
      <c r="K720" s="22">
        <f>COUNTIFS('Emergency Drills'!$O$4:$O$100003,"Rescheduled",'Emergency Drills'!$D$4:$D$100003,mCrit)</f>
        <v>0</v>
      </c>
      <c r="M720" s="13" t="s">
        <v>302</v>
      </c>
      <c r="N720" s="22">
        <f>COUNTIFS('Emergency Drills'!$O$4:$O$100003,"Action Pending",'Emergency Drills'!$D$4:$D$100003,mCrit)</f>
        <v>0</v>
      </c>
      <c r="U720" s="13" t="s">
        <v>2009</v>
      </c>
      <c r="V720" s="25">
        <f>IFERROR(AVERAGEIFS('Emergency Drills'!$J$4:$J$100003,'Emergency Drills'!$D$4:$D$100003,"Jan"),0)</f>
        <v>0</v>
      </c>
      <c r="W720" s="25">
        <f>IFERROR(AVERAGEIFS('Emergency Drills'!$J$4:$J$100003,'Emergency Drills'!$D$4:$D$100003,"Feb"),0)</f>
        <v>0</v>
      </c>
      <c r="X720" s="25">
        <f>IFERROR(AVERAGEIFS('Emergency Drills'!$J$4:$J$100003,'Emergency Drills'!$D$4:$D$100003,"Mar"),0)</f>
        <v>0</v>
      </c>
      <c r="Y720" s="25">
        <f>IFERROR(AVERAGEIFS('Emergency Drills'!$J$4:$J$100003,'Emergency Drills'!$D$4:$D$100003,"Apr"),0)</f>
        <v>0</v>
      </c>
      <c r="Z720" s="25">
        <f>IFERROR(AVERAGEIFS('Emergency Drills'!$J$4:$J$100003,'Emergency Drills'!$D$4:$D$100003,"May"),0)</f>
        <v>0</v>
      </c>
      <c r="AA720" s="25">
        <f>IFERROR(AVERAGEIFS('Emergency Drills'!$J$4:$J$100003,'Emergency Drills'!$D$4:$D$100003,"Jun"),0)</f>
        <v>0</v>
      </c>
      <c r="AB720" s="25">
        <f>IFERROR(AVERAGEIFS('Emergency Drills'!$J$4:$J$100003,'Emergency Drills'!$D$4:$D$100003,"Jul"),0)</f>
        <v>0</v>
      </c>
      <c r="AC720" s="25">
        <f>IFERROR(AVERAGEIFS('Emergency Drills'!$J$4:$J$100003,'Emergency Drills'!$D$4:$D$100003,"Aug"),0)</f>
        <v>0</v>
      </c>
      <c r="AD720" s="25">
        <f>IFERROR(AVERAGEIFS('Emergency Drills'!$J$4:$J$100003,'Emergency Drills'!$D$4:$D$100003,"Sep"),0)</f>
        <v>0</v>
      </c>
      <c r="AE720" s="25">
        <f>IFERROR(AVERAGEIFS('Emergency Drills'!$J$4:$J$100003,'Emergency Drills'!$D$4:$D$100003,"Oct"),0)</f>
        <v>0</v>
      </c>
      <c r="AF720" s="25">
        <f>IFERROR(AVERAGEIFS('Emergency Drills'!$J$4:$J$100003,'Emergency Drills'!$D$4:$D$100003,"Nov"),0)</f>
        <v>0</v>
      </c>
      <c r="AG720" s="25">
        <f>IFERROR(AVERAGEIFS('Emergency Drills'!$J$4:$J$100003,'Emergency Drills'!$D$4:$D$100003,"Dec"),0)</f>
        <v>0</v>
      </c>
      <c r="AH720" s="25">
        <f>IFERROR(AVERAGE(V720:AG720),0)</f>
        <v>0</v>
      </c>
    </row>
    <row r="721" spans="2:14">
      <c r="B721" s="23" t="s">
        <v>53</v>
      </c>
      <c r="C721" s="22">
        <f>COUNTIFS('Emergency Drills'!$D$4:$D$100003,"Apr")</f>
        <v>0</v>
      </c>
      <c r="E721" s="13" t="s">
        <v>653</v>
      </c>
      <c r="F721" s="22">
        <f>COUNTIFS('Emergency Drills'!$E$4:$E$100003,"Gas Leak",'Emergency Drills'!$D$4:$D$100003,mCrit)</f>
        <v>0</v>
      </c>
      <c r="G721" s="13" t="s">
        <v>96</v>
      </c>
      <c r="H721" s="22">
        <f>COUNTIFS('Emergency Drills'!$M$4:$M$100003,"Needs Improvement",'Emergency Drills'!$D$4:$D$100003,mCrit)</f>
        <v>0</v>
      </c>
      <c r="M721" s="13" t="s">
        <v>2004</v>
      </c>
      <c r="N721" s="25">
        <f>IFERROR(AVERAGEIFS('Emergency Drills'!$J$4:$J$100003,'Emergency Drills'!$D$4:$D$100003,mCrit),0)</f>
        <v>0</v>
      </c>
    </row>
    <row r="722" spans="2:14">
      <c r="B722" s="23" t="s">
        <v>60</v>
      </c>
      <c r="C722" s="22">
        <f>COUNTIFS('Emergency Drills'!$D$4:$D$100003,"May")</f>
        <v>0</v>
      </c>
      <c r="E722" s="13" t="s">
        <v>668</v>
      </c>
      <c r="F722" s="22">
        <f>COUNTIFS('Emergency Drills'!$E$4:$E$100003,"Confined Space Rescue",'Emergency Drills'!$D$4:$D$100003,mCrit)</f>
        <v>0</v>
      </c>
      <c r="G722" s="13" t="s">
        <v>24</v>
      </c>
      <c r="H722" s="22">
        <f>COUNTIFS('Emergency Drills'!$M$4:$M$100003,"Unsatisfactory",'Emergency Drills'!$D$4:$D$100003,mCrit)</f>
        <v>0</v>
      </c>
      <c r="M722" s="13" t="s">
        <v>2005</v>
      </c>
      <c r="N722" s="22">
        <f>IFERROR(AVERAGEIFS('Emergency Drills'!$K$4:$K$100003,'Emergency Drills'!$D$4:$D$100003,mCrit),0)</f>
        <v>0</v>
      </c>
    </row>
    <row r="723" spans="2:14">
      <c r="B723" s="23" t="s">
        <v>73</v>
      </c>
      <c r="C723" s="22">
        <f>COUNTIFS('Emergency Drills'!$D$4:$D$100003,"Jun")</f>
        <v>0</v>
      </c>
      <c r="E723" s="13" t="s">
        <v>662</v>
      </c>
      <c r="F723" s="22">
        <f>COUNTIFS('Emergency Drills'!$E$4:$E$100003,"Earthquake",'Emergency Drills'!$D$4:$D$100003,mCrit)</f>
        <v>0</v>
      </c>
      <c r="M723" s="13" t="s">
        <v>2006</v>
      </c>
      <c r="N723" s="22">
        <f>IFERROR(AVERAGEIFS('Emergency Drills'!$L$4:$L$100003,'Emergency Drills'!$D$4:$D$100003,mCrit),0)</f>
        <v>0</v>
      </c>
    </row>
    <row r="724" spans="2:14">
      <c r="B724" s="23" t="s">
        <v>76</v>
      </c>
      <c r="C724" s="22">
        <f>COUNTIFS('Emergency Drills'!$D$4:$D$100003,"Jul")</f>
        <v>0</v>
      </c>
      <c r="M724" s="13" t="s">
        <v>2007</v>
      </c>
      <c r="N724" s="22">
        <f>SUMIFS('Emergency Drills'!$I$4:$I$100003,'Emergency Drills'!$D$4:$D$100003,mCrit)</f>
        <v>0</v>
      </c>
    </row>
    <row r="725" spans="2:14">
      <c r="B725" s="23" t="s">
        <v>86</v>
      </c>
      <c r="C725" s="22">
        <f>COUNTIFS('Emergency Drills'!$D$4:$D$100003,"Aug")</f>
        <v>0</v>
      </c>
      <c r="M725" s="13" t="s">
        <v>2008</v>
      </c>
      <c r="N725" s="22">
        <f>COUNTIFS('Emergency Drills'!$N$4:$N$100003,"&lt;&gt;",'Emergency Drills'!$D$4:$D$100003,mCrit)</f>
        <v>0</v>
      </c>
    </row>
    <row r="726" spans="2:14">
      <c r="B726" s="23" t="s">
        <v>102</v>
      </c>
      <c r="C726" s="22">
        <f>COUNTIFS('Emergency Drills'!$D$4:$D$100003,"Sep")</f>
        <v>0</v>
      </c>
    </row>
    <row r="727" spans="2:14">
      <c r="B727" s="23" t="s">
        <v>106</v>
      </c>
      <c r="C727" s="22">
        <f>COUNTIFS('Emergency Drills'!$D$4:$D$100003,"Oct")</f>
        <v>0</v>
      </c>
    </row>
    <row r="728" spans="2:14">
      <c r="B728" s="23" t="s">
        <v>111</v>
      </c>
      <c r="C728" s="22">
        <f>COUNTIFS('Emergency Drills'!$D$4:$D$100003,"Nov")</f>
        <v>0</v>
      </c>
    </row>
    <row r="729" spans="2:14">
      <c r="B729" s="23" t="s">
        <v>122</v>
      </c>
      <c r="C729" s="22">
        <f>COUNTIFS('Emergency Drills'!$D$4:$D$100003,"Dec")</f>
        <v>0</v>
      </c>
    </row>
    <row r="742" spans="2:34">
      <c r="B742" s="17" t="s">
        <v>2010</v>
      </c>
    </row>
    <row r="743" spans="2:34">
      <c r="B743" s="12" t="s">
        <v>127</v>
      </c>
      <c r="C743" s="12" t="s">
        <v>1887</v>
      </c>
      <c r="E743" s="12" t="s">
        <v>772</v>
      </c>
      <c r="F743" s="12" t="s">
        <v>1887</v>
      </c>
      <c r="J743" s="12" t="s">
        <v>286</v>
      </c>
      <c r="K743" s="12" t="s">
        <v>1887</v>
      </c>
      <c r="M743" s="12" t="s">
        <v>1849</v>
      </c>
      <c r="N743" s="12" t="s">
        <v>1960</v>
      </c>
      <c r="P743" s="12" t="s">
        <v>129</v>
      </c>
      <c r="Q743" s="12" t="s">
        <v>1887</v>
      </c>
      <c r="R743" s="12" t="s">
        <v>1979</v>
      </c>
      <c r="S743" s="12" t="s">
        <v>1694</v>
      </c>
      <c r="U743" s="12" t="s">
        <v>1970</v>
      </c>
      <c r="V743" s="12" t="s">
        <v>3</v>
      </c>
      <c r="W743" s="12" t="s">
        <v>19</v>
      </c>
      <c r="X743" s="12" t="s">
        <v>44</v>
      </c>
      <c r="Y743" s="12" t="s">
        <v>53</v>
      </c>
      <c r="Z743" s="12" t="s">
        <v>60</v>
      </c>
      <c r="AA743" s="12" t="s">
        <v>73</v>
      </c>
      <c r="AB743" s="12" t="s">
        <v>76</v>
      </c>
      <c r="AC743" s="12" t="s">
        <v>86</v>
      </c>
      <c r="AD743" s="12" t="s">
        <v>102</v>
      </c>
      <c r="AE743" s="12" t="s">
        <v>106</v>
      </c>
      <c r="AF743" s="12" t="s">
        <v>111</v>
      </c>
      <c r="AG743" s="12" t="s">
        <v>122</v>
      </c>
      <c r="AH743" s="12" t="s">
        <v>1971</v>
      </c>
    </row>
    <row r="744" spans="2:34">
      <c r="B744" s="23" t="s">
        <v>3</v>
      </c>
      <c r="C744" s="22">
        <f>COUNTIFS('Internal Audits'!$D$4:$D$100003,"Jan",'Internal Audits'!$G$4:$G$100003,dCrit)</f>
        <v>0</v>
      </c>
      <c r="E744" s="13" t="s">
        <v>721</v>
      </c>
      <c r="F744" s="22">
        <f>COUNTIFS('Internal Audits'!$F$4:$F$100003,"System Audit",'Internal Audits'!$D$4:$D$100003,mCrit,'Internal Audits'!$G$4:$G$100003,dCrit)</f>
        <v>0</v>
      </c>
      <c r="J744" s="13" t="s">
        <v>230</v>
      </c>
      <c r="K744" s="22">
        <f>COUNTIFS('Internal Audits'!$P$4:$P$100003,"Scheduled",'Internal Audits'!$D$4:$D$100003,mCrit,'Internal Audits'!$G$4:$G$100003,dCrit)</f>
        <v>0</v>
      </c>
      <c r="M744" s="13" t="s">
        <v>2011</v>
      </c>
      <c r="N744" s="22">
        <f>COUNTIFS('Internal Audits'!$D$4:$D$100003,mCrit,'Internal Audits'!$G$4:$G$100003,dCrit)</f>
        <v>0</v>
      </c>
      <c r="P744" s="13" t="s">
        <v>27</v>
      </c>
      <c r="Q744" s="22">
        <f>COUNTIFS('Internal Audits'!$D$4:$D$100003,mCrit,'Internal Audits'!$G$4:$G$100003,"Operations")</f>
        <v>0</v>
      </c>
      <c r="R744" s="25">
        <f>IFERROR((COUNTIFS('Internal Audits'!$P$4:$P$100003,"Completed",'Internal Audits'!$D$4:$D$100003,mCrit,'Internal Audits'!$G$4:$G$100003,"Operations"))/COUNTIFS('Internal Audits'!$D$4:$D$100003,mCrit,'Internal Audits'!$G$4:$G$100003,"Operations")*100,0)</f>
        <v>0</v>
      </c>
      <c r="S744" s="22">
        <f>COUNTIFS('Internal Audits'!$D$4:$D$100003,mCrit,'Internal Audits'!$G$4:$G$100003,"Operations")</f>
        <v>0</v>
      </c>
      <c r="U744" s="13" t="s">
        <v>1694</v>
      </c>
      <c r="V744" s="22">
        <f>COUNTIFS('Internal Audits'!$D$4:$D$100003,"Jan",'Internal Audits'!$G$4:$G$100003,dCrit)</f>
        <v>0</v>
      </c>
      <c r="W744" s="22">
        <f>COUNTIFS('Internal Audits'!$D$4:$D$100003,"Feb",'Internal Audits'!$G$4:$G$100003,dCrit)</f>
        <v>0</v>
      </c>
      <c r="X744" s="22">
        <f>COUNTIFS('Internal Audits'!$D$4:$D$100003,"Mar",'Internal Audits'!$G$4:$G$100003,dCrit)</f>
        <v>0</v>
      </c>
      <c r="Y744" s="22">
        <f>COUNTIFS('Internal Audits'!$D$4:$D$100003,"Apr",'Internal Audits'!$G$4:$G$100003,dCrit)</f>
        <v>0</v>
      </c>
      <c r="Z744" s="22">
        <f>COUNTIFS('Internal Audits'!$D$4:$D$100003,"May",'Internal Audits'!$G$4:$G$100003,dCrit)</f>
        <v>0</v>
      </c>
      <c r="AA744" s="22">
        <f>COUNTIFS('Internal Audits'!$D$4:$D$100003,"Jun",'Internal Audits'!$G$4:$G$100003,dCrit)</f>
        <v>0</v>
      </c>
      <c r="AB744" s="22">
        <f>COUNTIFS('Internal Audits'!$D$4:$D$100003,"Jul",'Internal Audits'!$G$4:$G$100003,dCrit)</f>
        <v>0</v>
      </c>
      <c r="AC744" s="22">
        <f>COUNTIFS('Internal Audits'!$D$4:$D$100003,"Aug",'Internal Audits'!$G$4:$G$100003,dCrit)</f>
        <v>0</v>
      </c>
      <c r="AD744" s="22">
        <f>COUNTIFS('Internal Audits'!$D$4:$D$100003,"Sep",'Internal Audits'!$G$4:$G$100003,dCrit)</f>
        <v>0</v>
      </c>
      <c r="AE744" s="22">
        <f>COUNTIFS('Internal Audits'!$D$4:$D$100003,"Oct",'Internal Audits'!$G$4:$G$100003,dCrit)</f>
        <v>0</v>
      </c>
      <c r="AF744" s="22">
        <f>COUNTIFS('Internal Audits'!$D$4:$D$100003,"Nov",'Internal Audits'!$G$4:$G$100003,dCrit)</f>
        <v>0</v>
      </c>
      <c r="AG744" s="22">
        <f>COUNTIFS('Internal Audits'!$D$4:$D$100003,"Dec",'Internal Audits'!$G$4:$G$100003,dCrit)</f>
        <v>0</v>
      </c>
      <c r="AH744" s="22">
        <f>SUM(V744:AG744)</f>
        <v>0</v>
      </c>
    </row>
    <row r="745" spans="2:34">
      <c r="B745" s="23" t="s">
        <v>19</v>
      </c>
      <c r="C745" s="22">
        <f>COUNTIFS('Internal Audits'!$D$4:$D$100003,"Feb",'Internal Audits'!$G$4:$G$100003,dCrit)</f>
        <v>0</v>
      </c>
      <c r="E745" s="13" t="s">
        <v>746</v>
      </c>
      <c r="F745" s="22">
        <f>COUNTIFS('Internal Audits'!$F$4:$F$100003,"Compliance Audit",'Internal Audits'!$D$4:$D$100003,mCrit,'Internal Audits'!$G$4:$G$100003,dCrit)</f>
        <v>0</v>
      </c>
      <c r="J745" s="13" t="s">
        <v>220</v>
      </c>
      <c r="K745" s="22">
        <f>COUNTIFS('Internal Audits'!$P$4:$P$100003,"Completed",'Internal Audits'!$D$4:$D$100003,mCrit,'Internal Audits'!$G$4:$G$100003,dCrit)</f>
        <v>0</v>
      </c>
      <c r="M745" s="13" t="s">
        <v>220</v>
      </c>
      <c r="N745" s="22">
        <f>COUNTIFS('Internal Audits'!$P$4:$P$100003,"Completed",'Internal Audits'!$D$4:$D$100003,mCrit,'Internal Audits'!$G$4:$G$100003,dCrit)</f>
        <v>0</v>
      </c>
      <c r="P745" s="13" t="s">
        <v>92</v>
      </c>
      <c r="Q745" s="22">
        <f>COUNTIFS('Internal Audits'!$D$4:$D$100003,mCrit,'Internal Audits'!$G$4:$G$100003,"Maintenance")</f>
        <v>0</v>
      </c>
      <c r="R745" s="25">
        <f>IFERROR((COUNTIFS('Internal Audits'!$P$4:$P$100003,"Completed",'Internal Audits'!$D$4:$D$100003,mCrit,'Internal Audits'!$G$4:$G$100003,"Maintenance"))/COUNTIFS('Internal Audits'!$D$4:$D$100003,mCrit,'Internal Audits'!$G$4:$G$100003,"Maintenance")*100,0)</f>
        <v>0</v>
      </c>
      <c r="S745" s="22">
        <f>COUNTIFS('Internal Audits'!$D$4:$D$100003,mCrit,'Internal Audits'!$G$4:$G$100003,"Maintenance")</f>
        <v>0</v>
      </c>
      <c r="U745" s="13" t="s">
        <v>1980</v>
      </c>
      <c r="V745" s="25">
        <f>IFERROR((COUNTIFS('Internal Audits'!$P$4:$P$100003,"Completed",'Internal Audits'!$D$4:$D$100003,"Jan",'Internal Audits'!$G$4:$G$100003,dCrit))/COUNTIFS('Internal Audits'!$D$4:$D$100003,"Jan",'Internal Audits'!$G$4:$G$100003,dCrit)*100,0)</f>
        <v>0</v>
      </c>
      <c r="W745" s="25">
        <f>IFERROR((COUNTIFS('Internal Audits'!$P$4:$P$100003,"Completed",'Internal Audits'!$D$4:$D$100003,"Feb",'Internal Audits'!$G$4:$G$100003,dCrit))/COUNTIFS('Internal Audits'!$D$4:$D$100003,"Feb",'Internal Audits'!$G$4:$G$100003,dCrit)*100,0)</f>
        <v>0</v>
      </c>
      <c r="X745" s="25">
        <f>IFERROR((COUNTIFS('Internal Audits'!$P$4:$P$100003,"Completed",'Internal Audits'!$D$4:$D$100003,"Mar",'Internal Audits'!$G$4:$G$100003,dCrit))/COUNTIFS('Internal Audits'!$D$4:$D$100003,"Mar",'Internal Audits'!$G$4:$G$100003,dCrit)*100,0)</f>
        <v>0</v>
      </c>
      <c r="Y745" s="25">
        <f>IFERROR((COUNTIFS('Internal Audits'!$P$4:$P$100003,"Completed",'Internal Audits'!$D$4:$D$100003,"Apr",'Internal Audits'!$G$4:$G$100003,dCrit))/COUNTIFS('Internal Audits'!$D$4:$D$100003,"Apr",'Internal Audits'!$G$4:$G$100003,dCrit)*100,0)</f>
        <v>0</v>
      </c>
      <c r="Z745" s="25">
        <f>IFERROR((COUNTIFS('Internal Audits'!$P$4:$P$100003,"Completed",'Internal Audits'!$D$4:$D$100003,"May",'Internal Audits'!$G$4:$G$100003,dCrit))/COUNTIFS('Internal Audits'!$D$4:$D$100003,"May",'Internal Audits'!$G$4:$G$100003,dCrit)*100,0)</f>
        <v>0</v>
      </c>
      <c r="AA745" s="25">
        <f>IFERROR((COUNTIFS('Internal Audits'!$P$4:$P$100003,"Completed",'Internal Audits'!$D$4:$D$100003,"Jun",'Internal Audits'!$G$4:$G$100003,dCrit))/COUNTIFS('Internal Audits'!$D$4:$D$100003,"Jun",'Internal Audits'!$G$4:$G$100003,dCrit)*100,0)</f>
        <v>0</v>
      </c>
      <c r="AB745" s="25">
        <f>IFERROR((COUNTIFS('Internal Audits'!$P$4:$P$100003,"Completed",'Internal Audits'!$D$4:$D$100003,"Jul",'Internal Audits'!$G$4:$G$100003,dCrit))/COUNTIFS('Internal Audits'!$D$4:$D$100003,"Jul",'Internal Audits'!$G$4:$G$100003,dCrit)*100,0)</f>
        <v>0</v>
      </c>
      <c r="AC745" s="25">
        <f>IFERROR((COUNTIFS('Internal Audits'!$P$4:$P$100003,"Completed",'Internal Audits'!$D$4:$D$100003,"Aug",'Internal Audits'!$G$4:$G$100003,dCrit))/COUNTIFS('Internal Audits'!$D$4:$D$100003,"Aug",'Internal Audits'!$G$4:$G$100003,dCrit)*100,0)</f>
        <v>0</v>
      </c>
      <c r="AD745" s="25">
        <f>IFERROR((COUNTIFS('Internal Audits'!$P$4:$P$100003,"Completed",'Internal Audits'!$D$4:$D$100003,"Sep",'Internal Audits'!$G$4:$G$100003,dCrit))/COUNTIFS('Internal Audits'!$D$4:$D$100003,"Sep",'Internal Audits'!$G$4:$G$100003,dCrit)*100,0)</f>
        <v>0</v>
      </c>
      <c r="AE745" s="25">
        <f>IFERROR((COUNTIFS('Internal Audits'!$P$4:$P$100003,"Completed",'Internal Audits'!$D$4:$D$100003,"Oct",'Internal Audits'!$G$4:$G$100003,dCrit))/COUNTIFS('Internal Audits'!$D$4:$D$100003,"Oct",'Internal Audits'!$G$4:$G$100003,dCrit)*100,0)</f>
        <v>0</v>
      </c>
      <c r="AF745" s="25">
        <f>IFERROR((COUNTIFS('Internal Audits'!$P$4:$P$100003,"Completed",'Internal Audits'!$D$4:$D$100003,"Nov",'Internal Audits'!$G$4:$G$100003,dCrit))/COUNTIFS('Internal Audits'!$D$4:$D$100003,"Nov",'Internal Audits'!$G$4:$G$100003,dCrit)*100,0)</f>
        <v>0</v>
      </c>
      <c r="AG745" s="25">
        <f>IFERROR((COUNTIFS('Internal Audits'!$P$4:$P$100003,"Completed",'Internal Audits'!$D$4:$D$100003,"Dec",'Internal Audits'!$G$4:$G$100003,dCrit))/COUNTIFS('Internal Audits'!$D$4:$D$100003,"Dec",'Internal Audits'!$G$4:$G$100003,dCrit)*100,0)</f>
        <v>0</v>
      </c>
      <c r="AH745" s="25">
        <f>IFERROR(AVERAGE(V745:AG745),0)</f>
        <v>0</v>
      </c>
    </row>
    <row r="746" spans="2:34">
      <c r="B746" s="23" t="s">
        <v>44</v>
      </c>
      <c r="C746" s="22">
        <f>COUNTIFS('Internal Audits'!$D$4:$D$100003,"Mar",'Internal Audits'!$G$4:$G$100003,dCrit)</f>
        <v>0</v>
      </c>
      <c r="E746" s="13" t="s">
        <v>723</v>
      </c>
      <c r="F746" s="22">
        <f>COUNTIFS('Internal Audits'!$F$4:$F$100003,"Process Audit",'Internal Audits'!$D$4:$D$100003,mCrit,'Internal Audits'!$G$4:$G$100003,dCrit)</f>
        <v>0</v>
      </c>
      <c r="J746" s="13" t="s">
        <v>224</v>
      </c>
      <c r="K746" s="22">
        <f>COUNTIFS('Internal Audits'!$P$4:$P$100003,"In Progress",'Internal Audits'!$D$4:$D$100003,mCrit,'Internal Audits'!$G$4:$G$100003,dCrit)</f>
        <v>0</v>
      </c>
      <c r="M746" s="13" t="s">
        <v>224</v>
      </c>
      <c r="N746" s="22">
        <f>COUNTIFS('Internal Audits'!$P$4:$P$100003,"In Progress",'Internal Audits'!$D$4:$D$100003,mCrit,'Internal Audits'!$G$4:$G$100003,dCrit)</f>
        <v>0</v>
      </c>
      <c r="P746" s="13" t="s">
        <v>39</v>
      </c>
      <c r="Q746" s="22">
        <f>COUNTIFS('Internal Audits'!$D$4:$D$100003,mCrit,'Internal Audits'!$G$4:$G$100003,"Engineering")</f>
        <v>0</v>
      </c>
      <c r="R746" s="25">
        <f>IFERROR((COUNTIFS('Internal Audits'!$P$4:$P$100003,"Completed",'Internal Audits'!$D$4:$D$100003,mCrit,'Internal Audits'!$G$4:$G$100003,"Engineering"))/COUNTIFS('Internal Audits'!$D$4:$D$100003,mCrit,'Internal Audits'!$G$4:$G$100003,"Engineering")*100,0)</f>
        <v>0</v>
      </c>
      <c r="S746" s="22">
        <f>COUNTIFS('Internal Audits'!$D$4:$D$100003,mCrit,'Internal Audits'!$G$4:$G$100003,"Engineering")</f>
        <v>0</v>
      </c>
    </row>
    <row r="747" spans="2:34">
      <c r="B747" s="23" t="s">
        <v>53</v>
      </c>
      <c r="C747" s="22">
        <f>COUNTIFS('Internal Audits'!$D$4:$D$100003,"Apr",'Internal Audits'!$G$4:$G$100003,dCrit)</f>
        <v>0</v>
      </c>
      <c r="E747" s="13" t="s">
        <v>729</v>
      </c>
      <c r="F747" s="22">
        <f>COUNTIFS('Internal Audits'!$F$4:$F$100003,"Surveillance",'Internal Audits'!$D$4:$D$100003,mCrit,'Internal Audits'!$G$4:$G$100003,dCrit)</f>
        <v>0</v>
      </c>
      <c r="M747" s="13" t="s">
        <v>230</v>
      </c>
      <c r="N747" s="22">
        <f>COUNTIFS('Internal Audits'!$P$4:$P$100003,"Scheduled",'Internal Audits'!$D$4:$D$100003,mCrit,'Internal Audits'!$G$4:$G$100003,dCrit)</f>
        <v>0</v>
      </c>
      <c r="P747" s="13" t="s">
        <v>89</v>
      </c>
      <c r="Q747" s="22">
        <f>COUNTIFS('Internal Audits'!$D$4:$D$100003,mCrit,'Internal Audits'!$G$4:$G$100003,"Construction")</f>
        <v>0</v>
      </c>
      <c r="R747" s="25">
        <f>IFERROR((COUNTIFS('Internal Audits'!$P$4:$P$100003,"Completed",'Internal Audits'!$D$4:$D$100003,mCrit,'Internal Audits'!$G$4:$G$100003,"Construction"))/COUNTIFS('Internal Audits'!$D$4:$D$100003,mCrit,'Internal Audits'!$G$4:$G$100003,"Construction")*100,0)</f>
        <v>0</v>
      </c>
      <c r="S747" s="22">
        <f>COUNTIFS('Internal Audits'!$D$4:$D$100003,mCrit,'Internal Audits'!$G$4:$G$100003,"Construction")</f>
        <v>0</v>
      </c>
    </row>
    <row r="748" spans="2:34">
      <c r="B748" s="23" t="s">
        <v>60</v>
      </c>
      <c r="C748" s="22">
        <f>COUNTIFS('Internal Audits'!$D$4:$D$100003,"May",'Internal Audits'!$G$4:$G$100003,dCrit)</f>
        <v>0</v>
      </c>
      <c r="E748" s="13" t="s">
        <v>717</v>
      </c>
      <c r="F748" s="22">
        <f>COUNTIFS('Internal Audits'!$F$4:$F$100003,"Customer Audit",'Internal Audits'!$D$4:$D$100003,mCrit,'Internal Audits'!$G$4:$G$100003,dCrit)</f>
        <v>0</v>
      </c>
      <c r="M748" s="13" t="s">
        <v>774</v>
      </c>
      <c r="N748" s="22">
        <f>SUMIFS('Internal Audits'!$K$4:$K$100003,'Internal Audits'!$D$4:$D$100003,mCrit,'Internal Audits'!$G$4:$G$100003,dCrit)</f>
        <v>0</v>
      </c>
      <c r="P748" s="13" t="s">
        <v>65</v>
      </c>
      <c r="Q748" s="22">
        <f>COUNTIFS('Internal Audits'!$D$4:$D$100003,mCrit,'Internal Audits'!$G$4:$G$100003,"Safety")</f>
        <v>0</v>
      </c>
      <c r="R748" s="25">
        <f>IFERROR((COUNTIFS('Internal Audits'!$P$4:$P$100003,"Completed",'Internal Audits'!$D$4:$D$100003,mCrit,'Internal Audits'!$G$4:$G$100003,"Safety"))/COUNTIFS('Internal Audits'!$D$4:$D$100003,mCrit,'Internal Audits'!$G$4:$G$100003,"Safety")*100,0)</f>
        <v>0</v>
      </c>
      <c r="S748" s="22">
        <f>COUNTIFS('Internal Audits'!$D$4:$D$100003,mCrit,'Internal Audits'!$G$4:$G$100003,"Safety")</f>
        <v>0</v>
      </c>
    </row>
    <row r="749" spans="2:34">
      <c r="B749" s="23" t="s">
        <v>73</v>
      </c>
      <c r="C749" s="22">
        <f>COUNTIFS('Internal Audits'!$D$4:$D$100003,"Jun",'Internal Audits'!$G$4:$G$100003,dCrit)</f>
        <v>0</v>
      </c>
      <c r="E749" s="13" t="s">
        <v>719</v>
      </c>
      <c r="F749" s="22">
        <f>COUNTIFS('Internal Audits'!$F$4:$F$100003,"Regulatory Inspection",'Internal Audits'!$D$4:$D$100003,mCrit,'Internal Audits'!$G$4:$G$100003,dCrit)</f>
        <v>0</v>
      </c>
      <c r="M749" s="13" t="s">
        <v>775</v>
      </c>
      <c r="N749" s="22">
        <f>SUMIFS('Internal Audits'!$L$4:$L$100003,'Internal Audits'!$D$4:$D$100003,mCrit,'Internal Audits'!$G$4:$G$100003,dCrit)</f>
        <v>0</v>
      </c>
      <c r="P749" s="13" t="s">
        <v>5</v>
      </c>
      <c r="Q749" s="22">
        <f>COUNTIFS('Internal Audits'!$D$4:$D$100003,mCrit,'Internal Audits'!$G$4:$G$100003,"Logistics")</f>
        <v>0</v>
      </c>
      <c r="R749" s="25">
        <f>IFERROR((COUNTIFS('Internal Audits'!$P$4:$P$100003,"Completed",'Internal Audits'!$D$4:$D$100003,mCrit,'Internal Audits'!$G$4:$G$100003,"Logistics"))/COUNTIFS('Internal Audits'!$D$4:$D$100003,mCrit,'Internal Audits'!$G$4:$G$100003,"Logistics")*100,0)</f>
        <v>0</v>
      </c>
      <c r="S749" s="22">
        <f>COUNTIFS('Internal Audits'!$D$4:$D$100003,mCrit,'Internal Audits'!$G$4:$G$100003,"Logistics")</f>
        <v>0</v>
      </c>
    </row>
    <row r="750" spans="2:34">
      <c r="B750" s="23" t="s">
        <v>76</v>
      </c>
      <c r="C750" s="22">
        <f>COUNTIFS('Internal Audits'!$D$4:$D$100003,"Jul",'Internal Audits'!$G$4:$G$100003,dCrit)</f>
        <v>0</v>
      </c>
      <c r="M750" s="13" t="s">
        <v>776</v>
      </c>
      <c r="N750" s="22">
        <f>SUMIFS('Internal Audits'!$M$4:$M$100003,'Internal Audits'!$D$4:$D$100003,mCrit,'Internal Audits'!$G$4:$G$100003,dCrit)</f>
        <v>0</v>
      </c>
      <c r="P750" s="13" t="s">
        <v>50</v>
      </c>
      <c r="Q750" s="22">
        <f>COUNTIFS('Internal Audits'!$D$4:$D$100003,mCrit,'Internal Audits'!$G$4:$G$100003,"Quality")</f>
        <v>0</v>
      </c>
      <c r="R750" s="25">
        <f>IFERROR((COUNTIFS('Internal Audits'!$P$4:$P$100003,"Completed",'Internal Audits'!$D$4:$D$100003,mCrit,'Internal Audits'!$G$4:$G$100003,"Quality"))/COUNTIFS('Internal Audits'!$D$4:$D$100003,mCrit,'Internal Audits'!$G$4:$G$100003,"Quality")*100,0)</f>
        <v>0</v>
      </c>
      <c r="S750" s="22">
        <f>COUNTIFS('Internal Audits'!$D$4:$D$100003,mCrit,'Internal Audits'!$G$4:$G$100003,"Quality")</f>
        <v>0</v>
      </c>
    </row>
    <row r="751" spans="2:34">
      <c r="B751" s="23" t="s">
        <v>86</v>
      </c>
      <c r="C751" s="22">
        <f>COUNTIFS('Internal Audits'!$D$4:$D$100003,"Aug",'Internal Audits'!$G$4:$G$100003,dCrit)</f>
        <v>0</v>
      </c>
      <c r="M751" s="13" t="s">
        <v>777</v>
      </c>
      <c r="N751" s="22">
        <f>SUMIFS('Internal Audits'!$N$4:$N$100003,'Internal Audits'!$D$4:$D$100003,mCrit,'Internal Audits'!$G$4:$G$100003,dCrit)</f>
        <v>0</v>
      </c>
      <c r="P751" s="13" t="s">
        <v>46</v>
      </c>
      <c r="Q751" s="22">
        <f>COUNTIFS('Internal Audits'!$D$4:$D$100003,mCrit,'Internal Audits'!$G$4:$G$100003,"Admin")</f>
        <v>0</v>
      </c>
      <c r="R751" s="25">
        <f>IFERROR((COUNTIFS('Internal Audits'!$P$4:$P$100003,"Completed",'Internal Audits'!$D$4:$D$100003,mCrit,'Internal Audits'!$G$4:$G$100003,"Admin"))/COUNTIFS('Internal Audits'!$D$4:$D$100003,mCrit,'Internal Audits'!$G$4:$G$100003,"Admin")*100,0)</f>
        <v>0</v>
      </c>
      <c r="S751" s="22">
        <f>COUNTIFS('Internal Audits'!$D$4:$D$100003,mCrit,'Internal Audits'!$G$4:$G$100003,"Admin")</f>
        <v>0</v>
      </c>
    </row>
    <row r="752" spans="2:34">
      <c r="B752" s="23" t="s">
        <v>102</v>
      </c>
      <c r="C752" s="22">
        <f>COUNTIFS('Internal Audits'!$D$4:$D$100003,"Sep",'Internal Audits'!$G$4:$G$100003,dCrit)</f>
        <v>0</v>
      </c>
      <c r="P752" s="13" t="s">
        <v>13</v>
      </c>
      <c r="Q752" s="22">
        <f>COUNTIFS('Internal Audits'!$D$4:$D$100003,mCrit,'Internal Audits'!$G$4:$G$100003,"Projects")</f>
        <v>0</v>
      </c>
      <c r="R752" s="25">
        <f>IFERROR((COUNTIFS('Internal Audits'!$P$4:$P$100003,"Completed",'Internal Audits'!$D$4:$D$100003,mCrit,'Internal Audits'!$G$4:$G$100003,"Projects"))/COUNTIFS('Internal Audits'!$D$4:$D$100003,mCrit,'Internal Audits'!$G$4:$G$100003,"Projects")*100,0)</f>
        <v>0</v>
      </c>
      <c r="S752" s="22">
        <f>COUNTIFS('Internal Audits'!$D$4:$D$100003,mCrit,'Internal Audits'!$G$4:$G$100003,"Projects")</f>
        <v>0</v>
      </c>
    </row>
    <row r="753" spans="2:19">
      <c r="B753" s="23" t="s">
        <v>106</v>
      </c>
      <c r="C753" s="22">
        <f>COUNTIFS('Internal Audits'!$D$4:$D$100003,"Oct",'Internal Audits'!$G$4:$G$100003,dCrit)</f>
        <v>0</v>
      </c>
      <c r="P753" s="13" t="s">
        <v>58</v>
      </c>
      <c r="Q753" s="22">
        <f>COUNTIFS('Internal Audits'!$D$4:$D$100003,mCrit,'Internal Audits'!$G$4:$G$100003,"Contractor")</f>
        <v>0</v>
      </c>
      <c r="R753" s="25">
        <f>IFERROR((COUNTIFS('Internal Audits'!$P$4:$P$100003,"Completed",'Internal Audits'!$D$4:$D$100003,mCrit,'Internal Audits'!$G$4:$G$100003,"Contractor"))/COUNTIFS('Internal Audits'!$D$4:$D$100003,mCrit,'Internal Audits'!$G$4:$G$100003,"Contractor")*100,0)</f>
        <v>0</v>
      </c>
      <c r="S753" s="22">
        <f>COUNTIFS('Internal Audits'!$D$4:$D$100003,mCrit,'Internal Audits'!$G$4:$G$100003,"Contractor")</f>
        <v>0</v>
      </c>
    </row>
    <row r="754" spans="2:19">
      <c r="B754" s="23" t="s">
        <v>111</v>
      </c>
      <c r="C754" s="22">
        <f>COUNTIFS('Internal Audits'!$D$4:$D$100003,"Nov",'Internal Audits'!$G$4:$G$100003,dCrit)</f>
        <v>0</v>
      </c>
    </row>
    <row r="755" spans="2:19">
      <c r="B755" s="23" t="s">
        <v>122</v>
      </c>
      <c r="C755" s="22">
        <f>COUNTIFS('Internal Audits'!$D$4:$D$100003,"Dec",'Internal Audits'!$G$4:$G$100003,dCrit)</f>
        <v>0</v>
      </c>
    </row>
    <row r="768" spans="2:19">
      <c r="B768" s="17" t="s">
        <v>2012</v>
      </c>
    </row>
    <row r="769" spans="2:34">
      <c r="B769" s="12" t="s">
        <v>127</v>
      </c>
      <c r="C769" s="12" t="s">
        <v>1887</v>
      </c>
      <c r="E769" s="12" t="s">
        <v>772</v>
      </c>
      <c r="F769" s="12" t="s">
        <v>1887</v>
      </c>
      <c r="J769" s="12" t="s">
        <v>286</v>
      </c>
      <c r="K769" s="12" t="s">
        <v>1887</v>
      </c>
      <c r="M769" s="12" t="s">
        <v>1849</v>
      </c>
      <c r="N769" s="12" t="s">
        <v>1960</v>
      </c>
      <c r="P769" s="12" t="s">
        <v>129</v>
      </c>
      <c r="Q769" s="12" t="s">
        <v>1887</v>
      </c>
      <c r="R769" s="12" t="s">
        <v>1979</v>
      </c>
      <c r="S769" s="12" t="s">
        <v>1694</v>
      </c>
      <c r="U769" s="12" t="s">
        <v>1970</v>
      </c>
      <c r="V769" s="12" t="s">
        <v>3</v>
      </c>
      <c r="W769" s="12" t="s">
        <v>19</v>
      </c>
      <c r="X769" s="12" t="s">
        <v>44</v>
      </c>
      <c r="Y769" s="12" t="s">
        <v>53</v>
      </c>
      <c r="Z769" s="12" t="s">
        <v>60</v>
      </c>
      <c r="AA769" s="12" t="s">
        <v>73</v>
      </c>
      <c r="AB769" s="12" t="s">
        <v>76</v>
      </c>
      <c r="AC769" s="12" t="s">
        <v>86</v>
      </c>
      <c r="AD769" s="12" t="s">
        <v>102</v>
      </c>
      <c r="AE769" s="12" t="s">
        <v>106</v>
      </c>
      <c r="AF769" s="12" t="s">
        <v>111</v>
      </c>
      <c r="AG769" s="12" t="s">
        <v>122</v>
      </c>
      <c r="AH769" s="12" t="s">
        <v>1971</v>
      </c>
    </row>
    <row r="770" spans="2:34">
      <c r="B770" s="23" t="s">
        <v>3</v>
      </c>
      <c r="C770" s="22">
        <f>COUNTIFS('External Audits'!$D$4:$D$100003,"Jan",'External Audits'!$G$4:$G$100003,dCrit)</f>
        <v>0</v>
      </c>
      <c r="E770" s="13" t="s">
        <v>721</v>
      </c>
      <c r="F770" s="22">
        <f>COUNTIFS('External Audits'!$F$4:$F$100003,"System Audit",'External Audits'!$D$4:$D$100003,mCrit,'External Audits'!$G$4:$G$100003,dCrit)</f>
        <v>0</v>
      </c>
      <c r="J770" s="13" t="s">
        <v>220</v>
      </c>
      <c r="K770" s="22">
        <f>COUNTIFS('External Audits'!$P$4:$P$100003,"Completed",'External Audits'!$D$4:$D$100003,mCrit,'External Audits'!$G$4:$G$100003,dCrit)</f>
        <v>0</v>
      </c>
      <c r="M770" s="13" t="s">
        <v>2011</v>
      </c>
      <c r="N770" s="22">
        <f>COUNTIFS('External Audits'!$D$4:$D$100003,mCrit,'External Audits'!$G$4:$G$100003,dCrit)</f>
        <v>0</v>
      </c>
      <c r="P770" s="13" t="s">
        <v>27</v>
      </c>
      <c r="Q770" s="22">
        <f>COUNTIFS('External Audits'!$D$4:$D$100003,mCrit,'External Audits'!$G$4:$G$100003,"Operations")</f>
        <v>0</v>
      </c>
      <c r="R770" s="25">
        <f>IFERROR((COUNTIFS('External Audits'!$P$4:$P$100003,"Completed",'External Audits'!$D$4:$D$100003,mCrit,'External Audits'!$G$4:$G$100003,"Operations"))/COUNTIFS('External Audits'!$D$4:$D$100003,mCrit,'External Audits'!$G$4:$G$100003,"Operations")*100,0)</f>
        <v>0</v>
      </c>
      <c r="S770" s="22">
        <f>COUNTIFS('External Audits'!$D$4:$D$100003,mCrit,'External Audits'!$G$4:$G$100003,"Operations")</f>
        <v>0</v>
      </c>
      <c r="U770" s="13" t="s">
        <v>1694</v>
      </c>
      <c r="V770" s="22">
        <f>COUNTIFS('External Audits'!$D$4:$D$100003,"Jan",'External Audits'!$G$4:$G$100003,dCrit)</f>
        <v>0</v>
      </c>
      <c r="W770" s="22">
        <f>COUNTIFS('External Audits'!$D$4:$D$100003,"Feb",'External Audits'!$G$4:$G$100003,dCrit)</f>
        <v>0</v>
      </c>
      <c r="X770" s="22">
        <f>COUNTIFS('External Audits'!$D$4:$D$100003,"Mar",'External Audits'!$G$4:$G$100003,dCrit)</f>
        <v>0</v>
      </c>
      <c r="Y770" s="22">
        <f>COUNTIFS('External Audits'!$D$4:$D$100003,"Apr",'External Audits'!$G$4:$G$100003,dCrit)</f>
        <v>0</v>
      </c>
      <c r="Z770" s="22">
        <f>COUNTIFS('External Audits'!$D$4:$D$100003,"May",'External Audits'!$G$4:$G$100003,dCrit)</f>
        <v>0</v>
      </c>
      <c r="AA770" s="22">
        <f>COUNTIFS('External Audits'!$D$4:$D$100003,"Jun",'External Audits'!$G$4:$G$100003,dCrit)</f>
        <v>0</v>
      </c>
      <c r="AB770" s="22">
        <f>COUNTIFS('External Audits'!$D$4:$D$100003,"Jul",'External Audits'!$G$4:$G$100003,dCrit)</f>
        <v>0</v>
      </c>
      <c r="AC770" s="22">
        <f>COUNTIFS('External Audits'!$D$4:$D$100003,"Aug",'External Audits'!$G$4:$G$100003,dCrit)</f>
        <v>0</v>
      </c>
      <c r="AD770" s="22">
        <f>COUNTIFS('External Audits'!$D$4:$D$100003,"Sep",'External Audits'!$G$4:$G$100003,dCrit)</f>
        <v>0</v>
      </c>
      <c r="AE770" s="22">
        <f>COUNTIFS('External Audits'!$D$4:$D$100003,"Oct",'External Audits'!$G$4:$G$100003,dCrit)</f>
        <v>0</v>
      </c>
      <c r="AF770" s="22">
        <f>COUNTIFS('External Audits'!$D$4:$D$100003,"Nov",'External Audits'!$G$4:$G$100003,dCrit)</f>
        <v>0</v>
      </c>
      <c r="AG770" s="22">
        <f>COUNTIFS('External Audits'!$D$4:$D$100003,"Dec",'External Audits'!$G$4:$G$100003,dCrit)</f>
        <v>0</v>
      </c>
      <c r="AH770" s="22">
        <f>SUM(V770:AG770)</f>
        <v>0</v>
      </c>
    </row>
    <row r="771" spans="2:34">
      <c r="B771" s="23" t="s">
        <v>19</v>
      </c>
      <c r="C771" s="22">
        <f>COUNTIFS('External Audits'!$D$4:$D$100003,"Feb",'External Audits'!$G$4:$G$100003,dCrit)</f>
        <v>0</v>
      </c>
      <c r="E771" s="13" t="s">
        <v>746</v>
      </c>
      <c r="F771" s="22">
        <f>COUNTIFS('External Audits'!$F$4:$F$100003,"Compliance Audit",'External Audits'!$D$4:$D$100003,mCrit,'External Audits'!$G$4:$G$100003,dCrit)</f>
        <v>0</v>
      </c>
      <c r="J771" s="13" t="s">
        <v>224</v>
      </c>
      <c r="K771" s="22">
        <f>COUNTIFS('External Audits'!$P$4:$P$100003,"In Progress",'External Audits'!$D$4:$D$100003,mCrit,'External Audits'!$G$4:$G$100003,dCrit)</f>
        <v>0</v>
      </c>
      <c r="M771" s="13" t="s">
        <v>220</v>
      </c>
      <c r="N771" s="22">
        <f>COUNTIFS('External Audits'!$P$4:$P$100003,"Completed",'External Audits'!$D$4:$D$100003,mCrit,'External Audits'!$G$4:$G$100003,dCrit)</f>
        <v>0</v>
      </c>
      <c r="P771" s="13" t="s">
        <v>92</v>
      </c>
      <c r="Q771" s="22">
        <f>COUNTIFS('External Audits'!$D$4:$D$100003,mCrit,'External Audits'!$G$4:$G$100003,"Maintenance")</f>
        <v>0</v>
      </c>
      <c r="R771" s="25">
        <f>IFERROR((COUNTIFS('External Audits'!$P$4:$P$100003,"Completed",'External Audits'!$D$4:$D$100003,mCrit,'External Audits'!$G$4:$G$100003,"Maintenance"))/COUNTIFS('External Audits'!$D$4:$D$100003,mCrit,'External Audits'!$G$4:$G$100003,"Maintenance")*100,0)</f>
        <v>0</v>
      </c>
      <c r="S771" s="22">
        <f>COUNTIFS('External Audits'!$D$4:$D$100003,mCrit,'External Audits'!$G$4:$G$100003,"Maintenance")</f>
        <v>0</v>
      </c>
      <c r="U771" s="13" t="s">
        <v>1980</v>
      </c>
      <c r="V771" s="25">
        <f>IFERROR((COUNTIFS('External Audits'!$P$4:$P$100003,"Completed",'External Audits'!$D$4:$D$100003,"Jan",'External Audits'!$G$4:$G$100003,dCrit))/COUNTIFS('External Audits'!$D$4:$D$100003,"Jan",'External Audits'!$G$4:$G$100003,dCrit)*100,0)</f>
        <v>0</v>
      </c>
      <c r="W771" s="25">
        <f>IFERROR((COUNTIFS('External Audits'!$P$4:$P$100003,"Completed",'External Audits'!$D$4:$D$100003,"Feb",'External Audits'!$G$4:$G$100003,dCrit))/COUNTIFS('External Audits'!$D$4:$D$100003,"Feb",'External Audits'!$G$4:$G$100003,dCrit)*100,0)</f>
        <v>0</v>
      </c>
      <c r="X771" s="25">
        <f>IFERROR((COUNTIFS('External Audits'!$P$4:$P$100003,"Completed",'External Audits'!$D$4:$D$100003,"Mar",'External Audits'!$G$4:$G$100003,dCrit))/COUNTIFS('External Audits'!$D$4:$D$100003,"Mar",'External Audits'!$G$4:$G$100003,dCrit)*100,0)</f>
        <v>0</v>
      </c>
      <c r="Y771" s="25">
        <f>IFERROR((COUNTIFS('External Audits'!$P$4:$P$100003,"Completed",'External Audits'!$D$4:$D$100003,"Apr",'External Audits'!$G$4:$G$100003,dCrit))/COUNTIFS('External Audits'!$D$4:$D$100003,"Apr",'External Audits'!$G$4:$G$100003,dCrit)*100,0)</f>
        <v>0</v>
      </c>
      <c r="Z771" s="25">
        <f>IFERROR((COUNTIFS('External Audits'!$P$4:$P$100003,"Completed",'External Audits'!$D$4:$D$100003,"May",'External Audits'!$G$4:$G$100003,dCrit))/COUNTIFS('External Audits'!$D$4:$D$100003,"May",'External Audits'!$G$4:$G$100003,dCrit)*100,0)</f>
        <v>0</v>
      </c>
      <c r="AA771" s="25">
        <f>IFERROR((COUNTIFS('External Audits'!$P$4:$P$100003,"Completed",'External Audits'!$D$4:$D$100003,"Jun",'External Audits'!$G$4:$G$100003,dCrit))/COUNTIFS('External Audits'!$D$4:$D$100003,"Jun",'External Audits'!$G$4:$G$100003,dCrit)*100,0)</f>
        <v>0</v>
      </c>
      <c r="AB771" s="25">
        <f>IFERROR((COUNTIFS('External Audits'!$P$4:$P$100003,"Completed",'External Audits'!$D$4:$D$100003,"Jul",'External Audits'!$G$4:$G$100003,dCrit))/COUNTIFS('External Audits'!$D$4:$D$100003,"Jul",'External Audits'!$G$4:$G$100003,dCrit)*100,0)</f>
        <v>0</v>
      </c>
      <c r="AC771" s="25">
        <f>IFERROR((COUNTIFS('External Audits'!$P$4:$P$100003,"Completed",'External Audits'!$D$4:$D$100003,"Aug",'External Audits'!$G$4:$G$100003,dCrit))/COUNTIFS('External Audits'!$D$4:$D$100003,"Aug",'External Audits'!$G$4:$G$100003,dCrit)*100,0)</f>
        <v>0</v>
      </c>
      <c r="AD771" s="25">
        <f>IFERROR((COUNTIFS('External Audits'!$P$4:$P$100003,"Completed",'External Audits'!$D$4:$D$100003,"Sep",'External Audits'!$G$4:$G$100003,dCrit))/COUNTIFS('External Audits'!$D$4:$D$100003,"Sep",'External Audits'!$G$4:$G$100003,dCrit)*100,0)</f>
        <v>0</v>
      </c>
      <c r="AE771" s="25">
        <f>IFERROR((COUNTIFS('External Audits'!$P$4:$P$100003,"Completed",'External Audits'!$D$4:$D$100003,"Oct",'External Audits'!$G$4:$G$100003,dCrit))/COUNTIFS('External Audits'!$D$4:$D$100003,"Oct",'External Audits'!$G$4:$G$100003,dCrit)*100,0)</f>
        <v>0</v>
      </c>
      <c r="AF771" s="25">
        <f>IFERROR((COUNTIFS('External Audits'!$P$4:$P$100003,"Completed",'External Audits'!$D$4:$D$100003,"Nov",'External Audits'!$G$4:$G$100003,dCrit))/COUNTIFS('External Audits'!$D$4:$D$100003,"Nov",'External Audits'!$G$4:$G$100003,dCrit)*100,0)</f>
        <v>0</v>
      </c>
      <c r="AG771" s="25">
        <f>IFERROR((COUNTIFS('External Audits'!$P$4:$P$100003,"Completed",'External Audits'!$D$4:$D$100003,"Dec",'External Audits'!$G$4:$G$100003,dCrit))/COUNTIFS('External Audits'!$D$4:$D$100003,"Dec",'External Audits'!$G$4:$G$100003,dCrit)*100,0)</f>
        <v>0</v>
      </c>
      <c r="AH771" s="25">
        <f>IFERROR(AVERAGE(V771:AG771),0)</f>
        <v>0</v>
      </c>
    </row>
    <row r="772" spans="2:34">
      <c r="B772" s="23" t="s">
        <v>44</v>
      </c>
      <c r="C772" s="22">
        <f>COUNTIFS('External Audits'!$D$4:$D$100003,"Mar",'External Audits'!$G$4:$G$100003,dCrit)</f>
        <v>0</v>
      </c>
      <c r="E772" s="13" t="s">
        <v>723</v>
      </c>
      <c r="F772" s="22">
        <f>COUNTIFS('External Audits'!$F$4:$F$100003,"Process Audit",'External Audits'!$D$4:$D$100003,mCrit,'External Audits'!$G$4:$G$100003,dCrit)</f>
        <v>0</v>
      </c>
      <c r="J772" s="13" t="s">
        <v>230</v>
      </c>
      <c r="K772" s="22">
        <f>COUNTIFS('External Audits'!$P$4:$P$100003,"Scheduled",'External Audits'!$D$4:$D$100003,mCrit,'External Audits'!$G$4:$G$100003,dCrit)</f>
        <v>0</v>
      </c>
      <c r="M772" s="13" t="s">
        <v>224</v>
      </c>
      <c r="N772" s="22">
        <f>COUNTIFS('External Audits'!$P$4:$P$100003,"In Progress",'External Audits'!$D$4:$D$100003,mCrit,'External Audits'!$G$4:$G$100003,dCrit)</f>
        <v>0</v>
      </c>
      <c r="P772" s="13" t="s">
        <v>39</v>
      </c>
      <c r="Q772" s="22">
        <f>COUNTIFS('External Audits'!$D$4:$D$100003,mCrit,'External Audits'!$G$4:$G$100003,"Engineering")</f>
        <v>0</v>
      </c>
      <c r="R772" s="25">
        <f>IFERROR((COUNTIFS('External Audits'!$P$4:$P$100003,"Completed",'External Audits'!$D$4:$D$100003,mCrit,'External Audits'!$G$4:$G$100003,"Engineering"))/COUNTIFS('External Audits'!$D$4:$D$100003,mCrit,'External Audits'!$G$4:$G$100003,"Engineering")*100,0)</f>
        <v>0</v>
      </c>
      <c r="S772" s="22">
        <f>COUNTIFS('External Audits'!$D$4:$D$100003,mCrit,'External Audits'!$G$4:$G$100003,"Engineering")</f>
        <v>0</v>
      </c>
    </row>
    <row r="773" spans="2:34">
      <c r="B773" s="23" t="s">
        <v>53</v>
      </c>
      <c r="C773" s="22">
        <f>COUNTIFS('External Audits'!$D$4:$D$100003,"Apr",'External Audits'!$G$4:$G$100003,dCrit)</f>
        <v>0</v>
      </c>
      <c r="E773" s="13" t="s">
        <v>729</v>
      </c>
      <c r="F773" s="22">
        <f>COUNTIFS('External Audits'!$F$4:$F$100003,"Surveillance",'External Audits'!$D$4:$D$100003,mCrit,'External Audits'!$G$4:$G$100003,dCrit)</f>
        <v>0</v>
      </c>
      <c r="M773" s="13" t="s">
        <v>230</v>
      </c>
      <c r="N773" s="22">
        <f>COUNTIFS('External Audits'!$P$4:$P$100003,"Scheduled",'External Audits'!$D$4:$D$100003,mCrit,'External Audits'!$G$4:$G$100003,dCrit)</f>
        <v>0</v>
      </c>
      <c r="P773" s="13" t="s">
        <v>89</v>
      </c>
      <c r="Q773" s="22">
        <f>COUNTIFS('External Audits'!$D$4:$D$100003,mCrit,'External Audits'!$G$4:$G$100003,"Construction")</f>
        <v>0</v>
      </c>
      <c r="R773" s="25">
        <f>IFERROR((COUNTIFS('External Audits'!$P$4:$P$100003,"Completed",'External Audits'!$D$4:$D$100003,mCrit,'External Audits'!$G$4:$G$100003,"Construction"))/COUNTIFS('External Audits'!$D$4:$D$100003,mCrit,'External Audits'!$G$4:$G$100003,"Construction")*100,0)</f>
        <v>0</v>
      </c>
      <c r="S773" s="22">
        <f>COUNTIFS('External Audits'!$D$4:$D$100003,mCrit,'External Audits'!$G$4:$G$100003,"Construction")</f>
        <v>0</v>
      </c>
    </row>
    <row r="774" spans="2:34">
      <c r="B774" s="23" t="s">
        <v>60</v>
      </c>
      <c r="C774" s="22">
        <f>COUNTIFS('External Audits'!$D$4:$D$100003,"May",'External Audits'!$G$4:$G$100003,dCrit)</f>
        <v>0</v>
      </c>
      <c r="E774" s="13" t="s">
        <v>717</v>
      </c>
      <c r="F774" s="22">
        <f>COUNTIFS('External Audits'!$F$4:$F$100003,"Customer Audit",'External Audits'!$D$4:$D$100003,mCrit,'External Audits'!$G$4:$G$100003,dCrit)</f>
        <v>0</v>
      </c>
      <c r="M774" s="13" t="s">
        <v>774</v>
      </c>
      <c r="N774" s="22">
        <f>SUMIFS('External Audits'!$K$4:$K$100003,'External Audits'!$D$4:$D$100003,mCrit,'External Audits'!$G$4:$G$100003,dCrit)</f>
        <v>0</v>
      </c>
      <c r="P774" s="13" t="s">
        <v>65</v>
      </c>
      <c r="Q774" s="22">
        <f>COUNTIFS('External Audits'!$D$4:$D$100003,mCrit,'External Audits'!$G$4:$G$100003,"Safety")</f>
        <v>0</v>
      </c>
      <c r="R774" s="25">
        <f>IFERROR((COUNTIFS('External Audits'!$P$4:$P$100003,"Completed",'External Audits'!$D$4:$D$100003,mCrit,'External Audits'!$G$4:$G$100003,"Safety"))/COUNTIFS('External Audits'!$D$4:$D$100003,mCrit,'External Audits'!$G$4:$G$100003,"Safety")*100,0)</f>
        <v>0</v>
      </c>
      <c r="S774" s="22">
        <f>COUNTIFS('External Audits'!$D$4:$D$100003,mCrit,'External Audits'!$G$4:$G$100003,"Safety")</f>
        <v>0</v>
      </c>
    </row>
    <row r="775" spans="2:34">
      <c r="B775" s="23" t="s">
        <v>73</v>
      </c>
      <c r="C775" s="22">
        <f>COUNTIFS('External Audits'!$D$4:$D$100003,"Jun",'External Audits'!$G$4:$G$100003,dCrit)</f>
        <v>0</v>
      </c>
      <c r="E775" s="13" t="s">
        <v>719</v>
      </c>
      <c r="F775" s="22">
        <f>COUNTIFS('External Audits'!$F$4:$F$100003,"Regulatory Inspection",'External Audits'!$D$4:$D$100003,mCrit,'External Audits'!$G$4:$G$100003,dCrit)</f>
        <v>0</v>
      </c>
      <c r="M775" s="13" t="s">
        <v>775</v>
      </c>
      <c r="N775" s="22">
        <f>SUMIFS('External Audits'!$L$4:$L$100003,'External Audits'!$D$4:$D$100003,mCrit,'External Audits'!$G$4:$G$100003,dCrit)</f>
        <v>0</v>
      </c>
      <c r="P775" s="13" t="s">
        <v>5</v>
      </c>
      <c r="Q775" s="22">
        <f>COUNTIFS('External Audits'!$D$4:$D$100003,mCrit,'External Audits'!$G$4:$G$100003,"Logistics")</f>
        <v>0</v>
      </c>
      <c r="R775" s="25">
        <f>IFERROR((COUNTIFS('External Audits'!$P$4:$P$100003,"Completed",'External Audits'!$D$4:$D$100003,mCrit,'External Audits'!$G$4:$G$100003,"Logistics"))/COUNTIFS('External Audits'!$D$4:$D$100003,mCrit,'External Audits'!$G$4:$G$100003,"Logistics")*100,0)</f>
        <v>0</v>
      </c>
      <c r="S775" s="22">
        <f>COUNTIFS('External Audits'!$D$4:$D$100003,mCrit,'External Audits'!$G$4:$G$100003,"Logistics")</f>
        <v>0</v>
      </c>
    </row>
    <row r="776" spans="2:34">
      <c r="B776" s="23" t="s">
        <v>76</v>
      </c>
      <c r="C776" s="22">
        <f>COUNTIFS('External Audits'!$D$4:$D$100003,"Jul",'External Audits'!$G$4:$G$100003,dCrit)</f>
        <v>0</v>
      </c>
      <c r="M776" s="13" t="s">
        <v>776</v>
      </c>
      <c r="N776" s="22">
        <f>SUMIFS('External Audits'!$M$4:$M$100003,'External Audits'!$D$4:$D$100003,mCrit,'External Audits'!$G$4:$G$100003,dCrit)</f>
        <v>0</v>
      </c>
      <c r="P776" s="13" t="s">
        <v>50</v>
      </c>
      <c r="Q776" s="22">
        <f>COUNTIFS('External Audits'!$D$4:$D$100003,mCrit,'External Audits'!$G$4:$G$100003,"Quality")</f>
        <v>0</v>
      </c>
      <c r="R776" s="25">
        <f>IFERROR((COUNTIFS('External Audits'!$P$4:$P$100003,"Completed",'External Audits'!$D$4:$D$100003,mCrit,'External Audits'!$G$4:$G$100003,"Quality"))/COUNTIFS('External Audits'!$D$4:$D$100003,mCrit,'External Audits'!$G$4:$G$100003,"Quality")*100,0)</f>
        <v>0</v>
      </c>
      <c r="S776" s="22">
        <f>COUNTIFS('External Audits'!$D$4:$D$100003,mCrit,'External Audits'!$G$4:$G$100003,"Quality")</f>
        <v>0</v>
      </c>
    </row>
    <row r="777" spans="2:34">
      <c r="B777" s="23" t="s">
        <v>86</v>
      </c>
      <c r="C777" s="22">
        <f>COUNTIFS('External Audits'!$D$4:$D$100003,"Aug",'External Audits'!$G$4:$G$100003,dCrit)</f>
        <v>0</v>
      </c>
      <c r="M777" s="13" t="s">
        <v>777</v>
      </c>
      <c r="N777" s="22">
        <f>SUMIFS('External Audits'!$N$4:$N$100003,'External Audits'!$D$4:$D$100003,mCrit,'External Audits'!$G$4:$G$100003,dCrit)</f>
        <v>0</v>
      </c>
      <c r="P777" s="13" t="s">
        <v>46</v>
      </c>
      <c r="Q777" s="22">
        <f>COUNTIFS('External Audits'!$D$4:$D$100003,mCrit,'External Audits'!$G$4:$G$100003,"Admin")</f>
        <v>0</v>
      </c>
      <c r="R777" s="25">
        <f>IFERROR((COUNTIFS('External Audits'!$P$4:$P$100003,"Completed",'External Audits'!$D$4:$D$100003,mCrit,'External Audits'!$G$4:$G$100003,"Admin"))/COUNTIFS('External Audits'!$D$4:$D$100003,mCrit,'External Audits'!$G$4:$G$100003,"Admin")*100,0)</f>
        <v>0</v>
      </c>
      <c r="S777" s="22">
        <f>COUNTIFS('External Audits'!$D$4:$D$100003,mCrit,'External Audits'!$G$4:$G$100003,"Admin")</f>
        <v>0</v>
      </c>
    </row>
    <row r="778" spans="2:34">
      <c r="B778" s="23" t="s">
        <v>102</v>
      </c>
      <c r="C778" s="22">
        <f>COUNTIFS('External Audits'!$D$4:$D$100003,"Sep",'External Audits'!$G$4:$G$100003,dCrit)</f>
        <v>0</v>
      </c>
      <c r="P778" s="13" t="s">
        <v>13</v>
      </c>
      <c r="Q778" s="22">
        <f>COUNTIFS('External Audits'!$D$4:$D$100003,mCrit,'External Audits'!$G$4:$G$100003,"Projects")</f>
        <v>0</v>
      </c>
      <c r="R778" s="25">
        <f>IFERROR((COUNTIFS('External Audits'!$P$4:$P$100003,"Completed",'External Audits'!$D$4:$D$100003,mCrit,'External Audits'!$G$4:$G$100003,"Projects"))/COUNTIFS('External Audits'!$D$4:$D$100003,mCrit,'External Audits'!$G$4:$G$100003,"Projects")*100,0)</f>
        <v>0</v>
      </c>
      <c r="S778" s="22">
        <f>COUNTIFS('External Audits'!$D$4:$D$100003,mCrit,'External Audits'!$G$4:$G$100003,"Projects")</f>
        <v>0</v>
      </c>
    </row>
    <row r="779" spans="2:34">
      <c r="B779" s="23" t="s">
        <v>106</v>
      </c>
      <c r="C779" s="22">
        <f>COUNTIFS('External Audits'!$D$4:$D$100003,"Oct",'External Audits'!$G$4:$G$100003,dCrit)</f>
        <v>0</v>
      </c>
      <c r="P779" s="13" t="s">
        <v>58</v>
      </c>
      <c r="Q779" s="22">
        <f>COUNTIFS('External Audits'!$D$4:$D$100003,mCrit,'External Audits'!$G$4:$G$100003,"Contractor")</f>
        <v>0</v>
      </c>
      <c r="R779" s="25">
        <f>IFERROR((COUNTIFS('External Audits'!$P$4:$P$100003,"Completed",'External Audits'!$D$4:$D$100003,mCrit,'External Audits'!$G$4:$G$100003,"Contractor"))/COUNTIFS('External Audits'!$D$4:$D$100003,mCrit,'External Audits'!$G$4:$G$100003,"Contractor")*100,0)</f>
        <v>0</v>
      </c>
      <c r="S779" s="22">
        <f>COUNTIFS('External Audits'!$D$4:$D$100003,mCrit,'External Audits'!$G$4:$G$100003,"Contractor")</f>
        <v>0</v>
      </c>
    </row>
    <row r="780" spans="2:34">
      <c r="B780" s="23" t="s">
        <v>111</v>
      </c>
      <c r="C780" s="22">
        <f>COUNTIFS('External Audits'!$D$4:$D$100003,"Nov",'External Audits'!$G$4:$G$100003,dCrit)</f>
        <v>0</v>
      </c>
    </row>
    <row r="781" spans="2:34">
      <c r="B781" s="23" t="s">
        <v>122</v>
      </c>
      <c r="C781" s="22">
        <f>COUNTIFS('External Audits'!$D$4:$D$100003,"Dec",'External Audits'!$G$4:$G$100003,dCrit)</f>
        <v>0</v>
      </c>
    </row>
    <row r="794" spans="2:34">
      <c r="B794" s="17" t="s">
        <v>2013</v>
      </c>
    </row>
    <row r="795" spans="2:34">
      <c r="B795" s="12" t="s">
        <v>127</v>
      </c>
      <c r="C795" s="12" t="s">
        <v>1887</v>
      </c>
      <c r="E795" s="12" t="s">
        <v>882</v>
      </c>
      <c r="F795" s="12" t="s">
        <v>1887</v>
      </c>
      <c r="J795" s="12" t="s">
        <v>286</v>
      </c>
      <c r="K795" s="12" t="s">
        <v>1887</v>
      </c>
      <c r="M795" s="12" t="s">
        <v>1849</v>
      </c>
      <c r="N795" s="12" t="s">
        <v>1960</v>
      </c>
      <c r="P795" s="12" t="s">
        <v>129</v>
      </c>
      <c r="Q795" s="12" t="s">
        <v>1887</v>
      </c>
      <c r="R795" s="12" t="s">
        <v>1979</v>
      </c>
      <c r="S795" s="12" t="s">
        <v>2015</v>
      </c>
      <c r="U795" s="12" t="s">
        <v>1970</v>
      </c>
      <c r="V795" s="12" t="s">
        <v>3</v>
      </c>
      <c r="W795" s="12" t="s">
        <v>19</v>
      </c>
      <c r="X795" s="12" t="s">
        <v>44</v>
      </c>
      <c r="Y795" s="12" t="s">
        <v>53</v>
      </c>
      <c r="Z795" s="12" t="s">
        <v>60</v>
      </c>
      <c r="AA795" s="12" t="s">
        <v>73</v>
      </c>
      <c r="AB795" s="12" t="s">
        <v>76</v>
      </c>
      <c r="AC795" s="12" t="s">
        <v>86</v>
      </c>
      <c r="AD795" s="12" t="s">
        <v>102</v>
      </c>
      <c r="AE795" s="12" t="s">
        <v>106</v>
      </c>
      <c r="AF795" s="12" t="s">
        <v>111</v>
      </c>
      <c r="AG795" s="12" t="s">
        <v>122</v>
      </c>
      <c r="AH795" s="12" t="s">
        <v>1971</v>
      </c>
    </row>
    <row r="796" spans="2:34">
      <c r="B796" s="23" t="s">
        <v>3</v>
      </c>
      <c r="C796" s="22">
        <f>COUNTIFS('Management Visits'!$D$4:$D$100003,"Jan",'Management Visits'!$F$4:$F$100003,dCrit)</f>
        <v>0</v>
      </c>
      <c r="E796" s="13" t="s">
        <v>830</v>
      </c>
      <c r="F796" s="22">
        <f>COUNTIFS('Management Visits'!$E$4:$E$100003,"Site Walk",'Management Visits'!$D$4:$D$100003,mCrit,'Management Visits'!$F$4:$F$100003,dCrit)</f>
        <v>0</v>
      </c>
      <c r="J796" s="13" t="s">
        <v>220</v>
      </c>
      <c r="K796" s="22">
        <f>COUNTIFS('Management Visits'!$N$4:$N$100003,"Completed",'Management Visits'!$D$4:$D$100003,mCrit,'Management Visits'!$F$4:$F$100003,dCrit)</f>
        <v>0</v>
      </c>
      <c r="M796" s="13" t="s">
        <v>2014</v>
      </c>
      <c r="N796" s="22">
        <f>COUNTIFS('Management Visits'!$D$4:$D$100003,mCrit,'Management Visits'!$F$4:$F$100003,dCrit)</f>
        <v>0</v>
      </c>
      <c r="P796" s="13" t="s">
        <v>27</v>
      </c>
      <c r="Q796" s="22">
        <f>COUNTIFS('Management Visits'!$D$4:$D$100003,mCrit,'Management Visits'!$F$4:$F$100003,"Operations")</f>
        <v>0</v>
      </c>
      <c r="R796" s="25">
        <f>IFERROR((COUNTIFS('Management Visits'!$N$4:$N$100003,"Completed",'Management Visits'!$D$4:$D$100003,mCrit,'Management Visits'!$F$4:$F$100003,"Operations"))/COUNTIFS('Management Visits'!$D$4:$D$100003,mCrit,'Management Visits'!$F$4:$F$100003,"Operations")*100,0)</f>
        <v>0</v>
      </c>
      <c r="S796" s="25">
        <f>IFERROR(AVERAGEIFS('Management Visits'!$M$4:$M$100003,'Management Visits'!$D$4:$D$100003,mCrit,'Management Visits'!$F$4:$F$100003,"Operations"),0)</f>
        <v>0</v>
      </c>
      <c r="U796" s="13" t="s">
        <v>1694</v>
      </c>
      <c r="V796" s="22">
        <f>COUNTIFS('Management Visits'!$D$4:$D$100003,"Jan",'Management Visits'!$F$4:$F$100003,dCrit)</f>
        <v>0</v>
      </c>
      <c r="W796" s="22">
        <f>COUNTIFS('Management Visits'!$D$4:$D$100003,"Feb",'Management Visits'!$F$4:$F$100003,dCrit)</f>
        <v>0</v>
      </c>
      <c r="X796" s="22">
        <f>COUNTIFS('Management Visits'!$D$4:$D$100003,"Mar",'Management Visits'!$F$4:$F$100003,dCrit)</f>
        <v>0</v>
      </c>
      <c r="Y796" s="22">
        <f>COUNTIFS('Management Visits'!$D$4:$D$100003,"Apr",'Management Visits'!$F$4:$F$100003,dCrit)</f>
        <v>0</v>
      </c>
      <c r="Z796" s="22">
        <f>COUNTIFS('Management Visits'!$D$4:$D$100003,"May",'Management Visits'!$F$4:$F$100003,dCrit)</f>
        <v>0</v>
      </c>
      <c r="AA796" s="22">
        <f>COUNTIFS('Management Visits'!$D$4:$D$100003,"Jun",'Management Visits'!$F$4:$F$100003,dCrit)</f>
        <v>0</v>
      </c>
      <c r="AB796" s="22">
        <f>COUNTIFS('Management Visits'!$D$4:$D$100003,"Jul",'Management Visits'!$F$4:$F$100003,dCrit)</f>
        <v>0</v>
      </c>
      <c r="AC796" s="22">
        <f>COUNTIFS('Management Visits'!$D$4:$D$100003,"Aug",'Management Visits'!$F$4:$F$100003,dCrit)</f>
        <v>0</v>
      </c>
      <c r="AD796" s="22">
        <f>COUNTIFS('Management Visits'!$D$4:$D$100003,"Sep",'Management Visits'!$F$4:$F$100003,dCrit)</f>
        <v>0</v>
      </c>
      <c r="AE796" s="22">
        <f>COUNTIFS('Management Visits'!$D$4:$D$100003,"Oct",'Management Visits'!$F$4:$F$100003,dCrit)</f>
        <v>0</v>
      </c>
      <c r="AF796" s="22">
        <f>COUNTIFS('Management Visits'!$D$4:$D$100003,"Nov",'Management Visits'!$F$4:$F$100003,dCrit)</f>
        <v>0</v>
      </c>
      <c r="AG796" s="22">
        <f>COUNTIFS('Management Visits'!$D$4:$D$100003,"Dec",'Management Visits'!$F$4:$F$100003,dCrit)</f>
        <v>0</v>
      </c>
      <c r="AH796" s="22">
        <f>SUM(V796:AG796)</f>
        <v>0</v>
      </c>
    </row>
    <row r="797" spans="2:34">
      <c r="B797" s="23" t="s">
        <v>19</v>
      </c>
      <c r="C797" s="22">
        <f>COUNTIFS('Management Visits'!$D$4:$D$100003,"Feb",'Management Visits'!$F$4:$F$100003,dCrit)</f>
        <v>0</v>
      </c>
      <c r="E797" s="13" t="s">
        <v>832</v>
      </c>
      <c r="F797" s="22">
        <f>COUNTIFS('Management Visits'!$E$4:$E$100003,"Plant Visit",'Management Visits'!$D$4:$D$100003,mCrit,'Management Visits'!$F$4:$F$100003,dCrit)</f>
        <v>0</v>
      </c>
      <c r="J797" s="13" t="s">
        <v>660</v>
      </c>
      <c r="K797" s="22">
        <f>COUNTIFS('Management Visits'!$N$4:$N$100003,"Action Pending",'Management Visits'!$D$4:$D$100003,mCrit,'Management Visits'!$F$4:$F$100003,dCrit)</f>
        <v>0</v>
      </c>
      <c r="M797" s="13" t="s">
        <v>220</v>
      </c>
      <c r="N797" s="22">
        <f>COUNTIFS('Management Visits'!$N$4:$N$100003,"Completed",'Management Visits'!$D$4:$D$100003,mCrit,'Management Visits'!$F$4:$F$100003,dCrit)</f>
        <v>0</v>
      </c>
      <c r="P797" s="13" t="s">
        <v>92</v>
      </c>
      <c r="Q797" s="22">
        <f>COUNTIFS('Management Visits'!$D$4:$D$100003,mCrit,'Management Visits'!$F$4:$F$100003,"Maintenance")</f>
        <v>0</v>
      </c>
      <c r="R797" s="25">
        <f>IFERROR((COUNTIFS('Management Visits'!$N$4:$N$100003,"Completed",'Management Visits'!$D$4:$D$100003,mCrit,'Management Visits'!$F$4:$F$100003,"Maintenance"))/COUNTIFS('Management Visits'!$D$4:$D$100003,mCrit,'Management Visits'!$F$4:$F$100003,"Maintenance")*100,0)</f>
        <v>0</v>
      </c>
      <c r="S797" s="25">
        <f>IFERROR(AVERAGEIFS('Management Visits'!$M$4:$M$100003,'Management Visits'!$D$4:$D$100003,mCrit,'Management Visits'!$F$4:$F$100003,"Maintenance"),0)</f>
        <v>0</v>
      </c>
      <c r="U797" s="13" t="s">
        <v>1980</v>
      </c>
      <c r="V797" s="25">
        <f>IFERROR((COUNTIFS('Management Visits'!$N$4:$N$100003,"Completed",'Management Visits'!$D$4:$D$100003,"Jan",'Management Visits'!$F$4:$F$100003,dCrit))/COUNTIFS('Management Visits'!$D$4:$D$100003,"Jan",'Management Visits'!$F$4:$F$100003,dCrit)*100,0)</f>
        <v>0</v>
      </c>
      <c r="W797" s="25">
        <f>IFERROR((COUNTIFS('Management Visits'!$N$4:$N$100003,"Completed",'Management Visits'!$D$4:$D$100003,"Feb",'Management Visits'!$F$4:$F$100003,dCrit))/COUNTIFS('Management Visits'!$D$4:$D$100003,"Feb",'Management Visits'!$F$4:$F$100003,dCrit)*100,0)</f>
        <v>0</v>
      </c>
      <c r="X797" s="25">
        <f>IFERROR((COUNTIFS('Management Visits'!$N$4:$N$100003,"Completed",'Management Visits'!$D$4:$D$100003,"Mar",'Management Visits'!$F$4:$F$100003,dCrit))/COUNTIFS('Management Visits'!$D$4:$D$100003,"Mar",'Management Visits'!$F$4:$F$100003,dCrit)*100,0)</f>
        <v>0</v>
      </c>
      <c r="Y797" s="25">
        <f>IFERROR((COUNTIFS('Management Visits'!$N$4:$N$100003,"Completed",'Management Visits'!$D$4:$D$100003,"Apr",'Management Visits'!$F$4:$F$100003,dCrit))/COUNTIFS('Management Visits'!$D$4:$D$100003,"Apr",'Management Visits'!$F$4:$F$100003,dCrit)*100,0)</f>
        <v>0</v>
      </c>
      <c r="Z797" s="25">
        <f>IFERROR((COUNTIFS('Management Visits'!$N$4:$N$100003,"Completed",'Management Visits'!$D$4:$D$100003,"May",'Management Visits'!$F$4:$F$100003,dCrit))/COUNTIFS('Management Visits'!$D$4:$D$100003,"May",'Management Visits'!$F$4:$F$100003,dCrit)*100,0)</f>
        <v>0</v>
      </c>
      <c r="AA797" s="25">
        <f>IFERROR((COUNTIFS('Management Visits'!$N$4:$N$100003,"Completed",'Management Visits'!$D$4:$D$100003,"Jun",'Management Visits'!$F$4:$F$100003,dCrit))/COUNTIFS('Management Visits'!$D$4:$D$100003,"Jun",'Management Visits'!$F$4:$F$100003,dCrit)*100,0)</f>
        <v>0</v>
      </c>
      <c r="AB797" s="25">
        <f>IFERROR((COUNTIFS('Management Visits'!$N$4:$N$100003,"Completed",'Management Visits'!$D$4:$D$100003,"Jul",'Management Visits'!$F$4:$F$100003,dCrit))/COUNTIFS('Management Visits'!$D$4:$D$100003,"Jul",'Management Visits'!$F$4:$F$100003,dCrit)*100,0)</f>
        <v>0</v>
      </c>
      <c r="AC797" s="25">
        <f>IFERROR((COUNTIFS('Management Visits'!$N$4:$N$100003,"Completed",'Management Visits'!$D$4:$D$100003,"Aug",'Management Visits'!$F$4:$F$100003,dCrit))/COUNTIFS('Management Visits'!$D$4:$D$100003,"Aug",'Management Visits'!$F$4:$F$100003,dCrit)*100,0)</f>
        <v>0</v>
      </c>
      <c r="AD797" s="25">
        <f>IFERROR((COUNTIFS('Management Visits'!$N$4:$N$100003,"Completed",'Management Visits'!$D$4:$D$100003,"Sep",'Management Visits'!$F$4:$F$100003,dCrit))/COUNTIFS('Management Visits'!$D$4:$D$100003,"Sep",'Management Visits'!$F$4:$F$100003,dCrit)*100,0)</f>
        <v>0</v>
      </c>
      <c r="AE797" s="25">
        <f>IFERROR((COUNTIFS('Management Visits'!$N$4:$N$100003,"Completed",'Management Visits'!$D$4:$D$100003,"Oct",'Management Visits'!$F$4:$F$100003,dCrit))/COUNTIFS('Management Visits'!$D$4:$D$100003,"Oct",'Management Visits'!$F$4:$F$100003,dCrit)*100,0)</f>
        <v>0</v>
      </c>
      <c r="AF797" s="25">
        <f>IFERROR((COUNTIFS('Management Visits'!$N$4:$N$100003,"Completed",'Management Visits'!$D$4:$D$100003,"Nov",'Management Visits'!$F$4:$F$100003,dCrit))/COUNTIFS('Management Visits'!$D$4:$D$100003,"Nov",'Management Visits'!$F$4:$F$100003,dCrit)*100,0)</f>
        <v>0</v>
      </c>
      <c r="AG797" s="25">
        <f>IFERROR((COUNTIFS('Management Visits'!$N$4:$N$100003,"Completed",'Management Visits'!$D$4:$D$100003,"Dec",'Management Visits'!$F$4:$F$100003,dCrit))/COUNTIFS('Management Visits'!$D$4:$D$100003,"Dec",'Management Visits'!$F$4:$F$100003,dCrit)*100,0)</f>
        <v>0</v>
      </c>
      <c r="AH797" s="25">
        <f>IFERROR(AVERAGE(V797:AG797),0)</f>
        <v>0</v>
      </c>
    </row>
    <row r="798" spans="2:34">
      <c r="B798" s="23" t="s">
        <v>44</v>
      </c>
      <c r="C798" s="22">
        <f>COUNTIFS('Management Visits'!$D$4:$D$100003,"Mar",'Management Visits'!$F$4:$F$100003,dCrit)</f>
        <v>0</v>
      </c>
      <c r="E798" s="13" t="s">
        <v>834</v>
      </c>
      <c r="F798" s="22">
        <f>COUNTIFS('Management Visits'!$E$4:$E$100003,"Safety Observation",'Management Visits'!$D$4:$D$100003,mCrit,'Management Visits'!$F$4:$F$100003,dCrit)</f>
        <v>0</v>
      </c>
      <c r="M798" s="13" t="s">
        <v>660</v>
      </c>
      <c r="N798" s="22">
        <f>COUNTIFS('Management Visits'!$N$4:$N$100003,"Action Pending",'Management Visits'!$D$4:$D$100003,mCrit,'Management Visits'!$F$4:$F$100003,dCrit)</f>
        <v>0</v>
      </c>
      <c r="P798" s="13" t="s">
        <v>39</v>
      </c>
      <c r="Q798" s="22">
        <f>COUNTIFS('Management Visits'!$D$4:$D$100003,mCrit,'Management Visits'!$F$4:$F$100003,"Engineering")</f>
        <v>0</v>
      </c>
      <c r="R798" s="25">
        <f>IFERROR((COUNTIFS('Management Visits'!$N$4:$N$100003,"Completed",'Management Visits'!$D$4:$D$100003,mCrit,'Management Visits'!$F$4:$F$100003,"Engineering"))/COUNTIFS('Management Visits'!$D$4:$D$100003,mCrit,'Management Visits'!$F$4:$F$100003,"Engineering")*100,0)</f>
        <v>0</v>
      </c>
      <c r="S798" s="25">
        <f>IFERROR(AVERAGEIFS('Management Visits'!$M$4:$M$100003,'Management Visits'!$D$4:$D$100003,mCrit,'Management Visits'!$F$4:$F$100003,"Engineering"),0)</f>
        <v>0</v>
      </c>
      <c r="U798" s="13" t="s">
        <v>2015</v>
      </c>
      <c r="V798" s="25">
        <f>IFERROR(AVERAGEIFS('Management Visits'!$M$4:$M$100003,'Management Visits'!$D$4:$D$100003,"Jan",'Management Visits'!$F$4:$F$100003,dCrit),0)</f>
        <v>0</v>
      </c>
      <c r="W798" s="25">
        <f>IFERROR(AVERAGEIFS('Management Visits'!$M$4:$M$100003,'Management Visits'!$D$4:$D$100003,"Feb",'Management Visits'!$F$4:$F$100003,dCrit),0)</f>
        <v>0</v>
      </c>
      <c r="X798" s="25">
        <f>IFERROR(AVERAGEIFS('Management Visits'!$M$4:$M$100003,'Management Visits'!$D$4:$D$100003,"Mar",'Management Visits'!$F$4:$F$100003,dCrit),0)</f>
        <v>0</v>
      </c>
      <c r="Y798" s="25">
        <f>IFERROR(AVERAGEIFS('Management Visits'!$M$4:$M$100003,'Management Visits'!$D$4:$D$100003,"Apr",'Management Visits'!$F$4:$F$100003,dCrit),0)</f>
        <v>0</v>
      </c>
      <c r="Z798" s="25">
        <f>IFERROR(AVERAGEIFS('Management Visits'!$M$4:$M$100003,'Management Visits'!$D$4:$D$100003,"May",'Management Visits'!$F$4:$F$100003,dCrit),0)</f>
        <v>0</v>
      </c>
      <c r="AA798" s="25">
        <f>IFERROR(AVERAGEIFS('Management Visits'!$M$4:$M$100003,'Management Visits'!$D$4:$D$100003,"Jun",'Management Visits'!$F$4:$F$100003,dCrit),0)</f>
        <v>0</v>
      </c>
      <c r="AB798" s="25">
        <f>IFERROR(AVERAGEIFS('Management Visits'!$M$4:$M$100003,'Management Visits'!$D$4:$D$100003,"Jul",'Management Visits'!$F$4:$F$100003,dCrit),0)</f>
        <v>0</v>
      </c>
      <c r="AC798" s="25">
        <f>IFERROR(AVERAGEIFS('Management Visits'!$M$4:$M$100003,'Management Visits'!$D$4:$D$100003,"Aug",'Management Visits'!$F$4:$F$100003,dCrit),0)</f>
        <v>0</v>
      </c>
      <c r="AD798" s="25">
        <f>IFERROR(AVERAGEIFS('Management Visits'!$M$4:$M$100003,'Management Visits'!$D$4:$D$100003,"Sep",'Management Visits'!$F$4:$F$100003,dCrit),0)</f>
        <v>0</v>
      </c>
      <c r="AE798" s="25">
        <f>IFERROR(AVERAGEIFS('Management Visits'!$M$4:$M$100003,'Management Visits'!$D$4:$D$100003,"Oct",'Management Visits'!$F$4:$F$100003,dCrit),0)</f>
        <v>0</v>
      </c>
      <c r="AF798" s="25">
        <f>IFERROR(AVERAGEIFS('Management Visits'!$M$4:$M$100003,'Management Visits'!$D$4:$D$100003,"Nov",'Management Visits'!$F$4:$F$100003,dCrit),0)</f>
        <v>0</v>
      </c>
      <c r="AG798" s="25">
        <f>IFERROR(AVERAGEIFS('Management Visits'!$M$4:$M$100003,'Management Visits'!$D$4:$D$100003,"Dec",'Management Visits'!$F$4:$F$100003,dCrit),0)</f>
        <v>0</v>
      </c>
      <c r="AH798" s="25">
        <f>IFERROR(AVERAGE(V798:AG798),0)</f>
        <v>0</v>
      </c>
    </row>
    <row r="799" spans="2:34">
      <c r="B799" s="23" t="s">
        <v>53</v>
      </c>
      <c r="C799" s="22">
        <f>COUNTIFS('Management Visits'!$D$4:$D$100003,"Apr",'Management Visits'!$F$4:$F$100003,dCrit)</f>
        <v>0</v>
      </c>
      <c r="E799" s="13" t="s">
        <v>844</v>
      </c>
      <c r="F799" s="22">
        <f>COUNTIFS('Management Visits'!$E$4:$E$100003,"Project Visit",'Management Visits'!$D$4:$D$100003,mCrit,'Management Visits'!$F$4:$F$100003,dCrit)</f>
        <v>0</v>
      </c>
      <c r="M799" s="13" t="s">
        <v>777</v>
      </c>
      <c r="N799" s="22">
        <f>SUMIFS('Management Visits'!$J$4:$J$100003,'Management Visits'!$D$4:$D$100003,mCrit,'Management Visits'!$F$4:$F$100003,dCrit)</f>
        <v>0</v>
      </c>
      <c r="P799" s="13" t="s">
        <v>89</v>
      </c>
      <c r="Q799" s="22">
        <f>COUNTIFS('Management Visits'!$D$4:$D$100003,mCrit,'Management Visits'!$F$4:$F$100003,"Construction")</f>
        <v>0</v>
      </c>
      <c r="R799" s="25">
        <f>IFERROR((COUNTIFS('Management Visits'!$N$4:$N$100003,"Completed",'Management Visits'!$D$4:$D$100003,mCrit,'Management Visits'!$F$4:$F$100003,"Construction"))/COUNTIFS('Management Visits'!$D$4:$D$100003,mCrit,'Management Visits'!$F$4:$F$100003,"Construction")*100,0)</f>
        <v>0</v>
      </c>
      <c r="S799" s="25">
        <f>IFERROR(AVERAGEIFS('Management Visits'!$M$4:$M$100003,'Management Visits'!$D$4:$D$100003,mCrit,'Management Visits'!$F$4:$F$100003,"Construction"),0)</f>
        <v>0</v>
      </c>
    </row>
    <row r="800" spans="2:34">
      <c r="B800" s="23" t="s">
        <v>60</v>
      </c>
      <c r="C800" s="22">
        <f>COUNTIFS('Management Visits'!$D$4:$D$100003,"May",'Management Visits'!$F$4:$F$100003,dCrit)</f>
        <v>0</v>
      </c>
      <c r="M800" s="13" t="s">
        <v>885</v>
      </c>
      <c r="N800" s="22">
        <f>SUMIFS('Management Visits'!$K$4:$K$100003,'Management Visits'!$D$4:$D$100003,mCrit,'Management Visits'!$F$4:$F$100003,dCrit)</f>
        <v>0</v>
      </c>
      <c r="P800" s="13" t="s">
        <v>65</v>
      </c>
      <c r="Q800" s="22">
        <f>COUNTIFS('Management Visits'!$D$4:$D$100003,mCrit,'Management Visits'!$F$4:$F$100003,"Safety")</f>
        <v>0</v>
      </c>
      <c r="R800" s="25">
        <f>IFERROR((COUNTIFS('Management Visits'!$N$4:$N$100003,"Completed",'Management Visits'!$D$4:$D$100003,mCrit,'Management Visits'!$F$4:$F$100003,"Safety"))/COUNTIFS('Management Visits'!$D$4:$D$100003,mCrit,'Management Visits'!$F$4:$F$100003,"Safety")*100,0)</f>
        <v>0</v>
      </c>
      <c r="S800" s="25">
        <f>IFERROR(AVERAGEIFS('Management Visits'!$M$4:$M$100003,'Management Visits'!$D$4:$D$100003,mCrit,'Management Visits'!$F$4:$F$100003,"Safety"),0)</f>
        <v>0</v>
      </c>
    </row>
    <row r="801" spans="2:19">
      <c r="B801" s="23" t="s">
        <v>73</v>
      </c>
      <c r="C801" s="22">
        <f>COUNTIFS('Management Visits'!$D$4:$D$100003,"Jun",'Management Visits'!$F$4:$F$100003,dCrit)</f>
        <v>0</v>
      </c>
      <c r="M801" s="13" t="s">
        <v>573</v>
      </c>
      <c r="N801" s="22">
        <f>SUMIFS('Management Visits'!$L$4:$L$100003,'Management Visits'!$D$4:$D$100003,mCrit,'Management Visits'!$F$4:$F$100003,dCrit)</f>
        <v>0</v>
      </c>
      <c r="P801" s="13" t="s">
        <v>5</v>
      </c>
      <c r="Q801" s="22">
        <f>COUNTIFS('Management Visits'!$D$4:$D$100003,mCrit,'Management Visits'!$F$4:$F$100003,"Logistics")</f>
        <v>0</v>
      </c>
      <c r="R801" s="25">
        <f>IFERROR((COUNTIFS('Management Visits'!$N$4:$N$100003,"Completed",'Management Visits'!$D$4:$D$100003,mCrit,'Management Visits'!$F$4:$F$100003,"Logistics"))/COUNTIFS('Management Visits'!$D$4:$D$100003,mCrit,'Management Visits'!$F$4:$F$100003,"Logistics")*100,0)</f>
        <v>0</v>
      </c>
      <c r="S801" s="25">
        <f>IFERROR(AVERAGEIFS('Management Visits'!$M$4:$M$100003,'Management Visits'!$D$4:$D$100003,mCrit,'Management Visits'!$F$4:$F$100003,"Logistics"),0)</f>
        <v>0</v>
      </c>
    </row>
    <row r="802" spans="2:19">
      <c r="B802" s="23" t="s">
        <v>76</v>
      </c>
      <c r="C802" s="22">
        <f>COUNTIFS('Management Visits'!$D$4:$D$100003,"Jul",'Management Visits'!$F$4:$F$100003,dCrit)</f>
        <v>0</v>
      </c>
      <c r="M802" s="13" t="s">
        <v>574</v>
      </c>
      <c r="N802" s="25">
        <f>IFERROR(AVERAGEIFS('Management Visits'!$M$4:$M$100003,'Management Visits'!$D$4:$D$100003,mCrit,'Management Visits'!$F$4:$F$100003,dCrit),0)</f>
        <v>0</v>
      </c>
      <c r="P802" s="13" t="s">
        <v>50</v>
      </c>
      <c r="Q802" s="22">
        <f>COUNTIFS('Management Visits'!$D$4:$D$100003,mCrit,'Management Visits'!$F$4:$F$100003,"Quality")</f>
        <v>0</v>
      </c>
      <c r="R802" s="25">
        <f>IFERROR((COUNTIFS('Management Visits'!$N$4:$N$100003,"Completed",'Management Visits'!$D$4:$D$100003,mCrit,'Management Visits'!$F$4:$F$100003,"Quality"))/COUNTIFS('Management Visits'!$D$4:$D$100003,mCrit,'Management Visits'!$F$4:$F$100003,"Quality")*100,0)</f>
        <v>0</v>
      </c>
      <c r="S802" s="25">
        <f>IFERROR(AVERAGEIFS('Management Visits'!$M$4:$M$100003,'Management Visits'!$D$4:$D$100003,mCrit,'Management Visits'!$F$4:$F$100003,"Quality"),0)</f>
        <v>0</v>
      </c>
    </row>
    <row r="803" spans="2:19">
      <c r="B803" s="23" t="s">
        <v>86</v>
      </c>
      <c r="C803" s="22">
        <f>COUNTIFS('Management Visits'!$D$4:$D$100003,"Aug",'Management Visits'!$F$4:$F$100003,dCrit)</f>
        <v>0</v>
      </c>
      <c r="M803" s="13" t="s">
        <v>1967</v>
      </c>
      <c r="N803" s="22">
        <f>IFERROR(AVERAGEIFS('Management Visits'!$I$4:$I$100003,'Management Visits'!$D$4:$D$100003,mCrit,'Management Visits'!$F$4:$F$100003,dCrit),0)</f>
        <v>0</v>
      </c>
      <c r="P803" s="13" t="s">
        <v>46</v>
      </c>
      <c r="Q803" s="22">
        <f>COUNTIFS('Management Visits'!$D$4:$D$100003,mCrit,'Management Visits'!$F$4:$F$100003,"Admin")</f>
        <v>0</v>
      </c>
      <c r="R803" s="25">
        <f>IFERROR((COUNTIFS('Management Visits'!$N$4:$N$100003,"Completed",'Management Visits'!$D$4:$D$100003,mCrit,'Management Visits'!$F$4:$F$100003,"Admin"))/COUNTIFS('Management Visits'!$D$4:$D$100003,mCrit,'Management Visits'!$F$4:$F$100003,"Admin")*100,0)</f>
        <v>0</v>
      </c>
      <c r="S803" s="25">
        <f>IFERROR(AVERAGEIFS('Management Visits'!$M$4:$M$100003,'Management Visits'!$D$4:$D$100003,mCrit,'Management Visits'!$F$4:$F$100003,"Admin"),0)</f>
        <v>0</v>
      </c>
    </row>
    <row r="804" spans="2:19">
      <c r="B804" s="23" t="s">
        <v>102</v>
      </c>
      <c r="C804" s="22">
        <f>COUNTIFS('Management Visits'!$D$4:$D$100003,"Sep",'Management Visits'!$F$4:$F$100003,dCrit)</f>
        <v>0</v>
      </c>
      <c r="P804" s="13" t="s">
        <v>13</v>
      </c>
      <c r="Q804" s="22">
        <f>COUNTIFS('Management Visits'!$D$4:$D$100003,mCrit,'Management Visits'!$F$4:$F$100003,"Projects")</f>
        <v>0</v>
      </c>
      <c r="R804" s="25">
        <f>IFERROR((COUNTIFS('Management Visits'!$N$4:$N$100003,"Completed",'Management Visits'!$D$4:$D$100003,mCrit,'Management Visits'!$F$4:$F$100003,"Projects"))/COUNTIFS('Management Visits'!$D$4:$D$100003,mCrit,'Management Visits'!$F$4:$F$100003,"Projects")*100,0)</f>
        <v>0</v>
      </c>
      <c r="S804" s="25">
        <f>IFERROR(AVERAGEIFS('Management Visits'!$M$4:$M$100003,'Management Visits'!$D$4:$D$100003,mCrit,'Management Visits'!$F$4:$F$100003,"Projects"),0)</f>
        <v>0</v>
      </c>
    </row>
    <row r="805" spans="2:19">
      <c r="B805" s="23" t="s">
        <v>106</v>
      </c>
      <c r="C805" s="22">
        <f>COUNTIFS('Management Visits'!$D$4:$D$100003,"Oct",'Management Visits'!$F$4:$F$100003,dCrit)</f>
        <v>0</v>
      </c>
      <c r="P805" s="13" t="s">
        <v>58</v>
      </c>
      <c r="Q805" s="22">
        <f>COUNTIFS('Management Visits'!$D$4:$D$100003,mCrit,'Management Visits'!$F$4:$F$100003,"Contractor")</f>
        <v>0</v>
      </c>
      <c r="R805" s="25">
        <f>IFERROR((COUNTIFS('Management Visits'!$N$4:$N$100003,"Completed",'Management Visits'!$D$4:$D$100003,mCrit,'Management Visits'!$F$4:$F$100003,"Contractor"))/COUNTIFS('Management Visits'!$D$4:$D$100003,mCrit,'Management Visits'!$F$4:$F$100003,"Contractor")*100,0)</f>
        <v>0</v>
      </c>
      <c r="S805" s="25">
        <f>IFERROR(AVERAGEIFS('Management Visits'!$M$4:$M$100003,'Management Visits'!$D$4:$D$100003,mCrit,'Management Visits'!$F$4:$F$100003,"Contractor"),0)</f>
        <v>0</v>
      </c>
    </row>
    <row r="806" spans="2:19">
      <c r="B806" s="23" t="s">
        <v>111</v>
      </c>
      <c r="C806" s="22">
        <f>COUNTIFS('Management Visits'!$D$4:$D$100003,"Nov",'Management Visits'!$F$4:$F$100003,dCrit)</f>
        <v>0</v>
      </c>
    </row>
    <row r="807" spans="2:19">
      <c r="B807" s="23" t="s">
        <v>122</v>
      </c>
      <c r="C807" s="22">
        <f>COUNTIFS('Management Visits'!$D$4:$D$100003,"Dec",'Management Visits'!$F$4:$F$100003,dCrit)</f>
        <v>0</v>
      </c>
    </row>
    <row r="820" spans="2:34">
      <c r="B820" s="17" t="s">
        <v>2016</v>
      </c>
    </row>
    <row r="821" spans="2:34">
      <c r="B821" s="12" t="s">
        <v>127</v>
      </c>
      <c r="C821" s="12" t="s">
        <v>1887</v>
      </c>
      <c r="G821" s="12" t="s">
        <v>941</v>
      </c>
      <c r="H821" s="12" t="s">
        <v>1887</v>
      </c>
      <c r="J821" s="12" t="s">
        <v>286</v>
      </c>
      <c r="K821" s="12" t="s">
        <v>1887</v>
      </c>
      <c r="M821" s="12" t="s">
        <v>1849</v>
      </c>
      <c r="N821" s="12" t="s">
        <v>1960</v>
      </c>
      <c r="U821" s="12" t="s">
        <v>1970</v>
      </c>
      <c r="V821" s="12" t="s">
        <v>3</v>
      </c>
      <c r="W821" s="12" t="s">
        <v>19</v>
      </c>
      <c r="X821" s="12" t="s">
        <v>44</v>
      </c>
      <c r="Y821" s="12" t="s">
        <v>53</v>
      </c>
      <c r="Z821" s="12" t="s">
        <v>60</v>
      </c>
      <c r="AA821" s="12" t="s">
        <v>73</v>
      </c>
      <c r="AB821" s="12" t="s">
        <v>76</v>
      </c>
      <c r="AC821" s="12" t="s">
        <v>86</v>
      </c>
      <c r="AD821" s="12" t="s">
        <v>102</v>
      </c>
      <c r="AE821" s="12" t="s">
        <v>106</v>
      </c>
      <c r="AF821" s="12" t="s">
        <v>111</v>
      </c>
      <c r="AG821" s="12" t="s">
        <v>122</v>
      </c>
      <c r="AH821" s="12" t="s">
        <v>1971</v>
      </c>
    </row>
    <row r="822" spans="2:34">
      <c r="B822" s="23" t="s">
        <v>3</v>
      </c>
      <c r="C822" s="22">
        <f>COUNTIFS('Management Reviews'!$D$4:$D$100003,"Jan")</f>
        <v>0</v>
      </c>
      <c r="G822" s="13" t="s">
        <v>9</v>
      </c>
      <c r="H822" s="22">
        <f>COUNTIFS('Management Reviews'!$N$4:$N$100003,"Yes",'Management Reviews'!$D$4:$D$100003,mCrit)</f>
        <v>0</v>
      </c>
      <c r="J822" s="13" t="s">
        <v>224</v>
      </c>
      <c r="K822" s="22">
        <f>COUNTIFS('Management Reviews'!$O$4:$O$100003,"In Progress",'Management Reviews'!$D$4:$D$100003,mCrit)</f>
        <v>0</v>
      </c>
      <c r="M822" s="13" t="s">
        <v>2017</v>
      </c>
      <c r="N822" s="22">
        <f>COUNTIFS('Management Reviews'!$D$4:$D$100003,mCrit)</f>
        <v>0</v>
      </c>
      <c r="U822" s="13" t="s">
        <v>1694</v>
      </c>
      <c r="V822" s="22">
        <f>COUNTIFS('Management Reviews'!$D$4:$D$100003,"Jan")</f>
        <v>0</v>
      </c>
      <c r="W822" s="22">
        <f>COUNTIFS('Management Reviews'!$D$4:$D$100003,"Feb")</f>
        <v>0</v>
      </c>
      <c r="X822" s="22">
        <f>COUNTIFS('Management Reviews'!$D$4:$D$100003,"Mar")</f>
        <v>0</v>
      </c>
      <c r="Y822" s="22">
        <f>COUNTIFS('Management Reviews'!$D$4:$D$100003,"Apr")</f>
        <v>0</v>
      </c>
      <c r="Z822" s="22">
        <f>COUNTIFS('Management Reviews'!$D$4:$D$100003,"May")</f>
        <v>0</v>
      </c>
      <c r="AA822" s="22">
        <f>COUNTIFS('Management Reviews'!$D$4:$D$100003,"Jun")</f>
        <v>0</v>
      </c>
      <c r="AB822" s="22">
        <f>COUNTIFS('Management Reviews'!$D$4:$D$100003,"Jul")</f>
        <v>0</v>
      </c>
      <c r="AC822" s="22">
        <f>COUNTIFS('Management Reviews'!$D$4:$D$100003,"Aug")</f>
        <v>0</v>
      </c>
      <c r="AD822" s="22">
        <f>COUNTIFS('Management Reviews'!$D$4:$D$100003,"Sep")</f>
        <v>0</v>
      </c>
      <c r="AE822" s="22">
        <f>COUNTIFS('Management Reviews'!$D$4:$D$100003,"Oct")</f>
        <v>0</v>
      </c>
      <c r="AF822" s="22">
        <f>COUNTIFS('Management Reviews'!$D$4:$D$100003,"Nov")</f>
        <v>0</v>
      </c>
      <c r="AG822" s="22">
        <f>COUNTIFS('Management Reviews'!$D$4:$D$100003,"Dec")</f>
        <v>0</v>
      </c>
      <c r="AH822" s="22">
        <f>SUM(V822:AG822)</f>
        <v>0</v>
      </c>
    </row>
    <row r="823" spans="2:34">
      <c r="B823" s="23" t="s">
        <v>19</v>
      </c>
      <c r="C823" s="22">
        <f>COUNTIFS('Management Reviews'!$D$4:$D$100003,"Feb")</f>
        <v>0</v>
      </c>
      <c r="G823" s="13" t="s">
        <v>23</v>
      </c>
      <c r="H823" s="22">
        <f>COUNTIFS('Management Reviews'!$N$4:$N$100003,"No",'Management Reviews'!$D$4:$D$100003,mCrit)</f>
        <v>0</v>
      </c>
      <c r="J823" s="13" t="s">
        <v>220</v>
      </c>
      <c r="K823" s="22">
        <f>COUNTIFS('Management Reviews'!$O$4:$O$100003,"Completed",'Management Reviews'!$D$4:$D$100003,mCrit)</f>
        <v>0</v>
      </c>
      <c r="M823" s="13" t="s">
        <v>220</v>
      </c>
      <c r="N823" s="22">
        <f>COUNTIFS('Management Reviews'!$O$4:$O$100003,"Completed",'Management Reviews'!$D$4:$D$100003,mCrit)</f>
        <v>0</v>
      </c>
      <c r="U823" s="13" t="s">
        <v>1980</v>
      </c>
      <c r="V823" s="25">
        <f>IFERROR((COUNTIFS('Management Reviews'!$O$4:$O$100003,"Completed",'Management Reviews'!$D$4:$D$100003,"Jan"))/COUNTIFS('Management Reviews'!$D$4:$D$100003,"Jan")*100,0)</f>
        <v>0</v>
      </c>
      <c r="W823" s="25">
        <f>IFERROR((COUNTIFS('Management Reviews'!$O$4:$O$100003,"Completed",'Management Reviews'!$D$4:$D$100003,"Feb"))/COUNTIFS('Management Reviews'!$D$4:$D$100003,"Feb")*100,0)</f>
        <v>0</v>
      </c>
      <c r="X823" s="25">
        <f>IFERROR((COUNTIFS('Management Reviews'!$O$4:$O$100003,"Completed",'Management Reviews'!$D$4:$D$100003,"Mar"))/COUNTIFS('Management Reviews'!$D$4:$D$100003,"Mar")*100,0)</f>
        <v>0</v>
      </c>
      <c r="Y823" s="25">
        <f>IFERROR((COUNTIFS('Management Reviews'!$O$4:$O$100003,"Completed",'Management Reviews'!$D$4:$D$100003,"Apr"))/COUNTIFS('Management Reviews'!$D$4:$D$100003,"Apr")*100,0)</f>
        <v>0</v>
      </c>
      <c r="Z823" s="25">
        <f>IFERROR((COUNTIFS('Management Reviews'!$O$4:$O$100003,"Completed",'Management Reviews'!$D$4:$D$100003,"May"))/COUNTIFS('Management Reviews'!$D$4:$D$100003,"May")*100,0)</f>
        <v>0</v>
      </c>
      <c r="AA823" s="25">
        <f>IFERROR((COUNTIFS('Management Reviews'!$O$4:$O$100003,"Completed",'Management Reviews'!$D$4:$D$100003,"Jun"))/COUNTIFS('Management Reviews'!$D$4:$D$100003,"Jun")*100,0)</f>
        <v>0</v>
      </c>
      <c r="AB823" s="25">
        <f>IFERROR((COUNTIFS('Management Reviews'!$O$4:$O$100003,"Completed",'Management Reviews'!$D$4:$D$100003,"Jul"))/COUNTIFS('Management Reviews'!$D$4:$D$100003,"Jul")*100,0)</f>
        <v>0</v>
      </c>
      <c r="AC823" s="25">
        <f>IFERROR((COUNTIFS('Management Reviews'!$O$4:$O$100003,"Completed",'Management Reviews'!$D$4:$D$100003,"Aug"))/COUNTIFS('Management Reviews'!$D$4:$D$100003,"Aug")*100,0)</f>
        <v>0</v>
      </c>
      <c r="AD823" s="25">
        <f>IFERROR((COUNTIFS('Management Reviews'!$O$4:$O$100003,"Completed",'Management Reviews'!$D$4:$D$100003,"Sep"))/COUNTIFS('Management Reviews'!$D$4:$D$100003,"Sep")*100,0)</f>
        <v>0</v>
      </c>
      <c r="AE823" s="25">
        <f>IFERROR((COUNTIFS('Management Reviews'!$O$4:$O$100003,"Completed",'Management Reviews'!$D$4:$D$100003,"Oct"))/COUNTIFS('Management Reviews'!$D$4:$D$100003,"Oct")*100,0)</f>
        <v>0</v>
      </c>
      <c r="AF823" s="25">
        <f>IFERROR((COUNTIFS('Management Reviews'!$O$4:$O$100003,"Completed",'Management Reviews'!$D$4:$D$100003,"Nov"))/COUNTIFS('Management Reviews'!$D$4:$D$100003,"Nov")*100,0)</f>
        <v>0</v>
      </c>
      <c r="AG823" s="25">
        <f>IFERROR((COUNTIFS('Management Reviews'!$O$4:$O$100003,"Completed",'Management Reviews'!$D$4:$D$100003,"Dec"))/COUNTIFS('Management Reviews'!$D$4:$D$100003,"Dec")*100,0)</f>
        <v>0</v>
      </c>
      <c r="AH823" s="25">
        <f>IFERROR(AVERAGE(V823:AG823),0)</f>
        <v>0</v>
      </c>
    </row>
    <row r="824" spans="2:34">
      <c r="B824" s="23" t="s">
        <v>44</v>
      </c>
      <c r="C824" s="22">
        <f>COUNTIFS('Management Reviews'!$D$4:$D$100003,"Mar")</f>
        <v>0</v>
      </c>
      <c r="J824" s="13" t="s">
        <v>230</v>
      </c>
      <c r="K824" s="22">
        <f>COUNTIFS('Management Reviews'!$O$4:$O$100003,"Scheduled",'Management Reviews'!$D$4:$D$100003,mCrit)</f>
        <v>0</v>
      </c>
      <c r="M824" s="13" t="s">
        <v>224</v>
      </c>
      <c r="N824" s="22">
        <f>COUNTIFS('Management Reviews'!$O$4:$O$100003,"In Progress",'Management Reviews'!$D$4:$D$100003,mCrit)</f>
        <v>0</v>
      </c>
      <c r="U824" s="13" t="s">
        <v>1969</v>
      </c>
      <c r="V824" s="25">
        <f>IFERROR(AVERAGEIFS('Management Reviews'!$I$4:$I$100003,'Management Reviews'!$D$4:$D$100003,"Jan"),0)</f>
        <v>0</v>
      </c>
      <c r="W824" s="25">
        <f>IFERROR(AVERAGEIFS('Management Reviews'!$I$4:$I$100003,'Management Reviews'!$D$4:$D$100003,"Feb"),0)</f>
        <v>0</v>
      </c>
      <c r="X824" s="25">
        <f>IFERROR(AVERAGEIFS('Management Reviews'!$I$4:$I$100003,'Management Reviews'!$D$4:$D$100003,"Mar"),0)</f>
        <v>0</v>
      </c>
      <c r="Y824" s="25">
        <f>IFERROR(AVERAGEIFS('Management Reviews'!$I$4:$I$100003,'Management Reviews'!$D$4:$D$100003,"Apr"),0)</f>
        <v>0</v>
      </c>
      <c r="Z824" s="25">
        <f>IFERROR(AVERAGEIFS('Management Reviews'!$I$4:$I$100003,'Management Reviews'!$D$4:$D$100003,"May"),0)</f>
        <v>0</v>
      </c>
      <c r="AA824" s="25">
        <f>IFERROR(AVERAGEIFS('Management Reviews'!$I$4:$I$100003,'Management Reviews'!$D$4:$D$100003,"Jun"),0)</f>
        <v>0</v>
      </c>
      <c r="AB824" s="25">
        <f>IFERROR(AVERAGEIFS('Management Reviews'!$I$4:$I$100003,'Management Reviews'!$D$4:$D$100003,"Jul"),0)</f>
        <v>0</v>
      </c>
      <c r="AC824" s="25">
        <f>IFERROR(AVERAGEIFS('Management Reviews'!$I$4:$I$100003,'Management Reviews'!$D$4:$D$100003,"Aug"),0)</f>
        <v>0</v>
      </c>
      <c r="AD824" s="25">
        <f>IFERROR(AVERAGEIFS('Management Reviews'!$I$4:$I$100003,'Management Reviews'!$D$4:$D$100003,"Sep"),0)</f>
        <v>0</v>
      </c>
      <c r="AE824" s="25">
        <f>IFERROR(AVERAGEIFS('Management Reviews'!$I$4:$I$100003,'Management Reviews'!$D$4:$D$100003,"Oct"),0)</f>
        <v>0</v>
      </c>
      <c r="AF824" s="25">
        <f>IFERROR(AVERAGEIFS('Management Reviews'!$I$4:$I$100003,'Management Reviews'!$D$4:$D$100003,"Nov"),0)</f>
        <v>0</v>
      </c>
      <c r="AG824" s="25">
        <f>IFERROR(AVERAGEIFS('Management Reviews'!$I$4:$I$100003,'Management Reviews'!$D$4:$D$100003,"Dec"),0)</f>
        <v>0</v>
      </c>
      <c r="AH824" s="25">
        <f>IFERROR(AVERAGE(V824:AG824),0)</f>
        <v>0</v>
      </c>
    </row>
    <row r="825" spans="2:34">
      <c r="B825" s="23" t="s">
        <v>53</v>
      </c>
      <c r="C825" s="22">
        <f>COUNTIFS('Management Reviews'!$D$4:$D$100003,"Apr")</f>
        <v>0</v>
      </c>
      <c r="M825" s="13" t="s">
        <v>1964</v>
      </c>
      <c r="N825" s="25">
        <f>IFERROR(AVERAGEIFS('Management Reviews'!$I$4:$I$100003,'Management Reviews'!$D$4:$D$100003,mCrit),0)</f>
        <v>0</v>
      </c>
    </row>
    <row r="826" spans="2:34">
      <c r="B826" s="23" t="s">
        <v>60</v>
      </c>
      <c r="C826" s="22">
        <f>COUNTIFS('Management Reviews'!$D$4:$D$100003,"May")</f>
        <v>0</v>
      </c>
      <c r="M826" s="13" t="s">
        <v>2018</v>
      </c>
      <c r="N826" s="22">
        <f>SUMIFS('Management Reviews'!$K$4:$K$100003,'Management Reviews'!$D$4:$D$100003,mCrit)</f>
        <v>0</v>
      </c>
    </row>
    <row r="827" spans="2:34">
      <c r="B827" s="23" t="s">
        <v>73</v>
      </c>
      <c r="C827" s="22">
        <f>COUNTIFS('Management Reviews'!$D$4:$D$100003,"Jun")</f>
        <v>0</v>
      </c>
      <c r="M827" s="13" t="s">
        <v>2019</v>
      </c>
      <c r="N827" s="22">
        <f>SUMIFS('Management Reviews'!$L$4:$L$100003,'Management Reviews'!$D$4:$D$100003,mCrit)</f>
        <v>0</v>
      </c>
    </row>
    <row r="828" spans="2:34">
      <c r="B828" s="23" t="s">
        <v>76</v>
      </c>
      <c r="C828" s="22">
        <f>COUNTIFS('Management Reviews'!$D$4:$D$100003,"Jul")</f>
        <v>0</v>
      </c>
      <c r="M828" s="13" t="s">
        <v>2020</v>
      </c>
      <c r="N828" s="25">
        <f>IFERROR(AVERAGEIFS('Management Reviews'!$M$4:$M$100003,'Management Reviews'!$D$4:$D$100003,mCrit),0)</f>
        <v>0</v>
      </c>
    </row>
    <row r="829" spans="2:34">
      <c r="B829" s="23" t="s">
        <v>86</v>
      </c>
      <c r="C829" s="22">
        <f>COUNTIFS('Management Reviews'!$D$4:$D$100003,"Aug")</f>
        <v>0</v>
      </c>
      <c r="M829" s="13" t="s">
        <v>1998</v>
      </c>
      <c r="N829" s="22">
        <f>COUNTIFS('Management Reviews'!$N$4:$N$100003,"Yes",'Management Reviews'!$D$4:$D$100003,mCrit)</f>
        <v>0</v>
      </c>
    </row>
    <row r="830" spans="2:34">
      <c r="B830" s="23" t="s">
        <v>102</v>
      </c>
      <c r="C830" s="22">
        <f>COUNTIFS('Management Reviews'!$D$4:$D$100003,"Sep")</f>
        <v>0</v>
      </c>
    </row>
    <row r="831" spans="2:34">
      <c r="B831" s="23" t="s">
        <v>106</v>
      </c>
      <c r="C831" s="22">
        <f>COUNTIFS('Management Reviews'!$D$4:$D$100003,"Oct")</f>
        <v>0</v>
      </c>
    </row>
    <row r="832" spans="2:34">
      <c r="B832" s="23" t="s">
        <v>111</v>
      </c>
      <c r="C832" s="22">
        <f>COUNTIFS('Management Reviews'!$D$4:$D$100003,"Nov")</f>
        <v>0</v>
      </c>
    </row>
    <row r="833" spans="2:34">
      <c r="B833" s="23" t="s">
        <v>122</v>
      </c>
      <c r="C833" s="22">
        <f>COUNTIFS('Management Reviews'!$D$4:$D$100003,"Dec")</f>
        <v>0</v>
      </c>
    </row>
    <row r="846" spans="2:34">
      <c r="B846" s="17" t="s">
        <v>2021</v>
      </c>
    </row>
    <row r="847" spans="2:34">
      <c r="B847" s="12" t="s">
        <v>127</v>
      </c>
      <c r="C847" s="12" t="s">
        <v>1887</v>
      </c>
      <c r="E847" s="12" t="s">
        <v>1005</v>
      </c>
      <c r="F847" s="12" t="s">
        <v>1887</v>
      </c>
      <c r="G847" s="12" t="s">
        <v>1007</v>
      </c>
      <c r="H847" s="12" t="s">
        <v>1887</v>
      </c>
      <c r="J847" s="12" t="s">
        <v>286</v>
      </c>
      <c r="K847" s="12" t="s">
        <v>1887</v>
      </c>
      <c r="M847" s="12" t="s">
        <v>1849</v>
      </c>
      <c r="N847" s="12" t="s">
        <v>1960</v>
      </c>
      <c r="P847" s="12" t="s">
        <v>129</v>
      </c>
      <c r="Q847" s="12" t="s">
        <v>1887</v>
      </c>
      <c r="R847" s="12" t="s">
        <v>1979</v>
      </c>
      <c r="S847" s="12" t="s">
        <v>1694</v>
      </c>
      <c r="U847" s="12" t="s">
        <v>1970</v>
      </c>
      <c r="V847" s="12" t="s">
        <v>3</v>
      </c>
      <c r="W847" s="12" t="s">
        <v>19</v>
      </c>
      <c r="X847" s="12" t="s">
        <v>44</v>
      </c>
      <c r="Y847" s="12" t="s">
        <v>53</v>
      </c>
      <c r="Z847" s="12" t="s">
        <v>60</v>
      </c>
      <c r="AA847" s="12" t="s">
        <v>73</v>
      </c>
      <c r="AB847" s="12" t="s">
        <v>76</v>
      </c>
      <c r="AC847" s="12" t="s">
        <v>86</v>
      </c>
      <c r="AD847" s="12" t="s">
        <v>102</v>
      </c>
      <c r="AE847" s="12" t="s">
        <v>106</v>
      </c>
      <c r="AF847" s="12" t="s">
        <v>111</v>
      </c>
      <c r="AG847" s="12" t="s">
        <v>122</v>
      </c>
      <c r="AH847" s="12" t="s">
        <v>1971</v>
      </c>
    </row>
    <row r="848" spans="2:34">
      <c r="B848" s="23" t="s">
        <v>3</v>
      </c>
      <c r="C848" s="22">
        <f>COUNTIFS('Disciplinary Actions'!$D$4:$D$100003,"Jan",'Disciplinary Actions'!$F$4:$F$100003,dCrit)</f>
        <v>0</v>
      </c>
      <c r="E848" s="13" t="s">
        <v>947</v>
      </c>
      <c r="F848" s="22">
        <f>COUNTIFS('Disciplinary Actions'!$E$4:$E$100003,"PPE Violation",'Disciplinary Actions'!$D$4:$D$100003,mCrit,'Disciplinary Actions'!$F$4:$F$100003,dCrit)</f>
        <v>0</v>
      </c>
      <c r="G848" s="13" t="s">
        <v>945</v>
      </c>
      <c r="H848" s="22">
        <f>COUNTIFS('Disciplinary Actions'!$I$4:$I$100003,"1st Offense",'Disciplinary Actions'!$D$4:$D$100003,mCrit,'Disciplinary Actions'!$F$4:$F$100003,dCrit)</f>
        <v>0</v>
      </c>
      <c r="J848" s="13" t="s">
        <v>220</v>
      </c>
      <c r="K848" s="22">
        <f>COUNTIFS('Disciplinary Actions'!$K$4:$K$100003,"Completed",'Disciplinary Actions'!$D$4:$D$100003,mCrit,'Disciplinary Actions'!$F$4:$F$100003,dCrit)</f>
        <v>0</v>
      </c>
      <c r="M848" s="13" t="s">
        <v>2022</v>
      </c>
      <c r="N848" s="22">
        <f>COUNTIFS('Disciplinary Actions'!$D$4:$D$100003,mCrit,'Disciplinary Actions'!$F$4:$F$100003,dCrit)</f>
        <v>0</v>
      </c>
      <c r="P848" s="13" t="s">
        <v>27</v>
      </c>
      <c r="Q848" s="22">
        <f>COUNTIFS('Disciplinary Actions'!$D$4:$D$100003,mCrit,'Disciplinary Actions'!$F$4:$F$100003,"Operations")</f>
        <v>0</v>
      </c>
      <c r="R848" s="25">
        <f>IFERROR((COUNTIFS('Disciplinary Actions'!$K$4:$K$100003,"Completed",'Disciplinary Actions'!$D$4:$D$100003,mCrit,'Disciplinary Actions'!$F$4:$F$100003,"Operations"))/COUNTIFS('Disciplinary Actions'!$D$4:$D$100003,mCrit,'Disciplinary Actions'!$F$4:$F$100003,"Operations")*100,0)</f>
        <v>0</v>
      </c>
      <c r="S848" s="22">
        <f>COUNTIFS('Disciplinary Actions'!$D$4:$D$100003,mCrit,'Disciplinary Actions'!$F$4:$F$100003,"Operations")</f>
        <v>0</v>
      </c>
      <c r="U848" s="13" t="s">
        <v>1694</v>
      </c>
      <c r="V848" s="22">
        <f>COUNTIFS('Disciplinary Actions'!$D$4:$D$100003,"Jan",'Disciplinary Actions'!$F$4:$F$100003,dCrit)</f>
        <v>0</v>
      </c>
      <c r="W848" s="22">
        <f>COUNTIFS('Disciplinary Actions'!$D$4:$D$100003,"Feb",'Disciplinary Actions'!$F$4:$F$100003,dCrit)</f>
        <v>0</v>
      </c>
      <c r="X848" s="22">
        <f>COUNTIFS('Disciplinary Actions'!$D$4:$D$100003,"Mar",'Disciplinary Actions'!$F$4:$F$100003,dCrit)</f>
        <v>0</v>
      </c>
      <c r="Y848" s="22">
        <f>COUNTIFS('Disciplinary Actions'!$D$4:$D$100003,"Apr",'Disciplinary Actions'!$F$4:$F$100003,dCrit)</f>
        <v>0</v>
      </c>
      <c r="Z848" s="22">
        <f>COUNTIFS('Disciplinary Actions'!$D$4:$D$100003,"May",'Disciplinary Actions'!$F$4:$F$100003,dCrit)</f>
        <v>0</v>
      </c>
      <c r="AA848" s="22">
        <f>COUNTIFS('Disciplinary Actions'!$D$4:$D$100003,"Jun",'Disciplinary Actions'!$F$4:$F$100003,dCrit)</f>
        <v>0</v>
      </c>
      <c r="AB848" s="22">
        <f>COUNTIFS('Disciplinary Actions'!$D$4:$D$100003,"Jul",'Disciplinary Actions'!$F$4:$F$100003,dCrit)</f>
        <v>0</v>
      </c>
      <c r="AC848" s="22">
        <f>COUNTIFS('Disciplinary Actions'!$D$4:$D$100003,"Aug",'Disciplinary Actions'!$F$4:$F$100003,dCrit)</f>
        <v>0</v>
      </c>
      <c r="AD848" s="22">
        <f>COUNTIFS('Disciplinary Actions'!$D$4:$D$100003,"Sep",'Disciplinary Actions'!$F$4:$F$100003,dCrit)</f>
        <v>0</v>
      </c>
      <c r="AE848" s="22">
        <f>COUNTIFS('Disciplinary Actions'!$D$4:$D$100003,"Oct",'Disciplinary Actions'!$F$4:$F$100003,dCrit)</f>
        <v>0</v>
      </c>
      <c r="AF848" s="22">
        <f>COUNTIFS('Disciplinary Actions'!$D$4:$D$100003,"Nov",'Disciplinary Actions'!$F$4:$F$100003,dCrit)</f>
        <v>0</v>
      </c>
      <c r="AG848" s="22">
        <f>COUNTIFS('Disciplinary Actions'!$D$4:$D$100003,"Dec",'Disciplinary Actions'!$F$4:$F$100003,dCrit)</f>
        <v>0</v>
      </c>
      <c r="AH848" s="22">
        <f>SUM(V848:AG848)</f>
        <v>0</v>
      </c>
    </row>
    <row r="849" spans="2:34">
      <c r="B849" s="23" t="s">
        <v>19</v>
      </c>
      <c r="C849" s="22">
        <f>COUNTIFS('Disciplinary Actions'!$D$4:$D$100003,"Feb",'Disciplinary Actions'!$F$4:$F$100003,dCrit)</f>
        <v>0</v>
      </c>
      <c r="E849" s="13" t="s">
        <v>950</v>
      </c>
      <c r="F849" s="22">
        <f>COUNTIFS('Disciplinary Actions'!$E$4:$E$100003,"Safety Rule Breach",'Disciplinary Actions'!$D$4:$D$100003,mCrit,'Disciplinary Actions'!$F$4:$F$100003,dCrit)</f>
        <v>0</v>
      </c>
      <c r="G849" s="13" t="s">
        <v>948</v>
      </c>
      <c r="H849" s="22">
        <f>COUNTIFS('Disciplinary Actions'!$I$4:$I$100003,"2nd Offense",'Disciplinary Actions'!$D$4:$D$100003,mCrit,'Disciplinary Actions'!$F$4:$F$100003,dCrit)</f>
        <v>0</v>
      </c>
      <c r="J849" s="13" t="s">
        <v>953</v>
      </c>
      <c r="K849" s="22">
        <f>COUNTIFS('Disciplinary Actions'!$K$4:$K$100003,"Under Review",'Disciplinary Actions'!$D$4:$D$100003,mCrit,'Disciplinary Actions'!$F$4:$F$100003,dCrit)</f>
        <v>0</v>
      </c>
      <c r="M849" s="13" t="s">
        <v>220</v>
      </c>
      <c r="N849" s="22">
        <f>COUNTIFS('Disciplinary Actions'!$K$4:$K$100003,"Completed",'Disciplinary Actions'!$D$4:$D$100003,mCrit,'Disciplinary Actions'!$F$4:$F$100003,dCrit)</f>
        <v>0</v>
      </c>
      <c r="P849" s="13" t="s">
        <v>92</v>
      </c>
      <c r="Q849" s="22">
        <f>COUNTIFS('Disciplinary Actions'!$D$4:$D$100003,mCrit,'Disciplinary Actions'!$F$4:$F$100003,"Maintenance")</f>
        <v>0</v>
      </c>
      <c r="R849" s="25">
        <f>IFERROR((COUNTIFS('Disciplinary Actions'!$K$4:$K$100003,"Completed",'Disciplinary Actions'!$D$4:$D$100003,mCrit,'Disciplinary Actions'!$F$4:$F$100003,"Maintenance"))/COUNTIFS('Disciplinary Actions'!$D$4:$D$100003,mCrit,'Disciplinary Actions'!$F$4:$F$100003,"Maintenance")*100,0)</f>
        <v>0</v>
      </c>
      <c r="S849" s="22">
        <f>COUNTIFS('Disciplinary Actions'!$D$4:$D$100003,mCrit,'Disciplinary Actions'!$F$4:$F$100003,"Maintenance")</f>
        <v>0</v>
      </c>
      <c r="U849" s="13" t="s">
        <v>1980</v>
      </c>
      <c r="V849" s="25">
        <f>IFERROR((COUNTIFS('Disciplinary Actions'!$K$4:$K$100003,"Completed",'Disciplinary Actions'!$D$4:$D$100003,"Jan",'Disciplinary Actions'!$F$4:$F$100003,dCrit))/COUNTIFS('Disciplinary Actions'!$D$4:$D$100003,"Jan",'Disciplinary Actions'!$F$4:$F$100003,dCrit)*100,0)</f>
        <v>0</v>
      </c>
      <c r="W849" s="25">
        <f>IFERROR((COUNTIFS('Disciplinary Actions'!$K$4:$K$100003,"Completed",'Disciplinary Actions'!$D$4:$D$100003,"Feb",'Disciplinary Actions'!$F$4:$F$100003,dCrit))/COUNTIFS('Disciplinary Actions'!$D$4:$D$100003,"Feb",'Disciplinary Actions'!$F$4:$F$100003,dCrit)*100,0)</f>
        <v>0</v>
      </c>
      <c r="X849" s="25">
        <f>IFERROR((COUNTIFS('Disciplinary Actions'!$K$4:$K$100003,"Completed",'Disciplinary Actions'!$D$4:$D$100003,"Mar",'Disciplinary Actions'!$F$4:$F$100003,dCrit))/COUNTIFS('Disciplinary Actions'!$D$4:$D$100003,"Mar",'Disciplinary Actions'!$F$4:$F$100003,dCrit)*100,0)</f>
        <v>0</v>
      </c>
      <c r="Y849" s="25">
        <f>IFERROR((COUNTIFS('Disciplinary Actions'!$K$4:$K$100003,"Completed",'Disciplinary Actions'!$D$4:$D$100003,"Apr",'Disciplinary Actions'!$F$4:$F$100003,dCrit))/COUNTIFS('Disciplinary Actions'!$D$4:$D$100003,"Apr",'Disciplinary Actions'!$F$4:$F$100003,dCrit)*100,0)</f>
        <v>0</v>
      </c>
      <c r="Z849" s="25">
        <f>IFERROR((COUNTIFS('Disciplinary Actions'!$K$4:$K$100003,"Completed",'Disciplinary Actions'!$D$4:$D$100003,"May",'Disciplinary Actions'!$F$4:$F$100003,dCrit))/COUNTIFS('Disciplinary Actions'!$D$4:$D$100003,"May",'Disciplinary Actions'!$F$4:$F$100003,dCrit)*100,0)</f>
        <v>0</v>
      </c>
      <c r="AA849" s="25">
        <f>IFERROR((COUNTIFS('Disciplinary Actions'!$K$4:$K$100003,"Completed",'Disciplinary Actions'!$D$4:$D$100003,"Jun",'Disciplinary Actions'!$F$4:$F$100003,dCrit))/COUNTIFS('Disciplinary Actions'!$D$4:$D$100003,"Jun",'Disciplinary Actions'!$F$4:$F$100003,dCrit)*100,0)</f>
        <v>0</v>
      </c>
      <c r="AB849" s="25">
        <f>IFERROR((COUNTIFS('Disciplinary Actions'!$K$4:$K$100003,"Completed",'Disciplinary Actions'!$D$4:$D$100003,"Jul",'Disciplinary Actions'!$F$4:$F$100003,dCrit))/COUNTIFS('Disciplinary Actions'!$D$4:$D$100003,"Jul",'Disciplinary Actions'!$F$4:$F$100003,dCrit)*100,0)</f>
        <v>0</v>
      </c>
      <c r="AC849" s="25">
        <f>IFERROR((COUNTIFS('Disciplinary Actions'!$K$4:$K$100003,"Completed",'Disciplinary Actions'!$D$4:$D$100003,"Aug",'Disciplinary Actions'!$F$4:$F$100003,dCrit))/COUNTIFS('Disciplinary Actions'!$D$4:$D$100003,"Aug",'Disciplinary Actions'!$F$4:$F$100003,dCrit)*100,0)</f>
        <v>0</v>
      </c>
      <c r="AD849" s="25">
        <f>IFERROR((COUNTIFS('Disciplinary Actions'!$K$4:$K$100003,"Completed",'Disciplinary Actions'!$D$4:$D$100003,"Sep",'Disciplinary Actions'!$F$4:$F$100003,dCrit))/COUNTIFS('Disciplinary Actions'!$D$4:$D$100003,"Sep",'Disciplinary Actions'!$F$4:$F$100003,dCrit)*100,0)</f>
        <v>0</v>
      </c>
      <c r="AE849" s="25">
        <f>IFERROR((COUNTIFS('Disciplinary Actions'!$K$4:$K$100003,"Completed",'Disciplinary Actions'!$D$4:$D$100003,"Oct",'Disciplinary Actions'!$F$4:$F$100003,dCrit))/COUNTIFS('Disciplinary Actions'!$D$4:$D$100003,"Oct",'Disciplinary Actions'!$F$4:$F$100003,dCrit)*100,0)</f>
        <v>0</v>
      </c>
      <c r="AF849" s="25">
        <f>IFERROR((COUNTIFS('Disciplinary Actions'!$K$4:$K$100003,"Completed",'Disciplinary Actions'!$D$4:$D$100003,"Nov",'Disciplinary Actions'!$F$4:$F$100003,dCrit))/COUNTIFS('Disciplinary Actions'!$D$4:$D$100003,"Nov",'Disciplinary Actions'!$F$4:$F$100003,dCrit)*100,0)</f>
        <v>0</v>
      </c>
      <c r="AG849" s="25">
        <f>IFERROR((COUNTIFS('Disciplinary Actions'!$K$4:$K$100003,"Completed",'Disciplinary Actions'!$D$4:$D$100003,"Dec",'Disciplinary Actions'!$F$4:$F$100003,dCrit))/COUNTIFS('Disciplinary Actions'!$D$4:$D$100003,"Dec",'Disciplinary Actions'!$F$4:$F$100003,dCrit)*100,0)</f>
        <v>0</v>
      </c>
      <c r="AH849" s="25">
        <f>IFERROR(AVERAGE(V849:AG849),0)</f>
        <v>0</v>
      </c>
    </row>
    <row r="850" spans="2:34">
      <c r="B850" s="23" t="s">
        <v>44</v>
      </c>
      <c r="C850" s="22">
        <f>COUNTIFS('Disciplinary Actions'!$D$4:$D$100003,"Mar",'Disciplinary Actions'!$F$4:$F$100003,dCrit)</f>
        <v>0</v>
      </c>
      <c r="E850" s="13" t="s">
        <v>965</v>
      </c>
      <c r="F850" s="22">
        <f>COUNTIFS('Disciplinary Actions'!$E$4:$E$100003,"Permit Violation",'Disciplinary Actions'!$D$4:$D$100003,mCrit,'Disciplinary Actions'!$F$4:$F$100003,dCrit)</f>
        <v>0</v>
      </c>
      <c r="G850" s="13" t="s">
        <v>955</v>
      </c>
      <c r="H850" s="22">
        <f>COUNTIFS('Disciplinary Actions'!$I$4:$I$100003,"3rd Offense",'Disciplinary Actions'!$D$4:$D$100003,mCrit,'Disciplinary Actions'!$F$4:$F$100003,dCrit)</f>
        <v>0</v>
      </c>
      <c r="J850" s="13" t="s">
        <v>956</v>
      </c>
      <c r="K850" s="22">
        <f>COUNTIFS('Disciplinary Actions'!$K$4:$K$100003,"Appealed",'Disciplinary Actions'!$D$4:$D$100003,mCrit,'Disciplinary Actions'!$F$4:$F$100003,dCrit)</f>
        <v>0</v>
      </c>
      <c r="M850" s="13" t="s">
        <v>953</v>
      </c>
      <c r="N850" s="22">
        <f>COUNTIFS('Disciplinary Actions'!$K$4:$K$100003,"Under Review",'Disciplinary Actions'!$D$4:$D$100003,mCrit,'Disciplinary Actions'!$F$4:$F$100003,dCrit)</f>
        <v>0</v>
      </c>
      <c r="P850" s="13" t="s">
        <v>39</v>
      </c>
      <c r="Q850" s="22">
        <f>COUNTIFS('Disciplinary Actions'!$D$4:$D$100003,mCrit,'Disciplinary Actions'!$F$4:$F$100003,"Engineering")</f>
        <v>0</v>
      </c>
      <c r="R850" s="25">
        <f>IFERROR((COUNTIFS('Disciplinary Actions'!$K$4:$K$100003,"Completed",'Disciplinary Actions'!$D$4:$D$100003,mCrit,'Disciplinary Actions'!$F$4:$F$100003,"Engineering"))/COUNTIFS('Disciplinary Actions'!$D$4:$D$100003,mCrit,'Disciplinary Actions'!$F$4:$F$100003,"Engineering")*100,0)</f>
        <v>0</v>
      </c>
      <c r="S850" s="22">
        <f>COUNTIFS('Disciplinary Actions'!$D$4:$D$100003,mCrit,'Disciplinary Actions'!$F$4:$F$100003,"Engineering")</f>
        <v>0</v>
      </c>
    </row>
    <row r="851" spans="2:34">
      <c r="B851" s="23" t="s">
        <v>53</v>
      </c>
      <c r="C851" s="22">
        <f>COUNTIFS('Disciplinary Actions'!$D$4:$D$100003,"Apr",'Disciplinary Actions'!$F$4:$F$100003,dCrit)</f>
        <v>0</v>
      </c>
      <c r="E851" s="13" t="s">
        <v>971</v>
      </c>
      <c r="F851" s="22">
        <f>COUNTIFS('Disciplinary Actions'!$E$4:$E$100003,"Unauthorized Work",'Disciplinary Actions'!$D$4:$D$100003,mCrit,'Disciplinary Actions'!$F$4:$F$100003,dCrit)</f>
        <v>0</v>
      </c>
      <c r="M851" s="13" t="s">
        <v>956</v>
      </c>
      <c r="N851" s="22">
        <f>COUNTIFS('Disciplinary Actions'!$K$4:$K$100003,"Appealed",'Disciplinary Actions'!$D$4:$D$100003,mCrit,'Disciplinary Actions'!$F$4:$F$100003,dCrit)</f>
        <v>0</v>
      </c>
      <c r="P851" s="13" t="s">
        <v>89</v>
      </c>
      <c r="Q851" s="22">
        <f>COUNTIFS('Disciplinary Actions'!$D$4:$D$100003,mCrit,'Disciplinary Actions'!$F$4:$F$100003,"Construction")</f>
        <v>0</v>
      </c>
      <c r="R851" s="25">
        <f>IFERROR((COUNTIFS('Disciplinary Actions'!$K$4:$K$100003,"Completed",'Disciplinary Actions'!$D$4:$D$100003,mCrit,'Disciplinary Actions'!$F$4:$F$100003,"Construction"))/COUNTIFS('Disciplinary Actions'!$D$4:$D$100003,mCrit,'Disciplinary Actions'!$F$4:$F$100003,"Construction")*100,0)</f>
        <v>0</v>
      </c>
      <c r="S851" s="22">
        <f>COUNTIFS('Disciplinary Actions'!$D$4:$D$100003,mCrit,'Disciplinary Actions'!$F$4:$F$100003,"Construction")</f>
        <v>0</v>
      </c>
    </row>
    <row r="852" spans="2:34">
      <c r="B852" s="23" t="s">
        <v>60</v>
      </c>
      <c r="C852" s="22">
        <f>COUNTIFS('Disciplinary Actions'!$D$4:$D$100003,"May",'Disciplinary Actions'!$F$4:$F$100003,dCrit)</f>
        <v>0</v>
      </c>
      <c r="E852" s="13" t="s">
        <v>958</v>
      </c>
      <c r="F852" s="22">
        <f>COUNTIFS('Disciplinary Actions'!$E$4:$E$100003,"Reckless Behavior",'Disciplinary Actions'!$D$4:$D$100003,mCrit,'Disciplinary Actions'!$F$4:$F$100003,dCrit)</f>
        <v>0</v>
      </c>
      <c r="M852" s="13" t="s">
        <v>945</v>
      </c>
      <c r="N852" s="22">
        <f>COUNTIFS('Disciplinary Actions'!$I$4:$I$100003,"1st Offense",'Disciplinary Actions'!$D$4:$D$100003,mCrit,'Disciplinary Actions'!$F$4:$F$100003,dCrit)</f>
        <v>0</v>
      </c>
      <c r="P852" s="13" t="s">
        <v>65</v>
      </c>
      <c r="Q852" s="22">
        <f>COUNTIFS('Disciplinary Actions'!$D$4:$D$100003,mCrit,'Disciplinary Actions'!$F$4:$F$100003,"Safety")</f>
        <v>0</v>
      </c>
      <c r="R852" s="25">
        <f>IFERROR((COUNTIFS('Disciplinary Actions'!$K$4:$K$100003,"Completed",'Disciplinary Actions'!$D$4:$D$100003,mCrit,'Disciplinary Actions'!$F$4:$F$100003,"Safety"))/COUNTIFS('Disciplinary Actions'!$D$4:$D$100003,mCrit,'Disciplinary Actions'!$F$4:$F$100003,"Safety")*100,0)</f>
        <v>0</v>
      </c>
      <c r="S852" s="22">
        <f>COUNTIFS('Disciplinary Actions'!$D$4:$D$100003,mCrit,'Disciplinary Actions'!$F$4:$F$100003,"Safety")</f>
        <v>0</v>
      </c>
    </row>
    <row r="853" spans="2:34">
      <c r="B853" s="23" t="s">
        <v>73</v>
      </c>
      <c r="C853" s="22">
        <f>COUNTIFS('Disciplinary Actions'!$D$4:$D$100003,"Jun",'Disciplinary Actions'!$F$4:$F$100003,dCrit)</f>
        <v>0</v>
      </c>
      <c r="E853" s="13" t="s">
        <v>944</v>
      </c>
      <c r="F853" s="22">
        <f>COUNTIFS('Disciplinary Actions'!$E$4:$E$100003,"Substance Abuse",'Disciplinary Actions'!$D$4:$D$100003,mCrit,'Disciplinary Actions'!$F$4:$F$100003,dCrit)</f>
        <v>0</v>
      </c>
      <c r="M853" s="13" t="s">
        <v>962</v>
      </c>
      <c r="N853" s="22">
        <f>COUNTIFS('Disciplinary Actions'!$I$4:$I$100003,"Repeat",'Disciplinary Actions'!$D$4:$D$100003,mCrit,'Disciplinary Actions'!$F$4:$F$100003,dCrit)</f>
        <v>0</v>
      </c>
      <c r="P853" s="13" t="s">
        <v>5</v>
      </c>
      <c r="Q853" s="22">
        <f>COUNTIFS('Disciplinary Actions'!$D$4:$D$100003,mCrit,'Disciplinary Actions'!$F$4:$F$100003,"Logistics")</f>
        <v>0</v>
      </c>
      <c r="R853" s="25">
        <f>IFERROR((COUNTIFS('Disciplinary Actions'!$K$4:$K$100003,"Completed",'Disciplinary Actions'!$D$4:$D$100003,mCrit,'Disciplinary Actions'!$F$4:$F$100003,"Logistics"))/COUNTIFS('Disciplinary Actions'!$D$4:$D$100003,mCrit,'Disciplinary Actions'!$F$4:$F$100003,"Logistics")*100,0)</f>
        <v>0</v>
      </c>
      <c r="S853" s="22">
        <f>COUNTIFS('Disciplinary Actions'!$D$4:$D$100003,mCrit,'Disciplinary Actions'!$F$4:$F$100003,"Logistics")</f>
        <v>0</v>
      </c>
    </row>
    <row r="854" spans="2:34">
      <c r="B854" s="23" t="s">
        <v>76</v>
      </c>
      <c r="C854" s="22">
        <f>COUNTIFS('Disciplinary Actions'!$D$4:$D$100003,"Jul",'Disciplinary Actions'!$F$4:$F$100003,dCrit)</f>
        <v>0</v>
      </c>
      <c r="M854" s="13" t="s">
        <v>2023</v>
      </c>
      <c r="N854" s="22">
        <f>COUNTIFS('Disciplinary Actions'!$H$4:$H$100003,"Suspension",'Disciplinary Actions'!$D$4:$D$100003,mCrit,'Disciplinary Actions'!$F$4:$F$100003,dCrit)</f>
        <v>0</v>
      </c>
      <c r="P854" s="13" t="s">
        <v>50</v>
      </c>
      <c r="Q854" s="22">
        <f>COUNTIFS('Disciplinary Actions'!$D$4:$D$100003,mCrit,'Disciplinary Actions'!$F$4:$F$100003,"Quality")</f>
        <v>0</v>
      </c>
      <c r="R854" s="25">
        <f>IFERROR((COUNTIFS('Disciplinary Actions'!$K$4:$K$100003,"Completed",'Disciplinary Actions'!$D$4:$D$100003,mCrit,'Disciplinary Actions'!$F$4:$F$100003,"Quality"))/COUNTIFS('Disciplinary Actions'!$D$4:$D$100003,mCrit,'Disciplinary Actions'!$F$4:$F$100003,"Quality")*100,0)</f>
        <v>0</v>
      </c>
      <c r="S854" s="22">
        <f>COUNTIFS('Disciplinary Actions'!$D$4:$D$100003,mCrit,'Disciplinary Actions'!$F$4:$F$100003,"Quality")</f>
        <v>0</v>
      </c>
    </row>
    <row r="855" spans="2:34">
      <c r="B855" s="23" t="s">
        <v>86</v>
      </c>
      <c r="C855" s="22">
        <f>COUNTIFS('Disciplinary Actions'!$D$4:$D$100003,"Aug",'Disciplinary Actions'!$F$4:$F$100003,dCrit)</f>
        <v>0</v>
      </c>
      <c r="M855" s="13" t="s">
        <v>2024</v>
      </c>
      <c r="N855" s="22">
        <f>COUNTIFS('Disciplinary Actions'!$H$4:$H$100003,"Termination",'Disciplinary Actions'!$D$4:$D$100003,mCrit,'Disciplinary Actions'!$F$4:$F$100003,dCrit)</f>
        <v>0</v>
      </c>
      <c r="P855" s="13" t="s">
        <v>46</v>
      </c>
      <c r="Q855" s="22">
        <f>COUNTIFS('Disciplinary Actions'!$D$4:$D$100003,mCrit,'Disciplinary Actions'!$F$4:$F$100003,"Admin")</f>
        <v>0</v>
      </c>
      <c r="R855" s="25">
        <f>IFERROR((COUNTIFS('Disciplinary Actions'!$K$4:$K$100003,"Completed",'Disciplinary Actions'!$D$4:$D$100003,mCrit,'Disciplinary Actions'!$F$4:$F$100003,"Admin"))/COUNTIFS('Disciplinary Actions'!$D$4:$D$100003,mCrit,'Disciplinary Actions'!$F$4:$F$100003,"Admin")*100,0)</f>
        <v>0</v>
      </c>
      <c r="S855" s="22">
        <f>COUNTIFS('Disciplinary Actions'!$D$4:$D$100003,mCrit,'Disciplinary Actions'!$F$4:$F$100003,"Admin")</f>
        <v>0</v>
      </c>
    </row>
    <row r="856" spans="2:34">
      <c r="B856" s="23" t="s">
        <v>102</v>
      </c>
      <c r="C856" s="22">
        <f>COUNTIFS('Disciplinary Actions'!$D$4:$D$100003,"Sep",'Disciplinary Actions'!$F$4:$F$100003,dCrit)</f>
        <v>0</v>
      </c>
      <c r="P856" s="13" t="s">
        <v>13</v>
      </c>
      <c r="Q856" s="22">
        <f>COUNTIFS('Disciplinary Actions'!$D$4:$D$100003,mCrit,'Disciplinary Actions'!$F$4:$F$100003,"Projects")</f>
        <v>0</v>
      </c>
      <c r="R856" s="25">
        <f>IFERROR((COUNTIFS('Disciplinary Actions'!$K$4:$K$100003,"Completed",'Disciplinary Actions'!$D$4:$D$100003,mCrit,'Disciplinary Actions'!$F$4:$F$100003,"Projects"))/COUNTIFS('Disciplinary Actions'!$D$4:$D$100003,mCrit,'Disciplinary Actions'!$F$4:$F$100003,"Projects")*100,0)</f>
        <v>0</v>
      </c>
      <c r="S856" s="22">
        <f>COUNTIFS('Disciplinary Actions'!$D$4:$D$100003,mCrit,'Disciplinary Actions'!$F$4:$F$100003,"Projects")</f>
        <v>0</v>
      </c>
    </row>
    <row r="857" spans="2:34">
      <c r="B857" s="23" t="s">
        <v>106</v>
      </c>
      <c r="C857" s="22">
        <f>COUNTIFS('Disciplinary Actions'!$D$4:$D$100003,"Oct",'Disciplinary Actions'!$F$4:$F$100003,dCrit)</f>
        <v>0</v>
      </c>
      <c r="P857" s="13" t="s">
        <v>58</v>
      </c>
      <c r="Q857" s="22">
        <f>COUNTIFS('Disciplinary Actions'!$D$4:$D$100003,mCrit,'Disciplinary Actions'!$F$4:$F$100003,"Contractor")</f>
        <v>0</v>
      </c>
      <c r="R857" s="25">
        <f>IFERROR((COUNTIFS('Disciplinary Actions'!$K$4:$K$100003,"Completed",'Disciplinary Actions'!$D$4:$D$100003,mCrit,'Disciplinary Actions'!$F$4:$F$100003,"Contractor"))/COUNTIFS('Disciplinary Actions'!$D$4:$D$100003,mCrit,'Disciplinary Actions'!$F$4:$F$100003,"Contractor")*100,0)</f>
        <v>0</v>
      </c>
      <c r="S857" s="22">
        <f>COUNTIFS('Disciplinary Actions'!$D$4:$D$100003,mCrit,'Disciplinary Actions'!$F$4:$F$100003,"Contractor")</f>
        <v>0</v>
      </c>
    </row>
    <row r="858" spans="2:34">
      <c r="B858" s="23" t="s">
        <v>111</v>
      </c>
      <c r="C858" s="22">
        <f>COUNTIFS('Disciplinary Actions'!$D$4:$D$100003,"Nov",'Disciplinary Actions'!$F$4:$F$100003,dCrit)</f>
        <v>0</v>
      </c>
    </row>
    <row r="859" spans="2:34">
      <c r="B859" s="23" t="s">
        <v>122</v>
      </c>
      <c r="C859" s="22">
        <f>COUNTIFS('Disciplinary Actions'!$D$4:$D$100003,"Dec",'Disciplinary Actions'!$F$4:$F$100003,dCrit)</f>
        <v>0</v>
      </c>
    </row>
    <row r="872" spans="2:34">
      <c r="B872" s="17" t="s">
        <v>2025</v>
      </c>
    </row>
    <row r="873" spans="2:34">
      <c r="B873" s="12" t="s">
        <v>127</v>
      </c>
      <c r="C873" s="12" t="s">
        <v>1887</v>
      </c>
      <c r="E873" s="12" t="s">
        <v>1071</v>
      </c>
      <c r="F873" s="12" t="s">
        <v>1887</v>
      </c>
      <c r="G873" s="12" t="s">
        <v>1073</v>
      </c>
      <c r="H873" s="12" t="s">
        <v>1887</v>
      </c>
      <c r="J873" s="12" t="s">
        <v>286</v>
      </c>
      <c r="K873" s="12" t="s">
        <v>1887</v>
      </c>
      <c r="M873" s="12" t="s">
        <v>1849</v>
      </c>
      <c r="N873" s="12" t="s">
        <v>1960</v>
      </c>
      <c r="P873" s="12" t="s">
        <v>129</v>
      </c>
      <c r="Q873" s="12" t="s">
        <v>1887</v>
      </c>
      <c r="R873" s="12" t="s">
        <v>1979</v>
      </c>
      <c r="S873" s="12" t="s">
        <v>1694</v>
      </c>
      <c r="U873" s="12" t="s">
        <v>1970</v>
      </c>
      <c r="V873" s="12" t="s">
        <v>3</v>
      </c>
      <c r="W873" s="12" t="s">
        <v>19</v>
      </c>
      <c r="X873" s="12" t="s">
        <v>44</v>
      </c>
      <c r="Y873" s="12" t="s">
        <v>53</v>
      </c>
      <c r="Z873" s="12" t="s">
        <v>60</v>
      </c>
      <c r="AA873" s="12" t="s">
        <v>73</v>
      </c>
      <c r="AB873" s="12" t="s">
        <v>76</v>
      </c>
      <c r="AC873" s="12" t="s">
        <v>86</v>
      </c>
      <c r="AD873" s="12" t="s">
        <v>102</v>
      </c>
      <c r="AE873" s="12" t="s">
        <v>106</v>
      </c>
      <c r="AF873" s="12" t="s">
        <v>111</v>
      </c>
      <c r="AG873" s="12" t="s">
        <v>122</v>
      </c>
      <c r="AH873" s="12" t="s">
        <v>1971</v>
      </c>
    </row>
    <row r="874" spans="2:34">
      <c r="B874" s="23" t="s">
        <v>3</v>
      </c>
      <c r="C874" s="22">
        <f>COUNTIFS('Safety Awards'!$D$4:$D$100003,"Jan",'Safety Awards'!$F$4:$F$100003,dCrit)</f>
        <v>0</v>
      </c>
      <c r="E874" s="13" t="s">
        <v>1017</v>
      </c>
      <c r="F874" s="22">
        <f>COUNTIFS('Safety Awards'!$E$4:$E$100003,"Safe Worker of Month",'Safety Awards'!$D$4:$D$100003,mCrit,'Safety Awards'!$F$4:$F$100003,dCrit)</f>
        <v>0</v>
      </c>
      <c r="G874" s="13" t="s">
        <v>1030</v>
      </c>
      <c r="H874" s="22">
        <f>COUNTIFS('Safety Awards'!$H$4:$H$100003,"Certificate",'Safety Awards'!$D$4:$D$100003,mCrit,'Safety Awards'!$F$4:$F$100003,dCrit)</f>
        <v>0</v>
      </c>
      <c r="J874" s="13" t="s">
        <v>1012</v>
      </c>
      <c r="K874" s="22">
        <f>COUNTIFS('Safety Awards'!$J$4:$J$100003,"Presented",'Safety Awards'!$D$4:$D$100003,mCrit,'Safety Awards'!$F$4:$F$100003,dCrit)</f>
        <v>0</v>
      </c>
      <c r="M874" s="13" t="s">
        <v>2026</v>
      </c>
      <c r="N874" s="22">
        <f>COUNTIFS('Safety Awards'!$D$4:$D$100003,mCrit,'Safety Awards'!$F$4:$F$100003,dCrit)</f>
        <v>0</v>
      </c>
      <c r="P874" s="13" t="s">
        <v>27</v>
      </c>
      <c r="Q874" s="22">
        <f>COUNTIFS('Safety Awards'!$D$4:$D$100003,mCrit,'Safety Awards'!$F$4:$F$100003,"Operations")</f>
        <v>0</v>
      </c>
      <c r="R874" s="25">
        <f>IFERROR((COUNTIFS('Safety Awards'!$J$4:$J$100003,"Presented",'Safety Awards'!$D$4:$D$100003,mCrit,'Safety Awards'!$F$4:$F$100003,"Operations"))/COUNTIFS('Safety Awards'!$D$4:$D$100003,mCrit,'Safety Awards'!$F$4:$F$100003,"Operations")*100,0)</f>
        <v>0</v>
      </c>
      <c r="S874" s="22">
        <f>COUNTIFS('Safety Awards'!$D$4:$D$100003,mCrit,'Safety Awards'!$F$4:$F$100003,"Operations")</f>
        <v>0</v>
      </c>
      <c r="U874" s="13" t="s">
        <v>1694</v>
      </c>
      <c r="V874" s="22">
        <f>COUNTIFS('Safety Awards'!$D$4:$D$100003,"Jan",'Safety Awards'!$F$4:$F$100003,dCrit)</f>
        <v>0</v>
      </c>
      <c r="W874" s="22">
        <f>COUNTIFS('Safety Awards'!$D$4:$D$100003,"Feb",'Safety Awards'!$F$4:$F$100003,dCrit)</f>
        <v>0</v>
      </c>
      <c r="X874" s="22">
        <f>COUNTIFS('Safety Awards'!$D$4:$D$100003,"Mar",'Safety Awards'!$F$4:$F$100003,dCrit)</f>
        <v>0</v>
      </c>
      <c r="Y874" s="22">
        <f>COUNTIFS('Safety Awards'!$D$4:$D$100003,"Apr",'Safety Awards'!$F$4:$F$100003,dCrit)</f>
        <v>0</v>
      </c>
      <c r="Z874" s="22">
        <f>COUNTIFS('Safety Awards'!$D$4:$D$100003,"May",'Safety Awards'!$F$4:$F$100003,dCrit)</f>
        <v>0</v>
      </c>
      <c r="AA874" s="22">
        <f>COUNTIFS('Safety Awards'!$D$4:$D$100003,"Jun",'Safety Awards'!$F$4:$F$100003,dCrit)</f>
        <v>0</v>
      </c>
      <c r="AB874" s="22">
        <f>COUNTIFS('Safety Awards'!$D$4:$D$100003,"Jul",'Safety Awards'!$F$4:$F$100003,dCrit)</f>
        <v>0</v>
      </c>
      <c r="AC874" s="22">
        <f>COUNTIFS('Safety Awards'!$D$4:$D$100003,"Aug",'Safety Awards'!$F$4:$F$100003,dCrit)</f>
        <v>0</v>
      </c>
      <c r="AD874" s="22">
        <f>COUNTIFS('Safety Awards'!$D$4:$D$100003,"Sep",'Safety Awards'!$F$4:$F$100003,dCrit)</f>
        <v>0</v>
      </c>
      <c r="AE874" s="22">
        <f>COUNTIFS('Safety Awards'!$D$4:$D$100003,"Oct",'Safety Awards'!$F$4:$F$100003,dCrit)</f>
        <v>0</v>
      </c>
      <c r="AF874" s="22">
        <f>COUNTIFS('Safety Awards'!$D$4:$D$100003,"Nov",'Safety Awards'!$F$4:$F$100003,dCrit)</f>
        <v>0</v>
      </c>
      <c r="AG874" s="22">
        <f>COUNTIFS('Safety Awards'!$D$4:$D$100003,"Dec",'Safety Awards'!$F$4:$F$100003,dCrit)</f>
        <v>0</v>
      </c>
      <c r="AH874" s="22">
        <f>SUM(V874:AG874)</f>
        <v>0</v>
      </c>
    </row>
    <row r="875" spans="2:34">
      <c r="B875" s="23" t="s">
        <v>19</v>
      </c>
      <c r="C875" s="22">
        <f>COUNTIFS('Safety Awards'!$D$4:$D$100003,"Feb",'Safety Awards'!$F$4:$F$100003,dCrit)</f>
        <v>0</v>
      </c>
      <c r="E875" s="13" t="s">
        <v>1014</v>
      </c>
      <c r="F875" s="22">
        <f>COUNTIFS('Safety Awards'!$E$4:$E$100003,"Best Safety Suggestion",'Safety Awards'!$D$4:$D$100003,mCrit,'Safety Awards'!$F$4:$F$100003,dCrit)</f>
        <v>0</v>
      </c>
      <c r="G875" s="13" t="s">
        <v>1015</v>
      </c>
      <c r="H875" s="22">
        <f>COUNTIFS('Safety Awards'!$H$4:$H$100003,"Trophy",'Safety Awards'!$D$4:$D$100003,mCrit,'Safety Awards'!$F$4:$F$100003,dCrit)</f>
        <v>0</v>
      </c>
      <c r="J875" s="13" t="s">
        <v>230</v>
      </c>
      <c r="K875" s="22">
        <f>COUNTIFS('Safety Awards'!$J$4:$J$100003,"Scheduled",'Safety Awards'!$D$4:$D$100003,mCrit,'Safety Awards'!$F$4:$F$100003,dCrit)</f>
        <v>0</v>
      </c>
      <c r="M875" s="13" t="s">
        <v>1012</v>
      </c>
      <c r="N875" s="22">
        <f>COUNTIFS('Safety Awards'!$J$4:$J$100003,"Presented",'Safety Awards'!$D$4:$D$100003,mCrit,'Safety Awards'!$F$4:$F$100003,dCrit)</f>
        <v>0</v>
      </c>
      <c r="P875" s="13" t="s">
        <v>92</v>
      </c>
      <c r="Q875" s="22">
        <f>COUNTIFS('Safety Awards'!$D$4:$D$100003,mCrit,'Safety Awards'!$F$4:$F$100003,"Maintenance")</f>
        <v>0</v>
      </c>
      <c r="R875" s="25">
        <f>IFERROR((COUNTIFS('Safety Awards'!$J$4:$J$100003,"Presented",'Safety Awards'!$D$4:$D$100003,mCrit,'Safety Awards'!$F$4:$F$100003,"Maintenance"))/COUNTIFS('Safety Awards'!$D$4:$D$100003,mCrit,'Safety Awards'!$F$4:$F$100003,"Maintenance")*100,0)</f>
        <v>0</v>
      </c>
      <c r="S875" s="22">
        <f>COUNTIFS('Safety Awards'!$D$4:$D$100003,mCrit,'Safety Awards'!$F$4:$F$100003,"Maintenance")</f>
        <v>0</v>
      </c>
      <c r="U875" s="13" t="s">
        <v>1980</v>
      </c>
      <c r="V875" s="25">
        <f>IFERROR((COUNTIFS('Safety Awards'!$J$4:$J$100003,"Presented",'Safety Awards'!$D$4:$D$100003,"Jan",'Safety Awards'!$F$4:$F$100003,dCrit))/COUNTIFS('Safety Awards'!$D$4:$D$100003,"Jan",'Safety Awards'!$F$4:$F$100003,dCrit)*100,0)</f>
        <v>0</v>
      </c>
      <c r="W875" s="25">
        <f>IFERROR((COUNTIFS('Safety Awards'!$J$4:$J$100003,"Presented",'Safety Awards'!$D$4:$D$100003,"Feb",'Safety Awards'!$F$4:$F$100003,dCrit))/COUNTIFS('Safety Awards'!$D$4:$D$100003,"Feb",'Safety Awards'!$F$4:$F$100003,dCrit)*100,0)</f>
        <v>0</v>
      </c>
      <c r="X875" s="25">
        <f>IFERROR((COUNTIFS('Safety Awards'!$J$4:$J$100003,"Presented",'Safety Awards'!$D$4:$D$100003,"Mar",'Safety Awards'!$F$4:$F$100003,dCrit))/COUNTIFS('Safety Awards'!$D$4:$D$100003,"Mar",'Safety Awards'!$F$4:$F$100003,dCrit)*100,0)</f>
        <v>0</v>
      </c>
      <c r="Y875" s="25">
        <f>IFERROR((COUNTIFS('Safety Awards'!$J$4:$J$100003,"Presented",'Safety Awards'!$D$4:$D$100003,"Apr",'Safety Awards'!$F$4:$F$100003,dCrit))/COUNTIFS('Safety Awards'!$D$4:$D$100003,"Apr",'Safety Awards'!$F$4:$F$100003,dCrit)*100,0)</f>
        <v>0</v>
      </c>
      <c r="Z875" s="25">
        <f>IFERROR((COUNTIFS('Safety Awards'!$J$4:$J$100003,"Presented",'Safety Awards'!$D$4:$D$100003,"May",'Safety Awards'!$F$4:$F$100003,dCrit))/COUNTIFS('Safety Awards'!$D$4:$D$100003,"May",'Safety Awards'!$F$4:$F$100003,dCrit)*100,0)</f>
        <v>0</v>
      </c>
      <c r="AA875" s="25">
        <f>IFERROR((COUNTIFS('Safety Awards'!$J$4:$J$100003,"Presented",'Safety Awards'!$D$4:$D$100003,"Jun",'Safety Awards'!$F$4:$F$100003,dCrit))/COUNTIFS('Safety Awards'!$D$4:$D$100003,"Jun",'Safety Awards'!$F$4:$F$100003,dCrit)*100,0)</f>
        <v>0</v>
      </c>
      <c r="AB875" s="25">
        <f>IFERROR((COUNTIFS('Safety Awards'!$J$4:$J$100003,"Presented",'Safety Awards'!$D$4:$D$100003,"Jul",'Safety Awards'!$F$4:$F$100003,dCrit))/COUNTIFS('Safety Awards'!$D$4:$D$100003,"Jul",'Safety Awards'!$F$4:$F$100003,dCrit)*100,0)</f>
        <v>0</v>
      </c>
      <c r="AC875" s="25">
        <f>IFERROR((COUNTIFS('Safety Awards'!$J$4:$J$100003,"Presented",'Safety Awards'!$D$4:$D$100003,"Aug",'Safety Awards'!$F$4:$F$100003,dCrit))/COUNTIFS('Safety Awards'!$D$4:$D$100003,"Aug",'Safety Awards'!$F$4:$F$100003,dCrit)*100,0)</f>
        <v>0</v>
      </c>
      <c r="AD875" s="25">
        <f>IFERROR((COUNTIFS('Safety Awards'!$J$4:$J$100003,"Presented",'Safety Awards'!$D$4:$D$100003,"Sep",'Safety Awards'!$F$4:$F$100003,dCrit))/COUNTIFS('Safety Awards'!$D$4:$D$100003,"Sep",'Safety Awards'!$F$4:$F$100003,dCrit)*100,0)</f>
        <v>0</v>
      </c>
      <c r="AE875" s="25">
        <f>IFERROR((COUNTIFS('Safety Awards'!$J$4:$J$100003,"Presented",'Safety Awards'!$D$4:$D$100003,"Oct",'Safety Awards'!$F$4:$F$100003,dCrit))/COUNTIFS('Safety Awards'!$D$4:$D$100003,"Oct",'Safety Awards'!$F$4:$F$100003,dCrit)*100,0)</f>
        <v>0</v>
      </c>
      <c r="AF875" s="25">
        <f>IFERROR((COUNTIFS('Safety Awards'!$J$4:$J$100003,"Presented",'Safety Awards'!$D$4:$D$100003,"Nov",'Safety Awards'!$F$4:$F$100003,dCrit))/COUNTIFS('Safety Awards'!$D$4:$D$100003,"Nov",'Safety Awards'!$F$4:$F$100003,dCrit)*100,0)</f>
        <v>0</v>
      </c>
      <c r="AG875" s="25">
        <f>IFERROR((COUNTIFS('Safety Awards'!$J$4:$J$100003,"Presented",'Safety Awards'!$D$4:$D$100003,"Dec",'Safety Awards'!$F$4:$F$100003,dCrit))/COUNTIFS('Safety Awards'!$D$4:$D$100003,"Dec",'Safety Awards'!$F$4:$F$100003,dCrit)*100,0)</f>
        <v>0</v>
      </c>
      <c r="AH875" s="25">
        <f>IFERROR(AVERAGE(V875:AG875),0)</f>
        <v>0</v>
      </c>
    </row>
    <row r="876" spans="2:34">
      <c r="B876" s="23" t="s">
        <v>44</v>
      </c>
      <c r="C876" s="22">
        <f>COUNTIFS('Safety Awards'!$D$4:$D$100003,"Mar",'Safety Awards'!$F$4:$F$100003,dCrit)</f>
        <v>0</v>
      </c>
      <c r="E876" s="13" t="s">
        <v>1026</v>
      </c>
      <c r="F876" s="22">
        <f>COUNTIFS('Safety Awards'!$E$4:$E$100003,"Zero Incident Award",'Safety Awards'!$D$4:$D$100003,mCrit,'Safety Awards'!$F$4:$F$100003,dCrit)</f>
        <v>0</v>
      </c>
      <c r="G876" s="13" t="s">
        <v>1018</v>
      </c>
      <c r="H876" s="22">
        <f>COUNTIFS('Safety Awards'!$H$4:$H$100003,"Cash Bonus",'Safety Awards'!$D$4:$D$100003,mCrit,'Safety Awards'!$F$4:$F$100003,dCrit)</f>
        <v>0</v>
      </c>
      <c r="J876" s="13" t="s">
        <v>1020</v>
      </c>
      <c r="K876" s="22">
        <f>COUNTIFS('Safety Awards'!$J$4:$J$100003,"Nominated",'Safety Awards'!$D$4:$D$100003,mCrit,'Safety Awards'!$F$4:$F$100003,dCrit)</f>
        <v>0</v>
      </c>
      <c r="M876" s="13" t="s">
        <v>230</v>
      </c>
      <c r="N876" s="22">
        <f>COUNTIFS('Safety Awards'!$J$4:$J$100003,"Scheduled",'Safety Awards'!$D$4:$D$100003,mCrit,'Safety Awards'!$F$4:$F$100003,dCrit)</f>
        <v>0</v>
      </c>
      <c r="P876" s="13" t="s">
        <v>39</v>
      </c>
      <c r="Q876" s="22">
        <f>COUNTIFS('Safety Awards'!$D$4:$D$100003,mCrit,'Safety Awards'!$F$4:$F$100003,"Engineering")</f>
        <v>0</v>
      </c>
      <c r="R876" s="25">
        <f>IFERROR((COUNTIFS('Safety Awards'!$J$4:$J$100003,"Presented",'Safety Awards'!$D$4:$D$100003,mCrit,'Safety Awards'!$F$4:$F$100003,"Engineering"))/COUNTIFS('Safety Awards'!$D$4:$D$100003,mCrit,'Safety Awards'!$F$4:$F$100003,"Engineering")*100,0)</f>
        <v>0</v>
      </c>
      <c r="S876" s="22">
        <f>COUNTIFS('Safety Awards'!$D$4:$D$100003,mCrit,'Safety Awards'!$F$4:$F$100003,"Engineering")</f>
        <v>0</v>
      </c>
    </row>
    <row r="877" spans="2:34">
      <c r="B877" s="23" t="s">
        <v>53</v>
      </c>
      <c r="C877" s="22">
        <f>COUNTIFS('Safety Awards'!$D$4:$D$100003,"Apr",'Safety Awards'!$F$4:$F$100003,dCrit)</f>
        <v>0</v>
      </c>
      <c r="E877" s="13" t="s">
        <v>1029</v>
      </c>
      <c r="F877" s="22">
        <f>COUNTIFS('Safety Awards'!$E$4:$E$100003,"HSE Champion",'Safety Awards'!$D$4:$D$100003,mCrit,'Safety Awards'!$F$4:$F$100003,dCrit)</f>
        <v>0</v>
      </c>
      <c r="G877" s="13" t="s">
        <v>1027</v>
      </c>
      <c r="H877" s="22">
        <f>COUNTIFS('Safety Awards'!$H$4:$H$100003,"Gift Voucher",'Safety Awards'!$D$4:$D$100003,mCrit,'Safety Awards'!$F$4:$F$100003,dCrit)</f>
        <v>0</v>
      </c>
      <c r="M877" s="13" t="s">
        <v>1020</v>
      </c>
      <c r="N877" s="22">
        <f>COUNTIFS('Safety Awards'!$J$4:$J$100003,"Nominated",'Safety Awards'!$D$4:$D$100003,mCrit,'Safety Awards'!$F$4:$F$100003,dCrit)</f>
        <v>0</v>
      </c>
      <c r="P877" s="13" t="s">
        <v>89</v>
      </c>
      <c r="Q877" s="22">
        <f>COUNTIFS('Safety Awards'!$D$4:$D$100003,mCrit,'Safety Awards'!$F$4:$F$100003,"Construction")</f>
        <v>0</v>
      </c>
      <c r="R877" s="25">
        <f>IFERROR((COUNTIFS('Safety Awards'!$J$4:$J$100003,"Presented",'Safety Awards'!$D$4:$D$100003,mCrit,'Safety Awards'!$F$4:$F$100003,"Construction"))/COUNTIFS('Safety Awards'!$D$4:$D$100003,mCrit,'Safety Awards'!$F$4:$F$100003,"Construction")*100,0)</f>
        <v>0</v>
      </c>
      <c r="S877" s="22">
        <f>COUNTIFS('Safety Awards'!$D$4:$D$100003,mCrit,'Safety Awards'!$F$4:$F$100003,"Construction")</f>
        <v>0</v>
      </c>
    </row>
    <row r="878" spans="2:34">
      <c r="B878" s="23" t="s">
        <v>60</v>
      </c>
      <c r="C878" s="22">
        <f>COUNTIFS('Safety Awards'!$D$4:$D$100003,"May",'Safety Awards'!$F$4:$F$100003,dCrit)</f>
        <v>0</v>
      </c>
      <c r="E878" s="13" t="s">
        <v>1022</v>
      </c>
      <c r="F878" s="22">
        <f>COUNTIFS('Safety Awards'!$E$4:$E$100003,"Safety Innovation",'Safety Awards'!$D$4:$D$100003,mCrit,'Safety Awards'!$F$4:$F$100003,dCrit)</f>
        <v>0</v>
      </c>
      <c r="G878" s="13" t="s">
        <v>1011</v>
      </c>
      <c r="H878" s="22">
        <f>COUNTIFS('Safety Awards'!$H$4:$H$100003,"Recognition Letter",'Safety Awards'!$D$4:$D$100003,mCrit,'Safety Awards'!$F$4:$F$100003,dCrit)</f>
        <v>0</v>
      </c>
      <c r="M878" s="13" t="s">
        <v>1985</v>
      </c>
      <c r="N878" s="22">
        <f>COUNTIFS('Safety Awards'!$H$4:$H$100003,"Certificate",'Safety Awards'!$D$4:$D$100003,mCrit,'Safety Awards'!$F$4:$F$100003,dCrit)</f>
        <v>0</v>
      </c>
      <c r="P878" s="13" t="s">
        <v>65</v>
      </c>
      <c r="Q878" s="22">
        <f>COUNTIFS('Safety Awards'!$D$4:$D$100003,mCrit,'Safety Awards'!$F$4:$F$100003,"Safety")</f>
        <v>0</v>
      </c>
      <c r="R878" s="25">
        <f>IFERROR((COUNTIFS('Safety Awards'!$J$4:$J$100003,"Presented",'Safety Awards'!$D$4:$D$100003,mCrit,'Safety Awards'!$F$4:$F$100003,"Safety"))/COUNTIFS('Safety Awards'!$D$4:$D$100003,mCrit,'Safety Awards'!$F$4:$F$100003,"Safety")*100,0)</f>
        <v>0</v>
      </c>
      <c r="S878" s="22">
        <f>COUNTIFS('Safety Awards'!$D$4:$D$100003,mCrit,'Safety Awards'!$F$4:$F$100003,"Safety")</f>
        <v>0</v>
      </c>
    </row>
    <row r="879" spans="2:34">
      <c r="B879" s="23" t="s">
        <v>73</v>
      </c>
      <c r="C879" s="22">
        <f>COUNTIFS('Safety Awards'!$D$4:$D$100003,"Jun",'Safety Awards'!$F$4:$F$100003,dCrit)</f>
        <v>0</v>
      </c>
      <c r="E879" s="13" t="s">
        <v>1010</v>
      </c>
      <c r="F879" s="22">
        <f>COUNTIFS('Safety Awards'!$E$4:$E$100003,"Best Department",'Safety Awards'!$D$4:$D$100003,mCrit,'Safety Awards'!$F$4:$F$100003,dCrit)</f>
        <v>0</v>
      </c>
      <c r="M879" s="13" t="s">
        <v>1018</v>
      </c>
      <c r="N879" s="22">
        <f>COUNTIFS('Safety Awards'!$H$4:$H$100003,"Cash Bonus",'Safety Awards'!$D$4:$D$100003,mCrit,'Safety Awards'!$F$4:$F$100003,dCrit)</f>
        <v>0</v>
      </c>
      <c r="P879" s="13" t="s">
        <v>5</v>
      </c>
      <c r="Q879" s="22">
        <f>COUNTIFS('Safety Awards'!$D$4:$D$100003,mCrit,'Safety Awards'!$F$4:$F$100003,"Logistics")</f>
        <v>0</v>
      </c>
      <c r="R879" s="25">
        <f>IFERROR((COUNTIFS('Safety Awards'!$J$4:$J$100003,"Presented",'Safety Awards'!$D$4:$D$100003,mCrit,'Safety Awards'!$F$4:$F$100003,"Logistics"))/COUNTIFS('Safety Awards'!$D$4:$D$100003,mCrit,'Safety Awards'!$F$4:$F$100003,"Logistics")*100,0)</f>
        <v>0</v>
      </c>
      <c r="S879" s="22">
        <f>COUNTIFS('Safety Awards'!$D$4:$D$100003,mCrit,'Safety Awards'!$F$4:$F$100003,"Logistics")</f>
        <v>0</v>
      </c>
    </row>
    <row r="880" spans="2:34">
      <c r="B880" s="23" t="s">
        <v>76</v>
      </c>
      <c r="C880" s="22">
        <f>COUNTIFS('Safety Awards'!$D$4:$D$100003,"Jul",'Safety Awards'!$F$4:$F$100003,dCrit)</f>
        <v>0</v>
      </c>
      <c r="M880" s="13" t="s">
        <v>2027</v>
      </c>
      <c r="N880" s="22">
        <f>COUNTIFS('Safety Awards'!$H$4:$H$100003,"Trophy",'Safety Awards'!$D$4:$D$100003,mCrit,'Safety Awards'!$F$4:$F$100003,dCrit)</f>
        <v>0</v>
      </c>
      <c r="P880" s="13" t="s">
        <v>50</v>
      </c>
      <c r="Q880" s="22">
        <f>COUNTIFS('Safety Awards'!$D$4:$D$100003,mCrit,'Safety Awards'!$F$4:$F$100003,"Quality")</f>
        <v>0</v>
      </c>
      <c r="R880" s="25">
        <f>IFERROR((COUNTIFS('Safety Awards'!$J$4:$J$100003,"Presented",'Safety Awards'!$D$4:$D$100003,mCrit,'Safety Awards'!$F$4:$F$100003,"Quality"))/COUNTIFS('Safety Awards'!$D$4:$D$100003,mCrit,'Safety Awards'!$F$4:$F$100003,"Quality")*100,0)</f>
        <v>0</v>
      </c>
      <c r="S880" s="22">
        <f>COUNTIFS('Safety Awards'!$D$4:$D$100003,mCrit,'Safety Awards'!$F$4:$F$100003,"Quality")</f>
        <v>0</v>
      </c>
    </row>
    <row r="881" spans="2:19">
      <c r="B881" s="23" t="s">
        <v>86</v>
      </c>
      <c r="C881" s="22">
        <f>COUNTIFS('Safety Awards'!$D$4:$D$100003,"Aug",'Safety Awards'!$F$4:$F$100003,dCrit)</f>
        <v>0</v>
      </c>
      <c r="M881" s="13" t="s">
        <v>2028</v>
      </c>
      <c r="N881" s="22">
        <f>COUNTIFS('Safety Awards'!$H$4:$H$100003,"Gift Voucher",'Safety Awards'!$D$4:$D$100003,mCrit,'Safety Awards'!$F$4:$F$100003,dCrit)</f>
        <v>0</v>
      </c>
      <c r="P881" s="13" t="s">
        <v>46</v>
      </c>
      <c r="Q881" s="22">
        <f>COUNTIFS('Safety Awards'!$D$4:$D$100003,mCrit,'Safety Awards'!$F$4:$F$100003,"Admin")</f>
        <v>0</v>
      </c>
      <c r="R881" s="25">
        <f>IFERROR((COUNTIFS('Safety Awards'!$J$4:$J$100003,"Presented",'Safety Awards'!$D$4:$D$100003,mCrit,'Safety Awards'!$F$4:$F$100003,"Admin"))/COUNTIFS('Safety Awards'!$D$4:$D$100003,mCrit,'Safety Awards'!$F$4:$F$100003,"Admin")*100,0)</f>
        <v>0</v>
      </c>
      <c r="S881" s="22">
        <f>COUNTIFS('Safety Awards'!$D$4:$D$100003,mCrit,'Safety Awards'!$F$4:$F$100003,"Admin")</f>
        <v>0</v>
      </c>
    </row>
    <row r="882" spans="2:19">
      <c r="B882" s="23" t="s">
        <v>102</v>
      </c>
      <c r="C882" s="22">
        <f>COUNTIFS('Safety Awards'!$D$4:$D$100003,"Sep",'Safety Awards'!$F$4:$F$100003,dCrit)</f>
        <v>0</v>
      </c>
      <c r="P882" s="13" t="s">
        <v>13</v>
      </c>
      <c r="Q882" s="22">
        <f>COUNTIFS('Safety Awards'!$D$4:$D$100003,mCrit,'Safety Awards'!$F$4:$F$100003,"Projects")</f>
        <v>0</v>
      </c>
      <c r="R882" s="25">
        <f>IFERROR((COUNTIFS('Safety Awards'!$J$4:$J$100003,"Presented",'Safety Awards'!$D$4:$D$100003,mCrit,'Safety Awards'!$F$4:$F$100003,"Projects"))/COUNTIFS('Safety Awards'!$D$4:$D$100003,mCrit,'Safety Awards'!$F$4:$F$100003,"Projects")*100,0)</f>
        <v>0</v>
      </c>
      <c r="S882" s="22">
        <f>COUNTIFS('Safety Awards'!$D$4:$D$100003,mCrit,'Safety Awards'!$F$4:$F$100003,"Projects")</f>
        <v>0</v>
      </c>
    </row>
    <row r="883" spans="2:19">
      <c r="B883" s="23" t="s">
        <v>106</v>
      </c>
      <c r="C883" s="22">
        <f>COUNTIFS('Safety Awards'!$D$4:$D$100003,"Oct",'Safety Awards'!$F$4:$F$100003,dCrit)</f>
        <v>0</v>
      </c>
      <c r="P883" s="13" t="s">
        <v>58</v>
      </c>
      <c r="Q883" s="22">
        <f>COUNTIFS('Safety Awards'!$D$4:$D$100003,mCrit,'Safety Awards'!$F$4:$F$100003,"Contractor")</f>
        <v>0</v>
      </c>
      <c r="R883" s="25">
        <f>IFERROR((COUNTIFS('Safety Awards'!$J$4:$J$100003,"Presented",'Safety Awards'!$D$4:$D$100003,mCrit,'Safety Awards'!$F$4:$F$100003,"Contractor"))/COUNTIFS('Safety Awards'!$D$4:$D$100003,mCrit,'Safety Awards'!$F$4:$F$100003,"Contractor")*100,0)</f>
        <v>0</v>
      </c>
      <c r="S883" s="22">
        <f>COUNTIFS('Safety Awards'!$D$4:$D$100003,mCrit,'Safety Awards'!$F$4:$F$100003,"Contractor")</f>
        <v>0</v>
      </c>
    </row>
    <row r="884" spans="2:19">
      <c r="B884" s="23" t="s">
        <v>111</v>
      </c>
      <c r="C884" s="22">
        <f>COUNTIFS('Safety Awards'!$D$4:$D$100003,"Nov",'Safety Awards'!$F$4:$F$100003,dCrit)</f>
        <v>0</v>
      </c>
    </row>
    <row r="885" spans="2:19">
      <c r="B885" s="23" t="s">
        <v>122</v>
      </c>
      <c r="C885" s="22">
        <f>COUNTIFS('Safety Awards'!$D$4:$D$100003,"Dec",'Safety Awards'!$F$4:$F$100003,dCrit)</f>
        <v>0</v>
      </c>
    </row>
    <row r="898" spans="2:34">
      <c r="B898" s="17" t="s">
        <v>2029</v>
      </c>
    </row>
    <row r="899" spans="2:34">
      <c r="B899" s="12" t="s">
        <v>127</v>
      </c>
      <c r="C899" s="12" t="s">
        <v>1887</v>
      </c>
      <c r="E899" s="12" t="s">
        <v>1132</v>
      </c>
      <c r="F899" s="12" t="s">
        <v>1887</v>
      </c>
      <c r="G899" s="12" t="s">
        <v>1133</v>
      </c>
      <c r="H899" s="12" t="s">
        <v>1887</v>
      </c>
      <c r="M899" s="12" t="s">
        <v>1849</v>
      </c>
      <c r="N899" s="12" t="s">
        <v>1960</v>
      </c>
      <c r="P899" s="12" t="s">
        <v>129</v>
      </c>
      <c r="Q899" s="12" t="s">
        <v>1887</v>
      </c>
      <c r="R899" s="12" t="s">
        <v>1694</v>
      </c>
      <c r="S899" s="12" t="s">
        <v>1694</v>
      </c>
      <c r="U899" s="12" t="s">
        <v>1970</v>
      </c>
      <c r="V899" s="12" t="s">
        <v>3</v>
      </c>
      <c r="W899" s="12" t="s">
        <v>19</v>
      </c>
      <c r="X899" s="12" t="s">
        <v>44</v>
      </c>
      <c r="Y899" s="12" t="s">
        <v>53</v>
      </c>
      <c r="Z899" s="12" t="s">
        <v>60</v>
      </c>
      <c r="AA899" s="12" t="s">
        <v>73</v>
      </c>
      <c r="AB899" s="12" t="s">
        <v>76</v>
      </c>
      <c r="AC899" s="12" t="s">
        <v>86</v>
      </c>
      <c r="AD899" s="12" t="s">
        <v>102</v>
      </c>
      <c r="AE899" s="12" t="s">
        <v>106</v>
      </c>
      <c r="AF899" s="12" t="s">
        <v>111</v>
      </c>
      <c r="AG899" s="12" t="s">
        <v>122</v>
      </c>
      <c r="AH899" s="12" t="s">
        <v>1971</v>
      </c>
    </row>
    <row r="900" spans="2:34">
      <c r="B900" s="23" t="s">
        <v>3</v>
      </c>
      <c r="C900" s="22">
        <f>COUNTIFS('Stop Work Authority'!$D$4:$D$100003,"Jan",'Stop Work Authority'!$F$4:$F$100003,dCrit)</f>
        <v>0</v>
      </c>
      <c r="E900" s="13" t="s">
        <v>157</v>
      </c>
      <c r="F900" s="22">
        <f>COUNTIFS('Stop Work Authority'!$K$4:$K$100003,"Critical",'Stop Work Authority'!$D$4:$D$100003,mCrit,'Stop Work Authority'!$F$4:$F$100003,dCrit)</f>
        <v>0</v>
      </c>
      <c r="G900" s="13" t="s">
        <v>1081</v>
      </c>
      <c r="H900" s="22">
        <f>COUNTIFS('Stop Work Authority'!$L$4:$L$100003,"Resolved",'Stop Work Authority'!$D$4:$D$100003,mCrit,'Stop Work Authority'!$F$4:$F$100003,dCrit)</f>
        <v>0</v>
      </c>
      <c r="M900" s="13" t="s">
        <v>2030</v>
      </c>
      <c r="N900" s="22">
        <f>COUNTIFS('Stop Work Authority'!$D$4:$D$100003,mCrit,'Stop Work Authority'!$F$4:$F$100003,dCrit)</f>
        <v>0</v>
      </c>
      <c r="P900" s="13" t="s">
        <v>27</v>
      </c>
      <c r="Q900" s="22">
        <f>COUNTIFS('Stop Work Authority'!$D$4:$D$100003,mCrit,'Stop Work Authority'!$F$4:$F$100003,"Operations")</f>
        <v>0</v>
      </c>
      <c r="R900" s="22">
        <f>COUNTIFS('Stop Work Authority'!$D$4:$D$100003,mCrit,'Stop Work Authority'!$F$4:$F$100003,"Operations")</f>
        <v>0</v>
      </c>
      <c r="S900" s="22">
        <f>COUNTIFS('Stop Work Authority'!$D$4:$D$100003,mCrit,'Stop Work Authority'!$F$4:$F$100003,"Operations")</f>
        <v>0</v>
      </c>
      <c r="U900" s="13" t="s">
        <v>1694</v>
      </c>
      <c r="V900" s="22">
        <f>COUNTIFS('Stop Work Authority'!$D$4:$D$100003,"Jan",'Stop Work Authority'!$F$4:$F$100003,dCrit)</f>
        <v>0</v>
      </c>
      <c r="W900" s="22">
        <f>COUNTIFS('Stop Work Authority'!$D$4:$D$100003,"Feb",'Stop Work Authority'!$F$4:$F$100003,dCrit)</f>
        <v>0</v>
      </c>
      <c r="X900" s="22">
        <f>COUNTIFS('Stop Work Authority'!$D$4:$D$100003,"Mar",'Stop Work Authority'!$F$4:$F$100003,dCrit)</f>
        <v>0</v>
      </c>
      <c r="Y900" s="22">
        <f>COUNTIFS('Stop Work Authority'!$D$4:$D$100003,"Apr",'Stop Work Authority'!$F$4:$F$100003,dCrit)</f>
        <v>0</v>
      </c>
      <c r="Z900" s="22">
        <f>COUNTIFS('Stop Work Authority'!$D$4:$D$100003,"May",'Stop Work Authority'!$F$4:$F$100003,dCrit)</f>
        <v>0</v>
      </c>
      <c r="AA900" s="22">
        <f>COUNTIFS('Stop Work Authority'!$D$4:$D$100003,"Jun",'Stop Work Authority'!$F$4:$F$100003,dCrit)</f>
        <v>0</v>
      </c>
      <c r="AB900" s="22">
        <f>COUNTIFS('Stop Work Authority'!$D$4:$D$100003,"Jul",'Stop Work Authority'!$F$4:$F$100003,dCrit)</f>
        <v>0</v>
      </c>
      <c r="AC900" s="22">
        <f>COUNTIFS('Stop Work Authority'!$D$4:$D$100003,"Aug",'Stop Work Authority'!$F$4:$F$100003,dCrit)</f>
        <v>0</v>
      </c>
      <c r="AD900" s="22">
        <f>COUNTIFS('Stop Work Authority'!$D$4:$D$100003,"Sep",'Stop Work Authority'!$F$4:$F$100003,dCrit)</f>
        <v>0</v>
      </c>
      <c r="AE900" s="22">
        <f>COUNTIFS('Stop Work Authority'!$D$4:$D$100003,"Oct",'Stop Work Authority'!$F$4:$F$100003,dCrit)</f>
        <v>0</v>
      </c>
      <c r="AF900" s="22">
        <f>COUNTIFS('Stop Work Authority'!$D$4:$D$100003,"Nov",'Stop Work Authority'!$F$4:$F$100003,dCrit)</f>
        <v>0</v>
      </c>
      <c r="AG900" s="22">
        <f>COUNTIFS('Stop Work Authority'!$D$4:$D$100003,"Dec",'Stop Work Authority'!$F$4:$F$100003,dCrit)</f>
        <v>0</v>
      </c>
      <c r="AH900" s="22">
        <f>SUM(V900:AG900)</f>
        <v>0</v>
      </c>
    </row>
    <row r="901" spans="2:34">
      <c r="B901" s="23" t="s">
        <v>19</v>
      </c>
      <c r="C901" s="22">
        <f>COUNTIFS('Stop Work Authority'!$D$4:$D$100003,"Feb",'Stop Work Authority'!$F$4:$F$100003,dCrit)</f>
        <v>0</v>
      </c>
      <c r="E901" s="13" t="s">
        <v>151</v>
      </c>
      <c r="F901" s="22">
        <f>COUNTIFS('Stop Work Authority'!$K$4:$K$100003,"High",'Stop Work Authority'!$D$4:$D$100003,mCrit,'Stop Work Authority'!$F$4:$F$100003,dCrit)</f>
        <v>0</v>
      </c>
      <c r="G901" s="13" t="s">
        <v>1077</v>
      </c>
      <c r="H901" s="22">
        <f>COUNTIFS('Stop Work Authority'!$L$4:$L$100003,"Under Investigation",'Stop Work Authority'!$D$4:$D$100003,mCrit,'Stop Work Authority'!$F$4:$F$100003,dCrit)</f>
        <v>0</v>
      </c>
      <c r="M901" s="13" t="s">
        <v>1081</v>
      </c>
      <c r="N901" s="22">
        <f>COUNTIFS('Stop Work Authority'!$L$4:$L$100003,"Resolved",'Stop Work Authority'!$D$4:$D$100003,mCrit,'Stop Work Authority'!$F$4:$F$100003,dCrit)</f>
        <v>0</v>
      </c>
      <c r="P901" s="13" t="s">
        <v>92</v>
      </c>
      <c r="Q901" s="22">
        <f>COUNTIFS('Stop Work Authority'!$D$4:$D$100003,mCrit,'Stop Work Authority'!$F$4:$F$100003,"Maintenance")</f>
        <v>0</v>
      </c>
      <c r="R901" s="22">
        <f>COUNTIFS('Stop Work Authority'!$D$4:$D$100003,mCrit,'Stop Work Authority'!$F$4:$F$100003,"Maintenance")</f>
        <v>0</v>
      </c>
      <c r="S901" s="22">
        <f>COUNTIFS('Stop Work Authority'!$D$4:$D$100003,mCrit,'Stop Work Authority'!$F$4:$F$100003,"Maintenance")</f>
        <v>0</v>
      </c>
    </row>
    <row r="902" spans="2:34">
      <c r="B902" s="23" t="s">
        <v>44</v>
      </c>
      <c r="C902" s="22">
        <f>COUNTIFS('Stop Work Authority'!$D$4:$D$100003,"Mar",'Stop Work Authority'!$F$4:$F$100003,dCrit)</f>
        <v>0</v>
      </c>
      <c r="E902" s="13" t="s">
        <v>142</v>
      </c>
      <c r="F902" s="22">
        <f>COUNTIFS('Stop Work Authority'!$K$4:$K$100003,"Medium",'Stop Work Authority'!$D$4:$D$100003,mCrit,'Stop Work Authority'!$F$4:$F$100003,dCrit)</f>
        <v>0</v>
      </c>
      <c r="G902" s="13" t="s">
        <v>1079</v>
      </c>
      <c r="H902" s="22">
        <f>COUNTIFS('Stop Work Authority'!$L$4:$L$100003,"Permanent Fix Applied",'Stop Work Authority'!$D$4:$D$100003,mCrit,'Stop Work Authority'!$F$4:$F$100003,dCrit)</f>
        <v>0</v>
      </c>
      <c r="M902" s="13" t="s">
        <v>2031</v>
      </c>
      <c r="N902" s="22">
        <f>COUNTIFS('Stop Work Authority'!$L$4:$L$100003,"Under Investigation",'Stop Work Authority'!$D$4:$D$100003,mCrit,'Stop Work Authority'!$F$4:$F$100003,dCrit)</f>
        <v>0</v>
      </c>
      <c r="P902" s="13" t="s">
        <v>39</v>
      </c>
      <c r="Q902" s="22">
        <f>COUNTIFS('Stop Work Authority'!$D$4:$D$100003,mCrit,'Stop Work Authority'!$F$4:$F$100003,"Engineering")</f>
        <v>0</v>
      </c>
      <c r="R902" s="22">
        <f>COUNTIFS('Stop Work Authority'!$D$4:$D$100003,mCrit,'Stop Work Authority'!$F$4:$F$100003,"Engineering")</f>
        <v>0</v>
      </c>
      <c r="S902" s="22">
        <f>COUNTIFS('Stop Work Authority'!$D$4:$D$100003,mCrit,'Stop Work Authority'!$F$4:$F$100003,"Engineering")</f>
        <v>0</v>
      </c>
    </row>
    <row r="903" spans="2:34">
      <c r="B903" s="23" t="s">
        <v>53</v>
      </c>
      <c r="C903" s="22">
        <f>COUNTIFS('Stop Work Authority'!$D$4:$D$100003,"Apr",'Stop Work Authority'!$F$4:$F$100003,dCrit)</f>
        <v>0</v>
      </c>
      <c r="E903" s="13" t="s">
        <v>161</v>
      </c>
      <c r="F903" s="22">
        <f>COUNTIFS('Stop Work Authority'!$K$4:$K$100003,"Low",'Stop Work Authority'!$D$4:$D$100003,mCrit,'Stop Work Authority'!$F$4:$F$100003,dCrit)</f>
        <v>0</v>
      </c>
      <c r="M903" s="13" t="s">
        <v>2032</v>
      </c>
      <c r="N903" s="22">
        <f>COUNTIFS('Stop Work Authority'!$L$4:$L$100003,"Permanent Fix Applied",'Stop Work Authority'!$D$4:$D$100003,mCrit,'Stop Work Authority'!$F$4:$F$100003,dCrit)</f>
        <v>0</v>
      </c>
      <c r="P903" s="13" t="s">
        <v>89</v>
      </c>
      <c r="Q903" s="22">
        <f>COUNTIFS('Stop Work Authority'!$D$4:$D$100003,mCrit,'Stop Work Authority'!$F$4:$F$100003,"Construction")</f>
        <v>0</v>
      </c>
      <c r="R903" s="22">
        <f>COUNTIFS('Stop Work Authority'!$D$4:$D$100003,mCrit,'Stop Work Authority'!$F$4:$F$100003,"Construction")</f>
        <v>0</v>
      </c>
      <c r="S903" s="22">
        <f>COUNTIFS('Stop Work Authority'!$D$4:$D$100003,mCrit,'Stop Work Authority'!$F$4:$F$100003,"Construction")</f>
        <v>0</v>
      </c>
    </row>
    <row r="904" spans="2:34">
      <c r="B904" s="23" t="s">
        <v>60</v>
      </c>
      <c r="C904" s="22">
        <f>COUNTIFS('Stop Work Authority'!$D$4:$D$100003,"May",'Stop Work Authority'!$F$4:$F$100003,dCrit)</f>
        <v>0</v>
      </c>
      <c r="M904" s="13" t="s">
        <v>157</v>
      </c>
      <c r="N904" s="22">
        <f>COUNTIFS('Stop Work Authority'!$K$4:$K$100003,"Critical",'Stop Work Authority'!$D$4:$D$100003,mCrit,'Stop Work Authority'!$F$4:$F$100003,dCrit)</f>
        <v>0</v>
      </c>
      <c r="P904" s="13" t="s">
        <v>65</v>
      </c>
      <c r="Q904" s="22">
        <f>COUNTIFS('Stop Work Authority'!$D$4:$D$100003,mCrit,'Stop Work Authority'!$F$4:$F$100003,"Safety")</f>
        <v>0</v>
      </c>
      <c r="R904" s="22">
        <f>COUNTIFS('Stop Work Authority'!$D$4:$D$100003,mCrit,'Stop Work Authority'!$F$4:$F$100003,"Safety")</f>
        <v>0</v>
      </c>
      <c r="S904" s="22">
        <f>COUNTIFS('Stop Work Authority'!$D$4:$D$100003,mCrit,'Stop Work Authority'!$F$4:$F$100003,"Safety")</f>
        <v>0</v>
      </c>
    </row>
    <row r="905" spans="2:34">
      <c r="B905" s="23" t="s">
        <v>73</v>
      </c>
      <c r="C905" s="22">
        <f>COUNTIFS('Stop Work Authority'!$D$4:$D$100003,"Jun",'Stop Work Authority'!$F$4:$F$100003,dCrit)</f>
        <v>0</v>
      </c>
      <c r="M905" s="13" t="s">
        <v>151</v>
      </c>
      <c r="N905" s="22">
        <f>COUNTIFS('Stop Work Authority'!$K$4:$K$100003,"High",'Stop Work Authority'!$D$4:$D$100003,mCrit,'Stop Work Authority'!$F$4:$F$100003,dCrit)</f>
        <v>0</v>
      </c>
      <c r="P905" s="13" t="s">
        <v>5</v>
      </c>
      <c r="Q905" s="22">
        <f>COUNTIFS('Stop Work Authority'!$D$4:$D$100003,mCrit,'Stop Work Authority'!$F$4:$F$100003,"Logistics")</f>
        <v>0</v>
      </c>
      <c r="R905" s="22">
        <f>COUNTIFS('Stop Work Authority'!$D$4:$D$100003,mCrit,'Stop Work Authority'!$F$4:$F$100003,"Logistics")</f>
        <v>0</v>
      </c>
      <c r="S905" s="22">
        <f>COUNTIFS('Stop Work Authority'!$D$4:$D$100003,mCrit,'Stop Work Authority'!$F$4:$F$100003,"Logistics")</f>
        <v>0</v>
      </c>
    </row>
    <row r="906" spans="2:34">
      <c r="B906" s="23" t="s">
        <v>76</v>
      </c>
      <c r="C906" s="22">
        <f>COUNTIFS('Stop Work Authority'!$D$4:$D$100003,"Jul",'Stop Work Authority'!$F$4:$F$100003,dCrit)</f>
        <v>0</v>
      </c>
      <c r="M906" s="13" t="s">
        <v>2033</v>
      </c>
      <c r="N906" s="22">
        <f>SUMIFS('Stop Work Authority'!$J$4:$J$100003,'Stop Work Authority'!$D$4:$D$100003,mCrit,'Stop Work Authority'!$F$4:$F$100003,dCrit)</f>
        <v>0</v>
      </c>
      <c r="P906" s="13" t="s">
        <v>50</v>
      </c>
      <c r="Q906" s="22">
        <f>COUNTIFS('Stop Work Authority'!$D$4:$D$100003,mCrit,'Stop Work Authority'!$F$4:$F$100003,"Quality")</f>
        <v>0</v>
      </c>
      <c r="R906" s="22">
        <f>COUNTIFS('Stop Work Authority'!$D$4:$D$100003,mCrit,'Stop Work Authority'!$F$4:$F$100003,"Quality")</f>
        <v>0</v>
      </c>
      <c r="S906" s="22">
        <f>COUNTIFS('Stop Work Authority'!$D$4:$D$100003,mCrit,'Stop Work Authority'!$F$4:$F$100003,"Quality")</f>
        <v>0</v>
      </c>
    </row>
    <row r="907" spans="2:34">
      <c r="B907" s="23" t="s">
        <v>86</v>
      </c>
      <c r="C907" s="22">
        <f>COUNTIFS('Stop Work Authority'!$D$4:$D$100003,"Aug",'Stop Work Authority'!$F$4:$F$100003,dCrit)</f>
        <v>0</v>
      </c>
      <c r="M907" s="13" t="s">
        <v>2034</v>
      </c>
      <c r="N907" s="22">
        <f>COUNTIFS('Stop Work Authority'!$M$4:$M$100003,"Yes",'Stop Work Authority'!$D$4:$D$100003,mCrit,'Stop Work Authority'!$F$4:$F$100003,dCrit)</f>
        <v>0</v>
      </c>
      <c r="P907" s="13" t="s">
        <v>46</v>
      </c>
      <c r="Q907" s="22">
        <f>COUNTIFS('Stop Work Authority'!$D$4:$D$100003,mCrit,'Stop Work Authority'!$F$4:$F$100003,"Admin")</f>
        <v>0</v>
      </c>
      <c r="R907" s="22">
        <f>COUNTIFS('Stop Work Authority'!$D$4:$D$100003,mCrit,'Stop Work Authority'!$F$4:$F$100003,"Admin")</f>
        <v>0</v>
      </c>
      <c r="S907" s="22">
        <f>COUNTIFS('Stop Work Authority'!$D$4:$D$100003,mCrit,'Stop Work Authority'!$F$4:$F$100003,"Admin")</f>
        <v>0</v>
      </c>
    </row>
    <row r="908" spans="2:34">
      <c r="B908" s="23" t="s">
        <v>102</v>
      </c>
      <c r="C908" s="22">
        <f>COUNTIFS('Stop Work Authority'!$D$4:$D$100003,"Sep",'Stop Work Authority'!$F$4:$F$100003,dCrit)</f>
        <v>0</v>
      </c>
      <c r="P908" s="13" t="s">
        <v>13</v>
      </c>
      <c r="Q908" s="22">
        <f>COUNTIFS('Stop Work Authority'!$D$4:$D$100003,mCrit,'Stop Work Authority'!$F$4:$F$100003,"Projects")</f>
        <v>0</v>
      </c>
      <c r="R908" s="22">
        <f>COUNTIFS('Stop Work Authority'!$D$4:$D$100003,mCrit,'Stop Work Authority'!$F$4:$F$100003,"Projects")</f>
        <v>0</v>
      </c>
      <c r="S908" s="22">
        <f>COUNTIFS('Stop Work Authority'!$D$4:$D$100003,mCrit,'Stop Work Authority'!$F$4:$F$100003,"Projects")</f>
        <v>0</v>
      </c>
    </row>
    <row r="909" spans="2:34">
      <c r="B909" s="23" t="s">
        <v>106</v>
      </c>
      <c r="C909" s="22">
        <f>COUNTIFS('Stop Work Authority'!$D$4:$D$100003,"Oct",'Stop Work Authority'!$F$4:$F$100003,dCrit)</f>
        <v>0</v>
      </c>
      <c r="P909" s="13" t="s">
        <v>58</v>
      </c>
      <c r="Q909" s="22">
        <f>COUNTIFS('Stop Work Authority'!$D$4:$D$100003,mCrit,'Stop Work Authority'!$F$4:$F$100003,"Contractor")</f>
        <v>0</v>
      </c>
      <c r="R909" s="22">
        <f>COUNTIFS('Stop Work Authority'!$D$4:$D$100003,mCrit,'Stop Work Authority'!$F$4:$F$100003,"Contractor")</f>
        <v>0</v>
      </c>
      <c r="S909" s="22">
        <f>COUNTIFS('Stop Work Authority'!$D$4:$D$100003,mCrit,'Stop Work Authority'!$F$4:$F$100003,"Contractor")</f>
        <v>0</v>
      </c>
    </row>
    <row r="910" spans="2:34">
      <c r="B910" s="23" t="s">
        <v>111</v>
      </c>
      <c r="C910" s="22">
        <f>COUNTIFS('Stop Work Authority'!$D$4:$D$100003,"Nov",'Stop Work Authority'!$F$4:$F$100003,dCrit)</f>
        <v>0</v>
      </c>
    </row>
    <row r="911" spans="2:34">
      <c r="B911" s="23" t="s">
        <v>122</v>
      </c>
      <c r="C911" s="22">
        <f>COUNTIFS('Stop Work Authority'!$D$4:$D$100003,"Dec",'Stop Work Authority'!$F$4:$F$100003,dCrit)</f>
        <v>0</v>
      </c>
    </row>
    <row r="924" spans="2:34">
      <c r="B924" s="17" t="s">
        <v>2035</v>
      </c>
    </row>
    <row r="925" spans="2:34">
      <c r="B925" s="12" t="s">
        <v>127</v>
      </c>
      <c r="C925" s="12" t="s">
        <v>1887</v>
      </c>
      <c r="E925" s="12" t="s">
        <v>1193</v>
      </c>
      <c r="F925" s="12" t="s">
        <v>1887</v>
      </c>
      <c r="G925" s="12" t="s">
        <v>1194</v>
      </c>
      <c r="H925" s="12" t="s">
        <v>1887</v>
      </c>
      <c r="J925" s="12" t="s">
        <v>286</v>
      </c>
      <c r="K925" s="12" t="s">
        <v>1887</v>
      </c>
      <c r="M925" s="12" t="s">
        <v>1849</v>
      </c>
      <c r="N925" s="12" t="s">
        <v>1960</v>
      </c>
      <c r="P925" s="12" t="s">
        <v>129</v>
      </c>
      <c r="Q925" s="12" t="s">
        <v>1887</v>
      </c>
      <c r="R925" s="12" t="s">
        <v>1979</v>
      </c>
      <c r="S925" s="12" t="s">
        <v>1694</v>
      </c>
      <c r="U925" s="12" t="s">
        <v>1970</v>
      </c>
      <c r="V925" s="12" t="s">
        <v>3</v>
      </c>
      <c r="W925" s="12" t="s">
        <v>19</v>
      </c>
      <c r="X925" s="12" t="s">
        <v>44</v>
      </c>
      <c r="Y925" s="12" t="s">
        <v>53</v>
      </c>
      <c r="Z925" s="12" t="s">
        <v>60</v>
      </c>
      <c r="AA925" s="12" t="s">
        <v>73</v>
      </c>
      <c r="AB925" s="12" t="s">
        <v>76</v>
      </c>
      <c r="AC925" s="12" t="s">
        <v>86</v>
      </c>
      <c r="AD925" s="12" t="s">
        <v>102</v>
      </c>
      <c r="AE925" s="12" t="s">
        <v>106</v>
      </c>
      <c r="AF925" s="12" t="s">
        <v>111</v>
      </c>
      <c r="AG925" s="12" t="s">
        <v>122</v>
      </c>
      <c r="AH925" s="12" t="s">
        <v>1971</v>
      </c>
    </row>
    <row r="926" spans="2:34">
      <c r="B926" s="23" t="s">
        <v>3</v>
      </c>
      <c r="C926" s="22">
        <f>COUNTIFS('Alcohol Tests'!$D$4:$D$100003,"Jan",'Alcohol Tests'!$E$4:$E$100003,dCrit)</f>
        <v>0</v>
      </c>
      <c r="E926" s="13" t="s">
        <v>1145</v>
      </c>
      <c r="F926" s="22">
        <f>COUNTIFS('Alcohol Tests'!$G$4:$G$100003,"Pre-Shift",'Alcohol Tests'!$D$4:$D$100003,mCrit,'Alcohol Tests'!$E$4:$E$100003,dCrit)</f>
        <v>0</v>
      </c>
      <c r="G926" s="13" t="s">
        <v>1143</v>
      </c>
      <c r="H926" s="22">
        <f>COUNTIFS('Alcohol Tests'!$H$4:$H$100003,"Negative",'Alcohol Tests'!$D$4:$D$100003,mCrit,'Alcohol Tests'!$E$4:$E$100003,dCrit)</f>
        <v>0</v>
      </c>
      <c r="J926" s="13" t="s">
        <v>224</v>
      </c>
      <c r="K926" s="22">
        <f>COUNTIFS('Alcohol Tests'!$J$4:$J$100003,"In Progress",'Alcohol Tests'!$D$4:$D$100003,mCrit,'Alcohol Tests'!$E$4:$E$100003,dCrit)</f>
        <v>0</v>
      </c>
      <c r="M926" s="13" t="s">
        <v>2036</v>
      </c>
      <c r="N926" s="22">
        <f>COUNTIFS('Alcohol Tests'!$D$4:$D$100003,mCrit,'Alcohol Tests'!$E$4:$E$100003,dCrit)</f>
        <v>0</v>
      </c>
      <c r="P926" s="13" t="s">
        <v>27</v>
      </c>
      <c r="Q926" s="22">
        <f>COUNTIFS('Alcohol Tests'!$D$4:$D$100003,mCrit,'Alcohol Tests'!$E$4:$E$100003,"Operations")</f>
        <v>0</v>
      </c>
      <c r="R926" s="25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926" s="22">
        <f>COUNTIFS('Alcohol Tests'!$D$4:$D$100003,mCrit,'Alcohol Tests'!$E$4:$E$100003,"Operations")</f>
        <v>0</v>
      </c>
      <c r="U926" s="13" t="s">
        <v>1694</v>
      </c>
      <c r="V926" s="22">
        <f>COUNTIFS('Alcohol Tests'!$D$4:$D$100003,"Jan",'Alcohol Tests'!$E$4:$E$100003,dCrit)</f>
        <v>0</v>
      </c>
      <c r="W926" s="22">
        <f>COUNTIFS('Alcohol Tests'!$D$4:$D$100003,"Feb",'Alcohol Tests'!$E$4:$E$100003,dCrit)</f>
        <v>0</v>
      </c>
      <c r="X926" s="22">
        <f>COUNTIFS('Alcohol Tests'!$D$4:$D$100003,"Mar",'Alcohol Tests'!$E$4:$E$100003,dCrit)</f>
        <v>0</v>
      </c>
      <c r="Y926" s="22">
        <f>COUNTIFS('Alcohol Tests'!$D$4:$D$100003,"Apr",'Alcohol Tests'!$E$4:$E$100003,dCrit)</f>
        <v>0</v>
      </c>
      <c r="Z926" s="22">
        <f>COUNTIFS('Alcohol Tests'!$D$4:$D$100003,"May",'Alcohol Tests'!$E$4:$E$100003,dCrit)</f>
        <v>0</v>
      </c>
      <c r="AA926" s="22">
        <f>COUNTIFS('Alcohol Tests'!$D$4:$D$100003,"Jun",'Alcohol Tests'!$E$4:$E$100003,dCrit)</f>
        <v>0</v>
      </c>
      <c r="AB926" s="22">
        <f>COUNTIFS('Alcohol Tests'!$D$4:$D$100003,"Jul",'Alcohol Tests'!$E$4:$E$100003,dCrit)</f>
        <v>0</v>
      </c>
      <c r="AC926" s="22">
        <f>COUNTIFS('Alcohol Tests'!$D$4:$D$100003,"Aug",'Alcohol Tests'!$E$4:$E$100003,dCrit)</f>
        <v>0</v>
      </c>
      <c r="AD926" s="22">
        <f>COUNTIFS('Alcohol Tests'!$D$4:$D$100003,"Sep",'Alcohol Tests'!$E$4:$E$100003,dCrit)</f>
        <v>0</v>
      </c>
      <c r="AE926" s="22">
        <f>COUNTIFS('Alcohol Tests'!$D$4:$D$100003,"Oct",'Alcohol Tests'!$E$4:$E$100003,dCrit)</f>
        <v>0</v>
      </c>
      <c r="AF926" s="22">
        <f>COUNTIFS('Alcohol Tests'!$D$4:$D$100003,"Nov",'Alcohol Tests'!$E$4:$E$100003,dCrit)</f>
        <v>0</v>
      </c>
      <c r="AG926" s="22">
        <f>COUNTIFS('Alcohol Tests'!$D$4:$D$100003,"Dec",'Alcohol Tests'!$E$4:$E$100003,dCrit)</f>
        <v>0</v>
      </c>
      <c r="AH926" s="22">
        <f>SUM(V926:AG926)</f>
        <v>0</v>
      </c>
    </row>
    <row r="927" spans="2:34">
      <c r="B927" s="23" t="s">
        <v>19</v>
      </c>
      <c r="C927" s="22">
        <f>COUNTIFS('Alcohol Tests'!$D$4:$D$100003,"Feb",'Alcohol Tests'!$E$4:$E$100003,dCrit)</f>
        <v>0</v>
      </c>
      <c r="E927" s="13" t="s">
        <v>1140</v>
      </c>
      <c r="F927" s="22">
        <f>COUNTIFS('Alcohol Tests'!$G$4:$G$100003,"Random",'Alcohol Tests'!$D$4:$D$100003,mCrit,'Alcohol Tests'!$E$4:$E$100003,dCrit)</f>
        <v>0</v>
      </c>
      <c r="G927" s="13" t="s">
        <v>1138</v>
      </c>
      <c r="H927" s="22">
        <f>COUNTIFS('Alcohol Tests'!$H$4:$H$100003,"Positive",'Alcohol Tests'!$D$4:$D$100003,mCrit,'Alcohol Tests'!$E$4:$E$100003,dCrit)</f>
        <v>0</v>
      </c>
      <c r="J927" s="13" t="s">
        <v>580</v>
      </c>
      <c r="K927" s="22">
        <f>COUNTIFS('Alcohol Tests'!$J$4:$J$100003,"Closed",'Alcohol Tests'!$D$4:$D$100003,mCrit,'Alcohol Tests'!$E$4:$E$100003,dCrit)</f>
        <v>0</v>
      </c>
      <c r="M927" s="13" t="s">
        <v>1143</v>
      </c>
      <c r="N927" s="22">
        <f>COUNTIFS('Alcohol Tests'!$H$4:$H$100003,"Negative",'Alcohol Tests'!$D$4:$D$100003,mCrit,'Alcohol Tests'!$E$4:$E$100003,dCrit)</f>
        <v>0</v>
      </c>
      <c r="P927" s="13" t="s">
        <v>92</v>
      </c>
      <c r="Q927" s="22">
        <f>COUNTIFS('Alcohol Tests'!$D$4:$D$100003,mCrit,'Alcohol Tests'!$E$4:$E$100003,"Maintenance")</f>
        <v>0</v>
      </c>
      <c r="R927" s="25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927" s="22">
        <f>COUNTIFS('Alcohol Tests'!$D$4:$D$100003,mCrit,'Alcohol Tests'!$E$4:$E$100003,"Maintenance")</f>
        <v>0</v>
      </c>
      <c r="U927" s="13" t="s">
        <v>1980</v>
      </c>
      <c r="V927" s="25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927" s="25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927" s="25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927" s="25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927" s="25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927" s="25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927" s="25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927" s="25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927" s="25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927" s="25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927" s="25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927" s="25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927" s="25">
        <f>IFERROR(AVERAGE(V927:AG927),0)</f>
        <v>0</v>
      </c>
    </row>
    <row r="928" spans="2:34">
      <c r="B928" s="23" t="s">
        <v>44</v>
      </c>
      <c r="C928" s="22">
        <f>COUNTIFS('Alcohol Tests'!$D$4:$D$100003,"Mar",'Alcohol Tests'!$E$4:$E$100003,dCrit)</f>
        <v>0</v>
      </c>
      <c r="E928" s="13" t="s">
        <v>1142</v>
      </c>
      <c r="F928" s="22">
        <f>COUNTIFS('Alcohol Tests'!$G$4:$G$100003,"Post-Incident",'Alcohol Tests'!$D$4:$D$100003,mCrit,'Alcohol Tests'!$E$4:$E$100003,dCrit)</f>
        <v>0</v>
      </c>
      <c r="J928" s="13" t="s">
        <v>1149</v>
      </c>
      <c r="K928" s="22">
        <f>COUNTIFS('Alcohol Tests'!$J$4:$J$100003,"Open",'Alcohol Tests'!$D$4:$D$100003,mCrit,'Alcohol Tests'!$E$4:$E$100003,dCrit)</f>
        <v>0</v>
      </c>
      <c r="M928" s="13" t="s">
        <v>1138</v>
      </c>
      <c r="N928" s="22">
        <f>COUNTIFS('Alcohol Tests'!$H$4:$H$100003,"Positive",'Alcohol Tests'!$D$4:$D$100003,mCrit,'Alcohol Tests'!$E$4:$E$100003,dCrit)</f>
        <v>0</v>
      </c>
      <c r="P928" s="13" t="s">
        <v>39</v>
      </c>
      <c r="Q928" s="22">
        <f>COUNTIFS('Alcohol Tests'!$D$4:$D$100003,mCrit,'Alcohol Tests'!$E$4:$E$100003,"Engineering")</f>
        <v>0</v>
      </c>
      <c r="R928" s="25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928" s="22">
        <f>COUNTIFS('Alcohol Tests'!$D$4:$D$100003,mCrit,'Alcohol Tests'!$E$4:$E$100003,"Engineering")</f>
        <v>0</v>
      </c>
    </row>
    <row r="929" spans="2:19">
      <c r="B929" s="23" t="s">
        <v>53</v>
      </c>
      <c r="C929" s="22">
        <f>COUNTIFS('Alcohol Tests'!$D$4:$D$100003,"Apr",'Alcohol Tests'!$E$4:$E$100003,dCrit)</f>
        <v>0</v>
      </c>
      <c r="E929" s="13" t="s">
        <v>1137</v>
      </c>
      <c r="F929" s="22">
        <f>COUNTIFS('Alcohol Tests'!$G$4:$G$100003,"Reasonable Suspicion",'Alcohol Tests'!$D$4:$D$100003,mCrit,'Alcohol Tests'!$E$4:$E$100003,dCrit)</f>
        <v>0</v>
      </c>
      <c r="J929" s="13" t="s">
        <v>326</v>
      </c>
      <c r="K929" s="22">
        <f>COUNTIFS('Alcohol Tests'!$J$4:$J$100003,"Overdue",'Alcohol Tests'!$D$4:$D$100003,mCrit,'Alcohol Tests'!$E$4:$E$100003,dCrit)</f>
        <v>0</v>
      </c>
      <c r="M929" s="13" t="s">
        <v>1984</v>
      </c>
      <c r="N929" s="25">
        <f>IFERROR((COUNTIFS('Alcohol Tests'!$H$4:$H$100003,"Negative",'Alcohol Tests'!$D$4:$D$100003,mCrit,'Alcohol Tests'!$E$4:$E$100003,dCrit))/(COUNTIFS('Alcohol Tests'!$D$4:$D$100003,mCrit,'Alcohol Tests'!$E$4:$E$100003,dCrit))*100,0)</f>
        <v>0</v>
      </c>
      <c r="P929" s="13" t="s">
        <v>89</v>
      </c>
      <c r="Q929" s="22">
        <f>COUNTIFS('Alcohol Tests'!$D$4:$D$100003,mCrit,'Alcohol Tests'!$E$4:$E$100003,"Construction")</f>
        <v>0</v>
      </c>
      <c r="R929" s="25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929" s="22">
        <f>COUNTIFS('Alcohol Tests'!$D$4:$D$100003,mCrit,'Alcohol Tests'!$E$4:$E$100003,"Construction")</f>
        <v>0</v>
      </c>
    </row>
    <row r="930" spans="2:19">
      <c r="B930" s="23" t="s">
        <v>60</v>
      </c>
      <c r="C930" s="22">
        <f>COUNTIFS('Alcohol Tests'!$D$4:$D$100003,"May",'Alcohol Tests'!$E$4:$E$100003,dCrit)</f>
        <v>0</v>
      </c>
      <c r="M930" s="13" t="s">
        <v>2037</v>
      </c>
      <c r="N930" s="22">
        <f>COUNTIFS('Alcohol Tests'!$G$4:$G$100003,"Random",'Alcohol Tests'!$D$4:$D$100003,mCrit,'Alcohol Tests'!$E$4:$E$100003,dCrit)</f>
        <v>0</v>
      </c>
      <c r="P930" s="13" t="s">
        <v>65</v>
      </c>
      <c r="Q930" s="22">
        <f>COUNTIFS('Alcohol Tests'!$D$4:$D$100003,mCrit,'Alcohol Tests'!$E$4:$E$100003,"Safety")</f>
        <v>0</v>
      </c>
      <c r="R930" s="25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930" s="22">
        <f>COUNTIFS('Alcohol Tests'!$D$4:$D$100003,mCrit,'Alcohol Tests'!$E$4:$E$100003,"Safety")</f>
        <v>0</v>
      </c>
    </row>
    <row r="931" spans="2:19">
      <c r="B931" s="23" t="s">
        <v>73</v>
      </c>
      <c r="C931" s="22">
        <f>COUNTIFS('Alcohol Tests'!$D$4:$D$100003,"Jun",'Alcohol Tests'!$E$4:$E$100003,dCrit)</f>
        <v>0</v>
      </c>
      <c r="M931" s="13" t="s">
        <v>1145</v>
      </c>
      <c r="N931" s="22">
        <f>COUNTIFS('Alcohol Tests'!$G$4:$G$100003,"Pre-Shift",'Alcohol Tests'!$D$4:$D$100003,mCrit,'Alcohol Tests'!$E$4:$E$100003,dCrit)</f>
        <v>0</v>
      </c>
      <c r="P931" s="13" t="s">
        <v>5</v>
      </c>
      <c r="Q931" s="22">
        <f>COUNTIFS('Alcohol Tests'!$D$4:$D$100003,mCrit,'Alcohol Tests'!$E$4:$E$100003,"Logistics")</f>
        <v>0</v>
      </c>
      <c r="R931" s="25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931" s="22">
        <f>COUNTIFS('Alcohol Tests'!$D$4:$D$100003,mCrit,'Alcohol Tests'!$E$4:$E$100003,"Logistics")</f>
        <v>0</v>
      </c>
    </row>
    <row r="932" spans="2:19">
      <c r="B932" s="23" t="s">
        <v>76</v>
      </c>
      <c r="C932" s="22">
        <f>COUNTIFS('Alcohol Tests'!$D$4:$D$100003,"Jul",'Alcohol Tests'!$E$4:$E$100003,dCrit)</f>
        <v>0</v>
      </c>
      <c r="M932" s="13" t="s">
        <v>1142</v>
      </c>
      <c r="N932" s="22">
        <f>COUNTIFS('Alcohol Tests'!$G$4:$G$100003,"Post-Incident",'Alcohol Tests'!$D$4:$D$100003,mCrit,'Alcohol Tests'!$E$4:$E$100003,dCrit)</f>
        <v>0</v>
      </c>
      <c r="P932" s="13" t="s">
        <v>50</v>
      </c>
      <c r="Q932" s="22">
        <f>COUNTIFS('Alcohol Tests'!$D$4:$D$100003,mCrit,'Alcohol Tests'!$E$4:$E$100003,"Quality")</f>
        <v>0</v>
      </c>
      <c r="R932" s="25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932" s="22">
        <f>COUNTIFS('Alcohol Tests'!$D$4:$D$100003,mCrit,'Alcohol Tests'!$E$4:$E$100003,"Quality")</f>
        <v>0</v>
      </c>
    </row>
    <row r="933" spans="2:19">
      <c r="B933" s="23" t="s">
        <v>86</v>
      </c>
      <c r="C933" s="22">
        <f>COUNTIFS('Alcohol Tests'!$D$4:$D$100003,"Aug",'Alcohol Tests'!$E$4:$E$100003,dCrit)</f>
        <v>0</v>
      </c>
      <c r="M933" s="13" t="s">
        <v>2038</v>
      </c>
      <c r="N933" s="22">
        <f>COUNTIFS('Alcohol Tests'!$G$4:$G$100003,"Reasonable Suspicion",'Alcohol Tests'!$D$4:$D$100003,mCrit,'Alcohol Tests'!$E$4:$E$100003,dCrit)</f>
        <v>0</v>
      </c>
      <c r="P933" s="13" t="s">
        <v>46</v>
      </c>
      <c r="Q933" s="22">
        <f>COUNTIFS('Alcohol Tests'!$D$4:$D$100003,mCrit,'Alcohol Tests'!$E$4:$E$100003,"Admin")</f>
        <v>0</v>
      </c>
      <c r="R933" s="25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933" s="22">
        <f>COUNTIFS('Alcohol Tests'!$D$4:$D$100003,mCrit,'Alcohol Tests'!$E$4:$E$100003,"Admin")</f>
        <v>0</v>
      </c>
    </row>
    <row r="934" spans="2:19">
      <c r="B934" s="23" t="s">
        <v>102</v>
      </c>
      <c r="C934" s="22">
        <f>COUNTIFS('Alcohol Tests'!$D$4:$D$100003,"Sep",'Alcohol Tests'!$E$4:$E$100003,dCrit)</f>
        <v>0</v>
      </c>
      <c r="P934" s="13" t="s">
        <v>13</v>
      </c>
      <c r="Q934" s="22">
        <f>COUNTIFS('Alcohol Tests'!$D$4:$D$100003,mCrit,'Alcohol Tests'!$E$4:$E$100003,"Projects")</f>
        <v>0</v>
      </c>
      <c r="R934" s="25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934" s="22">
        <f>COUNTIFS('Alcohol Tests'!$D$4:$D$100003,mCrit,'Alcohol Tests'!$E$4:$E$100003,"Projects")</f>
        <v>0</v>
      </c>
    </row>
    <row r="935" spans="2:19">
      <c r="B935" s="23" t="s">
        <v>106</v>
      </c>
      <c r="C935" s="22">
        <f>COUNTIFS('Alcohol Tests'!$D$4:$D$100003,"Oct",'Alcohol Tests'!$E$4:$E$100003,dCrit)</f>
        <v>0</v>
      </c>
      <c r="P935" s="13" t="s">
        <v>58</v>
      </c>
      <c r="Q935" s="22">
        <f>COUNTIFS('Alcohol Tests'!$D$4:$D$100003,mCrit,'Alcohol Tests'!$E$4:$E$100003,"Contractor")</f>
        <v>0</v>
      </c>
      <c r="R935" s="25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935" s="22">
        <f>COUNTIFS('Alcohol Tests'!$D$4:$D$100003,mCrit,'Alcohol Tests'!$E$4:$E$100003,"Contractor")</f>
        <v>0</v>
      </c>
    </row>
    <row r="936" spans="2:19">
      <c r="B936" s="23" t="s">
        <v>111</v>
      </c>
      <c r="C936" s="22">
        <f>COUNTIFS('Alcohol Tests'!$D$4:$D$100003,"Nov",'Alcohol Tests'!$E$4:$E$100003,dCrit)</f>
        <v>0</v>
      </c>
    </row>
    <row r="937" spans="2:19">
      <c r="B937" s="23" t="s">
        <v>122</v>
      </c>
      <c r="C937" s="22">
        <f>COUNTIFS('Alcohol Tests'!$D$4:$D$100003,"Dec",'Alcohol Tests'!$E$4:$E$100003,dCrit)</f>
        <v>0</v>
      </c>
    </row>
    <row r="950" spans="2:34">
      <c r="B950" s="17" t="s">
        <v>2039</v>
      </c>
    </row>
    <row r="951" spans="2:34">
      <c r="B951" s="12" t="s">
        <v>127</v>
      </c>
      <c r="C951" s="12" t="s">
        <v>1887</v>
      </c>
      <c r="E951" s="12" t="s">
        <v>1250</v>
      </c>
      <c r="F951" s="12" t="s">
        <v>1887</v>
      </c>
      <c r="J951" s="12" t="s">
        <v>1256</v>
      </c>
      <c r="K951" s="12" t="s">
        <v>1887</v>
      </c>
      <c r="M951" s="12" t="s">
        <v>1849</v>
      </c>
      <c r="N951" s="12" t="s">
        <v>1960</v>
      </c>
      <c r="P951" s="12" t="s">
        <v>129</v>
      </c>
      <c r="Q951" s="12" t="s">
        <v>1887</v>
      </c>
      <c r="R951" s="12" t="s">
        <v>1979</v>
      </c>
      <c r="S951" s="12" t="s">
        <v>1931</v>
      </c>
      <c r="U951" s="12" t="s">
        <v>1970</v>
      </c>
      <c r="V951" s="12" t="s">
        <v>3</v>
      </c>
      <c r="W951" s="12" t="s">
        <v>19</v>
      </c>
      <c r="X951" s="12" t="s">
        <v>44</v>
      </c>
      <c r="Y951" s="12" t="s">
        <v>53</v>
      </c>
      <c r="Z951" s="12" t="s">
        <v>60</v>
      </c>
      <c r="AA951" s="12" t="s">
        <v>73</v>
      </c>
      <c r="AB951" s="12" t="s">
        <v>76</v>
      </c>
      <c r="AC951" s="12" t="s">
        <v>86</v>
      </c>
      <c r="AD951" s="12" t="s">
        <v>102</v>
      </c>
      <c r="AE951" s="12" t="s">
        <v>106</v>
      </c>
      <c r="AF951" s="12" t="s">
        <v>111</v>
      </c>
      <c r="AG951" s="12" t="s">
        <v>122</v>
      </c>
      <c r="AH951" s="12" t="s">
        <v>1971</v>
      </c>
    </row>
    <row r="952" spans="2:34">
      <c r="B952" s="23" t="s">
        <v>3</v>
      </c>
      <c r="C952" s="22">
        <f>COUNTIFS('PTW Audits'!$D$4:$D$100003,"Jan",'PTW Audits'!$F$4:$F$100003,dCrit)</f>
        <v>0</v>
      </c>
      <c r="E952" s="13" t="s">
        <v>30</v>
      </c>
      <c r="F952" s="22">
        <f>COUNTIFS('PTW Audits'!$E$4:$E$100003,"Hot Work",'PTW Audits'!$D$4:$D$100003,mCrit,'PTW Audits'!$F$4:$F$100003,dCrit)</f>
        <v>0</v>
      </c>
      <c r="J952" s="13" t="s">
        <v>153</v>
      </c>
      <c r="K952" s="22">
        <f>COUNTIFS('PTW Audits'!$M$4:$M$100003,"Compliant",'PTW Audits'!$D$4:$D$100003,mCrit,'PTW Audits'!$F$4:$F$100003,dCrit)</f>
        <v>0</v>
      </c>
      <c r="M952" s="13" t="s">
        <v>2011</v>
      </c>
      <c r="N952" s="22">
        <f>COUNTIFS('PTW Audits'!$D$4:$D$100003,mCrit,'PTW Audits'!$F$4:$F$100003,dCrit)</f>
        <v>0</v>
      </c>
      <c r="P952" s="13" t="s">
        <v>27</v>
      </c>
      <c r="Q952" s="22">
        <f>COUNTIFS('PTW Audits'!$D$4:$D$100003,mCrit,'PTW Audits'!$F$4:$F$100003,"Operations")</f>
        <v>0</v>
      </c>
      <c r="R952" s="25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952" s="25">
        <f>IFERROR(AVERAGEIFS('PTW Audits'!$L$4:$L$100003,'PTW Audits'!$D$4:$D$100003,mCrit,'PTW Audits'!$F$4:$F$100003,"Operations"),0)</f>
        <v>0</v>
      </c>
      <c r="U952" s="13" t="s">
        <v>1694</v>
      </c>
      <c r="V952" s="22">
        <f>COUNTIFS('PTW Audits'!$D$4:$D$100003,"Jan",'PTW Audits'!$F$4:$F$100003,dCrit)</f>
        <v>0</v>
      </c>
      <c r="W952" s="22">
        <f>COUNTIFS('PTW Audits'!$D$4:$D$100003,"Feb",'PTW Audits'!$F$4:$F$100003,dCrit)</f>
        <v>0</v>
      </c>
      <c r="X952" s="22">
        <f>COUNTIFS('PTW Audits'!$D$4:$D$100003,"Mar",'PTW Audits'!$F$4:$F$100003,dCrit)</f>
        <v>0</v>
      </c>
      <c r="Y952" s="22">
        <f>COUNTIFS('PTW Audits'!$D$4:$D$100003,"Apr",'PTW Audits'!$F$4:$F$100003,dCrit)</f>
        <v>0</v>
      </c>
      <c r="Z952" s="22">
        <f>COUNTIFS('PTW Audits'!$D$4:$D$100003,"May",'PTW Audits'!$F$4:$F$100003,dCrit)</f>
        <v>0</v>
      </c>
      <c r="AA952" s="22">
        <f>COUNTIFS('PTW Audits'!$D$4:$D$100003,"Jun",'PTW Audits'!$F$4:$F$100003,dCrit)</f>
        <v>0</v>
      </c>
      <c r="AB952" s="22">
        <f>COUNTIFS('PTW Audits'!$D$4:$D$100003,"Jul",'PTW Audits'!$F$4:$F$100003,dCrit)</f>
        <v>0</v>
      </c>
      <c r="AC952" s="22">
        <f>COUNTIFS('PTW Audits'!$D$4:$D$100003,"Aug",'PTW Audits'!$F$4:$F$100003,dCrit)</f>
        <v>0</v>
      </c>
      <c r="AD952" s="22">
        <f>COUNTIFS('PTW Audits'!$D$4:$D$100003,"Sep",'PTW Audits'!$F$4:$F$100003,dCrit)</f>
        <v>0</v>
      </c>
      <c r="AE952" s="22">
        <f>COUNTIFS('PTW Audits'!$D$4:$D$100003,"Oct",'PTW Audits'!$F$4:$F$100003,dCrit)</f>
        <v>0</v>
      </c>
      <c r="AF952" s="22">
        <f>COUNTIFS('PTW Audits'!$D$4:$D$100003,"Nov",'PTW Audits'!$F$4:$F$100003,dCrit)</f>
        <v>0</v>
      </c>
      <c r="AG952" s="22">
        <f>COUNTIFS('PTW Audits'!$D$4:$D$100003,"Dec",'PTW Audits'!$F$4:$F$100003,dCrit)</f>
        <v>0</v>
      </c>
      <c r="AH952" s="22">
        <f>SUM(V952:AG952)</f>
        <v>0</v>
      </c>
    </row>
    <row r="953" spans="2:34">
      <c r="B953" s="23" t="s">
        <v>19</v>
      </c>
      <c r="C953" s="22">
        <f>COUNTIFS('PTW Audits'!$D$4:$D$100003,"Feb",'PTW Audits'!$F$4:$F$100003,dCrit)</f>
        <v>0</v>
      </c>
      <c r="E953" s="13" t="s">
        <v>61</v>
      </c>
      <c r="F953" s="22">
        <f>COUNTIFS('PTW Audits'!$E$4:$E$100003,"Confined Space",'PTW Audits'!$D$4:$D$100003,mCrit,'PTW Audits'!$F$4:$F$100003,dCrit)</f>
        <v>0</v>
      </c>
      <c r="J953" s="13" t="s">
        <v>145</v>
      </c>
      <c r="K953" s="22">
        <f>COUNTIFS('PTW Audits'!$M$4:$M$100003,"Non-Compliant",'PTW Audits'!$D$4:$D$100003,mCrit,'PTW Audits'!$F$4:$F$100003,dCrit)</f>
        <v>0</v>
      </c>
      <c r="M953" s="13" t="s">
        <v>153</v>
      </c>
      <c r="N953" s="22">
        <f>COUNTIFS('PTW Audits'!$M$4:$M$100003,"Compliant",'PTW Audits'!$D$4:$D$100003,mCrit,'PTW Audits'!$F$4:$F$100003,dCrit)</f>
        <v>0</v>
      </c>
      <c r="P953" s="13" t="s">
        <v>92</v>
      </c>
      <c r="Q953" s="22">
        <f>COUNTIFS('PTW Audits'!$D$4:$D$100003,mCrit,'PTW Audits'!$F$4:$F$100003,"Maintenance")</f>
        <v>0</v>
      </c>
      <c r="R953" s="25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953" s="25">
        <f>IFERROR(AVERAGEIFS('PTW Audits'!$L$4:$L$100003,'PTW Audits'!$D$4:$D$100003,mCrit,'PTW Audits'!$F$4:$F$100003,"Maintenance"),0)</f>
        <v>0</v>
      </c>
      <c r="U953" s="13" t="s">
        <v>1980</v>
      </c>
      <c r="V953" s="25">
        <f>IFERROR((COUNTIFS('PTW Audits'!$M$4:$M$100003,"Compliant",'PTW Audits'!$D$4:$D$100003,"Jan",'PTW Audits'!$F$4:$F$100003,dCrit))/COUNTIFS('PTW Audits'!$D$4:$D$100003,"Jan",'PTW Audits'!$F$4:$F$100003,dCrit)*100,0)</f>
        <v>0</v>
      </c>
      <c r="W953" s="25">
        <f>IFERROR((COUNTIFS('PTW Audits'!$M$4:$M$100003,"Compliant",'PTW Audits'!$D$4:$D$100003,"Feb",'PTW Audits'!$F$4:$F$100003,dCrit))/COUNTIFS('PTW Audits'!$D$4:$D$100003,"Feb",'PTW Audits'!$F$4:$F$100003,dCrit)*100,0)</f>
        <v>0</v>
      </c>
      <c r="X953" s="25">
        <f>IFERROR((COUNTIFS('PTW Audits'!$M$4:$M$100003,"Compliant",'PTW Audits'!$D$4:$D$100003,"Mar",'PTW Audits'!$F$4:$F$100003,dCrit))/COUNTIFS('PTW Audits'!$D$4:$D$100003,"Mar",'PTW Audits'!$F$4:$F$100003,dCrit)*100,0)</f>
        <v>0</v>
      </c>
      <c r="Y953" s="25">
        <f>IFERROR((COUNTIFS('PTW Audits'!$M$4:$M$100003,"Compliant",'PTW Audits'!$D$4:$D$100003,"Apr",'PTW Audits'!$F$4:$F$100003,dCrit))/COUNTIFS('PTW Audits'!$D$4:$D$100003,"Apr",'PTW Audits'!$F$4:$F$100003,dCrit)*100,0)</f>
        <v>0</v>
      </c>
      <c r="Z953" s="25">
        <f>IFERROR((COUNTIFS('PTW Audits'!$M$4:$M$100003,"Compliant",'PTW Audits'!$D$4:$D$100003,"May",'PTW Audits'!$F$4:$F$100003,dCrit))/COUNTIFS('PTW Audits'!$D$4:$D$100003,"May",'PTW Audits'!$F$4:$F$100003,dCrit)*100,0)</f>
        <v>0</v>
      </c>
      <c r="AA953" s="25">
        <f>IFERROR((COUNTIFS('PTW Audits'!$M$4:$M$100003,"Compliant",'PTW Audits'!$D$4:$D$100003,"Jun",'PTW Audits'!$F$4:$F$100003,dCrit))/COUNTIFS('PTW Audits'!$D$4:$D$100003,"Jun",'PTW Audits'!$F$4:$F$100003,dCrit)*100,0)</f>
        <v>0</v>
      </c>
      <c r="AB953" s="25">
        <f>IFERROR((COUNTIFS('PTW Audits'!$M$4:$M$100003,"Compliant",'PTW Audits'!$D$4:$D$100003,"Jul",'PTW Audits'!$F$4:$F$100003,dCrit))/COUNTIFS('PTW Audits'!$D$4:$D$100003,"Jul",'PTW Audits'!$F$4:$F$100003,dCrit)*100,0)</f>
        <v>0</v>
      </c>
      <c r="AC953" s="25">
        <f>IFERROR((COUNTIFS('PTW Audits'!$M$4:$M$100003,"Compliant",'PTW Audits'!$D$4:$D$100003,"Aug",'PTW Audits'!$F$4:$F$100003,dCrit))/COUNTIFS('PTW Audits'!$D$4:$D$100003,"Aug",'PTW Audits'!$F$4:$F$100003,dCrit)*100,0)</f>
        <v>0</v>
      </c>
      <c r="AD953" s="25">
        <f>IFERROR((COUNTIFS('PTW Audits'!$M$4:$M$100003,"Compliant",'PTW Audits'!$D$4:$D$100003,"Sep",'PTW Audits'!$F$4:$F$100003,dCrit))/COUNTIFS('PTW Audits'!$D$4:$D$100003,"Sep",'PTW Audits'!$F$4:$F$100003,dCrit)*100,0)</f>
        <v>0</v>
      </c>
      <c r="AE953" s="25">
        <f>IFERROR((COUNTIFS('PTW Audits'!$M$4:$M$100003,"Compliant",'PTW Audits'!$D$4:$D$100003,"Oct",'PTW Audits'!$F$4:$F$100003,dCrit))/COUNTIFS('PTW Audits'!$D$4:$D$100003,"Oct",'PTW Audits'!$F$4:$F$100003,dCrit)*100,0)</f>
        <v>0</v>
      </c>
      <c r="AF953" s="25">
        <f>IFERROR((COUNTIFS('PTW Audits'!$M$4:$M$100003,"Compliant",'PTW Audits'!$D$4:$D$100003,"Nov",'PTW Audits'!$F$4:$F$100003,dCrit))/COUNTIFS('PTW Audits'!$D$4:$D$100003,"Nov",'PTW Audits'!$F$4:$F$100003,dCrit)*100,0)</f>
        <v>0</v>
      </c>
      <c r="AG953" s="25">
        <f>IFERROR((COUNTIFS('PTW Audits'!$M$4:$M$100003,"Compliant",'PTW Audits'!$D$4:$D$100003,"Dec",'PTW Audits'!$F$4:$F$100003,dCrit))/COUNTIFS('PTW Audits'!$D$4:$D$100003,"Dec",'PTW Audits'!$F$4:$F$100003,dCrit)*100,0)</f>
        <v>0</v>
      </c>
      <c r="AH953" s="25">
        <f>IFERROR(AVERAGE(V953:AG953),0)</f>
        <v>0</v>
      </c>
    </row>
    <row r="954" spans="2:34">
      <c r="B954" s="23" t="s">
        <v>44</v>
      </c>
      <c r="C954" s="22">
        <f>COUNTIFS('PTW Audits'!$D$4:$D$100003,"Mar",'PTW Audits'!$F$4:$F$100003,dCrit)</f>
        <v>0</v>
      </c>
      <c r="E954" s="13" t="s">
        <v>1208</v>
      </c>
      <c r="F954" s="22">
        <f>COUNTIFS('PTW Audits'!$E$4:$E$100003,"Working at Height",'PTW Audits'!$D$4:$D$100003,mCrit,'PTW Audits'!$F$4:$F$100003,dCrit)</f>
        <v>0</v>
      </c>
      <c r="J954" s="13" t="s">
        <v>149</v>
      </c>
      <c r="K954" s="22">
        <f>COUNTIFS('PTW Audits'!$M$4:$M$100003,"Partially Compliant",'PTW Audits'!$D$4:$D$100003,mCrit,'PTW Audits'!$F$4:$F$100003,dCrit)</f>
        <v>0</v>
      </c>
      <c r="M954" s="13" t="s">
        <v>145</v>
      </c>
      <c r="N954" s="22">
        <f>COUNTIFS('PTW Audits'!$M$4:$M$100003,"Non-Compliant",'PTW Audits'!$D$4:$D$100003,mCrit,'PTW Audits'!$F$4:$F$100003,dCrit)</f>
        <v>0</v>
      </c>
      <c r="P954" s="13" t="s">
        <v>39</v>
      </c>
      <c r="Q954" s="22">
        <f>COUNTIFS('PTW Audits'!$D$4:$D$100003,mCrit,'PTW Audits'!$F$4:$F$100003,"Engineering")</f>
        <v>0</v>
      </c>
      <c r="R954" s="25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954" s="25">
        <f>IFERROR(AVERAGEIFS('PTW Audits'!$L$4:$L$100003,'PTW Audits'!$D$4:$D$100003,mCrit,'PTW Audits'!$F$4:$F$100003,"Engineering"),0)</f>
        <v>0</v>
      </c>
      <c r="U954" s="13" t="s">
        <v>1931</v>
      </c>
      <c r="V954" s="25">
        <f>IFERROR(AVERAGEIFS('PTW Audits'!$L$4:$L$100003,'PTW Audits'!$D$4:$D$100003,"Jan",'PTW Audits'!$F$4:$F$100003,dCrit),0)</f>
        <v>0</v>
      </c>
      <c r="W954" s="25">
        <f>IFERROR(AVERAGEIFS('PTW Audits'!$L$4:$L$100003,'PTW Audits'!$D$4:$D$100003,"Feb",'PTW Audits'!$F$4:$F$100003,dCrit),0)</f>
        <v>0</v>
      </c>
      <c r="X954" s="25">
        <f>IFERROR(AVERAGEIFS('PTW Audits'!$L$4:$L$100003,'PTW Audits'!$D$4:$D$100003,"Mar",'PTW Audits'!$F$4:$F$100003,dCrit),0)</f>
        <v>0</v>
      </c>
      <c r="Y954" s="25">
        <f>IFERROR(AVERAGEIFS('PTW Audits'!$L$4:$L$100003,'PTW Audits'!$D$4:$D$100003,"Apr",'PTW Audits'!$F$4:$F$100003,dCrit),0)</f>
        <v>0</v>
      </c>
      <c r="Z954" s="25">
        <f>IFERROR(AVERAGEIFS('PTW Audits'!$L$4:$L$100003,'PTW Audits'!$D$4:$D$100003,"May",'PTW Audits'!$F$4:$F$100003,dCrit),0)</f>
        <v>0</v>
      </c>
      <c r="AA954" s="25">
        <f>IFERROR(AVERAGEIFS('PTW Audits'!$L$4:$L$100003,'PTW Audits'!$D$4:$D$100003,"Jun",'PTW Audits'!$F$4:$F$100003,dCrit),0)</f>
        <v>0</v>
      </c>
      <c r="AB954" s="25">
        <f>IFERROR(AVERAGEIFS('PTW Audits'!$L$4:$L$100003,'PTW Audits'!$D$4:$D$100003,"Jul",'PTW Audits'!$F$4:$F$100003,dCrit),0)</f>
        <v>0</v>
      </c>
      <c r="AC954" s="25">
        <f>IFERROR(AVERAGEIFS('PTW Audits'!$L$4:$L$100003,'PTW Audits'!$D$4:$D$100003,"Aug",'PTW Audits'!$F$4:$F$100003,dCrit),0)</f>
        <v>0</v>
      </c>
      <c r="AD954" s="25">
        <f>IFERROR(AVERAGEIFS('PTW Audits'!$L$4:$L$100003,'PTW Audits'!$D$4:$D$100003,"Sep",'PTW Audits'!$F$4:$F$100003,dCrit),0)</f>
        <v>0</v>
      </c>
      <c r="AE954" s="25">
        <f>IFERROR(AVERAGEIFS('PTW Audits'!$L$4:$L$100003,'PTW Audits'!$D$4:$D$100003,"Oct",'PTW Audits'!$F$4:$F$100003,dCrit),0)</f>
        <v>0</v>
      </c>
      <c r="AF954" s="25">
        <f>IFERROR(AVERAGEIFS('PTW Audits'!$L$4:$L$100003,'PTW Audits'!$D$4:$D$100003,"Nov",'PTW Audits'!$F$4:$F$100003,dCrit),0)</f>
        <v>0</v>
      </c>
      <c r="AG954" s="25">
        <f>IFERROR(AVERAGEIFS('PTW Audits'!$L$4:$L$100003,'PTW Audits'!$D$4:$D$100003,"Dec",'PTW Audits'!$F$4:$F$100003,dCrit),0)</f>
        <v>0</v>
      </c>
      <c r="AH954" s="25">
        <f>IFERROR(AVERAGE(V954:AG954),0)</f>
        <v>0</v>
      </c>
    </row>
    <row r="955" spans="2:34">
      <c r="B955" s="23" t="s">
        <v>53</v>
      </c>
      <c r="C955" s="22">
        <f>COUNTIFS('PTW Audits'!$D$4:$D$100003,"Apr",'PTW Audits'!$F$4:$F$100003,dCrit)</f>
        <v>0</v>
      </c>
      <c r="E955" s="13" t="s">
        <v>1212</v>
      </c>
      <c r="F955" s="22">
        <f>COUNTIFS('PTW Audits'!$E$4:$E$100003,"Electrical",'PTW Audits'!$D$4:$D$100003,mCrit,'PTW Audits'!$F$4:$F$100003,dCrit)</f>
        <v>0</v>
      </c>
      <c r="M955" s="13" t="s">
        <v>2040</v>
      </c>
      <c r="N955" s="22">
        <f>COUNTIFS('PTW Audits'!$M$4:$M$100003,"Partially Compliant",'PTW Audits'!$D$4:$D$100003,mCrit,'PTW Audits'!$F$4:$F$100003,dCrit)</f>
        <v>0</v>
      </c>
      <c r="P955" s="13" t="s">
        <v>89</v>
      </c>
      <c r="Q955" s="22">
        <f>COUNTIFS('PTW Audits'!$D$4:$D$100003,mCrit,'PTW Audits'!$F$4:$F$100003,"Construction")</f>
        <v>0</v>
      </c>
      <c r="R955" s="25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955" s="25">
        <f>IFERROR(AVERAGEIFS('PTW Audits'!$L$4:$L$100003,'PTW Audits'!$D$4:$D$100003,mCrit,'PTW Audits'!$F$4:$F$100003,"Construction"),0)</f>
        <v>0</v>
      </c>
    </row>
    <row r="956" spans="2:34">
      <c r="B956" s="23" t="s">
        <v>60</v>
      </c>
      <c r="C956" s="22">
        <f>COUNTIFS('PTW Audits'!$D$4:$D$100003,"May",'PTW Audits'!$F$4:$F$100003,dCrit)</f>
        <v>0</v>
      </c>
      <c r="E956" s="13" t="s">
        <v>1204</v>
      </c>
      <c r="F956" s="22">
        <f>COUNTIFS('PTW Audits'!$E$4:$E$100003,"Cold Work",'PTW Audits'!$D$4:$D$100003,mCrit,'PTW Audits'!$F$4:$F$100003,dCrit)</f>
        <v>0</v>
      </c>
      <c r="M956" s="13" t="s">
        <v>1252</v>
      </c>
      <c r="N956" s="22">
        <f>SUMIFS('PTW Audits'!$I$4:$I$100003,'PTW Audits'!$D$4:$D$100003,mCrit,'PTW Audits'!$F$4:$F$100003,dCrit)</f>
        <v>0</v>
      </c>
      <c r="P956" s="13" t="s">
        <v>65</v>
      </c>
      <c r="Q956" s="22">
        <f>COUNTIFS('PTW Audits'!$D$4:$D$100003,mCrit,'PTW Audits'!$F$4:$F$100003,"Safety")</f>
        <v>0</v>
      </c>
      <c r="R956" s="25">
        <f>IFERROR((COUNTIFS('PTW Audits'!$M$4:$M$100003,"Compliant",'PTW Audits'!$D$4:$D$100003,mCrit,'PTW Audits'!$F$4:$F$100003,"Safety"))/COUNTIFS('PTW Audits'!$D$4:$D$100003,mCrit,'PTW Audits'!$F$4:$F$100003,"Safety")*100,0)</f>
        <v>0</v>
      </c>
      <c r="S956" s="25">
        <f>IFERROR(AVERAGEIFS('PTW Audits'!$L$4:$L$100003,'PTW Audits'!$D$4:$D$100003,mCrit,'PTW Audits'!$F$4:$F$100003,"Safety"),0)</f>
        <v>0</v>
      </c>
    </row>
    <row r="957" spans="2:34">
      <c r="B957" s="23" t="s">
        <v>73</v>
      </c>
      <c r="C957" s="22">
        <f>COUNTIFS('PTW Audits'!$D$4:$D$100003,"Jun",'PTW Audits'!$F$4:$F$100003,dCrit)</f>
        <v>0</v>
      </c>
      <c r="E957" s="13" t="s">
        <v>1198</v>
      </c>
      <c r="F957" s="22">
        <f>COUNTIFS('PTW Audits'!$E$4:$E$100003,"Lifting",'PTW Audits'!$D$4:$D$100003,mCrit,'PTW Audits'!$F$4:$F$100003,dCrit)</f>
        <v>0</v>
      </c>
      <c r="M957" s="13" t="s">
        <v>2041</v>
      </c>
      <c r="N957" s="22">
        <f>SUMIFS('PTW Audits'!$J$4:$J$100003,'PTW Audits'!$D$4:$D$100003,mCrit,'PTW Audits'!$F$4:$F$100003,dCrit)</f>
        <v>0</v>
      </c>
      <c r="P957" s="13" t="s">
        <v>5</v>
      </c>
      <c r="Q957" s="22">
        <f>COUNTIFS('PTW Audits'!$D$4:$D$100003,mCrit,'PTW Audits'!$F$4:$F$100003,"Logistics")</f>
        <v>0</v>
      </c>
      <c r="R957" s="25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957" s="25">
        <f>IFERROR(AVERAGEIFS('PTW Audits'!$L$4:$L$100003,'PTW Audits'!$D$4:$D$100003,mCrit,'PTW Audits'!$F$4:$F$100003,"Logistics"),0)</f>
        <v>0</v>
      </c>
    </row>
    <row r="958" spans="2:34">
      <c r="B958" s="23" t="s">
        <v>76</v>
      </c>
      <c r="C958" s="22">
        <f>COUNTIFS('PTW Audits'!$D$4:$D$100003,"Jul",'PTW Audits'!$F$4:$F$100003,dCrit)</f>
        <v>0</v>
      </c>
      <c r="E958" s="13" t="s">
        <v>1215</v>
      </c>
      <c r="F958" s="22">
        <f>COUNTIFS('PTW Audits'!$E$4:$E$100003,"Excavation",'PTW Audits'!$D$4:$D$100003,mCrit,'PTW Audits'!$F$4:$F$100003,dCrit)</f>
        <v>0</v>
      </c>
      <c r="M958" s="13" t="s">
        <v>2042</v>
      </c>
      <c r="N958" s="25">
        <f>IFERROR(AVERAGEIFS('PTW Audits'!$L$4:$L$100003,'PTW Audits'!$D$4:$D$100003,mCrit,'PTW Audits'!$F$4:$F$100003,dCrit),0)</f>
        <v>0</v>
      </c>
      <c r="P958" s="13" t="s">
        <v>50</v>
      </c>
      <c r="Q958" s="22">
        <f>COUNTIFS('PTW Audits'!$D$4:$D$100003,mCrit,'PTW Audits'!$F$4:$F$100003,"Quality")</f>
        <v>0</v>
      </c>
      <c r="R958" s="25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958" s="25">
        <f>IFERROR(AVERAGEIFS('PTW Audits'!$L$4:$L$100003,'PTW Audits'!$D$4:$D$100003,mCrit,'PTW Audits'!$F$4:$F$100003,"Quality"),0)</f>
        <v>0</v>
      </c>
    </row>
    <row r="959" spans="2:34">
      <c r="B959" s="23" t="s">
        <v>86</v>
      </c>
      <c r="C959" s="22">
        <f>COUNTIFS('PTW Audits'!$D$4:$D$100003,"Aug",'PTW Audits'!$F$4:$F$100003,dCrit)</f>
        <v>0</v>
      </c>
      <c r="M959" s="13" t="s">
        <v>2043</v>
      </c>
      <c r="N959" s="25">
        <f>IFERROR((COUNTIFS('PTW Audits'!$M$4:$M$100003,"Compliant",'PTW Audits'!$D$4:$D$100003,mCrit,'PTW Audits'!$F$4:$F$100003,dCrit))/(COUNTIFS('PTW Audits'!$D$4:$D$100003,mCrit,'PTW Audits'!$F$4:$F$100003,dCrit))*100,0)</f>
        <v>0</v>
      </c>
      <c r="P959" s="13" t="s">
        <v>46</v>
      </c>
      <c r="Q959" s="22">
        <f>COUNTIFS('PTW Audits'!$D$4:$D$100003,mCrit,'PTW Audits'!$F$4:$F$100003,"Admin")</f>
        <v>0</v>
      </c>
      <c r="R959" s="25">
        <f>IFERROR((COUNTIFS('PTW Audits'!$M$4:$M$100003,"Compliant",'PTW Audits'!$D$4:$D$100003,mCrit,'PTW Audits'!$F$4:$F$100003,"Admin"))/COUNTIFS('PTW Audits'!$D$4:$D$100003,mCrit,'PTW Audits'!$F$4:$F$100003,"Admin")*100,0)</f>
        <v>0</v>
      </c>
      <c r="S959" s="25">
        <f>IFERROR(AVERAGEIFS('PTW Audits'!$L$4:$L$100003,'PTW Audits'!$D$4:$D$100003,mCrit,'PTW Audits'!$F$4:$F$100003,"Admin"),0)</f>
        <v>0</v>
      </c>
    </row>
    <row r="960" spans="2:34">
      <c r="B960" s="23" t="s">
        <v>102</v>
      </c>
      <c r="C960" s="22">
        <f>COUNTIFS('PTW Audits'!$D$4:$D$100003,"Sep",'PTW Audits'!$F$4:$F$100003,dCrit)</f>
        <v>0</v>
      </c>
      <c r="P960" s="13" t="s">
        <v>13</v>
      </c>
      <c r="Q960" s="22">
        <f>COUNTIFS('PTW Audits'!$D$4:$D$100003,mCrit,'PTW Audits'!$F$4:$F$100003,"Projects")</f>
        <v>0</v>
      </c>
      <c r="R960" s="25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960" s="25">
        <f>IFERROR(AVERAGEIFS('PTW Audits'!$L$4:$L$100003,'PTW Audits'!$D$4:$D$100003,mCrit,'PTW Audits'!$F$4:$F$100003,"Projects"),0)</f>
        <v>0</v>
      </c>
    </row>
    <row r="961" spans="2:19">
      <c r="B961" s="23" t="s">
        <v>106</v>
      </c>
      <c r="C961" s="22">
        <f>COUNTIFS('PTW Audits'!$D$4:$D$100003,"Oct",'PTW Audits'!$F$4:$F$100003,dCrit)</f>
        <v>0</v>
      </c>
      <c r="P961" s="13" t="s">
        <v>58</v>
      </c>
      <c r="Q961" s="22">
        <f>COUNTIFS('PTW Audits'!$D$4:$D$100003,mCrit,'PTW Audits'!$F$4:$F$100003,"Contractor")</f>
        <v>0</v>
      </c>
      <c r="R961" s="25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961" s="25">
        <f>IFERROR(AVERAGEIFS('PTW Audits'!$L$4:$L$100003,'PTW Audits'!$D$4:$D$100003,mCrit,'PTW Audits'!$F$4:$F$100003,"Contractor"),0)</f>
        <v>0</v>
      </c>
    </row>
    <row r="962" spans="2:19">
      <c r="B962" s="23" t="s">
        <v>111</v>
      </c>
      <c r="C962" s="22">
        <f>COUNTIFS('PTW Audits'!$D$4:$D$100003,"Nov",'PTW Audits'!$F$4:$F$100003,dCrit)</f>
        <v>0</v>
      </c>
    </row>
    <row r="963" spans="2:19">
      <c r="B963" s="23" t="s">
        <v>122</v>
      </c>
      <c r="C963" s="22">
        <f>COUNTIFS('PTW Audits'!$D$4:$D$100003,"Dec",'PTW Audits'!$F$4:$F$100003,dCrit)</f>
        <v>0</v>
      </c>
    </row>
    <row r="976" spans="2:19">
      <c r="B976" s="17" t="s">
        <v>2044</v>
      </c>
    </row>
    <row r="977" spans="2:34">
      <c r="B977" s="12" t="s">
        <v>127</v>
      </c>
      <c r="C977" s="12" t="s">
        <v>1887</v>
      </c>
      <c r="E977" s="12" t="s">
        <v>1315</v>
      </c>
      <c r="F977" s="12" t="s">
        <v>1887</v>
      </c>
      <c r="G977" s="12" t="s">
        <v>645</v>
      </c>
      <c r="H977" s="12" t="s">
        <v>1887</v>
      </c>
      <c r="J977" s="12" t="s">
        <v>286</v>
      </c>
      <c r="K977" s="12" t="s">
        <v>1887</v>
      </c>
      <c r="M977" s="12" t="s">
        <v>1849</v>
      </c>
      <c r="N977" s="12" t="s">
        <v>1960</v>
      </c>
      <c r="P977" s="12" t="s">
        <v>129</v>
      </c>
      <c r="Q977" s="12" t="s">
        <v>1887</v>
      </c>
      <c r="R977" s="12" t="s">
        <v>1979</v>
      </c>
      <c r="S977" s="12" t="s">
        <v>1694</v>
      </c>
      <c r="U977" s="12" t="s">
        <v>1970</v>
      </c>
      <c r="V977" s="12" t="s">
        <v>3</v>
      </c>
      <c r="W977" s="12" t="s">
        <v>19</v>
      </c>
      <c r="X977" s="12" t="s">
        <v>44</v>
      </c>
      <c r="Y977" s="12" t="s">
        <v>53</v>
      </c>
      <c r="Z977" s="12" t="s">
        <v>60</v>
      </c>
      <c r="AA977" s="12" t="s">
        <v>73</v>
      </c>
      <c r="AB977" s="12" t="s">
        <v>76</v>
      </c>
      <c r="AC977" s="12" t="s">
        <v>86</v>
      </c>
      <c r="AD977" s="12" t="s">
        <v>102</v>
      </c>
      <c r="AE977" s="12" t="s">
        <v>106</v>
      </c>
      <c r="AF977" s="12" t="s">
        <v>111</v>
      </c>
      <c r="AG977" s="12" t="s">
        <v>122</v>
      </c>
      <c r="AH977" s="12" t="s">
        <v>1971</v>
      </c>
    </row>
    <row r="978" spans="2:34">
      <c r="B978" s="23" t="s">
        <v>3</v>
      </c>
      <c r="C978" s="22">
        <f>COUNTIFS('Corrective Actions'!$D$4:$D$100003,"Jan",'Corrective Actions'!$F$4:$F$100003,dCrit)</f>
        <v>0</v>
      </c>
      <c r="E978" s="13" t="s">
        <v>1259</v>
      </c>
      <c r="F978" s="22">
        <f>COUNTIFS('Corrective Actions'!$E$4:$E$100003,"Audit Finding",'Corrective Actions'!$D$4:$D$100003,mCrit,'Corrective Actions'!$F$4:$F$100003,dCrit)</f>
        <v>0</v>
      </c>
      <c r="G978" s="13" t="s">
        <v>157</v>
      </c>
      <c r="H978" s="22">
        <f>COUNTIFS('Corrective Actions'!$I$4:$I$100003,"Critical",'Corrective Actions'!$D$4:$D$100003,mCrit,'Corrective Actions'!$F$4:$F$100003,dCrit)</f>
        <v>0</v>
      </c>
      <c r="J978" s="13" t="s">
        <v>220</v>
      </c>
      <c r="K978" s="22">
        <f>COUNTIFS('Corrective Actions'!$N$4:$N$100003,"Completed",'Corrective Actions'!$D$4:$D$100003,mCrit,'Corrective Actions'!$F$4:$F$100003,dCrit)</f>
        <v>0</v>
      </c>
      <c r="M978" s="13" t="s">
        <v>2045</v>
      </c>
      <c r="N978" s="22">
        <f>COUNTIFS('Corrective Actions'!$D$4:$D$100003,mCrit,'Corrective Actions'!$F$4:$F$100003,dCrit)</f>
        <v>0</v>
      </c>
      <c r="P978" s="13" t="s">
        <v>27</v>
      </c>
      <c r="Q978" s="22">
        <f>COUNTIFS('Corrective Actions'!$D$4:$D$100003,mCrit,'Corrective Actions'!$F$4:$F$100003,"Operations")</f>
        <v>0</v>
      </c>
      <c r="R978" s="25">
        <f>IFERROR((COUNTIFS('Corrective Actions'!$N$4:$N$100003,"Completed",'Corrective Actions'!$D$4:$D$100003,mCrit,'Corrective Actions'!$F$4:$F$100003,"Operations"))/COUNTIFS('Corrective Actions'!$D$4:$D$100003,mCrit,'Corrective Actions'!$F$4:$F$100003,"Operations")*100,0)</f>
        <v>0</v>
      </c>
      <c r="S978" s="22">
        <f>COUNTIFS('Corrective Actions'!$D$4:$D$100003,mCrit,'Corrective Actions'!$F$4:$F$100003,"Operations")</f>
        <v>0</v>
      </c>
      <c r="U978" s="13" t="s">
        <v>1694</v>
      </c>
      <c r="V978" s="22">
        <f>COUNTIFS('Corrective Actions'!$D$4:$D$100003,"Jan",'Corrective Actions'!$F$4:$F$100003,dCrit)</f>
        <v>0</v>
      </c>
      <c r="W978" s="22">
        <f>COUNTIFS('Corrective Actions'!$D$4:$D$100003,"Feb",'Corrective Actions'!$F$4:$F$100003,dCrit)</f>
        <v>0</v>
      </c>
      <c r="X978" s="22">
        <f>COUNTIFS('Corrective Actions'!$D$4:$D$100003,"Mar",'Corrective Actions'!$F$4:$F$100003,dCrit)</f>
        <v>0</v>
      </c>
      <c r="Y978" s="22">
        <f>COUNTIFS('Corrective Actions'!$D$4:$D$100003,"Apr",'Corrective Actions'!$F$4:$F$100003,dCrit)</f>
        <v>0</v>
      </c>
      <c r="Z978" s="22">
        <f>COUNTIFS('Corrective Actions'!$D$4:$D$100003,"May",'Corrective Actions'!$F$4:$F$100003,dCrit)</f>
        <v>0</v>
      </c>
      <c r="AA978" s="22">
        <f>COUNTIFS('Corrective Actions'!$D$4:$D$100003,"Jun",'Corrective Actions'!$F$4:$F$100003,dCrit)</f>
        <v>0</v>
      </c>
      <c r="AB978" s="22">
        <f>COUNTIFS('Corrective Actions'!$D$4:$D$100003,"Jul",'Corrective Actions'!$F$4:$F$100003,dCrit)</f>
        <v>0</v>
      </c>
      <c r="AC978" s="22">
        <f>COUNTIFS('Corrective Actions'!$D$4:$D$100003,"Aug",'Corrective Actions'!$F$4:$F$100003,dCrit)</f>
        <v>0</v>
      </c>
      <c r="AD978" s="22">
        <f>COUNTIFS('Corrective Actions'!$D$4:$D$100003,"Sep",'Corrective Actions'!$F$4:$F$100003,dCrit)</f>
        <v>0</v>
      </c>
      <c r="AE978" s="22">
        <f>COUNTIFS('Corrective Actions'!$D$4:$D$100003,"Oct",'Corrective Actions'!$F$4:$F$100003,dCrit)</f>
        <v>0</v>
      </c>
      <c r="AF978" s="22">
        <f>COUNTIFS('Corrective Actions'!$D$4:$D$100003,"Nov",'Corrective Actions'!$F$4:$F$100003,dCrit)</f>
        <v>0</v>
      </c>
      <c r="AG978" s="22">
        <f>COUNTIFS('Corrective Actions'!$D$4:$D$100003,"Dec",'Corrective Actions'!$F$4:$F$100003,dCrit)</f>
        <v>0</v>
      </c>
      <c r="AH978" s="22">
        <f>SUM(V978:AG978)</f>
        <v>0</v>
      </c>
    </row>
    <row r="979" spans="2:34">
      <c r="B979" s="23" t="s">
        <v>19</v>
      </c>
      <c r="C979" s="22">
        <f>COUNTIFS('Corrective Actions'!$D$4:$D$100003,"Feb",'Corrective Actions'!$F$4:$F$100003,dCrit)</f>
        <v>0</v>
      </c>
      <c r="E979" s="13" t="s">
        <v>1261</v>
      </c>
      <c r="F979" s="22">
        <f>COUNTIFS('Corrective Actions'!$E$4:$E$100003,"Inspection Finding",'Corrective Actions'!$D$4:$D$100003,mCrit,'Corrective Actions'!$F$4:$F$100003,dCrit)</f>
        <v>0</v>
      </c>
      <c r="G979" s="13" t="s">
        <v>151</v>
      </c>
      <c r="H979" s="22">
        <f>COUNTIFS('Corrective Actions'!$I$4:$I$100003,"High",'Corrective Actions'!$D$4:$D$100003,mCrit,'Corrective Actions'!$F$4:$F$100003,dCrit)</f>
        <v>0</v>
      </c>
      <c r="J979" s="13" t="s">
        <v>1262</v>
      </c>
      <c r="K979" s="22">
        <f>COUNTIFS('Corrective Actions'!$N$4:$N$100003,"Cancelled",'Corrective Actions'!$D$4:$D$100003,mCrit,'Corrective Actions'!$F$4:$F$100003,dCrit)</f>
        <v>0</v>
      </c>
      <c r="M979" s="13" t="s">
        <v>220</v>
      </c>
      <c r="N979" s="22">
        <f>COUNTIFS('Corrective Actions'!$N$4:$N$100003,"Completed",'Corrective Actions'!$D$4:$D$100003,mCrit,'Corrective Actions'!$F$4:$F$100003,dCrit)</f>
        <v>0</v>
      </c>
      <c r="P979" s="13" t="s">
        <v>92</v>
      </c>
      <c r="Q979" s="22">
        <f>COUNTIFS('Corrective Actions'!$D$4:$D$100003,mCrit,'Corrective Actions'!$F$4:$F$100003,"Maintenance")</f>
        <v>0</v>
      </c>
      <c r="R979" s="25">
        <f>IFERROR((COUNTIFS('Corrective Actions'!$N$4:$N$100003,"Completed",'Corrective Actions'!$D$4:$D$100003,mCrit,'Corrective Actions'!$F$4:$F$100003,"Maintenance"))/COUNTIFS('Corrective Actions'!$D$4:$D$100003,mCrit,'Corrective Actions'!$F$4:$F$100003,"Maintenance")*100,0)</f>
        <v>0</v>
      </c>
      <c r="S979" s="22">
        <f>COUNTIFS('Corrective Actions'!$D$4:$D$100003,mCrit,'Corrective Actions'!$F$4:$F$100003,"Maintenance")</f>
        <v>0</v>
      </c>
      <c r="U979" s="13" t="s">
        <v>1980</v>
      </c>
      <c r="V979" s="25">
        <f>IFERROR((COUNTIFS('Corrective Actions'!$N$4:$N$100003,"Completed",'Corrective Actions'!$D$4:$D$100003,"Jan",'Corrective Actions'!$F$4:$F$100003,dCrit))/COUNTIFS('Corrective Actions'!$D$4:$D$100003,"Jan",'Corrective Actions'!$F$4:$F$100003,dCrit)*100,0)</f>
        <v>0</v>
      </c>
      <c r="W979" s="25">
        <f>IFERROR((COUNTIFS('Corrective Actions'!$N$4:$N$100003,"Completed",'Corrective Actions'!$D$4:$D$100003,"Feb",'Corrective Actions'!$F$4:$F$100003,dCrit))/COUNTIFS('Corrective Actions'!$D$4:$D$100003,"Feb",'Corrective Actions'!$F$4:$F$100003,dCrit)*100,0)</f>
        <v>0</v>
      </c>
      <c r="X979" s="25">
        <f>IFERROR((COUNTIFS('Corrective Actions'!$N$4:$N$100003,"Completed",'Corrective Actions'!$D$4:$D$100003,"Mar",'Corrective Actions'!$F$4:$F$100003,dCrit))/COUNTIFS('Corrective Actions'!$D$4:$D$100003,"Mar",'Corrective Actions'!$F$4:$F$100003,dCrit)*100,0)</f>
        <v>0</v>
      </c>
      <c r="Y979" s="25">
        <f>IFERROR((COUNTIFS('Corrective Actions'!$N$4:$N$100003,"Completed",'Corrective Actions'!$D$4:$D$100003,"Apr",'Corrective Actions'!$F$4:$F$100003,dCrit))/COUNTIFS('Corrective Actions'!$D$4:$D$100003,"Apr",'Corrective Actions'!$F$4:$F$100003,dCrit)*100,0)</f>
        <v>0</v>
      </c>
      <c r="Z979" s="25">
        <f>IFERROR((COUNTIFS('Corrective Actions'!$N$4:$N$100003,"Completed",'Corrective Actions'!$D$4:$D$100003,"May",'Corrective Actions'!$F$4:$F$100003,dCrit))/COUNTIFS('Corrective Actions'!$D$4:$D$100003,"May",'Corrective Actions'!$F$4:$F$100003,dCrit)*100,0)</f>
        <v>0</v>
      </c>
      <c r="AA979" s="25">
        <f>IFERROR((COUNTIFS('Corrective Actions'!$N$4:$N$100003,"Completed",'Corrective Actions'!$D$4:$D$100003,"Jun",'Corrective Actions'!$F$4:$F$100003,dCrit))/COUNTIFS('Corrective Actions'!$D$4:$D$100003,"Jun",'Corrective Actions'!$F$4:$F$100003,dCrit)*100,0)</f>
        <v>0</v>
      </c>
      <c r="AB979" s="25">
        <f>IFERROR((COUNTIFS('Corrective Actions'!$N$4:$N$100003,"Completed",'Corrective Actions'!$D$4:$D$100003,"Jul",'Corrective Actions'!$F$4:$F$100003,dCrit))/COUNTIFS('Corrective Actions'!$D$4:$D$100003,"Jul",'Corrective Actions'!$F$4:$F$100003,dCrit)*100,0)</f>
        <v>0</v>
      </c>
      <c r="AC979" s="25">
        <f>IFERROR((COUNTIFS('Corrective Actions'!$N$4:$N$100003,"Completed",'Corrective Actions'!$D$4:$D$100003,"Aug",'Corrective Actions'!$F$4:$F$100003,dCrit))/COUNTIFS('Corrective Actions'!$D$4:$D$100003,"Aug",'Corrective Actions'!$F$4:$F$100003,dCrit)*100,0)</f>
        <v>0</v>
      </c>
      <c r="AD979" s="25">
        <f>IFERROR((COUNTIFS('Corrective Actions'!$N$4:$N$100003,"Completed",'Corrective Actions'!$D$4:$D$100003,"Sep",'Corrective Actions'!$F$4:$F$100003,dCrit))/COUNTIFS('Corrective Actions'!$D$4:$D$100003,"Sep",'Corrective Actions'!$F$4:$F$100003,dCrit)*100,0)</f>
        <v>0</v>
      </c>
      <c r="AE979" s="25">
        <f>IFERROR((COUNTIFS('Corrective Actions'!$N$4:$N$100003,"Completed",'Corrective Actions'!$D$4:$D$100003,"Oct",'Corrective Actions'!$F$4:$F$100003,dCrit))/COUNTIFS('Corrective Actions'!$D$4:$D$100003,"Oct",'Corrective Actions'!$F$4:$F$100003,dCrit)*100,0)</f>
        <v>0</v>
      </c>
      <c r="AF979" s="25">
        <f>IFERROR((COUNTIFS('Corrective Actions'!$N$4:$N$100003,"Completed",'Corrective Actions'!$D$4:$D$100003,"Nov",'Corrective Actions'!$F$4:$F$100003,dCrit))/COUNTIFS('Corrective Actions'!$D$4:$D$100003,"Nov",'Corrective Actions'!$F$4:$F$100003,dCrit)*100,0)</f>
        <v>0</v>
      </c>
      <c r="AG979" s="25">
        <f>IFERROR((COUNTIFS('Corrective Actions'!$N$4:$N$100003,"Completed",'Corrective Actions'!$D$4:$D$100003,"Dec",'Corrective Actions'!$F$4:$F$100003,dCrit))/COUNTIFS('Corrective Actions'!$D$4:$D$100003,"Dec",'Corrective Actions'!$F$4:$F$100003,dCrit)*100,0)</f>
        <v>0</v>
      </c>
      <c r="AH979" s="25">
        <f>IFERROR(AVERAGE(V979:AG979),0)</f>
        <v>0</v>
      </c>
    </row>
    <row r="980" spans="2:34">
      <c r="B980" s="23" t="s">
        <v>44</v>
      </c>
      <c r="C980" s="22">
        <f>COUNTIFS('Corrective Actions'!$D$4:$D$100003,"Mar",'Corrective Actions'!$F$4:$F$100003,dCrit)</f>
        <v>0</v>
      </c>
      <c r="E980" s="13" t="s">
        <v>1269</v>
      </c>
      <c r="F980" s="22">
        <f>COUNTIFS('Corrective Actions'!$E$4:$E$100003,"Incident Follow-up",'Corrective Actions'!$D$4:$D$100003,mCrit,'Corrective Actions'!$F$4:$F$100003,dCrit)</f>
        <v>0</v>
      </c>
      <c r="G980" s="13" t="s">
        <v>142</v>
      </c>
      <c r="H980" s="22">
        <f>COUNTIFS('Corrective Actions'!$I$4:$I$100003,"Medium",'Corrective Actions'!$D$4:$D$100003,mCrit,'Corrective Actions'!$F$4:$F$100003,dCrit)</f>
        <v>0</v>
      </c>
      <c r="J980" s="13" t="s">
        <v>302</v>
      </c>
      <c r="K980" s="22">
        <f>COUNTIFS('Corrective Actions'!$N$4:$N$100003,"Pending",'Corrective Actions'!$D$4:$D$100003,mCrit,'Corrective Actions'!$F$4:$F$100003,dCrit)</f>
        <v>0</v>
      </c>
      <c r="M980" s="13" t="s">
        <v>224</v>
      </c>
      <c r="N980" s="22">
        <f>COUNTIFS('Corrective Actions'!$N$4:$N$100003,"In Progress",'Corrective Actions'!$D$4:$D$100003,mCrit,'Corrective Actions'!$F$4:$F$100003,dCrit)</f>
        <v>0</v>
      </c>
      <c r="P980" s="13" t="s">
        <v>39</v>
      </c>
      <c r="Q980" s="22">
        <f>COUNTIFS('Corrective Actions'!$D$4:$D$100003,mCrit,'Corrective Actions'!$F$4:$F$100003,"Engineering")</f>
        <v>0</v>
      </c>
      <c r="R980" s="25">
        <f>IFERROR((COUNTIFS('Corrective Actions'!$N$4:$N$100003,"Completed",'Corrective Actions'!$D$4:$D$100003,mCrit,'Corrective Actions'!$F$4:$F$100003,"Engineering"))/COUNTIFS('Corrective Actions'!$D$4:$D$100003,mCrit,'Corrective Actions'!$F$4:$F$100003,"Engineering")*100,0)</f>
        <v>0</v>
      </c>
      <c r="S980" s="22">
        <f>COUNTIFS('Corrective Actions'!$D$4:$D$100003,mCrit,'Corrective Actions'!$F$4:$F$100003,"Engineering")</f>
        <v>0</v>
      </c>
    </row>
    <row r="981" spans="2:34">
      <c r="B981" s="23" t="s">
        <v>53</v>
      </c>
      <c r="C981" s="22">
        <f>COUNTIFS('Corrective Actions'!$D$4:$D$100003,"Apr",'Corrective Actions'!$F$4:$F$100003,dCrit)</f>
        <v>0</v>
      </c>
      <c r="E981" s="13" t="s">
        <v>1274</v>
      </c>
      <c r="F981" s="22">
        <f>COUNTIFS('Corrective Actions'!$E$4:$E$100003,"Observation",'Corrective Actions'!$D$4:$D$100003,mCrit,'Corrective Actions'!$F$4:$F$100003,dCrit)</f>
        <v>0</v>
      </c>
      <c r="G981" s="13" t="s">
        <v>161</v>
      </c>
      <c r="H981" s="22">
        <f>COUNTIFS('Corrective Actions'!$I$4:$I$100003,"Low",'Corrective Actions'!$D$4:$D$100003,mCrit,'Corrective Actions'!$F$4:$F$100003,dCrit)</f>
        <v>0</v>
      </c>
      <c r="J981" s="13" t="s">
        <v>326</v>
      </c>
      <c r="K981" s="22">
        <f>COUNTIFS('Corrective Actions'!$N$4:$N$100003,"Overdue",'Corrective Actions'!$D$4:$D$100003,mCrit,'Corrective Actions'!$F$4:$F$100003,dCrit)</f>
        <v>0</v>
      </c>
      <c r="M981" s="13" t="s">
        <v>326</v>
      </c>
      <c r="N981" s="22">
        <f>COUNTIFS('Corrective Actions'!$N$4:$N$100003,"Overdue",'Corrective Actions'!$D$4:$D$100003,mCrit,'Corrective Actions'!$F$4:$F$100003,dCrit)</f>
        <v>0</v>
      </c>
      <c r="P981" s="13" t="s">
        <v>89</v>
      </c>
      <c r="Q981" s="22">
        <f>COUNTIFS('Corrective Actions'!$D$4:$D$100003,mCrit,'Corrective Actions'!$F$4:$F$100003,"Construction")</f>
        <v>0</v>
      </c>
      <c r="R981" s="25">
        <f>IFERROR((COUNTIFS('Corrective Actions'!$N$4:$N$100003,"Completed",'Corrective Actions'!$D$4:$D$100003,mCrit,'Corrective Actions'!$F$4:$F$100003,"Construction"))/COUNTIFS('Corrective Actions'!$D$4:$D$100003,mCrit,'Corrective Actions'!$F$4:$F$100003,"Construction")*100,0)</f>
        <v>0</v>
      </c>
      <c r="S981" s="22">
        <f>COUNTIFS('Corrective Actions'!$D$4:$D$100003,mCrit,'Corrective Actions'!$F$4:$F$100003,"Construction")</f>
        <v>0</v>
      </c>
    </row>
    <row r="982" spans="2:34">
      <c r="B982" s="23" t="s">
        <v>60</v>
      </c>
      <c r="C982" s="22">
        <f>COUNTIFS('Corrective Actions'!$D$4:$D$100003,"May",'Corrective Actions'!$F$4:$F$100003,dCrit)</f>
        <v>0</v>
      </c>
      <c r="E982" s="13" t="s">
        <v>1267</v>
      </c>
      <c r="F982" s="22">
        <f>COUNTIFS('Corrective Actions'!$E$4:$E$100003,"Drill Finding",'Corrective Actions'!$D$4:$D$100003,mCrit,'Corrective Actions'!$F$4:$F$100003,dCrit)</f>
        <v>0</v>
      </c>
      <c r="J982" s="13" t="s">
        <v>224</v>
      </c>
      <c r="K982" s="22">
        <f>COUNTIFS('Corrective Actions'!$N$4:$N$100003,"In Progress",'Corrective Actions'!$D$4:$D$100003,mCrit,'Corrective Actions'!$F$4:$F$100003,dCrit)</f>
        <v>0</v>
      </c>
      <c r="M982" s="13" t="s">
        <v>1989</v>
      </c>
      <c r="N982" s="25">
        <f>IFERROR((COUNTIFS('Corrective Actions'!$N$4:$N$100003,"Completed",'Corrective Actions'!$D$4:$D$100003,mCrit,'Corrective Actions'!$F$4:$F$100003,dCrit))/(COUNTIFS('Corrective Actions'!$D$4:$D$100003,mCrit,'Corrective Actions'!$F$4:$F$100003,dCrit))*100,0)</f>
        <v>0</v>
      </c>
      <c r="P982" s="13" t="s">
        <v>65</v>
      </c>
      <c r="Q982" s="22">
        <f>COUNTIFS('Corrective Actions'!$D$4:$D$100003,mCrit,'Corrective Actions'!$F$4:$F$100003,"Safety")</f>
        <v>0</v>
      </c>
      <c r="R982" s="25">
        <f>IFERROR((COUNTIFS('Corrective Actions'!$N$4:$N$100003,"Completed",'Corrective Actions'!$D$4:$D$100003,mCrit,'Corrective Actions'!$F$4:$F$100003,"Safety"))/COUNTIFS('Corrective Actions'!$D$4:$D$100003,mCrit,'Corrective Actions'!$F$4:$F$100003,"Safety")*100,0)</f>
        <v>0</v>
      </c>
      <c r="S982" s="22">
        <f>COUNTIFS('Corrective Actions'!$D$4:$D$100003,mCrit,'Corrective Actions'!$F$4:$F$100003,"Safety")</f>
        <v>0</v>
      </c>
    </row>
    <row r="983" spans="2:34">
      <c r="B983" s="23" t="s">
        <v>73</v>
      </c>
      <c r="C983" s="22">
        <f>COUNTIFS('Corrective Actions'!$D$4:$D$100003,"Jun",'Corrective Actions'!$F$4:$F$100003,dCrit)</f>
        <v>0</v>
      </c>
      <c r="E983" s="13" t="s">
        <v>1265</v>
      </c>
      <c r="F983" s="22">
        <f>COUNTIFS('Corrective Actions'!$E$4:$E$100003,"Management Review",'Corrective Actions'!$D$4:$D$100003,mCrit,'Corrective Actions'!$F$4:$F$100003,dCrit)</f>
        <v>0</v>
      </c>
      <c r="M983" s="13" t="s">
        <v>2001</v>
      </c>
      <c r="N983" s="22">
        <f>COUNTIFS('Corrective Actions'!$I$4:$I$100003,"High",'Corrective Actions'!$D$4:$D$100003,mCrit,'Corrective Actions'!$F$4:$F$100003,dCrit)</f>
        <v>0</v>
      </c>
      <c r="P983" s="13" t="s">
        <v>5</v>
      </c>
      <c r="Q983" s="22">
        <f>COUNTIFS('Corrective Actions'!$D$4:$D$100003,mCrit,'Corrective Actions'!$F$4:$F$100003,"Logistics")</f>
        <v>0</v>
      </c>
      <c r="R983" s="25">
        <f>IFERROR((COUNTIFS('Corrective Actions'!$N$4:$N$100003,"Completed",'Corrective Actions'!$D$4:$D$100003,mCrit,'Corrective Actions'!$F$4:$F$100003,"Logistics"))/COUNTIFS('Corrective Actions'!$D$4:$D$100003,mCrit,'Corrective Actions'!$F$4:$F$100003,"Logistics")*100,0)</f>
        <v>0</v>
      </c>
      <c r="S983" s="22">
        <f>COUNTIFS('Corrective Actions'!$D$4:$D$100003,mCrit,'Corrective Actions'!$F$4:$F$100003,"Logistics")</f>
        <v>0</v>
      </c>
    </row>
    <row r="984" spans="2:34">
      <c r="B984" s="23" t="s">
        <v>76</v>
      </c>
      <c r="C984" s="22">
        <f>COUNTIFS('Corrective Actions'!$D$4:$D$100003,"Jul",'Corrective Actions'!$F$4:$F$100003,dCrit)</f>
        <v>0</v>
      </c>
      <c r="M984" s="13" t="s">
        <v>142</v>
      </c>
      <c r="N984" s="22">
        <f>COUNTIFS('Corrective Actions'!$I$4:$I$100003,"Medium",'Corrective Actions'!$D$4:$D$100003,mCrit,'Corrective Actions'!$F$4:$F$100003,dCrit)</f>
        <v>0</v>
      </c>
      <c r="P984" s="13" t="s">
        <v>50</v>
      </c>
      <c r="Q984" s="22">
        <f>COUNTIFS('Corrective Actions'!$D$4:$D$100003,mCrit,'Corrective Actions'!$F$4:$F$100003,"Quality")</f>
        <v>0</v>
      </c>
      <c r="R984" s="25">
        <f>IFERROR((COUNTIFS('Corrective Actions'!$N$4:$N$100003,"Completed",'Corrective Actions'!$D$4:$D$100003,mCrit,'Corrective Actions'!$F$4:$F$100003,"Quality"))/COUNTIFS('Corrective Actions'!$D$4:$D$100003,mCrit,'Corrective Actions'!$F$4:$F$100003,"Quality")*100,0)</f>
        <v>0</v>
      </c>
      <c r="S984" s="22">
        <f>COUNTIFS('Corrective Actions'!$D$4:$D$100003,mCrit,'Corrective Actions'!$F$4:$F$100003,"Quality")</f>
        <v>0</v>
      </c>
    </row>
    <row r="985" spans="2:34">
      <c r="B985" s="23" t="s">
        <v>86</v>
      </c>
      <c r="C985" s="22">
        <f>COUNTIFS('Corrective Actions'!$D$4:$D$100003,"Aug",'Corrective Actions'!$F$4:$F$100003,dCrit)</f>
        <v>0</v>
      </c>
      <c r="M985" s="13" t="s">
        <v>161</v>
      </c>
      <c r="N985" s="22">
        <f>COUNTIFS('Corrective Actions'!$I$4:$I$100003,"Low",'Corrective Actions'!$D$4:$D$100003,mCrit,'Corrective Actions'!$F$4:$F$100003,dCrit)</f>
        <v>0</v>
      </c>
      <c r="P985" s="13" t="s">
        <v>46</v>
      </c>
      <c r="Q985" s="22">
        <f>COUNTIFS('Corrective Actions'!$D$4:$D$100003,mCrit,'Corrective Actions'!$F$4:$F$100003,"Admin")</f>
        <v>0</v>
      </c>
      <c r="R985" s="25">
        <f>IFERROR((COUNTIFS('Corrective Actions'!$N$4:$N$100003,"Completed",'Corrective Actions'!$D$4:$D$100003,mCrit,'Corrective Actions'!$F$4:$F$100003,"Admin"))/COUNTIFS('Corrective Actions'!$D$4:$D$100003,mCrit,'Corrective Actions'!$F$4:$F$100003,"Admin")*100,0)</f>
        <v>0</v>
      </c>
      <c r="S985" s="22">
        <f>COUNTIFS('Corrective Actions'!$D$4:$D$100003,mCrit,'Corrective Actions'!$F$4:$F$100003,"Admin")</f>
        <v>0</v>
      </c>
    </row>
    <row r="986" spans="2:34">
      <c r="B986" s="23" t="s">
        <v>102</v>
      </c>
      <c r="C986" s="22">
        <f>COUNTIFS('Corrective Actions'!$D$4:$D$100003,"Sep",'Corrective Actions'!$F$4:$F$100003,dCrit)</f>
        <v>0</v>
      </c>
      <c r="P986" s="13" t="s">
        <v>13</v>
      </c>
      <c r="Q986" s="22">
        <f>COUNTIFS('Corrective Actions'!$D$4:$D$100003,mCrit,'Corrective Actions'!$F$4:$F$100003,"Projects")</f>
        <v>0</v>
      </c>
      <c r="R986" s="25">
        <f>IFERROR((COUNTIFS('Corrective Actions'!$N$4:$N$100003,"Completed",'Corrective Actions'!$D$4:$D$100003,mCrit,'Corrective Actions'!$F$4:$F$100003,"Projects"))/COUNTIFS('Corrective Actions'!$D$4:$D$100003,mCrit,'Corrective Actions'!$F$4:$F$100003,"Projects")*100,0)</f>
        <v>0</v>
      </c>
      <c r="S986" s="22">
        <f>COUNTIFS('Corrective Actions'!$D$4:$D$100003,mCrit,'Corrective Actions'!$F$4:$F$100003,"Projects")</f>
        <v>0</v>
      </c>
    </row>
    <row r="987" spans="2:34">
      <c r="B987" s="23" t="s">
        <v>106</v>
      </c>
      <c r="C987" s="22">
        <f>COUNTIFS('Corrective Actions'!$D$4:$D$100003,"Oct",'Corrective Actions'!$F$4:$F$100003,dCrit)</f>
        <v>0</v>
      </c>
      <c r="P987" s="13" t="s">
        <v>58</v>
      </c>
      <c r="Q987" s="22">
        <f>COUNTIFS('Corrective Actions'!$D$4:$D$100003,mCrit,'Corrective Actions'!$F$4:$F$100003,"Contractor")</f>
        <v>0</v>
      </c>
      <c r="R987" s="25">
        <f>IFERROR((COUNTIFS('Corrective Actions'!$N$4:$N$100003,"Completed",'Corrective Actions'!$D$4:$D$100003,mCrit,'Corrective Actions'!$F$4:$F$100003,"Contractor"))/COUNTIFS('Corrective Actions'!$D$4:$D$100003,mCrit,'Corrective Actions'!$F$4:$F$100003,"Contractor")*100,0)</f>
        <v>0</v>
      </c>
      <c r="S987" s="22">
        <f>COUNTIFS('Corrective Actions'!$D$4:$D$100003,mCrit,'Corrective Actions'!$F$4:$F$100003,"Contractor")</f>
        <v>0</v>
      </c>
    </row>
    <row r="988" spans="2:34">
      <c r="B988" s="23" t="s">
        <v>111</v>
      </c>
      <c r="C988" s="22">
        <f>COUNTIFS('Corrective Actions'!$D$4:$D$100003,"Nov",'Corrective Actions'!$F$4:$F$100003,dCrit)</f>
        <v>0</v>
      </c>
    </row>
    <row r="989" spans="2:34">
      <c r="B989" s="23" t="s">
        <v>122</v>
      </c>
      <c r="C989" s="22">
        <f>COUNTIFS('Corrective Actions'!$D$4:$D$100003,"Dec",'Corrective Actions'!$F$4:$F$100003,dCrit)</f>
        <v>0</v>
      </c>
    </row>
    <row r="1002" spans="2:34">
      <c r="B1002" s="17" t="s">
        <v>2046</v>
      </c>
    </row>
    <row r="1003" spans="2:34">
      <c r="B1003" s="12" t="s">
        <v>127</v>
      </c>
      <c r="C1003" s="12" t="s">
        <v>1887</v>
      </c>
      <c r="E1003" s="12" t="s">
        <v>1132</v>
      </c>
      <c r="F1003" s="12" t="s">
        <v>1887</v>
      </c>
      <c r="G1003" s="12" t="s">
        <v>1315</v>
      </c>
      <c r="H1003" s="12" t="s">
        <v>1887</v>
      </c>
      <c r="J1003" s="12" t="s">
        <v>286</v>
      </c>
      <c r="K1003" s="12" t="s">
        <v>1887</v>
      </c>
      <c r="M1003" s="12" t="s">
        <v>1849</v>
      </c>
      <c r="N1003" s="12" t="s">
        <v>1960</v>
      </c>
      <c r="P1003" s="12" t="s">
        <v>129</v>
      </c>
      <c r="Q1003" s="12" t="s">
        <v>1887</v>
      </c>
      <c r="R1003" s="12" t="s">
        <v>1979</v>
      </c>
      <c r="S1003" s="12" t="s">
        <v>1694</v>
      </c>
      <c r="U1003" s="12" t="s">
        <v>1970</v>
      </c>
      <c r="V1003" s="12" t="s">
        <v>3</v>
      </c>
      <c r="W1003" s="12" t="s">
        <v>19</v>
      </c>
      <c r="X1003" s="12" t="s">
        <v>44</v>
      </c>
      <c r="Y1003" s="12" t="s">
        <v>53</v>
      </c>
      <c r="Z1003" s="12" t="s">
        <v>60</v>
      </c>
      <c r="AA1003" s="12" t="s">
        <v>73</v>
      </c>
      <c r="AB1003" s="12" t="s">
        <v>76</v>
      </c>
      <c r="AC1003" s="12" t="s">
        <v>86</v>
      </c>
      <c r="AD1003" s="12" t="s">
        <v>102</v>
      </c>
      <c r="AE1003" s="12" t="s">
        <v>106</v>
      </c>
      <c r="AF1003" s="12" t="s">
        <v>111</v>
      </c>
      <c r="AG1003" s="12" t="s">
        <v>122</v>
      </c>
      <c r="AH1003" s="12" t="s">
        <v>1971</v>
      </c>
    </row>
    <row r="1004" spans="2:34">
      <c r="B1004" s="23" t="s">
        <v>3</v>
      </c>
      <c r="C1004" s="22">
        <f>COUNTIFS('NC Management'!$D$4:$D$100003,"Jan",'NC Management'!$G$4:$G$100003,dCrit)</f>
        <v>0</v>
      </c>
      <c r="E1004" s="13" t="s">
        <v>157</v>
      </c>
      <c r="F1004" s="22">
        <f>COUNTIFS('NC Management'!$F$4:$F$100003,"Critical",'NC Management'!$D$4:$D$100003,mCrit,'NC Management'!$G$4:$G$100003,dCrit)</f>
        <v>0</v>
      </c>
      <c r="G1004" s="13" t="s">
        <v>1259</v>
      </c>
      <c r="H1004" s="22">
        <f>COUNTIFS('NC Management'!$E$4:$E$100003,"Audit Finding",'NC Management'!$D$4:$D$100003,mCrit,'NC Management'!$G$4:$G$100003,dCrit)</f>
        <v>0</v>
      </c>
      <c r="J1004" s="13" t="s">
        <v>580</v>
      </c>
      <c r="K1004" s="22">
        <f>COUNTIFS('NC Management'!$M$4:$M$100003,"Closed",'NC Management'!$D$4:$D$100003,mCrit,'NC Management'!$G$4:$G$100003,dCrit)</f>
        <v>0</v>
      </c>
      <c r="M1004" s="13" t="s">
        <v>2047</v>
      </c>
      <c r="N1004" s="22">
        <f>COUNTIFS('NC Management'!$D$4:$D$100003,mCrit,'NC Management'!$G$4:$G$100003,dCrit)</f>
        <v>0</v>
      </c>
      <c r="P1004" s="13" t="s">
        <v>27</v>
      </c>
      <c r="Q1004" s="22">
        <f>COUNTIFS('NC Management'!$D$4:$D$100003,mCrit,'NC Management'!$G$4:$G$100003,"Operations")</f>
        <v>0</v>
      </c>
      <c r="R1004" s="25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1004" s="22">
        <f>COUNTIFS('NC Management'!$D$4:$D$100003,mCrit,'NC Management'!$G$4:$G$100003,"Operations")</f>
        <v>0</v>
      </c>
      <c r="U1004" s="13" t="s">
        <v>1694</v>
      </c>
      <c r="V1004" s="22">
        <f>COUNTIFS('NC Management'!$D$4:$D$100003,"Jan",'NC Management'!$G$4:$G$100003,dCrit)</f>
        <v>0</v>
      </c>
      <c r="W1004" s="22">
        <f>COUNTIFS('NC Management'!$D$4:$D$100003,"Feb",'NC Management'!$G$4:$G$100003,dCrit)</f>
        <v>0</v>
      </c>
      <c r="X1004" s="22">
        <f>COUNTIFS('NC Management'!$D$4:$D$100003,"Mar",'NC Management'!$G$4:$G$100003,dCrit)</f>
        <v>0</v>
      </c>
      <c r="Y1004" s="22">
        <f>COUNTIFS('NC Management'!$D$4:$D$100003,"Apr",'NC Management'!$G$4:$G$100003,dCrit)</f>
        <v>0</v>
      </c>
      <c r="Z1004" s="22">
        <f>COUNTIFS('NC Management'!$D$4:$D$100003,"May",'NC Management'!$G$4:$G$100003,dCrit)</f>
        <v>0</v>
      </c>
      <c r="AA1004" s="22">
        <f>COUNTIFS('NC Management'!$D$4:$D$100003,"Jun",'NC Management'!$G$4:$G$100003,dCrit)</f>
        <v>0</v>
      </c>
      <c r="AB1004" s="22">
        <f>COUNTIFS('NC Management'!$D$4:$D$100003,"Jul",'NC Management'!$G$4:$G$100003,dCrit)</f>
        <v>0</v>
      </c>
      <c r="AC1004" s="22">
        <f>COUNTIFS('NC Management'!$D$4:$D$100003,"Aug",'NC Management'!$G$4:$G$100003,dCrit)</f>
        <v>0</v>
      </c>
      <c r="AD1004" s="22">
        <f>COUNTIFS('NC Management'!$D$4:$D$100003,"Sep",'NC Management'!$G$4:$G$100003,dCrit)</f>
        <v>0</v>
      </c>
      <c r="AE1004" s="22">
        <f>COUNTIFS('NC Management'!$D$4:$D$100003,"Oct",'NC Management'!$G$4:$G$100003,dCrit)</f>
        <v>0</v>
      </c>
      <c r="AF1004" s="22">
        <f>COUNTIFS('NC Management'!$D$4:$D$100003,"Nov",'NC Management'!$G$4:$G$100003,dCrit)</f>
        <v>0</v>
      </c>
      <c r="AG1004" s="22">
        <f>COUNTIFS('NC Management'!$D$4:$D$100003,"Dec",'NC Management'!$G$4:$G$100003,dCrit)</f>
        <v>0</v>
      </c>
      <c r="AH1004" s="22">
        <f>SUM(V1004:AG1004)</f>
        <v>0</v>
      </c>
    </row>
    <row r="1005" spans="2:34">
      <c r="B1005" s="23" t="s">
        <v>19</v>
      </c>
      <c r="C1005" s="22">
        <f>COUNTIFS('NC Management'!$D$4:$D$100003,"Feb",'NC Management'!$G$4:$G$100003,dCrit)</f>
        <v>0</v>
      </c>
      <c r="E1005" s="13" t="s">
        <v>151</v>
      </c>
      <c r="F1005" s="22">
        <f>COUNTIFS('NC Management'!$F$4:$F$100003,"High",'NC Management'!$D$4:$D$100003,mCrit,'NC Management'!$G$4:$G$100003,dCrit)</f>
        <v>0</v>
      </c>
      <c r="G1005" s="13" t="s">
        <v>1261</v>
      </c>
      <c r="H1005" s="22">
        <f>COUNTIFS('NC Management'!$E$4:$E$100003,"Inspection Finding",'NC Management'!$D$4:$D$100003,mCrit,'NC Management'!$G$4:$G$100003,dCrit)</f>
        <v>0</v>
      </c>
      <c r="J1005" s="13" t="s">
        <v>1149</v>
      </c>
      <c r="K1005" s="22">
        <f>COUNTIFS('NC Management'!$M$4:$M$100003,"Open",'NC Management'!$D$4:$D$100003,mCrit,'NC Management'!$G$4:$G$100003,dCrit)</f>
        <v>0</v>
      </c>
      <c r="M1005" s="13" t="s">
        <v>580</v>
      </c>
      <c r="N1005" s="22">
        <f>COUNTIFS('NC Management'!$M$4:$M$100003,"Closed",'NC Management'!$D$4:$D$100003,mCrit,'NC Management'!$G$4:$G$100003,dCrit)</f>
        <v>0</v>
      </c>
      <c r="P1005" s="13" t="s">
        <v>92</v>
      </c>
      <c r="Q1005" s="22">
        <f>COUNTIFS('NC Management'!$D$4:$D$100003,mCrit,'NC Management'!$G$4:$G$100003,"Maintenance")</f>
        <v>0</v>
      </c>
      <c r="R1005" s="25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1005" s="22">
        <f>COUNTIFS('NC Management'!$D$4:$D$100003,mCrit,'NC Management'!$G$4:$G$100003,"Maintenance")</f>
        <v>0</v>
      </c>
      <c r="U1005" s="13" t="s">
        <v>1980</v>
      </c>
      <c r="V1005" s="25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1005" s="25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1005" s="25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1005" s="25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1005" s="25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1005" s="25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1005" s="25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1005" s="25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1005" s="25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1005" s="25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1005" s="25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1005" s="25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1005" s="25">
        <f>IFERROR(AVERAGE(V1005:AG1005),0)</f>
        <v>0</v>
      </c>
    </row>
    <row r="1006" spans="2:34">
      <c r="B1006" s="23" t="s">
        <v>44</v>
      </c>
      <c r="C1006" s="22">
        <f>COUNTIFS('NC Management'!$D$4:$D$100003,"Mar",'NC Management'!$G$4:$G$100003,dCrit)</f>
        <v>0</v>
      </c>
      <c r="E1006" s="13" t="s">
        <v>142</v>
      </c>
      <c r="F1006" s="22">
        <f>COUNTIFS('NC Management'!$F$4:$F$100003,"Medium",'NC Management'!$D$4:$D$100003,mCrit,'NC Management'!$G$4:$G$100003,dCrit)</f>
        <v>0</v>
      </c>
      <c r="G1006" s="13" t="s">
        <v>1269</v>
      </c>
      <c r="H1006" s="22">
        <f>COUNTIFS('NC Management'!$E$4:$E$100003,"Incident Follow-up",'NC Management'!$D$4:$D$100003,mCrit,'NC Management'!$G$4:$G$100003,dCrit)</f>
        <v>0</v>
      </c>
      <c r="J1006" s="13" t="s">
        <v>953</v>
      </c>
      <c r="K1006" s="22">
        <f>COUNTIFS('NC Management'!$M$4:$M$100003,"Under Review",'NC Management'!$D$4:$D$100003,mCrit,'NC Management'!$G$4:$G$100003,dCrit)</f>
        <v>0</v>
      </c>
      <c r="M1006" s="13" t="s">
        <v>1149</v>
      </c>
      <c r="N1006" s="22">
        <f>COUNTIFS('NC Management'!$M$4:$M$100003,"Open",'NC Management'!$D$4:$D$100003,mCrit,'NC Management'!$G$4:$G$100003,dCrit)</f>
        <v>0</v>
      </c>
      <c r="P1006" s="13" t="s">
        <v>39</v>
      </c>
      <c r="Q1006" s="22">
        <f>COUNTIFS('NC Management'!$D$4:$D$100003,mCrit,'NC Management'!$G$4:$G$100003,"Engineering")</f>
        <v>0</v>
      </c>
      <c r="R1006" s="25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1006" s="22">
        <f>COUNTIFS('NC Management'!$D$4:$D$100003,mCrit,'NC Management'!$G$4:$G$100003,"Engineering")</f>
        <v>0</v>
      </c>
    </row>
    <row r="1007" spans="2:34">
      <c r="B1007" s="23" t="s">
        <v>53</v>
      </c>
      <c r="C1007" s="22">
        <f>COUNTIFS('NC Management'!$D$4:$D$100003,"Apr",'NC Management'!$G$4:$G$100003,dCrit)</f>
        <v>0</v>
      </c>
      <c r="E1007" s="13" t="s">
        <v>161</v>
      </c>
      <c r="F1007" s="22">
        <f>COUNTIFS('NC Management'!$F$4:$F$100003,"Low",'NC Management'!$D$4:$D$100003,mCrit,'NC Management'!$G$4:$G$100003,dCrit)</f>
        <v>0</v>
      </c>
      <c r="G1007" s="13" t="s">
        <v>1274</v>
      </c>
      <c r="H1007" s="22">
        <f>COUNTIFS('NC Management'!$E$4:$E$100003,"Observation",'NC Management'!$D$4:$D$100003,mCrit,'NC Management'!$G$4:$G$100003,dCrit)</f>
        <v>0</v>
      </c>
      <c r="J1007" s="13" t="s">
        <v>326</v>
      </c>
      <c r="K1007" s="22">
        <f>COUNTIFS('NC Management'!$M$4:$M$100003,"Overdue",'NC Management'!$D$4:$D$100003,mCrit,'NC Management'!$G$4:$G$100003,dCrit)</f>
        <v>0</v>
      </c>
      <c r="M1007" s="13" t="s">
        <v>326</v>
      </c>
      <c r="N1007" s="22">
        <f>COUNTIFS('NC Management'!$M$4:$M$100003,"Overdue",'NC Management'!$D$4:$D$100003,mCrit,'NC Management'!$G$4:$G$100003,dCrit)</f>
        <v>0</v>
      </c>
      <c r="P1007" s="13" t="s">
        <v>89</v>
      </c>
      <c r="Q1007" s="22">
        <f>COUNTIFS('NC Management'!$D$4:$D$100003,mCrit,'NC Management'!$G$4:$G$100003,"Construction")</f>
        <v>0</v>
      </c>
      <c r="R1007" s="25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1007" s="22">
        <f>COUNTIFS('NC Management'!$D$4:$D$100003,mCrit,'NC Management'!$G$4:$G$100003,"Construction")</f>
        <v>0</v>
      </c>
    </row>
    <row r="1008" spans="2:34">
      <c r="B1008" s="23" t="s">
        <v>60</v>
      </c>
      <c r="C1008" s="22">
        <f>COUNTIFS('NC Management'!$D$4:$D$100003,"May",'NC Management'!$G$4:$G$100003,dCrit)</f>
        <v>0</v>
      </c>
      <c r="G1008" s="13" t="s">
        <v>1267</v>
      </c>
      <c r="H1008" s="22">
        <f>COUNTIFS('NC Management'!$E$4:$E$100003,"Drill Finding",'NC Management'!$D$4:$D$100003,mCrit,'NC Management'!$G$4:$G$100003,dCrit)</f>
        <v>0</v>
      </c>
      <c r="M1008" s="13" t="s">
        <v>2048</v>
      </c>
      <c r="N1008" s="25">
        <f>IFERROR((COUNTIFS('NC Management'!$M$4:$M$100003,"Closed",'NC Management'!$D$4:$D$100003,mCrit,'NC Management'!$G$4:$G$100003,dCrit))/(COUNTIFS('NC Management'!$D$4:$D$100003,mCrit,'NC Management'!$G$4:$G$100003,dCrit))*100,0)</f>
        <v>0</v>
      </c>
      <c r="P1008" s="13" t="s">
        <v>65</v>
      </c>
      <c r="Q1008" s="22">
        <f>COUNTIFS('NC Management'!$D$4:$D$100003,mCrit,'NC Management'!$G$4:$G$100003,"Safety")</f>
        <v>0</v>
      </c>
      <c r="R1008" s="25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1008" s="22">
        <f>COUNTIFS('NC Management'!$D$4:$D$100003,mCrit,'NC Management'!$G$4:$G$100003,"Safety")</f>
        <v>0</v>
      </c>
    </row>
    <row r="1009" spans="2:19">
      <c r="B1009" s="23" t="s">
        <v>73</v>
      </c>
      <c r="C1009" s="22">
        <f>COUNTIFS('NC Management'!$D$4:$D$100003,"Jun",'NC Management'!$G$4:$G$100003,dCrit)</f>
        <v>0</v>
      </c>
      <c r="G1009" s="13" t="s">
        <v>1265</v>
      </c>
      <c r="H1009" s="22">
        <f>COUNTIFS('NC Management'!$E$4:$E$100003,"Management Review",'NC Management'!$D$4:$D$100003,mCrit,'NC Management'!$G$4:$G$100003,dCrit)</f>
        <v>0</v>
      </c>
      <c r="M1009" s="13" t="s">
        <v>1322</v>
      </c>
      <c r="N1009" s="22">
        <f>COUNTIFS('NC Management'!$F$4:$F$100003,"Major",'NC Management'!$D$4:$D$100003,mCrit,'NC Management'!$G$4:$G$100003,dCrit)</f>
        <v>0</v>
      </c>
      <c r="P1009" s="13" t="s">
        <v>5</v>
      </c>
      <c r="Q1009" s="22">
        <f>COUNTIFS('NC Management'!$D$4:$D$100003,mCrit,'NC Management'!$G$4:$G$100003,"Logistics")</f>
        <v>0</v>
      </c>
      <c r="R1009" s="25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1009" s="22">
        <f>COUNTIFS('NC Management'!$D$4:$D$100003,mCrit,'NC Management'!$G$4:$G$100003,"Logistics")</f>
        <v>0</v>
      </c>
    </row>
    <row r="1010" spans="2:19">
      <c r="B1010" s="23" t="s">
        <v>76</v>
      </c>
      <c r="C1010" s="22">
        <f>COUNTIFS('NC Management'!$D$4:$D$100003,"Jul",'NC Management'!$G$4:$G$100003,dCrit)</f>
        <v>0</v>
      </c>
      <c r="M1010" s="13" t="s">
        <v>1332</v>
      </c>
      <c r="N1010" s="22">
        <f>COUNTIFS('NC Management'!$F$4:$F$100003,"Minor",'NC Management'!$D$4:$D$100003,mCrit,'NC Management'!$G$4:$G$100003,dCrit)</f>
        <v>0</v>
      </c>
      <c r="P1010" s="13" t="s">
        <v>50</v>
      </c>
      <c r="Q1010" s="22">
        <f>COUNTIFS('NC Management'!$D$4:$D$100003,mCrit,'NC Management'!$G$4:$G$100003,"Quality")</f>
        <v>0</v>
      </c>
      <c r="R1010" s="25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1010" s="22">
        <f>COUNTIFS('NC Management'!$D$4:$D$100003,mCrit,'NC Management'!$G$4:$G$100003,"Quality")</f>
        <v>0</v>
      </c>
    </row>
    <row r="1011" spans="2:19">
      <c r="B1011" s="23" t="s">
        <v>86</v>
      </c>
      <c r="C1011" s="22">
        <f>COUNTIFS('NC Management'!$D$4:$D$100003,"Aug",'NC Management'!$G$4:$G$100003,dCrit)</f>
        <v>0</v>
      </c>
      <c r="M1011" s="13" t="s">
        <v>777</v>
      </c>
      <c r="N1011" s="22">
        <f>COUNTIFS('NC Management'!$F$4:$F$100003,"Observation",'NC Management'!$D$4:$D$100003,mCrit,'NC Management'!$G$4:$G$100003,dCrit)</f>
        <v>0</v>
      </c>
      <c r="P1011" s="13" t="s">
        <v>46</v>
      </c>
      <c r="Q1011" s="22">
        <f>COUNTIFS('NC Management'!$D$4:$D$100003,mCrit,'NC Management'!$G$4:$G$100003,"Admin")</f>
        <v>0</v>
      </c>
      <c r="R1011" s="25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1011" s="22">
        <f>COUNTIFS('NC Management'!$D$4:$D$100003,mCrit,'NC Management'!$G$4:$G$100003,"Admin")</f>
        <v>0</v>
      </c>
    </row>
    <row r="1012" spans="2:19">
      <c r="B1012" s="23" t="s">
        <v>102</v>
      </c>
      <c r="C1012" s="22">
        <f>COUNTIFS('NC Management'!$D$4:$D$100003,"Sep",'NC Management'!$G$4:$G$100003,dCrit)</f>
        <v>0</v>
      </c>
      <c r="P1012" s="13" t="s">
        <v>13</v>
      </c>
      <c r="Q1012" s="22">
        <f>COUNTIFS('NC Management'!$D$4:$D$100003,mCrit,'NC Management'!$G$4:$G$100003,"Projects")</f>
        <v>0</v>
      </c>
      <c r="R1012" s="25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1012" s="22">
        <f>COUNTIFS('NC Management'!$D$4:$D$100003,mCrit,'NC Management'!$G$4:$G$100003,"Projects")</f>
        <v>0</v>
      </c>
    </row>
    <row r="1013" spans="2:19">
      <c r="B1013" s="23" t="s">
        <v>106</v>
      </c>
      <c r="C1013" s="22">
        <f>COUNTIFS('NC Management'!$D$4:$D$100003,"Oct",'NC Management'!$G$4:$G$100003,dCrit)</f>
        <v>0</v>
      </c>
      <c r="P1013" s="13" t="s">
        <v>58</v>
      </c>
      <c r="Q1013" s="22">
        <f>COUNTIFS('NC Management'!$D$4:$D$100003,mCrit,'NC Management'!$G$4:$G$100003,"Contractor")</f>
        <v>0</v>
      </c>
      <c r="R1013" s="25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1013" s="22">
        <f>COUNTIFS('NC Management'!$D$4:$D$100003,mCrit,'NC Management'!$G$4:$G$100003,"Contractor")</f>
        <v>0</v>
      </c>
    </row>
    <row r="1014" spans="2:19">
      <c r="B1014" s="23" t="s">
        <v>111</v>
      </c>
      <c r="C1014" s="22">
        <f>COUNTIFS('NC Management'!$D$4:$D$100003,"Nov",'NC Management'!$G$4:$G$100003,dCrit)</f>
        <v>0</v>
      </c>
    </row>
    <row r="1015" spans="2:19">
      <c r="B1015" s="23" t="s">
        <v>122</v>
      </c>
      <c r="C1015" s="22">
        <f>COUNTIFS('NC Management'!$D$4:$D$100003,"Dec",'NC Management'!$G$4:$G$100003,dCrit)</f>
        <v>0</v>
      </c>
    </row>
    <row r="1028" spans="2:34">
      <c r="B1028" s="17" t="s">
        <v>2049</v>
      </c>
    </row>
    <row r="1029" spans="2:34">
      <c r="B1029" s="12" t="s">
        <v>127</v>
      </c>
      <c r="C1029" s="12" t="s">
        <v>1887</v>
      </c>
      <c r="E1029" s="12" t="s">
        <v>210</v>
      </c>
      <c r="F1029" s="12" t="s">
        <v>1887</v>
      </c>
      <c r="G1029" s="12" t="s">
        <v>353</v>
      </c>
      <c r="H1029" s="12" t="s">
        <v>1887</v>
      </c>
      <c r="J1029" s="12" t="s">
        <v>286</v>
      </c>
      <c r="K1029" s="12" t="s">
        <v>1887</v>
      </c>
      <c r="M1029" s="12" t="s">
        <v>1849</v>
      </c>
      <c r="N1029" s="12" t="s">
        <v>1960</v>
      </c>
      <c r="P1029" s="12" t="s">
        <v>129</v>
      </c>
      <c r="Q1029" s="12" t="s">
        <v>1887</v>
      </c>
      <c r="R1029" s="12" t="s">
        <v>1979</v>
      </c>
      <c r="S1029" s="12" t="s">
        <v>1694</v>
      </c>
      <c r="U1029" s="12" t="s">
        <v>1970</v>
      </c>
      <c r="V1029" s="12" t="s">
        <v>3</v>
      </c>
      <c r="W1029" s="12" t="s">
        <v>19</v>
      </c>
      <c r="X1029" s="12" t="s">
        <v>44</v>
      </c>
      <c r="Y1029" s="12" t="s">
        <v>53</v>
      </c>
      <c r="Z1029" s="12" t="s">
        <v>60</v>
      </c>
      <c r="AA1029" s="12" t="s">
        <v>73</v>
      </c>
      <c r="AB1029" s="12" t="s">
        <v>76</v>
      </c>
      <c r="AC1029" s="12" t="s">
        <v>86</v>
      </c>
      <c r="AD1029" s="12" t="s">
        <v>102</v>
      </c>
      <c r="AE1029" s="12" t="s">
        <v>106</v>
      </c>
      <c r="AF1029" s="12" t="s">
        <v>111</v>
      </c>
      <c r="AG1029" s="12" t="s">
        <v>122</v>
      </c>
      <c r="AH1029" s="12" t="s">
        <v>1971</v>
      </c>
    </row>
    <row r="1030" spans="2:34">
      <c r="B1030" s="23" t="s">
        <v>3</v>
      </c>
      <c r="C1030" s="22">
        <f>COUNTIFS('Unsafe Acts'!$D$4:$D$100003,"Jan",'Unsafe Acts'!$F$4:$F$100003,dCrit)</f>
        <v>0</v>
      </c>
      <c r="E1030" s="13" t="s">
        <v>157</v>
      </c>
      <c r="F1030" s="22">
        <f>COUNTIFS('Unsafe Acts'!$I$4:$I$100003,"Critical",'Unsafe Acts'!$D$4:$D$100003,mCrit,'Unsafe Acts'!$F$4:$F$100003,dCrit)</f>
        <v>0</v>
      </c>
      <c r="G1030" s="13" t="s">
        <v>1384</v>
      </c>
      <c r="H1030" s="22">
        <f>COUNTIFS('Unsafe Acts'!$E$4:$E$100003,"LOTO Not Followed",'Unsafe Acts'!$D$4:$D$100003,mCrit,'Unsafe Acts'!$F$4:$F$100003,dCrit)</f>
        <v>0</v>
      </c>
      <c r="J1030" s="13" t="s">
        <v>326</v>
      </c>
      <c r="K1030" s="22">
        <f>COUNTIFS('Unsafe Acts'!$M$4:$M$100003,"Overdue",'Unsafe Acts'!$D$4:$D$100003,mCrit,'Unsafe Acts'!$F$4:$F$100003,dCrit)</f>
        <v>0</v>
      </c>
      <c r="M1030" s="13" t="s">
        <v>2050</v>
      </c>
      <c r="N1030" s="22">
        <f>COUNTIFS('Unsafe Acts'!$D$4:$D$100003,mCrit,'Unsafe Acts'!$F$4:$F$100003,dCrit)</f>
        <v>0</v>
      </c>
      <c r="P1030" s="13" t="s">
        <v>27</v>
      </c>
      <c r="Q1030" s="22">
        <f>COUNTIFS('Unsafe Acts'!$D$4:$D$100003,mCrit,'Unsafe Acts'!$F$4:$F$100003,"Operations")</f>
        <v>0</v>
      </c>
      <c r="R1030" s="25">
        <f>IFERROR((COUNTIFS('Unsafe Acts'!$M$4:$M$100003,"Completed",'Unsafe Acts'!$D$4:$D$100003,mCrit,'Unsafe Acts'!$F$4:$F$100003,"Operations"))/COUNTIFS('Unsafe Acts'!$D$4:$D$100003,mCrit,'Unsafe Acts'!$F$4:$F$100003,"Operations")*100,0)</f>
        <v>0</v>
      </c>
      <c r="S1030" s="22">
        <f>COUNTIFS('Unsafe Acts'!$D$4:$D$100003,mCrit,'Unsafe Acts'!$F$4:$F$100003,"Operations")</f>
        <v>0</v>
      </c>
      <c r="U1030" s="13" t="s">
        <v>1694</v>
      </c>
      <c r="V1030" s="22">
        <f>COUNTIFS('Unsafe Acts'!$D$4:$D$100003,"Jan",'Unsafe Acts'!$F$4:$F$100003,dCrit)</f>
        <v>0</v>
      </c>
      <c r="W1030" s="22">
        <f>COUNTIFS('Unsafe Acts'!$D$4:$D$100003,"Feb",'Unsafe Acts'!$F$4:$F$100003,dCrit)</f>
        <v>0</v>
      </c>
      <c r="X1030" s="22">
        <f>COUNTIFS('Unsafe Acts'!$D$4:$D$100003,"Mar",'Unsafe Acts'!$F$4:$F$100003,dCrit)</f>
        <v>0</v>
      </c>
      <c r="Y1030" s="22">
        <f>COUNTIFS('Unsafe Acts'!$D$4:$D$100003,"Apr",'Unsafe Acts'!$F$4:$F$100003,dCrit)</f>
        <v>0</v>
      </c>
      <c r="Z1030" s="22">
        <f>COUNTIFS('Unsafe Acts'!$D$4:$D$100003,"May",'Unsafe Acts'!$F$4:$F$100003,dCrit)</f>
        <v>0</v>
      </c>
      <c r="AA1030" s="22">
        <f>COUNTIFS('Unsafe Acts'!$D$4:$D$100003,"Jun",'Unsafe Acts'!$F$4:$F$100003,dCrit)</f>
        <v>0</v>
      </c>
      <c r="AB1030" s="22">
        <f>COUNTIFS('Unsafe Acts'!$D$4:$D$100003,"Jul",'Unsafe Acts'!$F$4:$F$100003,dCrit)</f>
        <v>0</v>
      </c>
      <c r="AC1030" s="22">
        <f>COUNTIFS('Unsafe Acts'!$D$4:$D$100003,"Aug",'Unsafe Acts'!$F$4:$F$100003,dCrit)</f>
        <v>0</v>
      </c>
      <c r="AD1030" s="22">
        <f>COUNTIFS('Unsafe Acts'!$D$4:$D$100003,"Sep",'Unsafe Acts'!$F$4:$F$100003,dCrit)</f>
        <v>0</v>
      </c>
      <c r="AE1030" s="22">
        <f>COUNTIFS('Unsafe Acts'!$D$4:$D$100003,"Oct",'Unsafe Acts'!$F$4:$F$100003,dCrit)</f>
        <v>0</v>
      </c>
      <c r="AF1030" s="22">
        <f>COUNTIFS('Unsafe Acts'!$D$4:$D$100003,"Nov",'Unsafe Acts'!$F$4:$F$100003,dCrit)</f>
        <v>0</v>
      </c>
      <c r="AG1030" s="22">
        <f>COUNTIFS('Unsafe Acts'!$D$4:$D$100003,"Dec",'Unsafe Acts'!$F$4:$F$100003,dCrit)</f>
        <v>0</v>
      </c>
      <c r="AH1030" s="22">
        <f>SUM(V1030:AG1030)</f>
        <v>0</v>
      </c>
    </row>
    <row r="1031" spans="2:34">
      <c r="B1031" s="23" t="s">
        <v>19</v>
      </c>
      <c r="C1031" s="22">
        <f>COUNTIFS('Unsafe Acts'!$D$4:$D$100003,"Feb",'Unsafe Acts'!$F$4:$F$100003,dCrit)</f>
        <v>0</v>
      </c>
      <c r="E1031" s="13" t="s">
        <v>151</v>
      </c>
      <c r="F1031" s="22">
        <f>COUNTIFS('Unsafe Acts'!$I$4:$I$100003,"High",'Unsafe Acts'!$D$4:$D$100003,mCrit,'Unsafe Acts'!$F$4:$F$100003,dCrit)</f>
        <v>0</v>
      </c>
      <c r="G1031" s="13" t="s">
        <v>1386</v>
      </c>
      <c r="H1031" s="22">
        <f>COUNTIFS('Unsafe Acts'!$E$4:$E$100003,"Wrong Tool for the Job",'Unsafe Acts'!$D$4:$D$100003,mCrit,'Unsafe Acts'!$F$4:$F$100003,dCrit)</f>
        <v>0</v>
      </c>
      <c r="J1031" s="13" t="s">
        <v>302</v>
      </c>
      <c r="K1031" s="22">
        <f>COUNTIFS('Unsafe Acts'!$M$4:$M$100003,"Pending",'Unsafe Acts'!$D$4:$D$100003,mCrit,'Unsafe Acts'!$F$4:$F$100003,dCrit)</f>
        <v>0</v>
      </c>
      <c r="M1031" s="13" t="s">
        <v>220</v>
      </c>
      <c r="N1031" s="22">
        <f>COUNTIFS('Unsafe Acts'!$M$4:$M$100003,"Completed",'Unsafe Acts'!$D$4:$D$100003,mCrit,'Unsafe Acts'!$F$4:$F$100003,dCrit)</f>
        <v>0</v>
      </c>
      <c r="P1031" s="13" t="s">
        <v>92</v>
      </c>
      <c r="Q1031" s="22">
        <f>COUNTIFS('Unsafe Acts'!$D$4:$D$100003,mCrit,'Unsafe Acts'!$F$4:$F$100003,"Maintenance")</f>
        <v>0</v>
      </c>
      <c r="R1031" s="25">
        <f>IFERROR((COUNTIFS('Unsafe Acts'!$M$4:$M$100003,"Completed",'Unsafe Acts'!$D$4:$D$100003,mCrit,'Unsafe Acts'!$F$4:$F$100003,"Maintenance"))/COUNTIFS('Unsafe Acts'!$D$4:$D$100003,mCrit,'Unsafe Acts'!$F$4:$F$100003,"Maintenance")*100,0)</f>
        <v>0</v>
      </c>
      <c r="S1031" s="22">
        <f>COUNTIFS('Unsafe Acts'!$D$4:$D$100003,mCrit,'Unsafe Acts'!$F$4:$F$100003,"Maintenance")</f>
        <v>0</v>
      </c>
      <c r="U1031" s="13" t="s">
        <v>1980</v>
      </c>
      <c r="V1031" s="25">
        <f>IFERROR((COUNTIFS('Unsafe Acts'!$M$4:$M$100003,"Completed",'Unsafe Acts'!$D$4:$D$100003,"Jan",'Unsafe Acts'!$F$4:$F$100003,dCrit))/COUNTIFS('Unsafe Acts'!$D$4:$D$100003,"Jan",'Unsafe Acts'!$F$4:$F$100003,dCrit)*100,0)</f>
        <v>0</v>
      </c>
      <c r="W1031" s="25">
        <f>IFERROR((COUNTIFS('Unsafe Acts'!$M$4:$M$100003,"Completed",'Unsafe Acts'!$D$4:$D$100003,"Feb",'Unsafe Acts'!$F$4:$F$100003,dCrit))/COUNTIFS('Unsafe Acts'!$D$4:$D$100003,"Feb",'Unsafe Acts'!$F$4:$F$100003,dCrit)*100,0)</f>
        <v>0</v>
      </c>
      <c r="X1031" s="25">
        <f>IFERROR((COUNTIFS('Unsafe Acts'!$M$4:$M$100003,"Completed",'Unsafe Acts'!$D$4:$D$100003,"Mar",'Unsafe Acts'!$F$4:$F$100003,dCrit))/COUNTIFS('Unsafe Acts'!$D$4:$D$100003,"Mar",'Unsafe Acts'!$F$4:$F$100003,dCrit)*100,0)</f>
        <v>0</v>
      </c>
      <c r="Y1031" s="25">
        <f>IFERROR((COUNTIFS('Unsafe Acts'!$M$4:$M$100003,"Completed",'Unsafe Acts'!$D$4:$D$100003,"Apr",'Unsafe Acts'!$F$4:$F$100003,dCrit))/COUNTIFS('Unsafe Acts'!$D$4:$D$100003,"Apr",'Unsafe Acts'!$F$4:$F$100003,dCrit)*100,0)</f>
        <v>0</v>
      </c>
      <c r="Z1031" s="25">
        <f>IFERROR((COUNTIFS('Unsafe Acts'!$M$4:$M$100003,"Completed",'Unsafe Acts'!$D$4:$D$100003,"May",'Unsafe Acts'!$F$4:$F$100003,dCrit))/COUNTIFS('Unsafe Acts'!$D$4:$D$100003,"May",'Unsafe Acts'!$F$4:$F$100003,dCrit)*100,0)</f>
        <v>0</v>
      </c>
      <c r="AA1031" s="25">
        <f>IFERROR((COUNTIFS('Unsafe Acts'!$M$4:$M$100003,"Completed",'Unsafe Acts'!$D$4:$D$100003,"Jun",'Unsafe Acts'!$F$4:$F$100003,dCrit))/COUNTIFS('Unsafe Acts'!$D$4:$D$100003,"Jun",'Unsafe Acts'!$F$4:$F$100003,dCrit)*100,0)</f>
        <v>0</v>
      </c>
      <c r="AB1031" s="25">
        <f>IFERROR((COUNTIFS('Unsafe Acts'!$M$4:$M$100003,"Completed",'Unsafe Acts'!$D$4:$D$100003,"Jul",'Unsafe Acts'!$F$4:$F$100003,dCrit))/COUNTIFS('Unsafe Acts'!$D$4:$D$100003,"Jul",'Unsafe Acts'!$F$4:$F$100003,dCrit)*100,0)</f>
        <v>0</v>
      </c>
      <c r="AC1031" s="25">
        <f>IFERROR((COUNTIFS('Unsafe Acts'!$M$4:$M$100003,"Completed",'Unsafe Acts'!$D$4:$D$100003,"Aug",'Unsafe Acts'!$F$4:$F$100003,dCrit))/COUNTIFS('Unsafe Acts'!$D$4:$D$100003,"Aug",'Unsafe Acts'!$F$4:$F$100003,dCrit)*100,0)</f>
        <v>0</v>
      </c>
      <c r="AD1031" s="25">
        <f>IFERROR((COUNTIFS('Unsafe Acts'!$M$4:$M$100003,"Completed",'Unsafe Acts'!$D$4:$D$100003,"Sep",'Unsafe Acts'!$F$4:$F$100003,dCrit))/COUNTIFS('Unsafe Acts'!$D$4:$D$100003,"Sep",'Unsafe Acts'!$F$4:$F$100003,dCrit)*100,0)</f>
        <v>0</v>
      </c>
      <c r="AE1031" s="25">
        <f>IFERROR((COUNTIFS('Unsafe Acts'!$M$4:$M$100003,"Completed",'Unsafe Acts'!$D$4:$D$100003,"Oct",'Unsafe Acts'!$F$4:$F$100003,dCrit))/COUNTIFS('Unsafe Acts'!$D$4:$D$100003,"Oct",'Unsafe Acts'!$F$4:$F$100003,dCrit)*100,0)</f>
        <v>0</v>
      </c>
      <c r="AF1031" s="25">
        <f>IFERROR((COUNTIFS('Unsafe Acts'!$M$4:$M$100003,"Completed",'Unsafe Acts'!$D$4:$D$100003,"Nov",'Unsafe Acts'!$F$4:$F$100003,dCrit))/COUNTIFS('Unsafe Acts'!$D$4:$D$100003,"Nov",'Unsafe Acts'!$F$4:$F$100003,dCrit)*100,0)</f>
        <v>0</v>
      </c>
      <c r="AG1031" s="25">
        <f>IFERROR((COUNTIFS('Unsafe Acts'!$M$4:$M$100003,"Completed",'Unsafe Acts'!$D$4:$D$100003,"Dec",'Unsafe Acts'!$F$4:$F$100003,dCrit))/COUNTIFS('Unsafe Acts'!$D$4:$D$100003,"Dec",'Unsafe Acts'!$F$4:$F$100003,dCrit)*100,0)</f>
        <v>0</v>
      </c>
      <c r="AH1031" s="25">
        <f>IFERROR(AVERAGE(V1031:AG1031),0)</f>
        <v>0</v>
      </c>
    </row>
    <row r="1032" spans="2:34">
      <c r="B1032" s="23" t="s">
        <v>44</v>
      </c>
      <c r="C1032" s="22">
        <f>COUNTIFS('Unsafe Acts'!$D$4:$D$100003,"Mar",'Unsafe Acts'!$F$4:$F$100003,dCrit)</f>
        <v>0</v>
      </c>
      <c r="E1032" s="13" t="s">
        <v>142</v>
      </c>
      <c r="F1032" s="22">
        <f>COUNTIFS('Unsafe Acts'!$I$4:$I$100003,"Medium",'Unsafe Acts'!$D$4:$D$100003,mCrit,'Unsafe Acts'!$F$4:$F$100003,dCrit)</f>
        <v>0</v>
      </c>
      <c r="G1032" s="13" t="s">
        <v>1388</v>
      </c>
      <c r="H1032" s="22">
        <f>COUNTIFS('Unsafe Acts'!$E$4:$E$100003,"Operating Without Authorization",'Unsafe Acts'!$D$4:$D$100003,mCrit,'Unsafe Acts'!$F$4:$F$100003,dCrit)</f>
        <v>0</v>
      </c>
      <c r="J1032" s="13" t="s">
        <v>224</v>
      </c>
      <c r="K1032" s="22">
        <f>COUNTIFS('Unsafe Acts'!$M$4:$M$100003,"In Progress",'Unsafe Acts'!$D$4:$D$100003,mCrit,'Unsafe Acts'!$F$4:$F$100003,dCrit)</f>
        <v>0</v>
      </c>
      <c r="M1032" s="13" t="s">
        <v>224</v>
      </c>
      <c r="N1032" s="22">
        <f>COUNTIFS('Unsafe Acts'!$M$4:$M$100003,"In Progress",'Unsafe Acts'!$D$4:$D$100003,mCrit,'Unsafe Acts'!$F$4:$F$100003,dCrit)</f>
        <v>0</v>
      </c>
      <c r="P1032" s="13" t="s">
        <v>39</v>
      </c>
      <c r="Q1032" s="22">
        <f>COUNTIFS('Unsafe Acts'!$D$4:$D$100003,mCrit,'Unsafe Acts'!$F$4:$F$100003,"Engineering")</f>
        <v>0</v>
      </c>
      <c r="R1032" s="25">
        <f>IFERROR((COUNTIFS('Unsafe Acts'!$M$4:$M$100003,"Completed",'Unsafe Acts'!$D$4:$D$100003,mCrit,'Unsafe Acts'!$F$4:$F$100003,"Engineering"))/COUNTIFS('Unsafe Acts'!$D$4:$D$100003,mCrit,'Unsafe Acts'!$F$4:$F$100003,"Engineering")*100,0)</f>
        <v>0</v>
      </c>
      <c r="S1032" s="22">
        <f>COUNTIFS('Unsafe Acts'!$D$4:$D$100003,mCrit,'Unsafe Acts'!$F$4:$F$100003,"Engineering")</f>
        <v>0</v>
      </c>
    </row>
    <row r="1033" spans="2:34">
      <c r="B1033" s="23" t="s">
        <v>53</v>
      </c>
      <c r="C1033" s="22">
        <f>COUNTIFS('Unsafe Acts'!$D$4:$D$100003,"Apr",'Unsafe Acts'!$F$4:$F$100003,dCrit)</f>
        <v>0</v>
      </c>
      <c r="E1033" s="13" t="s">
        <v>161</v>
      </c>
      <c r="F1033" s="22">
        <f>COUNTIFS('Unsafe Acts'!$I$4:$I$100003,"Low",'Unsafe Acts'!$D$4:$D$100003,mCrit,'Unsafe Acts'!$F$4:$F$100003,dCrit)</f>
        <v>0</v>
      </c>
      <c r="G1033" s="13" t="s">
        <v>1390</v>
      </c>
      <c r="H1033" s="22">
        <f>COUNTIFS('Unsafe Acts'!$E$4:$E$100003,"Not Using PPE",'Unsafe Acts'!$D$4:$D$100003,mCrit,'Unsafe Acts'!$F$4:$F$100003,dCrit)</f>
        <v>0</v>
      </c>
      <c r="J1033" s="13" t="s">
        <v>220</v>
      </c>
      <c r="K1033" s="22">
        <f>COUNTIFS('Unsafe Acts'!$M$4:$M$100003,"Completed",'Unsafe Acts'!$D$4:$D$100003,mCrit,'Unsafe Acts'!$F$4:$F$100003,dCrit)</f>
        <v>0</v>
      </c>
      <c r="M1033" s="13" t="s">
        <v>326</v>
      </c>
      <c r="N1033" s="22">
        <f>COUNTIFS('Unsafe Acts'!$M$4:$M$100003,"Overdue",'Unsafe Acts'!$D$4:$D$100003,mCrit,'Unsafe Acts'!$F$4:$F$100003,dCrit)</f>
        <v>0</v>
      </c>
      <c r="P1033" s="13" t="s">
        <v>89</v>
      </c>
      <c r="Q1033" s="22">
        <f>COUNTIFS('Unsafe Acts'!$D$4:$D$100003,mCrit,'Unsafe Acts'!$F$4:$F$100003,"Construction")</f>
        <v>0</v>
      </c>
      <c r="R1033" s="25">
        <f>IFERROR((COUNTIFS('Unsafe Acts'!$M$4:$M$100003,"Completed",'Unsafe Acts'!$D$4:$D$100003,mCrit,'Unsafe Acts'!$F$4:$F$100003,"Construction"))/COUNTIFS('Unsafe Acts'!$D$4:$D$100003,mCrit,'Unsafe Acts'!$F$4:$F$100003,"Construction")*100,0)</f>
        <v>0</v>
      </c>
      <c r="S1033" s="22">
        <f>COUNTIFS('Unsafe Acts'!$D$4:$D$100003,mCrit,'Unsafe Acts'!$F$4:$F$100003,"Construction")</f>
        <v>0</v>
      </c>
    </row>
    <row r="1034" spans="2:34">
      <c r="B1034" s="23" t="s">
        <v>60</v>
      </c>
      <c r="C1034" s="22">
        <f>COUNTIFS('Unsafe Acts'!$D$4:$D$100003,"May",'Unsafe Acts'!$F$4:$F$100003,dCrit)</f>
        <v>0</v>
      </c>
      <c r="G1034" s="13" t="s">
        <v>1392</v>
      </c>
      <c r="H1034" s="22">
        <f>COUNTIFS('Unsafe Acts'!$E$4:$E$100003,"Bypassing Safety Device",'Unsafe Acts'!$D$4:$D$100003,mCrit,'Unsafe Acts'!$F$4:$F$100003,dCrit)</f>
        <v>0</v>
      </c>
      <c r="M1034" s="13" t="s">
        <v>1974</v>
      </c>
      <c r="N1034" s="22">
        <f>COUNTIFS('Unsafe Acts'!$I$4:$I$100003,"High",'Unsafe Acts'!$D$4:$D$100003,mCrit,'Unsafe Acts'!$F$4:$F$100003,dCrit)</f>
        <v>0</v>
      </c>
      <c r="P1034" s="13" t="s">
        <v>65</v>
      </c>
      <c r="Q1034" s="22">
        <f>COUNTIFS('Unsafe Acts'!$D$4:$D$100003,mCrit,'Unsafe Acts'!$F$4:$F$100003,"Safety")</f>
        <v>0</v>
      </c>
      <c r="R1034" s="25">
        <f>IFERROR((COUNTIFS('Unsafe Acts'!$M$4:$M$100003,"Completed",'Unsafe Acts'!$D$4:$D$100003,mCrit,'Unsafe Acts'!$F$4:$F$100003,"Safety"))/COUNTIFS('Unsafe Acts'!$D$4:$D$100003,mCrit,'Unsafe Acts'!$F$4:$F$100003,"Safety")*100,0)</f>
        <v>0</v>
      </c>
      <c r="S1034" s="22">
        <f>COUNTIFS('Unsafe Acts'!$D$4:$D$100003,mCrit,'Unsafe Acts'!$F$4:$F$100003,"Safety")</f>
        <v>0</v>
      </c>
    </row>
    <row r="1035" spans="2:34">
      <c r="B1035" s="23" t="s">
        <v>73</v>
      </c>
      <c r="C1035" s="22">
        <f>COUNTIFS('Unsafe Acts'!$D$4:$D$100003,"Jun",'Unsafe Acts'!$F$4:$F$100003,dCrit)</f>
        <v>0</v>
      </c>
      <c r="G1035" s="13" t="s">
        <v>1394</v>
      </c>
      <c r="H1035" s="22">
        <f>COUNTIFS('Unsafe Acts'!$E$4:$E$100003,"Using Defective Equipment",'Unsafe Acts'!$D$4:$D$100003,mCrit,'Unsafe Acts'!$F$4:$F$100003,dCrit)</f>
        <v>0</v>
      </c>
      <c r="M1035" s="13" t="s">
        <v>1975</v>
      </c>
      <c r="N1035" s="22">
        <f>COUNTIFS('Unsafe Acts'!$I$4:$I$100003,"Medium",'Unsafe Acts'!$D$4:$D$100003,mCrit,'Unsafe Acts'!$F$4:$F$100003,dCrit)</f>
        <v>0</v>
      </c>
      <c r="P1035" s="13" t="s">
        <v>5</v>
      </c>
      <c r="Q1035" s="22">
        <f>COUNTIFS('Unsafe Acts'!$D$4:$D$100003,mCrit,'Unsafe Acts'!$F$4:$F$100003,"Logistics")</f>
        <v>0</v>
      </c>
      <c r="R1035" s="25">
        <f>IFERROR((COUNTIFS('Unsafe Acts'!$M$4:$M$100003,"Completed",'Unsafe Acts'!$D$4:$D$100003,mCrit,'Unsafe Acts'!$F$4:$F$100003,"Logistics"))/COUNTIFS('Unsafe Acts'!$D$4:$D$100003,mCrit,'Unsafe Acts'!$F$4:$F$100003,"Logistics")*100,0)</f>
        <v>0</v>
      </c>
      <c r="S1035" s="22">
        <f>COUNTIFS('Unsafe Acts'!$D$4:$D$100003,mCrit,'Unsafe Acts'!$F$4:$F$100003,"Logistics")</f>
        <v>0</v>
      </c>
    </row>
    <row r="1036" spans="2:34">
      <c r="B1036" s="23" t="s">
        <v>76</v>
      </c>
      <c r="C1036" s="22">
        <f>COUNTIFS('Unsafe Acts'!$D$4:$D$100003,"Jul",'Unsafe Acts'!$F$4:$F$100003,dCrit)</f>
        <v>0</v>
      </c>
      <c r="G1036" s="13" t="s">
        <v>1401</v>
      </c>
      <c r="H1036" s="22">
        <f>COUNTIFS('Unsafe Acts'!$E$4:$E$100003,"Horseplay",'Unsafe Acts'!$D$4:$D$100003,mCrit,'Unsafe Acts'!$F$4:$F$100003,dCrit)</f>
        <v>0</v>
      </c>
      <c r="M1036" s="13" t="s">
        <v>1976</v>
      </c>
      <c r="N1036" s="22">
        <f>COUNTIFS('Unsafe Acts'!$I$4:$I$100003,"Low",'Unsafe Acts'!$D$4:$D$100003,mCrit,'Unsafe Acts'!$F$4:$F$100003,dCrit)</f>
        <v>0</v>
      </c>
      <c r="P1036" s="13" t="s">
        <v>50</v>
      </c>
      <c r="Q1036" s="22">
        <f>COUNTIFS('Unsafe Acts'!$D$4:$D$100003,mCrit,'Unsafe Acts'!$F$4:$F$100003,"Quality")</f>
        <v>0</v>
      </c>
      <c r="R1036" s="25">
        <f>IFERROR((COUNTIFS('Unsafe Acts'!$M$4:$M$100003,"Completed",'Unsafe Acts'!$D$4:$D$100003,mCrit,'Unsafe Acts'!$F$4:$F$100003,"Quality"))/COUNTIFS('Unsafe Acts'!$D$4:$D$100003,mCrit,'Unsafe Acts'!$F$4:$F$100003,"Quality")*100,0)</f>
        <v>0</v>
      </c>
      <c r="S1036" s="22">
        <f>COUNTIFS('Unsafe Acts'!$D$4:$D$100003,mCrit,'Unsafe Acts'!$F$4:$F$100003,"Quality")</f>
        <v>0</v>
      </c>
    </row>
    <row r="1037" spans="2:34">
      <c r="B1037" s="23" t="s">
        <v>86</v>
      </c>
      <c r="C1037" s="22">
        <f>COUNTIFS('Unsafe Acts'!$D$4:$D$100003,"Aug",'Unsafe Acts'!$F$4:$F$100003,dCrit)</f>
        <v>0</v>
      </c>
      <c r="G1037" s="13" t="s">
        <v>1411</v>
      </c>
      <c r="H1037" s="22">
        <f>COUNTIFS('Unsafe Acts'!$E$4:$E$100003,"Improper Lifting Technique",'Unsafe Acts'!$D$4:$D$100003,mCrit,'Unsafe Acts'!$F$4:$F$100003,dCrit)</f>
        <v>0</v>
      </c>
      <c r="M1037" s="13" t="s">
        <v>2048</v>
      </c>
      <c r="N1037" s="25">
        <f>IFERROR((COUNTIFS('Unsafe Acts'!$M$4:$M$100003,"Completed",'Unsafe Acts'!$D$4:$D$100003,mCrit,'Unsafe Acts'!$F$4:$F$100003,dCrit))/(COUNTIFS('Unsafe Acts'!$D$4:$D$100003,mCrit,'Unsafe Acts'!$F$4:$F$100003,dCrit))*100,0)</f>
        <v>0</v>
      </c>
      <c r="P1037" s="13" t="s">
        <v>46</v>
      </c>
      <c r="Q1037" s="22">
        <f>COUNTIFS('Unsafe Acts'!$D$4:$D$100003,mCrit,'Unsafe Acts'!$F$4:$F$100003,"Admin")</f>
        <v>0</v>
      </c>
      <c r="R1037" s="25">
        <f>IFERROR((COUNTIFS('Unsafe Acts'!$M$4:$M$100003,"Completed",'Unsafe Acts'!$D$4:$D$100003,mCrit,'Unsafe Acts'!$F$4:$F$100003,"Admin"))/COUNTIFS('Unsafe Acts'!$D$4:$D$100003,mCrit,'Unsafe Acts'!$F$4:$F$100003,"Admin")*100,0)</f>
        <v>0</v>
      </c>
      <c r="S1037" s="22">
        <f>COUNTIFS('Unsafe Acts'!$D$4:$D$100003,mCrit,'Unsafe Acts'!$F$4:$F$100003,"Admin")</f>
        <v>0</v>
      </c>
    </row>
    <row r="1038" spans="2:34">
      <c r="B1038" s="23" t="s">
        <v>102</v>
      </c>
      <c r="C1038" s="22">
        <f>COUNTIFS('Unsafe Acts'!$D$4:$D$100003,"Sep",'Unsafe Acts'!$F$4:$F$100003,dCrit)</f>
        <v>0</v>
      </c>
      <c r="P1038" s="13" t="s">
        <v>13</v>
      </c>
      <c r="Q1038" s="22">
        <f>COUNTIFS('Unsafe Acts'!$D$4:$D$100003,mCrit,'Unsafe Acts'!$F$4:$F$100003,"Projects")</f>
        <v>0</v>
      </c>
      <c r="R1038" s="25">
        <f>IFERROR((COUNTIFS('Unsafe Acts'!$M$4:$M$100003,"Completed",'Unsafe Acts'!$D$4:$D$100003,mCrit,'Unsafe Acts'!$F$4:$F$100003,"Projects"))/COUNTIFS('Unsafe Acts'!$D$4:$D$100003,mCrit,'Unsafe Acts'!$F$4:$F$100003,"Projects")*100,0)</f>
        <v>0</v>
      </c>
      <c r="S1038" s="22">
        <f>COUNTIFS('Unsafe Acts'!$D$4:$D$100003,mCrit,'Unsafe Acts'!$F$4:$F$100003,"Projects")</f>
        <v>0</v>
      </c>
    </row>
    <row r="1039" spans="2:34">
      <c r="B1039" s="23" t="s">
        <v>106</v>
      </c>
      <c r="C1039" s="22">
        <f>COUNTIFS('Unsafe Acts'!$D$4:$D$100003,"Oct",'Unsafe Acts'!$F$4:$F$100003,dCrit)</f>
        <v>0</v>
      </c>
      <c r="P1039" s="13" t="s">
        <v>58</v>
      </c>
      <c r="Q1039" s="22">
        <f>COUNTIFS('Unsafe Acts'!$D$4:$D$100003,mCrit,'Unsafe Acts'!$F$4:$F$100003,"Contractor")</f>
        <v>0</v>
      </c>
      <c r="R1039" s="25">
        <f>IFERROR((COUNTIFS('Unsafe Acts'!$M$4:$M$100003,"Completed",'Unsafe Acts'!$D$4:$D$100003,mCrit,'Unsafe Acts'!$F$4:$F$100003,"Contractor"))/COUNTIFS('Unsafe Acts'!$D$4:$D$100003,mCrit,'Unsafe Acts'!$F$4:$F$100003,"Contractor")*100,0)</f>
        <v>0</v>
      </c>
      <c r="S1039" s="22">
        <f>COUNTIFS('Unsafe Acts'!$D$4:$D$100003,mCrit,'Unsafe Acts'!$F$4:$F$100003,"Contractor")</f>
        <v>0</v>
      </c>
    </row>
    <row r="1040" spans="2:34">
      <c r="B1040" s="23" t="s">
        <v>111</v>
      </c>
      <c r="C1040" s="22">
        <f>COUNTIFS('Unsafe Acts'!$D$4:$D$100003,"Nov",'Unsafe Acts'!$F$4:$F$100003,dCrit)</f>
        <v>0</v>
      </c>
    </row>
    <row r="1041" spans="2:34">
      <c r="B1041" s="23" t="s">
        <v>122</v>
      </c>
      <c r="C1041" s="22">
        <f>COUNTIFS('Unsafe Acts'!$D$4:$D$100003,"Dec",'Unsafe Acts'!$F$4:$F$100003,dCrit)</f>
        <v>0</v>
      </c>
    </row>
    <row r="1054" spans="2:34">
      <c r="B1054" s="17" t="s">
        <v>2051</v>
      </c>
    </row>
    <row r="1055" spans="2:34">
      <c r="B1055" s="12" t="s">
        <v>127</v>
      </c>
      <c r="C1055" s="12" t="s">
        <v>1887</v>
      </c>
      <c r="E1055" s="12" t="s">
        <v>210</v>
      </c>
      <c r="F1055" s="12" t="s">
        <v>1887</v>
      </c>
      <c r="G1055" s="12" t="s">
        <v>353</v>
      </c>
      <c r="H1055" s="12" t="s">
        <v>1887</v>
      </c>
      <c r="J1055" s="12" t="s">
        <v>286</v>
      </c>
      <c r="K1055" s="12" t="s">
        <v>1887</v>
      </c>
      <c r="M1055" s="12" t="s">
        <v>1849</v>
      </c>
      <c r="N1055" s="12" t="s">
        <v>1960</v>
      </c>
      <c r="P1055" s="12" t="s">
        <v>129</v>
      </c>
      <c r="Q1055" s="12" t="s">
        <v>1887</v>
      </c>
      <c r="R1055" s="12" t="s">
        <v>1979</v>
      </c>
      <c r="S1055" s="12" t="s">
        <v>1694</v>
      </c>
      <c r="U1055" s="12" t="s">
        <v>1970</v>
      </c>
      <c r="V1055" s="12" t="s">
        <v>3</v>
      </c>
      <c r="W1055" s="12" t="s">
        <v>19</v>
      </c>
      <c r="X1055" s="12" t="s">
        <v>44</v>
      </c>
      <c r="Y1055" s="12" t="s">
        <v>53</v>
      </c>
      <c r="Z1055" s="12" t="s">
        <v>60</v>
      </c>
      <c r="AA1055" s="12" t="s">
        <v>73</v>
      </c>
      <c r="AB1055" s="12" t="s">
        <v>76</v>
      </c>
      <c r="AC1055" s="12" t="s">
        <v>86</v>
      </c>
      <c r="AD1055" s="12" t="s">
        <v>102</v>
      </c>
      <c r="AE1055" s="12" t="s">
        <v>106</v>
      </c>
      <c r="AF1055" s="12" t="s">
        <v>111</v>
      </c>
      <c r="AG1055" s="12" t="s">
        <v>122</v>
      </c>
      <c r="AH1055" s="12" t="s">
        <v>1971</v>
      </c>
    </row>
    <row r="1056" spans="2:34">
      <c r="B1056" s="23" t="s">
        <v>3</v>
      </c>
      <c r="C1056" s="22">
        <f>COUNTIFS('Unsafe Conditions'!$D$4:$D$100003,"Jan",'Unsafe Conditions'!$F$4:$F$100003,dCrit)</f>
        <v>0</v>
      </c>
      <c r="E1056" s="13" t="s">
        <v>157</v>
      </c>
      <c r="F1056" s="22">
        <f>COUNTIFS('Unsafe Conditions'!$I$4:$I$100003,"Critical",'Unsafe Conditions'!$D$4:$D$100003,mCrit,'Unsafe Conditions'!$F$4:$F$100003,dCrit)</f>
        <v>0</v>
      </c>
      <c r="G1056" s="13" t="s">
        <v>1446</v>
      </c>
      <c r="H1056" s="22">
        <f>COUNTIFS('Unsafe Conditions'!$E$4:$E$100003,"Chemical Leak",'Unsafe Conditions'!$D$4:$D$100003,mCrit,'Unsafe Conditions'!$F$4:$F$100003,dCrit)</f>
        <v>0</v>
      </c>
      <c r="J1056" s="13" t="s">
        <v>220</v>
      </c>
      <c r="K1056" s="22">
        <f>COUNTIFS('Unsafe Conditions'!$M$4:$M$100003,"Completed",'Unsafe Conditions'!$D$4:$D$100003,mCrit,'Unsafe Conditions'!$F$4:$F$100003,dCrit)</f>
        <v>0</v>
      </c>
      <c r="M1056" s="13" t="s">
        <v>2050</v>
      </c>
      <c r="N1056" s="22">
        <f>COUNTIFS('Unsafe Conditions'!$D$4:$D$100003,mCrit,'Unsafe Conditions'!$F$4:$F$100003,dCrit)</f>
        <v>0</v>
      </c>
      <c r="P1056" s="13" t="s">
        <v>27</v>
      </c>
      <c r="Q1056" s="22">
        <f>COUNTIFS('Unsafe Conditions'!$D$4:$D$100003,mCrit,'Unsafe Conditions'!$F$4:$F$100003,"Operations")</f>
        <v>0</v>
      </c>
      <c r="R1056" s="25">
        <f>IFERROR((COUNTIFS('Unsafe Conditions'!$M$4:$M$100003,"Completed",'Unsafe Conditions'!$D$4:$D$100003,mCrit,'Unsafe Conditions'!$F$4:$F$100003,"Operations"))/COUNTIFS('Unsafe Conditions'!$D$4:$D$100003,mCrit,'Unsafe Conditions'!$F$4:$F$100003,"Operations")*100,0)</f>
        <v>0</v>
      </c>
      <c r="S1056" s="22">
        <f>COUNTIFS('Unsafe Conditions'!$D$4:$D$100003,mCrit,'Unsafe Conditions'!$F$4:$F$100003,"Operations")</f>
        <v>0</v>
      </c>
      <c r="U1056" s="13" t="s">
        <v>1694</v>
      </c>
      <c r="V1056" s="22">
        <f>COUNTIFS('Unsafe Conditions'!$D$4:$D$100003,"Jan",'Unsafe Conditions'!$F$4:$F$100003,dCrit)</f>
        <v>0</v>
      </c>
      <c r="W1056" s="22">
        <f>COUNTIFS('Unsafe Conditions'!$D$4:$D$100003,"Feb",'Unsafe Conditions'!$F$4:$F$100003,dCrit)</f>
        <v>0</v>
      </c>
      <c r="X1056" s="22">
        <f>COUNTIFS('Unsafe Conditions'!$D$4:$D$100003,"Mar",'Unsafe Conditions'!$F$4:$F$100003,dCrit)</f>
        <v>0</v>
      </c>
      <c r="Y1056" s="22">
        <f>COUNTIFS('Unsafe Conditions'!$D$4:$D$100003,"Apr",'Unsafe Conditions'!$F$4:$F$100003,dCrit)</f>
        <v>0</v>
      </c>
      <c r="Z1056" s="22">
        <f>COUNTIFS('Unsafe Conditions'!$D$4:$D$100003,"May",'Unsafe Conditions'!$F$4:$F$100003,dCrit)</f>
        <v>0</v>
      </c>
      <c r="AA1056" s="22">
        <f>COUNTIFS('Unsafe Conditions'!$D$4:$D$100003,"Jun",'Unsafe Conditions'!$F$4:$F$100003,dCrit)</f>
        <v>0</v>
      </c>
      <c r="AB1056" s="22">
        <f>COUNTIFS('Unsafe Conditions'!$D$4:$D$100003,"Jul",'Unsafe Conditions'!$F$4:$F$100003,dCrit)</f>
        <v>0</v>
      </c>
      <c r="AC1056" s="22">
        <f>COUNTIFS('Unsafe Conditions'!$D$4:$D$100003,"Aug",'Unsafe Conditions'!$F$4:$F$100003,dCrit)</f>
        <v>0</v>
      </c>
      <c r="AD1056" s="22">
        <f>COUNTIFS('Unsafe Conditions'!$D$4:$D$100003,"Sep",'Unsafe Conditions'!$F$4:$F$100003,dCrit)</f>
        <v>0</v>
      </c>
      <c r="AE1056" s="22">
        <f>COUNTIFS('Unsafe Conditions'!$D$4:$D$100003,"Oct",'Unsafe Conditions'!$F$4:$F$100003,dCrit)</f>
        <v>0</v>
      </c>
      <c r="AF1056" s="22">
        <f>COUNTIFS('Unsafe Conditions'!$D$4:$D$100003,"Nov",'Unsafe Conditions'!$F$4:$F$100003,dCrit)</f>
        <v>0</v>
      </c>
      <c r="AG1056" s="22">
        <f>COUNTIFS('Unsafe Conditions'!$D$4:$D$100003,"Dec",'Unsafe Conditions'!$F$4:$F$100003,dCrit)</f>
        <v>0</v>
      </c>
      <c r="AH1056" s="22">
        <f>SUM(V1056:AG1056)</f>
        <v>0</v>
      </c>
    </row>
    <row r="1057" spans="2:34">
      <c r="B1057" s="23" t="s">
        <v>19</v>
      </c>
      <c r="C1057" s="22">
        <f>COUNTIFS('Unsafe Conditions'!$D$4:$D$100003,"Feb",'Unsafe Conditions'!$F$4:$F$100003,dCrit)</f>
        <v>0</v>
      </c>
      <c r="E1057" s="13" t="s">
        <v>151</v>
      </c>
      <c r="F1057" s="22">
        <f>COUNTIFS('Unsafe Conditions'!$I$4:$I$100003,"High",'Unsafe Conditions'!$D$4:$D$100003,mCrit,'Unsafe Conditions'!$F$4:$F$100003,dCrit)</f>
        <v>0</v>
      </c>
      <c r="G1057" s="13" t="s">
        <v>1448</v>
      </c>
      <c r="H1057" s="22">
        <f>COUNTIFS('Unsafe Conditions'!$E$4:$E$100003,"Inadequate Lighting",'Unsafe Conditions'!$D$4:$D$100003,mCrit,'Unsafe Conditions'!$F$4:$F$100003,dCrit)</f>
        <v>0</v>
      </c>
      <c r="J1057" s="13" t="s">
        <v>224</v>
      </c>
      <c r="K1057" s="22">
        <f>COUNTIFS('Unsafe Conditions'!$M$4:$M$100003,"In Progress",'Unsafe Conditions'!$D$4:$D$100003,mCrit,'Unsafe Conditions'!$F$4:$F$100003,dCrit)</f>
        <v>0</v>
      </c>
      <c r="M1057" s="13" t="s">
        <v>220</v>
      </c>
      <c r="N1057" s="22">
        <f>COUNTIFS('Unsafe Conditions'!$M$4:$M$100003,"Completed",'Unsafe Conditions'!$D$4:$D$100003,mCrit,'Unsafe Conditions'!$F$4:$F$100003,dCrit)</f>
        <v>0</v>
      </c>
      <c r="P1057" s="13" t="s">
        <v>92</v>
      </c>
      <c r="Q1057" s="22">
        <f>COUNTIFS('Unsafe Conditions'!$D$4:$D$100003,mCrit,'Unsafe Conditions'!$F$4:$F$100003,"Maintenance")</f>
        <v>0</v>
      </c>
      <c r="R1057" s="25">
        <f>IFERROR((COUNTIFS('Unsafe Conditions'!$M$4:$M$100003,"Completed",'Unsafe Conditions'!$D$4:$D$100003,mCrit,'Unsafe Conditions'!$F$4:$F$100003,"Maintenance"))/COUNTIFS('Unsafe Conditions'!$D$4:$D$100003,mCrit,'Unsafe Conditions'!$F$4:$F$100003,"Maintenance")*100,0)</f>
        <v>0</v>
      </c>
      <c r="S1057" s="22">
        <f>COUNTIFS('Unsafe Conditions'!$D$4:$D$100003,mCrit,'Unsafe Conditions'!$F$4:$F$100003,"Maintenance")</f>
        <v>0</v>
      </c>
      <c r="U1057" s="13" t="s">
        <v>1980</v>
      </c>
      <c r="V1057" s="25">
        <f>IFERROR((COUNTIFS('Unsafe Conditions'!$M$4:$M$100003,"Completed",'Unsafe Conditions'!$D$4:$D$100003,"Jan",'Unsafe Conditions'!$F$4:$F$100003,dCrit))/COUNTIFS('Unsafe Conditions'!$D$4:$D$100003,"Jan",'Unsafe Conditions'!$F$4:$F$100003,dCrit)*100,0)</f>
        <v>0</v>
      </c>
      <c r="W1057" s="25">
        <f>IFERROR((COUNTIFS('Unsafe Conditions'!$M$4:$M$100003,"Completed",'Unsafe Conditions'!$D$4:$D$100003,"Feb",'Unsafe Conditions'!$F$4:$F$100003,dCrit))/COUNTIFS('Unsafe Conditions'!$D$4:$D$100003,"Feb",'Unsafe Conditions'!$F$4:$F$100003,dCrit)*100,0)</f>
        <v>0</v>
      </c>
      <c r="X1057" s="25">
        <f>IFERROR((COUNTIFS('Unsafe Conditions'!$M$4:$M$100003,"Completed",'Unsafe Conditions'!$D$4:$D$100003,"Mar",'Unsafe Conditions'!$F$4:$F$100003,dCrit))/COUNTIFS('Unsafe Conditions'!$D$4:$D$100003,"Mar",'Unsafe Conditions'!$F$4:$F$100003,dCrit)*100,0)</f>
        <v>0</v>
      </c>
      <c r="Y1057" s="25">
        <f>IFERROR((COUNTIFS('Unsafe Conditions'!$M$4:$M$100003,"Completed",'Unsafe Conditions'!$D$4:$D$100003,"Apr",'Unsafe Conditions'!$F$4:$F$100003,dCrit))/COUNTIFS('Unsafe Conditions'!$D$4:$D$100003,"Apr",'Unsafe Conditions'!$F$4:$F$100003,dCrit)*100,0)</f>
        <v>0</v>
      </c>
      <c r="Z1057" s="25">
        <f>IFERROR((COUNTIFS('Unsafe Conditions'!$M$4:$M$100003,"Completed",'Unsafe Conditions'!$D$4:$D$100003,"May",'Unsafe Conditions'!$F$4:$F$100003,dCrit))/COUNTIFS('Unsafe Conditions'!$D$4:$D$100003,"May",'Unsafe Conditions'!$F$4:$F$100003,dCrit)*100,0)</f>
        <v>0</v>
      </c>
      <c r="AA1057" s="25">
        <f>IFERROR((COUNTIFS('Unsafe Conditions'!$M$4:$M$100003,"Completed",'Unsafe Conditions'!$D$4:$D$100003,"Jun",'Unsafe Conditions'!$F$4:$F$100003,dCrit))/COUNTIFS('Unsafe Conditions'!$D$4:$D$100003,"Jun",'Unsafe Conditions'!$F$4:$F$100003,dCrit)*100,0)</f>
        <v>0</v>
      </c>
      <c r="AB1057" s="25">
        <f>IFERROR((COUNTIFS('Unsafe Conditions'!$M$4:$M$100003,"Completed",'Unsafe Conditions'!$D$4:$D$100003,"Jul",'Unsafe Conditions'!$F$4:$F$100003,dCrit))/COUNTIFS('Unsafe Conditions'!$D$4:$D$100003,"Jul",'Unsafe Conditions'!$F$4:$F$100003,dCrit)*100,0)</f>
        <v>0</v>
      </c>
      <c r="AC1057" s="25">
        <f>IFERROR((COUNTIFS('Unsafe Conditions'!$M$4:$M$100003,"Completed",'Unsafe Conditions'!$D$4:$D$100003,"Aug",'Unsafe Conditions'!$F$4:$F$100003,dCrit))/COUNTIFS('Unsafe Conditions'!$D$4:$D$100003,"Aug",'Unsafe Conditions'!$F$4:$F$100003,dCrit)*100,0)</f>
        <v>0</v>
      </c>
      <c r="AD1057" s="25">
        <f>IFERROR((COUNTIFS('Unsafe Conditions'!$M$4:$M$100003,"Completed",'Unsafe Conditions'!$D$4:$D$100003,"Sep",'Unsafe Conditions'!$F$4:$F$100003,dCrit))/COUNTIFS('Unsafe Conditions'!$D$4:$D$100003,"Sep",'Unsafe Conditions'!$F$4:$F$100003,dCrit)*100,0)</f>
        <v>0</v>
      </c>
      <c r="AE1057" s="25">
        <f>IFERROR((COUNTIFS('Unsafe Conditions'!$M$4:$M$100003,"Completed",'Unsafe Conditions'!$D$4:$D$100003,"Oct",'Unsafe Conditions'!$F$4:$F$100003,dCrit))/COUNTIFS('Unsafe Conditions'!$D$4:$D$100003,"Oct",'Unsafe Conditions'!$F$4:$F$100003,dCrit)*100,0)</f>
        <v>0</v>
      </c>
      <c r="AF1057" s="25">
        <f>IFERROR((COUNTIFS('Unsafe Conditions'!$M$4:$M$100003,"Completed",'Unsafe Conditions'!$D$4:$D$100003,"Nov",'Unsafe Conditions'!$F$4:$F$100003,dCrit))/COUNTIFS('Unsafe Conditions'!$D$4:$D$100003,"Nov",'Unsafe Conditions'!$F$4:$F$100003,dCrit)*100,0)</f>
        <v>0</v>
      </c>
      <c r="AG1057" s="25">
        <f>IFERROR((COUNTIFS('Unsafe Conditions'!$M$4:$M$100003,"Completed",'Unsafe Conditions'!$D$4:$D$100003,"Dec",'Unsafe Conditions'!$F$4:$F$100003,dCrit))/COUNTIFS('Unsafe Conditions'!$D$4:$D$100003,"Dec",'Unsafe Conditions'!$F$4:$F$100003,dCrit)*100,0)</f>
        <v>0</v>
      </c>
      <c r="AH1057" s="25">
        <f>IFERROR(AVERAGE(V1057:AG1057),0)</f>
        <v>0</v>
      </c>
    </row>
    <row r="1058" spans="2:34">
      <c r="B1058" s="23" t="s">
        <v>44</v>
      </c>
      <c r="C1058" s="22">
        <f>COUNTIFS('Unsafe Conditions'!$D$4:$D$100003,"Mar",'Unsafe Conditions'!$F$4:$F$100003,dCrit)</f>
        <v>0</v>
      </c>
      <c r="E1058" s="13" t="s">
        <v>142</v>
      </c>
      <c r="F1058" s="22">
        <f>COUNTIFS('Unsafe Conditions'!$I$4:$I$100003,"Medium",'Unsafe Conditions'!$D$4:$D$100003,mCrit,'Unsafe Conditions'!$F$4:$F$100003,dCrit)</f>
        <v>0</v>
      </c>
      <c r="G1058" s="13" t="s">
        <v>1450</v>
      </c>
      <c r="H1058" s="22">
        <f>COUNTIFS('Unsafe Conditions'!$E$4:$E$100003,"Exposed Wiring",'Unsafe Conditions'!$D$4:$D$100003,mCrit,'Unsafe Conditions'!$F$4:$F$100003,dCrit)</f>
        <v>0</v>
      </c>
      <c r="J1058" s="13" t="s">
        <v>302</v>
      </c>
      <c r="K1058" s="22">
        <f>COUNTIFS('Unsafe Conditions'!$M$4:$M$100003,"Pending",'Unsafe Conditions'!$D$4:$D$100003,mCrit,'Unsafe Conditions'!$F$4:$F$100003,dCrit)</f>
        <v>0</v>
      </c>
      <c r="M1058" s="13" t="s">
        <v>224</v>
      </c>
      <c r="N1058" s="22">
        <f>COUNTIFS('Unsafe Conditions'!$M$4:$M$100003,"In Progress",'Unsafe Conditions'!$D$4:$D$100003,mCrit,'Unsafe Conditions'!$F$4:$F$100003,dCrit)</f>
        <v>0</v>
      </c>
      <c r="P1058" s="13" t="s">
        <v>39</v>
      </c>
      <c r="Q1058" s="22">
        <f>COUNTIFS('Unsafe Conditions'!$D$4:$D$100003,mCrit,'Unsafe Conditions'!$F$4:$F$100003,"Engineering")</f>
        <v>0</v>
      </c>
      <c r="R1058" s="25">
        <f>IFERROR((COUNTIFS('Unsafe Conditions'!$M$4:$M$100003,"Completed",'Unsafe Conditions'!$D$4:$D$100003,mCrit,'Unsafe Conditions'!$F$4:$F$100003,"Engineering"))/COUNTIFS('Unsafe Conditions'!$D$4:$D$100003,mCrit,'Unsafe Conditions'!$F$4:$F$100003,"Engineering")*100,0)</f>
        <v>0</v>
      </c>
      <c r="S1058" s="22">
        <f>COUNTIFS('Unsafe Conditions'!$D$4:$D$100003,mCrit,'Unsafe Conditions'!$F$4:$F$100003,"Engineering")</f>
        <v>0</v>
      </c>
    </row>
    <row r="1059" spans="2:34">
      <c r="B1059" s="23" t="s">
        <v>53</v>
      </c>
      <c r="C1059" s="22">
        <f>COUNTIFS('Unsafe Conditions'!$D$4:$D$100003,"Apr",'Unsafe Conditions'!$F$4:$F$100003,dCrit)</f>
        <v>0</v>
      </c>
      <c r="E1059" s="13" t="s">
        <v>161</v>
      </c>
      <c r="F1059" s="22">
        <f>COUNTIFS('Unsafe Conditions'!$I$4:$I$100003,"Low",'Unsafe Conditions'!$D$4:$D$100003,mCrit,'Unsafe Conditions'!$F$4:$F$100003,dCrit)</f>
        <v>0</v>
      </c>
      <c r="G1059" s="13" t="s">
        <v>1452</v>
      </c>
      <c r="H1059" s="22">
        <f>COUNTIFS('Unsafe Conditions'!$E$4:$E$100003,"Missing Signage",'Unsafe Conditions'!$D$4:$D$100003,mCrit,'Unsafe Conditions'!$F$4:$F$100003,dCrit)</f>
        <v>0</v>
      </c>
      <c r="J1059" s="13" t="s">
        <v>326</v>
      </c>
      <c r="K1059" s="22">
        <f>COUNTIFS('Unsafe Conditions'!$M$4:$M$100003,"Overdue",'Unsafe Conditions'!$D$4:$D$100003,mCrit,'Unsafe Conditions'!$F$4:$F$100003,dCrit)</f>
        <v>0</v>
      </c>
      <c r="M1059" s="13" t="s">
        <v>326</v>
      </c>
      <c r="N1059" s="22">
        <f>COUNTIFS('Unsafe Conditions'!$M$4:$M$100003,"Overdue",'Unsafe Conditions'!$D$4:$D$100003,mCrit,'Unsafe Conditions'!$F$4:$F$100003,dCrit)</f>
        <v>0</v>
      </c>
      <c r="P1059" s="13" t="s">
        <v>89</v>
      </c>
      <c r="Q1059" s="22">
        <f>COUNTIFS('Unsafe Conditions'!$D$4:$D$100003,mCrit,'Unsafe Conditions'!$F$4:$F$100003,"Construction")</f>
        <v>0</v>
      </c>
      <c r="R1059" s="25">
        <f>IFERROR((COUNTIFS('Unsafe Conditions'!$M$4:$M$100003,"Completed",'Unsafe Conditions'!$D$4:$D$100003,mCrit,'Unsafe Conditions'!$F$4:$F$100003,"Construction"))/COUNTIFS('Unsafe Conditions'!$D$4:$D$100003,mCrit,'Unsafe Conditions'!$F$4:$F$100003,"Construction")*100,0)</f>
        <v>0</v>
      </c>
      <c r="S1059" s="22">
        <f>COUNTIFS('Unsafe Conditions'!$D$4:$D$100003,mCrit,'Unsafe Conditions'!$F$4:$F$100003,"Construction")</f>
        <v>0</v>
      </c>
    </row>
    <row r="1060" spans="2:34">
      <c r="B1060" s="23" t="s">
        <v>60</v>
      </c>
      <c r="C1060" s="22">
        <f>COUNTIFS('Unsafe Conditions'!$D$4:$D$100003,"May",'Unsafe Conditions'!$F$4:$F$100003,dCrit)</f>
        <v>0</v>
      </c>
      <c r="G1060" s="13" t="s">
        <v>1454</v>
      </c>
      <c r="H1060" s="22">
        <f>COUNTIFS('Unsafe Conditions'!$E$4:$E$100003,"Slippery Floor",'Unsafe Conditions'!$D$4:$D$100003,mCrit,'Unsafe Conditions'!$F$4:$F$100003,dCrit)</f>
        <v>0</v>
      </c>
      <c r="M1060" s="13" t="s">
        <v>1974</v>
      </c>
      <c r="N1060" s="22">
        <f>COUNTIFS('Unsafe Conditions'!$I$4:$I$100003,"High",'Unsafe Conditions'!$D$4:$D$100003,mCrit,'Unsafe Conditions'!$F$4:$F$100003,dCrit)</f>
        <v>0</v>
      </c>
      <c r="P1060" s="13" t="s">
        <v>65</v>
      </c>
      <c r="Q1060" s="22">
        <f>COUNTIFS('Unsafe Conditions'!$D$4:$D$100003,mCrit,'Unsafe Conditions'!$F$4:$F$100003,"Safety")</f>
        <v>0</v>
      </c>
      <c r="R1060" s="25">
        <f>IFERROR((COUNTIFS('Unsafe Conditions'!$M$4:$M$100003,"Completed",'Unsafe Conditions'!$D$4:$D$100003,mCrit,'Unsafe Conditions'!$F$4:$F$100003,"Safety"))/COUNTIFS('Unsafe Conditions'!$D$4:$D$100003,mCrit,'Unsafe Conditions'!$F$4:$F$100003,"Safety")*100,0)</f>
        <v>0</v>
      </c>
      <c r="S1060" s="22">
        <f>COUNTIFS('Unsafe Conditions'!$D$4:$D$100003,mCrit,'Unsafe Conditions'!$F$4:$F$100003,"Safety")</f>
        <v>0</v>
      </c>
    </row>
    <row r="1061" spans="2:34">
      <c r="B1061" s="23" t="s">
        <v>73</v>
      </c>
      <c r="C1061" s="22">
        <f>COUNTIFS('Unsafe Conditions'!$D$4:$D$100003,"Jun",'Unsafe Conditions'!$F$4:$F$100003,dCrit)</f>
        <v>0</v>
      </c>
      <c r="G1061" s="13" t="s">
        <v>1329</v>
      </c>
      <c r="H1061" s="22">
        <f>COUNTIFS('Unsafe Conditions'!$E$4:$E$100003,"Poor Housekeeping",'Unsafe Conditions'!$D$4:$D$100003,mCrit,'Unsafe Conditions'!$F$4:$F$100003,dCrit)</f>
        <v>0</v>
      </c>
      <c r="M1061" s="13" t="s">
        <v>1975</v>
      </c>
      <c r="N1061" s="22">
        <f>COUNTIFS('Unsafe Conditions'!$I$4:$I$100003,"Medium",'Unsafe Conditions'!$D$4:$D$100003,mCrit,'Unsafe Conditions'!$F$4:$F$100003,dCrit)</f>
        <v>0</v>
      </c>
      <c r="P1061" s="13" t="s">
        <v>5</v>
      </c>
      <c r="Q1061" s="22">
        <f>COUNTIFS('Unsafe Conditions'!$D$4:$D$100003,mCrit,'Unsafe Conditions'!$F$4:$F$100003,"Logistics")</f>
        <v>0</v>
      </c>
      <c r="R1061" s="25">
        <f>IFERROR((COUNTIFS('Unsafe Conditions'!$M$4:$M$100003,"Completed",'Unsafe Conditions'!$D$4:$D$100003,mCrit,'Unsafe Conditions'!$F$4:$F$100003,"Logistics"))/COUNTIFS('Unsafe Conditions'!$D$4:$D$100003,mCrit,'Unsafe Conditions'!$F$4:$F$100003,"Logistics")*100,0)</f>
        <v>0</v>
      </c>
      <c r="S1061" s="22">
        <f>COUNTIFS('Unsafe Conditions'!$D$4:$D$100003,mCrit,'Unsafe Conditions'!$F$4:$F$100003,"Logistics")</f>
        <v>0</v>
      </c>
    </row>
    <row r="1062" spans="2:34">
      <c r="B1062" s="23" t="s">
        <v>76</v>
      </c>
      <c r="C1062" s="22">
        <f>COUNTIFS('Unsafe Conditions'!$D$4:$D$100003,"Jul",'Unsafe Conditions'!$F$4:$F$100003,dCrit)</f>
        <v>0</v>
      </c>
      <c r="G1062" s="13" t="s">
        <v>1462</v>
      </c>
      <c r="H1062" s="22">
        <f>COUNTIFS('Unsafe Conditions'!$E$4:$E$100003,"Damaged Machine Guard",'Unsafe Conditions'!$D$4:$D$100003,mCrit,'Unsafe Conditions'!$F$4:$F$100003,dCrit)</f>
        <v>0</v>
      </c>
      <c r="M1062" s="13" t="s">
        <v>1976</v>
      </c>
      <c r="N1062" s="22">
        <f>COUNTIFS('Unsafe Conditions'!$I$4:$I$100003,"Low",'Unsafe Conditions'!$D$4:$D$100003,mCrit,'Unsafe Conditions'!$F$4:$F$100003,dCrit)</f>
        <v>0</v>
      </c>
      <c r="P1062" s="13" t="s">
        <v>50</v>
      </c>
      <c r="Q1062" s="22">
        <f>COUNTIFS('Unsafe Conditions'!$D$4:$D$100003,mCrit,'Unsafe Conditions'!$F$4:$F$100003,"Quality")</f>
        <v>0</v>
      </c>
      <c r="R1062" s="25">
        <f>IFERROR((COUNTIFS('Unsafe Conditions'!$M$4:$M$100003,"Completed",'Unsafe Conditions'!$D$4:$D$100003,mCrit,'Unsafe Conditions'!$F$4:$F$100003,"Quality"))/COUNTIFS('Unsafe Conditions'!$D$4:$D$100003,mCrit,'Unsafe Conditions'!$F$4:$F$100003,"Quality")*100,0)</f>
        <v>0</v>
      </c>
      <c r="S1062" s="22">
        <f>COUNTIFS('Unsafe Conditions'!$D$4:$D$100003,mCrit,'Unsafe Conditions'!$F$4:$F$100003,"Quality")</f>
        <v>0</v>
      </c>
    </row>
    <row r="1063" spans="2:34">
      <c r="B1063" s="23" t="s">
        <v>86</v>
      </c>
      <c r="C1063" s="22">
        <f>COUNTIFS('Unsafe Conditions'!$D$4:$D$100003,"Aug",'Unsafe Conditions'!$F$4:$F$100003,dCrit)</f>
        <v>0</v>
      </c>
      <c r="G1063" s="13" t="s">
        <v>1464</v>
      </c>
      <c r="H1063" s="22">
        <f>COUNTIFS('Unsafe Conditions'!$E$4:$E$100003,"Blocked Walkway/Aisle",'Unsafe Conditions'!$D$4:$D$100003,mCrit,'Unsafe Conditions'!$F$4:$F$100003,dCrit)</f>
        <v>0</v>
      </c>
      <c r="M1063" s="13" t="s">
        <v>2048</v>
      </c>
      <c r="N1063" s="25">
        <f>IFERROR((COUNTIFS('Unsafe Conditions'!$M$4:$M$100003,"Completed",'Unsafe Conditions'!$D$4:$D$100003,mCrit,'Unsafe Conditions'!$F$4:$F$100003,dCrit))/(COUNTIFS('Unsafe Conditions'!$D$4:$D$100003,mCrit,'Unsafe Conditions'!$F$4:$F$100003,dCrit))*100,0)</f>
        <v>0</v>
      </c>
      <c r="P1063" s="13" t="s">
        <v>46</v>
      </c>
      <c r="Q1063" s="22">
        <f>COUNTIFS('Unsafe Conditions'!$D$4:$D$100003,mCrit,'Unsafe Conditions'!$F$4:$F$100003,"Admin")</f>
        <v>0</v>
      </c>
      <c r="R1063" s="25">
        <f>IFERROR((COUNTIFS('Unsafe Conditions'!$M$4:$M$100003,"Completed",'Unsafe Conditions'!$D$4:$D$100003,mCrit,'Unsafe Conditions'!$F$4:$F$100003,"Admin"))/COUNTIFS('Unsafe Conditions'!$D$4:$D$100003,mCrit,'Unsafe Conditions'!$F$4:$F$100003,"Admin")*100,0)</f>
        <v>0</v>
      </c>
      <c r="S1063" s="22">
        <f>COUNTIFS('Unsafe Conditions'!$D$4:$D$100003,mCrit,'Unsafe Conditions'!$F$4:$F$100003,"Admin")</f>
        <v>0</v>
      </c>
    </row>
    <row r="1064" spans="2:34">
      <c r="B1064" s="23" t="s">
        <v>102</v>
      </c>
      <c r="C1064" s="22">
        <f>COUNTIFS('Unsafe Conditions'!$D$4:$D$100003,"Sep",'Unsafe Conditions'!$F$4:$F$100003,dCrit)</f>
        <v>0</v>
      </c>
      <c r="P1064" s="13" t="s">
        <v>13</v>
      </c>
      <c r="Q1064" s="22">
        <f>COUNTIFS('Unsafe Conditions'!$D$4:$D$100003,mCrit,'Unsafe Conditions'!$F$4:$F$100003,"Projects")</f>
        <v>0</v>
      </c>
      <c r="R1064" s="25">
        <f>IFERROR((COUNTIFS('Unsafe Conditions'!$M$4:$M$100003,"Completed",'Unsafe Conditions'!$D$4:$D$100003,mCrit,'Unsafe Conditions'!$F$4:$F$100003,"Projects"))/COUNTIFS('Unsafe Conditions'!$D$4:$D$100003,mCrit,'Unsafe Conditions'!$F$4:$F$100003,"Projects")*100,0)</f>
        <v>0</v>
      </c>
      <c r="S1064" s="22">
        <f>COUNTIFS('Unsafe Conditions'!$D$4:$D$100003,mCrit,'Unsafe Conditions'!$F$4:$F$100003,"Projects")</f>
        <v>0</v>
      </c>
    </row>
    <row r="1065" spans="2:34">
      <c r="B1065" s="23" t="s">
        <v>106</v>
      </c>
      <c r="C1065" s="22">
        <f>COUNTIFS('Unsafe Conditions'!$D$4:$D$100003,"Oct",'Unsafe Conditions'!$F$4:$F$100003,dCrit)</f>
        <v>0</v>
      </c>
      <c r="P1065" s="13" t="s">
        <v>58</v>
      </c>
      <c r="Q1065" s="22">
        <f>COUNTIFS('Unsafe Conditions'!$D$4:$D$100003,mCrit,'Unsafe Conditions'!$F$4:$F$100003,"Contractor")</f>
        <v>0</v>
      </c>
      <c r="R1065" s="25">
        <f>IFERROR((COUNTIFS('Unsafe Conditions'!$M$4:$M$100003,"Completed",'Unsafe Conditions'!$D$4:$D$100003,mCrit,'Unsafe Conditions'!$F$4:$F$100003,"Contractor"))/COUNTIFS('Unsafe Conditions'!$D$4:$D$100003,mCrit,'Unsafe Conditions'!$F$4:$F$100003,"Contractor")*100,0)</f>
        <v>0</v>
      </c>
      <c r="S1065" s="22">
        <f>COUNTIFS('Unsafe Conditions'!$D$4:$D$100003,mCrit,'Unsafe Conditions'!$F$4:$F$100003,"Contractor")</f>
        <v>0</v>
      </c>
    </row>
    <row r="1066" spans="2:34">
      <c r="B1066" s="23" t="s">
        <v>111</v>
      </c>
      <c r="C1066" s="22">
        <f>COUNTIFS('Unsafe Conditions'!$D$4:$D$100003,"Nov",'Unsafe Conditions'!$F$4:$F$100003,dCrit)</f>
        <v>0</v>
      </c>
    </row>
    <row r="1067" spans="2:34">
      <c r="B1067" s="23" t="s">
        <v>122</v>
      </c>
      <c r="C1067" s="22">
        <f>COUNTIFS('Unsafe Conditions'!$D$4:$D$100003,"Dec",'Unsafe Conditions'!$F$4:$F$100003,dCrit)</f>
        <v>0</v>
      </c>
    </row>
    <row r="1080" spans="2:34">
      <c r="B1080" s="17" t="s">
        <v>2052</v>
      </c>
    </row>
    <row r="1081" spans="2:34">
      <c r="B1081" s="12" t="s">
        <v>127</v>
      </c>
      <c r="C1081" s="12" t="s">
        <v>1887</v>
      </c>
      <c r="E1081" s="12" t="s">
        <v>1597</v>
      </c>
      <c r="F1081" s="12" t="s">
        <v>1887</v>
      </c>
      <c r="G1081" s="12" t="s">
        <v>1596</v>
      </c>
      <c r="H1081" s="12" t="s">
        <v>1887</v>
      </c>
      <c r="J1081" s="12" t="s">
        <v>286</v>
      </c>
      <c r="K1081" s="12" t="s">
        <v>1887</v>
      </c>
      <c r="M1081" s="12" t="s">
        <v>1849</v>
      </c>
      <c r="N1081" s="12" t="s">
        <v>1960</v>
      </c>
      <c r="P1081" s="12" t="s">
        <v>129</v>
      </c>
      <c r="Q1081" s="12" t="s">
        <v>1887</v>
      </c>
      <c r="R1081" s="12" t="s">
        <v>1979</v>
      </c>
      <c r="S1081" s="12" t="s">
        <v>1694</v>
      </c>
      <c r="U1081" s="12" t="s">
        <v>1970</v>
      </c>
      <c r="V1081" s="12" t="s">
        <v>3</v>
      </c>
      <c r="W1081" s="12" t="s">
        <v>19</v>
      </c>
      <c r="X1081" s="12" t="s">
        <v>44</v>
      </c>
      <c r="Y1081" s="12" t="s">
        <v>53</v>
      </c>
      <c r="Z1081" s="12" t="s">
        <v>60</v>
      </c>
      <c r="AA1081" s="12" t="s">
        <v>73</v>
      </c>
      <c r="AB1081" s="12" t="s">
        <v>76</v>
      </c>
      <c r="AC1081" s="12" t="s">
        <v>86</v>
      </c>
      <c r="AD1081" s="12" t="s">
        <v>102</v>
      </c>
      <c r="AE1081" s="12" t="s">
        <v>106</v>
      </c>
      <c r="AF1081" s="12" t="s">
        <v>111</v>
      </c>
      <c r="AG1081" s="12" t="s">
        <v>122</v>
      </c>
      <c r="AH1081" s="12" t="s">
        <v>1971</v>
      </c>
    </row>
    <row r="1082" spans="2:34">
      <c r="B1082" s="23" t="s">
        <v>3</v>
      </c>
      <c r="C1082" s="22">
        <f>COUNTIFS('Incident'!$D$4:$D$100003,"Jan",'Incident'!$H$4:$H$100003,dCrit)</f>
        <v>0</v>
      </c>
      <c r="E1082" s="13" t="s">
        <v>292</v>
      </c>
      <c r="F1082" s="22">
        <f>COUNTIFS('Incident'!$N$4:$N$100003,"Near Miss",'Incident'!$D$4:$D$100003,mCrit,'Incident'!$H$4:$H$100003,dCrit)</f>
        <v>0</v>
      </c>
      <c r="G1082" s="13" t="s">
        <v>1513</v>
      </c>
      <c r="H1082" s="22">
        <f>COUNTIFS('Incident'!$M$4:$M$100003,"Injury/Illness",'Incident'!$D$4:$D$100003,mCrit,'Incident'!$H$4:$H$100003,dCrit)</f>
        <v>0</v>
      </c>
      <c r="J1082" s="13" t="s">
        <v>580</v>
      </c>
      <c r="K1082" s="22">
        <f>COUNTIFS('Incident'!$AB$4:$AB$100003,"Closed",'Incident'!$D$4:$D$100003,mCrit,'Incident'!$H$4:$H$100003,dCrit)</f>
        <v>0</v>
      </c>
      <c r="M1082" s="13" t="s">
        <v>1961</v>
      </c>
      <c r="N1082" s="22">
        <f>COUNTIFS('Incident'!$D$4:$D$100003,mCrit,'Incident'!$H$4:$H$100003,dCrit)</f>
        <v>0</v>
      </c>
      <c r="P1082" s="13" t="s">
        <v>27</v>
      </c>
      <c r="Q1082" s="22">
        <f>COUNTIFS('Incident'!$D$4:$D$100003,mCrit,'Incident'!$H$4:$H$100003,"Operations")</f>
        <v>0</v>
      </c>
      <c r="R1082" s="25">
        <f>IFERROR((COUNTIFS('Incident'!$AB$4:$AB$100003,"Closed",'Incident'!$D$4:$D$100003,mCrit,'Incident'!$H$4:$H$100003,"Operations"))/COUNTIFS('Incident'!$D$4:$D$100003,mCrit,'Incident'!$H$4:$H$100003,"Operations")*100,0)</f>
        <v>0</v>
      </c>
      <c r="S1082" s="22">
        <f>COUNTIFS('Incident'!$D$4:$D$100003,mCrit,'Incident'!$H$4:$H$100003,"Operations")</f>
        <v>0</v>
      </c>
      <c r="U1082" s="13" t="s">
        <v>1694</v>
      </c>
      <c r="V1082" s="22">
        <f>COUNTIFS('Incident'!$D$4:$D$100003,"Jan",'Incident'!$H$4:$H$100003,dCrit)</f>
        <v>0</v>
      </c>
      <c r="W1082" s="22">
        <f>COUNTIFS('Incident'!$D$4:$D$100003,"Feb",'Incident'!$H$4:$H$100003,dCrit)</f>
        <v>0</v>
      </c>
      <c r="X1082" s="22">
        <f>COUNTIFS('Incident'!$D$4:$D$100003,"Mar",'Incident'!$H$4:$H$100003,dCrit)</f>
        <v>0</v>
      </c>
      <c r="Y1082" s="22">
        <f>COUNTIFS('Incident'!$D$4:$D$100003,"Apr",'Incident'!$H$4:$H$100003,dCrit)</f>
        <v>0</v>
      </c>
      <c r="Z1082" s="22">
        <f>COUNTIFS('Incident'!$D$4:$D$100003,"May",'Incident'!$H$4:$H$100003,dCrit)</f>
        <v>0</v>
      </c>
      <c r="AA1082" s="22">
        <f>COUNTIFS('Incident'!$D$4:$D$100003,"Jun",'Incident'!$H$4:$H$100003,dCrit)</f>
        <v>0</v>
      </c>
      <c r="AB1082" s="22">
        <f>COUNTIFS('Incident'!$D$4:$D$100003,"Jul",'Incident'!$H$4:$H$100003,dCrit)</f>
        <v>0</v>
      </c>
      <c r="AC1082" s="22">
        <f>COUNTIFS('Incident'!$D$4:$D$100003,"Aug",'Incident'!$H$4:$H$100003,dCrit)</f>
        <v>0</v>
      </c>
      <c r="AD1082" s="22">
        <f>COUNTIFS('Incident'!$D$4:$D$100003,"Sep",'Incident'!$H$4:$H$100003,dCrit)</f>
        <v>0</v>
      </c>
      <c r="AE1082" s="22">
        <f>COUNTIFS('Incident'!$D$4:$D$100003,"Oct",'Incident'!$H$4:$H$100003,dCrit)</f>
        <v>0</v>
      </c>
      <c r="AF1082" s="22">
        <f>COUNTIFS('Incident'!$D$4:$D$100003,"Nov",'Incident'!$H$4:$H$100003,dCrit)</f>
        <v>0</v>
      </c>
      <c r="AG1082" s="22">
        <f>COUNTIFS('Incident'!$D$4:$D$100003,"Dec",'Incident'!$H$4:$H$100003,dCrit)</f>
        <v>0</v>
      </c>
      <c r="AH1082" s="22">
        <f>SUM(V1082:AG1082)</f>
        <v>0</v>
      </c>
    </row>
    <row r="1083" spans="2:34">
      <c r="B1083" s="23" t="s">
        <v>19</v>
      </c>
      <c r="C1083" s="22">
        <f>COUNTIFS('Incident'!$D$4:$D$100003,"Feb",'Incident'!$H$4:$H$100003,dCrit)</f>
        <v>0</v>
      </c>
      <c r="E1083" s="13" t="s">
        <v>1509</v>
      </c>
      <c r="F1083" s="22">
        <f>COUNTIFS('Incident'!$N$4:$N$100003,"First Aid",'Incident'!$D$4:$D$100003,mCrit,'Incident'!$H$4:$H$100003,dCrit)</f>
        <v>0</v>
      </c>
      <c r="G1083" s="13" t="s">
        <v>1508</v>
      </c>
      <c r="H1083" s="22">
        <f>COUNTIFS('Incident'!$M$4:$M$100003,"Property Damage",'Incident'!$D$4:$D$100003,mCrit,'Incident'!$H$4:$H$100003,dCrit)</f>
        <v>0</v>
      </c>
      <c r="J1083" s="13" t="s">
        <v>224</v>
      </c>
      <c r="K1083" s="22">
        <f>COUNTIFS('Incident'!$AB$4:$AB$100003,"In Progress",'Incident'!$D$4:$D$100003,mCrit,'Incident'!$H$4:$H$100003,dCrit)</f>
        <v>0</v>
      </c>
      <c r="M1083" s="13" t="s">
        <v>1149</v>
      </c>
      <c r="N1083" s="22">
        <f>COUNTIFS('Incident'!$AB$4:$AB$100003,"Open",'Incident'!$D$4:$D$100003,mCrit,'Incident'!$H$4:$H$100003,dCrit)</f>
        <v>0</v>
      </c>
      <c r="P1083" s="13" t="s">
        <v>92</v>
      </c>
      <c r="Q1083" s="22">
        <f>COUNTIFS('Incident'!$D$4:$D$100003,mCrit,'Incident'!$H$4:$H$100003,"Maintenance")</f>
        <v>0</v>
      </c>
      <c r="R1083" s="25">
        <f>IFERROR((COUNTIFS('Incident'!$AB$4:$AB$100003,"Closed",'Incident'!$D$4:$D$100003,mCrit,'Incident'!$H$4:$H$100003,"Maintenance"))/COUNTIFS('Incident'!$D$4:$D$100003,mCrit,'Incident'!$H$4:$H$100003,"Maintenance")*100,0)</f>
        <v>0</v>
      </c>
      <c r="S1083" s="22">
        <f>COUNTIFS('Incident'!$D$4:$D$100003,mCrit,'Incident'!$H$4:$H$100003,"Maintenance")</f>
        <v>0</v>
      </c>
      <c r="U1083" s="13" t="s">
        <v>1980</v>
      </c>
      <c r="V1083" s="25">
        <f>IFERROR((COUNTIFS('Incident'!$AB$4:$AB$100003,"Closed",'Incident'!$D$4:$D$100003,"Jan",'Incident'!$H$4:$H$100003,dCrit))/COUNTIFS('Incident'!$D$4:$D$100003,"Jan",'Incident'!$H$4:$H$100003,dCrit)*100,0)</f>
        <v>0</v>
      </c>
      <c r="W1083" s="25">
        <f>IFERROR((COUNTIFS('Incident'!$AB$4:$AB$100003,"Closed",'Incident'!$D$4:$D$100003,"Feb",'Incident'!$H$4:$H$100003,dCrit))/COUNTIFS('Incident'!$D$4:$D$100003,"Feb",'Incident'!$H$4:$H$100003,dCrit)*100,0)</f>
        <v>0</v>
      </c>
      <c r="X1083" s="25">
        <f>IFERROR((COUNTIFS('Incident'!$AB$4:$AB$100003,"Closed",'Incident'!$D$4:$D$100003,"Mar",'Incident'!$H$4:$H$100003,dCrit))/COUNTIFS('Incident'!$D$4:$D$100003,"Mar",'Incident'!$H$4:$H$100003,dCrit)*100,0)</f>
        <v>0</v>
      </c>
      <c r="Y1083" s="25">
        <f>IFERROR((COUNTIFS('Incident'!$AB$4:$AB$100003,"Closed",'Incident'!$D$4:$D$100003,"Apr",'Incident'!$H$4:$H$100003,dCrit))/COUNTIFS('Incident'!$D$4:$D$100003,"Apr",'Incident'!$H$4:$H$100003,dCrit)*100,0)</f>
        <v>0</v>
      </c>
      <c r="Z1083" s="25">
        <f>IFERROR((COUNTIFS('Incident'!$AB$4:$AB$100003,"Closed",'Incident'!$D$4:$D$100003,"May",'Incident'!$H$4:$H$100003,dCrit))/COUNTIFS('Incident'!$D$4:$D$100003,"May",'Incident'!$H$4:$H$100003,dCrit)*100,0)</f>
        <v>0</v>
      </c>
      <c r="AA1083" s="25">
        <f>IFERROR((COUNTIFS('Incident'!$AB$4:$AB$100003,"Closed",'Incident'!$D$4:$D$100003,"Jun",'Incident'!$H$4:$H$100003,dCrit))/COUNTIFS('Incident'!$D$4:$D$100003,"Jun",'Incident'!$H$4:$H$100003,dCrit)*100,0)</f>
        <v>0</v>
      </c>
      <c r="AB1083" s="25">
        <f>IFERROR((COUNTIFS('Incident'!$AB$4:$AB$100003,"Closed",'Incident'!$D$4:$D$100003,"Jul",'Incident'!$H$4:$H$100003,dCrit))/COUNTIFS('Incident'!$D$4:$D$100003,"Jul",'Incident'!$H$4:$H$100003,dCrit)*100,0)</f>
        <v>0</v>
      </c>
      <c r="AC1083" s="25">
        <f>IFERROR((COUNTIFS('Incident'!$AB$4:$AB$100003,"Closed",'Incident'!$D$4:$D$100003,"Aug",'Incident'!$H$4:$H$100003,dCrit))/COUNTIFS('Incident'!$D$4:$D$100003,"Aug",'Incident'!$H$4:$H$100003,dCrit)*100,0)</f>
        <v>0</v>
      </c>
      <c r="AD1083" s="25">
        <f>IFERROR((COUNTIFS('Incident'!$AB$4:$AB$100003,"Closed",'Incident'!$D$4:$D$100003,"Sep",'Incident'!$H$4:$H$100003,dCrit))/COUNTIFS('Incident'!$D$4:$D$100003,"Sep",'Incident'!$H$4:$H$100003,dCrit)*100,0)</f>
        <v>0</v>
      </c>
      <c r="AE1083" s="25">
        <f>IFERROR((COUNTIFS('Incident'!$AB$4:$AB$100003,"Closed",'Incident'!$D$4:$D$100003,"Oct",'Incident'!$H$4:$H$100003,dCrit))/COUNTIFS('Incident'!$D$4:$D$100003,"Oct",'Incident'!$H$4:$H$100003,dCrit)*100,0)</f>
        <v>0</v>
      </c>
      <c r="AF1083" s="25">
        <f>IFERROR((COUNTIFS('Incident'!$AB$4:$AB$100003,"Closed",'Incident'!$D$4:$D$100003,"Nov",'Incident'!$H$4:$H$100003,dCrit))/COUNTIFS('Incident'!$D$4:$D$100003,"Nov",'Incident'!$H$4:$H$100003,dCrit)*100,0)</f>
        <v>0</v>
      </c>
      <c r="AG1083" s="25">
        <f>IFERROR((COUNTIFS('Incident'!$AB$4:$AB$100003,"Closed",'Incident'!$D$4:$D$100003,"Dec",'Incident'!$H$4:$H$100003,dCrit))/COUNTIFS('Incident'!$D$4:$D$100003,"Dec",'Incident'!$H$4:$H$100003,dCrit)*100,0)</f>
        <v>0</v>
      </c>
      <c r="AH1083" s="25">
        <f>IFERROR(AVERAGE(V1083:AG1083),0)</f>
        <v>0</v>
      </c>
    </row>
    <row r="1084" spans="2:34">
      <c r="B1084" s="23" t="s">
        <v>44</v>
      </c>
      <c r="C1084" s="22">
        <f>COUNTIFS('Incident'!$D$4:$D$100003,"Mar",'Incident'!$H$4:$H$100003,dCrit)</f>
        <v>0</v>
      </c>
      <c r="E1084" s="13" t="s">
        <v>1540</v>
      </c>
      <c r="F1084" s="22">
        <f>COUNTIFS('Incident'!$N$4:$N$100003,"Medical Treatment",'Incident'!$D$4:$D$100003,mCrit,'Incident'!$H$4:$H$100003,dCrit)</f>
        <v>0</v>
      </c>
      <c r="G1084" s="13" t="s">
        <v>1516</v>
      </c>
      <c r="H1084" s="22">
        <f>COUNTIFS('Incident'!$M$4:$M$100003,"Environmental",'Incident'!$D$4:$D$100003,mCrit,'Incident'!$H$4:$H$100003,dCrit)</f>
        <v>0</v>
      </c>
      <c r="J1084" s="13" t="s">
        <v>1149</v>
      </c>
      <c r="K1084" s="22">
        <f>COUNTIFS('Incident'!$AB$4:$AB$100003,"Open",'Incident'!$D$4:$D$100003,mCrit,'Incident'!$H$4:$H$100003,dCrit)</f>
        <v>0</v>
      </c>
      <c r="M1084" s="13" t="s">
        <v>580</v>
      </c>
      <c r="N1084" s="22">
        <f>COUNTIFS('Incident'!$AB$4:$AB$100003,"Closed",'Incident'!$D$4:$D$100003,mCrit,'Incident'!$H$4:$H$100003,dCrit)</f>
        <v>0</v>
      </c>
      <c r="P1084" s="13" t="s">
        <v>39</v>
      </c>
      <c r="Q1084" s="22">
        <f>COUNTIFS('Incident'!$D$4:$D$100003,mCrit,'Incident'!$H$4:$H$100003,"Engineering")</f>
        <v>0</v>
      </c>
      <c r="R1084" s="25">
        <f>IFERROR((COUNTIFS('Incident'!$AB$4:$AB$100003,"Closed",'Incident'!$D$4:$D$100003,mCrit,'Incident'!$H$4:$H$100003,"Engineering"))/COUNTIFS('Incident'!$D$4:$D$100003,mCrit,'Incident'!$H$4:$H$100003,"Engineering")*100,0)</f>
        <v>0</v>
      </c>
      <c r="S1084" s="22">
        <f>COUNTIFS('Incident'!$D$4:$D$100003,mCrit,'Incident'!$H$4:$H$100003,"Engineering")</f>
        <v>0</v>
      </c>
      <c r="U1084" s="13" t="s">
        <v>1604</v>
      </c>
      <c r="V1084" s="22">
        <f>SUMIFS('Incident'!$V$4:$V$100003,'Incident'!$D$4:$D$100003,"Jan",'Incident'!$H$4:$H$100003,dCrit)</f>
        <v>0</v>
      </c>
      <c r="W1084" s="22">
        <f>SUMIFS('Incident'!$V$4:$V$100003,'Incident'!$D$4:$D$100003,"Feb",'Incident'!$H$4:$H$100003,dCrit)</f>
        <v>0</v>
      </c>
      <c r="X1084" s="22">
        <f>SUMIFS('Incident'!$V$4:$V$100003,'Incident'!$D$4:$D$100003,"Mar",'Incident'!$H$4:$H$100003,dCrit)</f>
        <v>0</v>
      </c>
      <c r="Y1084" s="22">
        <f>SUMIFS('Incident'!$V$4:$V$100003,'Incident'!$D$4:$D$100003,"Apr",'Incident'!$H$4:$H$100003,dCrit)</f>
        <v>0</v>
      </c>
      <c r="Z1084" s="22">
        <f>SUMIFS('Incident'!$V$4:$V$100003,'Incident'!$D$4:$D$100003,"May",'Incident'!$H$4:$H$100003,dCrit)</f>
        <v>0</v>
      </c>
      <c r="AA1084" s="22">
        <f>SUMIFS('Incident'!$V$4:$V$100003,'Incident'!$D$4:$D$100003,"Jun",'Incident'!$H$4:$H$100003,dCrit)</f>
        <v>0</v>
      </c>
      <c r="AB1084" s="22">
        <f>SUMIFS('Incident'!$V$4:$V$100003,'Incident'!$D$4:$D$100003,"Jul",'Incident'!$H$4:$H$100003,dCrit)</f>
        <v>0</v>
      </c>
      <c r="AC1084" s="22">
        <f>SUMIFS('Incident'!$V$4:$V$100003,'Incident'!$D$4:$D$100003,"Aug",'Incident'!$H$4:$H$100003,dCrit)</f>
        <v>0</v>
      </c>
      <c r="AD1084" s="22">
        <f>SUMIFS('Incident'!$V$4:$V$100003,'Incident'!$D$4:$D$100003,"Sep",'Incident'!$H$4:$H$100003,dCrit)</f>
        <v>0</v>
      </c>
      <c r="AE1084" s="22">
        <f>SUMIFS('Incident'!$V$4:$V$100003,'Incident'!$D$4:$D$100003,"Oct",'Incident'!$H$4:$H$100003,dCrit)</f>
        <v>0</v>
      </c>
      <c r="AF1084" s="22">
        <f>SUMIFS('Incident'!$V$4:$V$100003,'Incident'!$D$4:$D$100003,"Nov",'Incident'!$H$4:$H$100003,dCrit)</f>
        <v>0</v>
      </c>
      <c r="AG1084" s="22">
        <f>SUMIFS('Incident'!$V$4:$V$100003,'Incident'!$D$4:$D$100003,"Dec",'Incident'!$H$4:$H$100003,dCrit)</f>
        <v>0</v>
      </c>
      <c r="AH1084" s="22">
        <f>SUM(V1084:AG1084)</f>
        <v>0</v>
      </c>
    </row>
    <row r="1085" spans="2:34">
      <c r="B1085" s="23" t="s">
        <v>53</v>
      </c>
      <c r="C1085" s="22">
        <f>COUNTIFS('Incident'!$D$4:$D$100003,"Apr",'Incident'!$H$4:$H$100003,dCrit)</f>
        <v>0</v>
      </c>
      <c r="E1085" s="13" t="s">
        <v>1556</v>
      </c>
      <c r="F1085" s="22">
        <f>COUNTIFS('Incident'!$N$4:$N$100003,"Restricted Work",'Incident'!$D$4:$D$100003,mCrit,'Incident'!$H$4:$H$100003,dCrit)</f>
        <v>0</v>
      </c>
      <c r="G1085" s="13" t="s">
        <v>1528</v>
      </c>
      <c r="H1085" s="22">
        <f>COUNTIFS('Incident'!$M$4:$M$100003,"Fire",'Incident'!$D$4:$D$100003,mCrit,'Incident'!$H$4:$H$100003,dCrit)</f>
        <v>0</v>
      </c>
      <c r="M1085" s="13" t="s">
        <v>326</v>
      </c>
      <c r="N1085" s="22">
        <f>COUNTIFS('Incident'!$AB$4:$AB$100003,"&lt;&gt;Closed",'Incident'!$AC$4:$AC$100003,"&gt;30",'Incident'!$D$4:$D$100003,mCrit,'Incident'!$H$4:$H$100003,dCrit)</f>
        <v>0</v>
      </c>
      <c r="P1085" s="13" t="s">
        <v>89</v>
      </c>
      <c r="Q1085" s="22">
        <f>COUNTIFS('Incident'!$D$4:$D$100003,mCrit,'Incident'!$H$4:$H$100003,"Construction")</f>
        <v>0</v>
      </c>
      <c r="R1085" s="25">
        <f>IFERROR((COUNTIFS('Incident'!$AB$4:$AB$100003,"Closed",'Incident'!$D$4:$D$100003,mCrit,'Incident'!$H$4:$H$100003,"Construction"))/COUNTIFS('Incident'!$D$4:$D$100003,mCrit,'Incident'!$H$4:$H$100003,"Construction")*100,0)</f>
        <v>0</v>
      </c>
      <c r="S1085" s="22">
        <f>COUNTIFS('Incident'!$D$4:$D$100003,mCrit,'Incident'!$H$4:$H$100003,"Construction")</f>
        <v>0</v>
      </c>
    </row>
    <row r="1086" spans="2:34">
      <c r="B1086" s="23" t="s">
        <v>60</v>
      </c>
      <c r="C1086" s="22">
        <f>COUNTIFS('Incident'!$D$4:$D$100003,"May",'Incident'!$H$4:$H$100003,dCrit)</f>
        <v>0</v>
      </c>
      <c r="E1086" s="13" t="s">
        <v>1888</v>
      </c>
      <c r="F1086" s="22">
        <f>COUNTIFS('Incident'!$N$4:$N$100003,"Lost Time Injury",'Incident'!$D$4:$D$100003,mCrit,'Incident'!$H$4:$H$100003,dCrit)</f>
        <v>0</v>
      </c>
      <c r="G1086" s="13" t="s">
        <v>1520</v>
      </c>
      <c r="H1086" s="22">
        <f>COUNTIFS('Incident'!$M$4:$M$100003,"Vehicle",'Incident'!$D$4:$D$100003,mCrit,'Incident'!$H$4:$H$100003,dCrit)</f>
        <v>0</v>
      </c>
      <c r="M1086" s="13" t="s">
        <v>292</v>
      </c>
      <c r="N1086" s="22">
        <f>COUNTIFS('Incident'!$N$4:$N$100003,"Near Miss",'Incident'!$D$4:$D$100003,mCrit,'Incident'!$H$4:$H$100003,dCrit)</f>
        <v>0</v>
      </c>
      <c r="P1086" s="13" t="s">
        <v>65</v>
      </c>
      <c r="Q1086" s="22">
        <f>COUNTIFS('Incident'!$D$4:$D$100003,mCrit,'Incident'!$H$4:$H$100003,"Safety")</f>
        <v>0</v>
      </c>
      <c r="R1086" s="25">
        <f>IFERROR((COUNTIFS('Incident'!$AB$4:$AB$100003,"Closed",'Incident'!$D$4:$D$100003,mCrit,'Incident'!$H$4:$H$100003,"Safety"))/COUNTIFS('Incident'!$D$4:$D$100003,mCrit,'Incident'!$H$4:$H$100003,"Safety")*100,0)</f>
        <v>0</v>
      </c>
      <c r="S1086" s="22">
        <f>COUNTIFS('Incident'!$D$4:$D$100003,mCrit,'Incident'!$H$4:$H$100003,"Safety")</f>
        <v>0</v>
      </c>
    </row>
    <row r="1087" spans="2:34">
      <c r="B1087" s="23" t="s">
        <v>73</v>
      </c>
      <c r="C1087" s="22">
        <f>COUNTIFS('Incident'!$D$4:$D$100003,"Jun",'Incident'!$H$4:$H$100003,dCrit)</f>
        <v>0</v>
      </c>
      <c r="E1087" s="13" t="s">
        <v>1562</v>
      </c>
      <c r="F1087" s="22">
        <f>COUNTIFS('Incident'!$N$4:$N$100003,"Fatality",'Incident'!$D$4:$D$100003,mCrit,'Incident'!$H$4:$H$100003,dCrit)</f>
        <v>0</v>
      </c>
      <c r="M1087" s="13" t="s">
        <v>1854</v>
      </c>
      <c r="N1087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1087" s="13" t="s">
        <v>5</v>
      </c>
      <c r="Q1087" s="22">
        <f>COUNTIFS('Incident'!$D$4:$D$100003,mCrit,'Incident'!$H$4:$H$100003,"Logistics")</f>
        <v>0</v>
      </c>
      <c r="R1087" s="25">
        <f>IFERROR((COUNTIFS('Incident'!$AB$4:$AB$100003,"Closed",'Incident'!$D$4:$D$100003,mCrit,'Incident'!$H$4:$H$100003,"Logistics"))/COUNTIFS('Incident'!$D$4:$D$100003,mCrit,'Incident'!$H$4:$H$100003,"Logistics")*100,0)</f>
        <v>0</v>
      </c>
      <c r="S1087" s="22">
        <f>COUNTIFS('Incident'!$D$4:$D$100003,mCrit,'Incident'!$H$4:$H$100003,"Logistics")</f>
        <v>0</v>
      </c>
    </row>
    <row r="1088" spans="2:34">
      <c r="B1088" s="23" t="s">
        <v>76</v>
      </c>
      <c r="C1088" s="22">
        <f>COUNTIFS('Incident'!$D$4:$D$100003,"Jul",'Incident'!$H$4:$H$100003,dCrit)</f>
        <v>0</v>
      </c>
      <c r="M1088" s="13" t="s">
        <v>2053</v>
      </c>
      <c r="N1088" s="22">
        <f>COUNTIFS('Incident'!$N$4:$N$100003,"Lost Time Injury",'Incident'!$D$4:$D$100003,mCrit,'Incident'!$H$4:$H$100003,dCrit)+COUNTIFS('Incident'!$N$4:$N$100003,"Fatality",'Incident'!$D$4:$D$100003,mCrit,'Incident'!$H$4:$H$100003,dCrit)</f>
        <v>0</v>
      </c>
      <c r="P1088" s="13" t="s">
        <v>50</v>
      </c>
      <c r="Q1088" s="22">
        <f>COUNTIFS('Incident'!$D$4:$D$100003,mCrit,'Incident'!$H$4:$H$100003,"Quality")</f>
        <v>0</v>
      </c>
      <c r="R1088" s="25">
        <f>IFERROR((COUNTIFS('Incident'!$AB$4:$AB$100003,"Closed",'Incident'!$D$4:$D$100003,mCrit,'Incident'!$H$4:$H$100003,"Quality"))/COUNTIFS('Incident'!$D$4:$D$100003,mCrit,'Incident'!$H$4:$H$100003,"Quality")*100,0)</f>
        <v>0</v>
      </c>
      <c r="S1088" s="22">
        <f>COUNTIFS('Incident'!$D$4:$D$100003,mCrit,'Incident'!$H$4:$H$100003,"Quality")</f>
        <v>0</v>
      </c>
    </row>
    <row r="1089" spans="2:19">
      <c r="B1089" s="23" t="s">
        <v>86</v>
      </c>
      <c r="C1089" s="22">
        <f>COUNTIFS('Incident'!$D$4:$D$100003,"Aug",'Incident'!$H$4:$H$100003,dCrit)</f>
        <v>0</v>
      </c>
      <c r="M1089" s="13" t="s">
        <v>2054</v>
      </c>
      <c r="N1089" s="22">
        <f>IFERROR(AVERAGEIFS('Incident'!$AC$4:$AC$100003,'Incident'!$AB$4:$AB$100003,"Closed",'Incident'!$D$4:$D$100003,mCrit,'Incident'!$H$4:$H$100003,dCrit),0)</f>
        <v>0</v>
      </c>
      <c r="P1089" s="13" t="s">
        <v>46</v>
      </c>
      <c r="Q1089" s="22">
        <f>COUNTIFS('Incident'!$D$4:$D$100003,mCrit,'Incident'!$H$4:$H$100003,"Admin")</f>
        <v>0</v>
      </c>
      <c r="R1089" s="25">
        <f>IFERROR((COUNTIFS('Incident'!$AB$4:$AB$100003,"Closed",'Incident'!$D$4:$D$100003,mCrit,'Incident'!$H$4:$H$100003,"Admin"))/COUNTIFS('Incident'!$D$4:$D$100003,mCrit,'Incident'!$H$4:$H$100003,"Admin")*100,0)</f>
        <v>0</v>
      </c>
      <c r="S1089" s="22">
        <f>COUNTIFS('Incident'!$D$4:$D$100003,mCrit,'Incident'!$H$4:$H$100003,"Admin")</f>
        <v>0</v>
      </c>
    </row>
    <row r="1090" spans="2:19">
      <c r="B1090" s="23" t="s">
        <v>102</v>
      </c>
      <c r="C1090" s="22">
        <f>COUNTIFS('Incident'!$D$4:$D$100003,"Sep",'Incident'!$H$4:$H$100003,dCrit)</f>
        <v>0</v>
      </c>
      <c r="P1090" s="13" t="s">
        <v>13</v>
      </c>
      <c r="Q1090" s="22">
        <f>COUNTIFS('Incident'!$D$4:$D$100003,mCrit,'Incident'!$H$4:$H$100003,"Projects")</f>
        <v>0</v>
      </c>
      <c r="R1090" s="25">
        <f>IFERROR((COUNTIFS('Incident'!$AB$4:$AB$100003,"Closed",'Incident'!$D$4:$D$100003,mCrit,'Incident'!$H$4:$H$100003,"Projects"))/COUNTIFS('Incident'!$D$4:$D$100003,mCrit,'Incident'!$H$4:$H$100003,"Projects")*100,0)</f>
        <v>0</v>
      </c>
      <c r="S1090" s="22">
        <f>COUNTIFS('Incident'!$D$4:$D$100003,mCrit,'Incident'!$H$4:$H$100003,"Projects")</f>
        <v>0</v>
      </c>
    </row>
    <row r="1091" spans="2:19">
      <c r="B1091" s="23" t="s">
        <v>106</v>
      </c>
      <c r="C1091" s="22">
        <f>COUNTIFS('Incident'!$D$4:$D$100003,"Oct",'Incident'!$H$4:$H$100003,dCrit)</f>
        <v>0</v>
      </c>
      <c r="P1091" s="13" t="s">
        <v>58</v>
      </c>
      <c r="Q1091" s="22">
        <f>COUNTIFS('Incident'!$D$4:$D$100003,mCrit,'Incident'!$H$4:$H$100003,"Contractor")</f>
        <v>0</v>
      </c>
      <c r="R1091" s="25">
        <f>IFERROR((COUNTIFS('Incident'!$AB$4:$AB$100003,"Closed",'Incident'!$D$4:$D$100003,mCrit,'Incident'!$H$4:$H$100003,"Contractor"))/COUNTIFS('Incident'!$D$4:$D$100003,mCrit,'Incident'!$H$4:$H$100003,"Contractor")*100,0)</f>
        <v>0</v>
      </c>
      <c r="S1091" s="22">
        <f>COUNTIFS('Incident'!$D$4:$D$100003,mCrit,'Incident'!$H$4:$H$100003,"Contractor")</f>
        <v>0</v>
      </c>
    </row>
    <row r="1092" spans="2:19">
      <c r="B1092" s="23" t="s">
        <v>111</v>
      </c>
      <c r="C1092" s="22">
        <f>COUNTIFS('Incident'!$D$4:$D$100003,"Nov",'Incident'!$H$4:$H$100003,dCrit)</f>
        <v>0</v>
      </c>
    </row>
    <row r="1093" spans="2:19">
      <c r="B1093" s="23" t="s">
        <v>122</v>
      </c>
      <c r="C1093" s="22">
        <f>COUNTIFS('Incident'!$D$4:$D$100003,"Dec",'Incident'!$H$4:$H$100003,dCrit)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conditionalFormatting sqref="C270:H277">
    <cfRule type="colorScale" priority="2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0F3D6E"/>
    <pageSetUpPr fitToPage="1"/>
  </sheetPr>
  <dimension ref="A1:O30"/>
  <sheetViews>
    <sheetView showGridLines="0" workbookViewId="0"/>
  </sheetViews>
  <sheetFormatPr defaultRowHeight="15"/>
  <cols>
    <col min="1" max="1" width="3.7109375" customWidth="1"/>
    <col min="2" max="13" width="10.7109375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29" t="s">
        <v>2055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2:13" ht="26" customHeight="1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</row>
    <row r="6" spans="2:13" ht="26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</row>
    <row r="7" spans="2:13" ht="26" customHeight="1"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</row>
    <row r="8" spans="2:13" ht="26" customHeight="1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</row>
    <row r="9" spans="2:13" ht="26" customHeight="1"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</row>
    <row r="10" spans="2:13" ht="26" customHeight="1">
      <c r="B10" s="30" t="s">
        <v>2056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</row>
    <row r="11" spans="2:13" ht="26" customHeight="1"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</row>
    <row r="12" spans="2:13" ht="26" customHeight="1"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</row>
    <row r="13" spans="2:13" ht="26" customHeight="1"/>
    <row r="14" spans="2:13" ht="26" customHeight="1">
      <c r="F14" s="32" t="s">
        <v>2057</v>
      </c>
      <c r="H14" s="17" t="s">
        <v>2058</v>
      </c>
    </row>
    <row r="15" spans="2:13" ht="26" customHeight="1">
      <c r="F15" s="32" t="s">
        <v>2059</v>
      </c>
      <c r="H15" s="17">
        <f>SelPeriod</f>
        <v>0</v>
      </c>
    </row>
    <row r="16" spans="2:13" ht="26" customHeight="1">
      <c r="F16" s="32" t="s">
        <v>2060</v>
      </c>
      <c r="H16" s="33">
        <f>LastRefresh</f>
        <v>0</v>
      </c>
    </row>
    <row r="19" spans="4:15">
      <c r="D19" s="11" t="s">
        <v>2061</v>
      </c>
      <c r="E19" s="11"/>
      <c r="F19" s="11"/>
      <c r="G19" s="11"/>
      <c r="H19" s="11"/>
      <c r="I19" s="11"/>
      <c r="J19" s="11"/>
    </row>
    <row r="20" spans="4:15" ht="4" customHeight="1">
      <c r="D20" s="34"/>
      <c r="E20" s="34"/>
      <c r="F20" s="34"/>
      <c r="G20" s="34"/>
      <c r="H20" s="34"/>
      <c r="I20" s="34"/>
      <c r="J20" s="35"/>
      <c r="K20" s="35"/>
      <c r="L20" s="35"/>
      <c r="M20" s="36"/>
      <c r="N20" s="36"/>
      <c r="O20" s="36"/>
    </row>
    <row r="21" spans="4:15">
      <c r="D21" s="37" t="s">
        <v>1681</v>
      </c>
      <c r="E21" s="37"/>
      <c r="F21" s="37"/>
      <c r="G21" s="37" t="s">
        <v>1683</v>
      </c>
      <c r="H21" s="37"/>
      <c r="I21" s="37"/>
      <c r="J21" s="37" t="s">
        <v>2062</v>
      </c>
      <c r="K21" s="37"/>
      <c r="L21" s="37"/>
      <c r="M21" s="37" t="s">
        <v>2063</v>
      </c>
      <c r="N21" s="37"/>
      <c r="O21" s="37"/>
    </row>
    <row r="22" spans="4:15">
      <c r="D22" s="38">
        <f>Calculations!$DK$12</f>
        <v>0</v>
      </c>
      <c r="E22" s="38"/>
      <c r="F22" s="38"/>
      <c r="G22" s="38">
        <f>Calculations!$DK$13</f>
        <v>0</v>
      </c>
      <c r="H22" s="38"/>
      <c r="I22" s="38"/>
      <c r="J22" s="39">
        <f>Calculations!$DK$14</f>
        <v>0</v>
      </c>
      <c r="K22" s="39"/>
      <c r="L22" s="39"/>
      <c r="M22" s="40">
        <f>Calculations!$DK$29</f>
        <v>0</v>
      </c>
      <c r="N22" s="40"/>
      <c r="O22" s="40"/>
    </row>
    <row r="23" spans="4:15">
      <c r="D23" s="38"/>
      <c r="E23" s="38"/>
      <c r="F23" s="38"/>
      <c r="G23" s="38"/>
      <c r="H23" s="38"/>
      <c r="I23" s="38"/>
      <c r="J23" s="39"/>
      <c r="K23" s="39"/>
      <c r="L23" s="39"/>
      <c r="M23" s="40"/>
      <c r="N23" s="40"/>
      <c r="O23" s="40"/>
    </row>
    <row r="24" spans="4:15"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</row>
    <row r="27" spans="4:15">
      <c r="D27" s="10" t="s">
        <v>2064</v>
      </c>
      <c r="E27" s="10"/>
      <c r="F27" s="10"/>
      <c r="G27" s="10"/>
      <c r="H27" s="10"/>
      <c r="I27" s="10"/>
      <c r="J27" s="10"/>
    </row>
    <row r="28" spans="4:15">
      <c r="D28" s="10"/>
      <c r="E28" s="10"/>
      <c r="F28" s="10"/>
      <c r="G28" s="10"/>
      <c r="H28" s="10"/>
      <c r="I28" s="10"/>
      <c r="J28" s="10"/>
    </row>
    <row r="29" spans="4:15">
      <c r="D29" s="10"/>
      <c r="E29" s="10"/>
      <c r="F29" s="10"/>
      <c r="G29" s="10"/>
      <c r="H29" s="10"/>
      <c r="I29" s="10"/>
      <c r="J29" s="10"/>
    </row>
    <row r="30" spans="4:15">
      <c r="D30" s="10"/>
      <c r="E30" s="10"/>
      <c r="F30" s="10"/>
      <c r="G30" s="10"/>
      <c r="H30" s="10"/>
      <c r="I30" s="10"/>
      <c r="J30" s="10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F3D6E"/>
    <pageSetUpPr fitToPage="1"/>
  </sheetPr>
  <dimension ref="A2:R38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42" t="s">
        <v>2055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</row>
    <row r="4" spans="2:13"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</row>
    <row r="5" spans="2:13"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</row>
    <row r="6" spans="2:13">
      <c r="B6" s="43" t="s">
        <v>2065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</row>
    <row r="7" spans="2:13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</row>
    <row r="8" spans="2:13" ht="4" customHeight="1"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</row>
    <row r="10" spans="2:13">
      <c r="I10" s="32" t="s">
        <v>2066</v>
      </c>
      <c r="K10" s="33">
        <v>46215.65817235045</v>
      </c>
    </row>
    <row r="11" spans="2:13">
      <c r="B11" s="11" t="s">
        <v>2067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2:13">
      <c r="B12" s="44" t="s">
        <v>2068</v>
      </c>
      <c r="C12" s="44"/>
      <c r="D12" s="44"/>
      <c r="E12" s="44"/>
      <c r="F12" s="44"/>
      <c r="H12" s="45" t="s">
        <v>2069</v>
      </c>
      <c r="I12" s="45"/>
      <c r="J12" s="45"/>
      <c r="K12" s="45"/>
      <c r="L12" s="45"/>
      <c r="M12" s="45"/>
    </row>
    <row r="13" spans="2:13">
      <c r="B13" s="44"/>
      <c r="C13" s="44"/>
      <c r="D13" s="44"/>
      <c r="E13" s="44"/>
      <c r="F13" s="44"/>
      <c r="H13" s="45"/>
      <c r="I13" s="45"/>
      <c r="J13" s="45"/>
      <c r="K13" s="45"/>
      <c r="L13" s="45"/>
      <c r="M13" s="45"/>
    </row>
    <row r="14" spans="2:13" ht="32" customHeight="1"/>
    <row r="15" spans="2:13" ht="32" customHeight="1"/>
    <row r="16" spans="2:13">
      <c r="B16" s="11" t="s">
        <v>2070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</row>
    <row r="18" spans="2:18">
      <c r="B18" s="46" t="s">
        <v>2071</v>
      </c>
      <c r="C18" s="46"/>
      <c r="D18" s="46"/>
      <c r="E18" s="46"/>
      <c r="F18" s="47" t="s">
        <v>1693</v>
      </c>
      <c r="G18" s="47"/>
      <c r="H18" s="47" t="s">
        <v>2072</v>
      </c>
      <c r="I18" s="47"/>
      <c r="K18" s="46" t="s">
        <v>2073</v>
      </c>
      <c r="L18" s="46"/>
      <c r="M18" s="46"/>
      <c r="N18" s="46"/>
      <c r="O18" s="47" t="s">
        <v>1693</v>
      </c>
      <c r="P18" s="47"/>
      <c r="Q18" s="47" t="s">
        <v>2072</v>
      </c>
      <c r="R18" s="47"/>
    </row>
    <row r="19" spans="2:18">
      <c r="B19" s="46" t="s">
        <v>2074</v>
      </c>
      <c r="C19" s="46"/>
      <c r="D19" s="46"/>
      <c r="E19" s="46"/>
      <c r="F19" s="47" t="s">
        <v>1693</v>
      </c>
      <c r="G19" s="47"/>
      <c r="H19" s="47" t="s">
        <v>2072</v>
      </c>
      <c r="I19" s="47"/>
      <c r="K19" s="46" t="s">
        <v>2075</v>
      </c>
      <c r="L19" s="46"/>
      <c r="M19" s="46"/>
      <c r="N19" s="46"/>
      <c r="O19" s="47" t="s">
        <v>1693</v>
      </c>
      <c r="P19" s="47"/>
      <c r="Q19" s="47" t="s">
        <v>2072</v>
      </c>
      <c r="R19" s="47"/>
    </row>
    <row r="20" spans="2:18">
      <c r="B20" s="46" t="s">
        <v>2076</v>
      </c>
      <c r="C20" s="46"/>
      <c r="D20" s="46"/>
      <c r="E20" s="46"/>
      <c r="F20" s="47" t="s">
        <v>1693</v>
      </c>
      <c r="G20" s="47"/>
      <c r="H20" s="47" t="s">
        <v>2072</v>
      </c>
      <c r="I20" s="47"/>
      <c r="K20" s="46" t="s">
        <v>2077</v>
      </c>
      <c r="L20" s="46"/>
      <c r="M20" s="46"/>
      <c r="N20" s="46"/>
      <c r="O20" s="47" t="s">
        <v>1693</v>
      </c>
      <c r="P20" s="47"/>
      <c r="Q20" s="47" t="s">
        <v>2072</v>
      </c>
      <c r="R20" s="47"/>
    </row>
    <row r="21" spans="2:18">
      <c r="B21" s="46" t="s">
        <v>2078</v>
      </c>
      <c r="C21" s="46"/>
      <c r="D21" s="46"/>
      <c r="E21" s="46"/>
      <c r="F21" s="47" t="s">
        <v>1693</v>
      </c>
      <c r="G21" s="47"/>
      <c r="H21" s="47" t="s">
        <v>2072</v>
      </c>
      <c r="I21" s="47"/>
      <c r="K21" s="46" t="s">
        <v>2079</v>
      </c>
      <c r="L21" s="46"/>
      <c r="M21" s="46"/>
      <c r="N21" s="46"/>
      <c r="O21" s="47" t="s">
        <v>1693</v>
      </c>
      <c r="P21" s="47"/>
      <c r="Q21" s="47" t="s">
        <v>2072</v>
      </c>
      <c r="R21" s="47"/>
    </row>
    <row r="22" spans="2:18">
      <c r="B22" s="46" t="s">
        <v>2080</v>
      </c>
      <c r="C22" s="46"/>
      <c r="D22" s="46"/>
      <c r="E22" s="46"/>
      <c r="F22" s="47" t="s">
        <v>1693</v>
      </c>
      <c r="G22" s="47"/>
      <c r="H22" s="47" t="s">
        <v>2072</v>
      </c>
      <c r="I22" s="47"/>
      <c r="K22" s="46" t="s">
        <v>2081</v>
      </c>
      <c r="L22" s="46"/>
      <c r="M22" s="46"/>
      <c r="N22" s="46"/>
      <c r="O22" s="47" t="s">
        <v>1693</v>
      </c>
      <c r="P22" s="47"/>
      <c r="Q22" s="47" t="s">
        <v>2072</v>
      </c>
      <c r="R22" s="47"/>
    </row>
    <row r="23" spans="2:18">
      <c r="B23" s="46" t="s">
        <v>2082</v>
      </c>
      <c r="C23" s="46"/>
      <c r="D23" s="46"/>
      <c r="E23" s="46"/>
      <c r="F23" s="47" t="s">
        <v>1693</v>
      </c>
      <c r="G23" s="47"/>
      <c r="H23" s="47" t="s">
        <v>2072</v>
      </c>
      <c r="I23" s="47"/>
      <c r="K23" s="46" t="s">
        <v>2083</v>
      </c>
      <c r="L23" s="46"/>
      <c r="M23" s="46"/>
      <c r="N23" s="46"/>
      <c r="O23" s="47" t="s">
        <v>1693</v>
      </c>
      <c r="P23" s="47"/>
      <c r="Q23" s="47" t="s">
        <v>2072</v>
      </c>
      <c r="R23" s="47"/>
    </row>
    <row r="24" spans="2:18">
      <c r="B24" s="46" t="s">
        <v>2084</v>
      </c>
      <c r="C24" s="46"/>
      <c r="D24" s="46"/>
      <c r="E24" s="46"/>
      <c r="F24" s="47" t="s">
        <v>1693</v>
      </c>
      <c r="G24" s="47"/>
      <c r="H24" s="47" t="s">
        <v>2072</v>
      </c>
      <c r="I24" s="47"/>
      <c r="K24" s="46" t="s">
        <v>2085</v>
      </c>
      <c r="L24" s="46"/>
      <c r="M24" s="46"/>
      <c r="N24" s="46"/>
      <c r="O24" s="47" t="s">
        <v>1693</v>
      </c>
      <c r="P24" s="47"/>
      <c r="Q24" s="47" t="s">
        <v>2072</v>
      </c>
      <c r="R24" s="47"/>
    </row>
    <row r="25" spans="2:18">
      <c r="B25" s="46" t="s">
        <v>2086</v>
      </c>
      <c r="C25" s="46"/>
      <c r="D25" s="46"/>
      <c r="E25" s="46"/>
      <c r="F25" s="47" t="s">
        <v>1693</v>
      </c>
      <c r="G25" s="47"/>
      <c r="H25" s="47" t="s">
        <v>2072</v>
      </c>
      <c r="I25" s="47"/>
      <c r="K25" s="46" t="s">
        <v>2087</v>
      </c>
      <c r="L25" s="46"/>
      <c r="M25" s="46"/>
      <c r="N25" s="46"/>
      <c r="O25" s="47" t="s">
        <v>1693</v>
      </c>
      <c r="P25" s="47"/>
      <c r="Q25" s="47" t="s">
        <v>2072</v>
      </c>
      <c r="R25" s="47"/>
    </row>
    <row r="26" spans="2:18">
      <c r="B26" s="46" t="s">
        <v>2088</v>
      </c>
      <c r="C26" s="46"/>
      <c r="D26" s="46"/>
      <c r="E26" s="46"/>
      <c r="F26" s="47" t="s">
        <v>1693</v>
      </c>
      <c r="G26" s="47"/>
      <c r="H26" s="47" t="s">
        <v>2072</v>
      </c>
      <c r="I26" s="47"/>
      <c r="K26" s="46" t="s">
        <v>2089</v>
      </c>
      <c r="L26" s="46"/>
      <c r="M26" s="46"/>
      <c r="N26" s="46"/>
      <c r="O26" s="47" t="s">
        <v>1693</v>
      </c>
      <c r="P26" s="47"/>
      <c r="Q26" s="47" t="s">
        <v>2072</v>
      </c>
      <c r="R26" s="47"/>
    </row>
    <row r="27" spans="2:18">
      <c r="B27" s="46" t="s">
        <v>2090</v>
      </c>
      <c r="C27" s="46"/>
      <c r="D27" s="46"/>
      <c r="E27" s="46"/>
      <c r="F27" s="47" t="s">
        <v>1693</v>
      </c>
      <c r="G27" s="47"/>
      <c r="H27" s="47" t="s">
        <v>2072</v>
      </c>
      <c r="I27" s="47"/>
      <c r="K27" s="46" t="s">
        <v>2091</v>
      </c>
      <c r="L27" s="46"/>
      <c r="M27" s="46"/>
      <c r="N27" s="46"/>
      <c r="O27" s="47" t="s">
        <v>1693</v>
      </c>
      <c r="P27" s="47"/>
      <c r="Q27" s="47" t="s">
        <v>2072</v>
      </c>
      <c r="R27" s="47"/>
    </row>
    <row r="28" spans="2:18">
      <c r="B28" s="46" t="s">
        <v>2092</v>
      </c>
      <c r="C28" s="46"/>
      <c r="D28" s="46"/>
      <c r="E28" s="46"/>
      <c r="F28" s="47" t="s">
        <v>1693</v>
      </c>
      <c r="G28" s="47"/>
      <c r="H28" s="47" t="s">
        <v>2072</v>
      </c>
      <c r="I28" s="47"/>
      <c r="K28" s="46" t="s">
        <v>2093</v>
      </c>
      <c r="L28" s="46"/>
      <c r="M28" s="46"/>
      <c r="N28" s="46"/>
      <c r="O28" s="47" t="s">
        <v>1693</v>
      </c>
      <c r="P28" s="47"/>
      <c r="Q28" s="47" t="s">
        <v>2072</v>
      </c>
      <c r="R28" s="47"/>
    </row>
    <row r="29" spans="2:18">
      <c r="B29" s="46" t="s">
        <v>2094</v>
      </c>
      <c r="C29" s="46"/>
      <c r="D29" s="46"/>
      <c r="E29" s="46"/>
      <c r="F29" s="47" t="s">
        <v>1693</v>
      </c>
      <c r="G29" s="47"/>
      <c r="H29" s="47" t="s">
        <v>2072</v>
      </c>
      <c r="I29" s="47"/>
      <c r="K29" s="46" t="s">
        <v>2095</v>
      </c>
      <c r="L29" s="46"/>
      <c r="M29" s="46"/>
      <c r="N29" s="46"/>
      <c r="O29" s="47" t="s">
        <v>1693</v>
      </c>
      <c r="P29" s="47"/>
      <c r="Q29" s="47" t="s">
        <v>2072</v>
      </c>
      <c r="R29" s="47"/>
    </row>
    <row r="31" spans="2:18">
      <c r="B31" s="11" t="s">
        <v>2096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</row>
    <row r="32" spans="2:18">
      <c r="B32" s="48" t="s">
        <v>2097</v>
      </c>
      <c r="C32" s="48"/>
      <c r="D32" s="48"/>
      <c r="E32" s="48"/>
      <c r="F32" s="48" t="s">
        <v>2098</v>
      </c>
      <c r="G32" s="48"/>
      <c r="H32" s="48"/>
      <c r="I32" s="48"/>
      <c r="J32" s="48" t="s">
        <v>2099</v>
      </c>
      <c r="K32" s="48"/>
      <c r="L32" s="48"/>
      <c r="M32" s="48"/>
    </row>
    <row r="33" spans="2:13">
      <c r="B33" s="48" t="s">
        <v>2100</v>
      </c>
      <c r="C33" s="48"/>
      <c r="D33" s="48"/>
      <c r="E33" s="48"/>
      <c r="F33" s="48" t="s">
        <v>2101</v>
      </c>
      <c r="G33" s="48"/>
      <c r="H33" s="48"/>
      <c r="I33" s="48"/>
      <c r="J33" s="48" t="s">
        <v>1721</v>
      </c>
      <c r="K33" s="48"/>
      <c r="L33" s="48"/>
      <c r="M33" s="48"/>
    </row>
    <row r="34" spans="2:13">
      <c r="B34" s="48" t="s">
        <v>2102</v>
      </c>
      <c r="C34" s="48"/>
      <c r="D34" s="48"/>
      <c r="E34" s="48"/>
      <c r="F34" s="48" t="s">
        <v>2103</v>
      </c>
      <c r="G34" s="48"/>
      <c r="H34" s="48"/>
      <c r="I34" s="48"/>
    </row>
    <row r="36" spans="2:13">
      <c r="B36" s="10" t="s">
        <v>2104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2:1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  <row r="38" spans="2:1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</row>
  </sheetData>
  <mergeCells count="89">
    <mergeCell ref="B3:M5"/>
    <mergeCell ref="B6:M7"/>
    <mergeCell ref="B8:M8"/>
    <mergeCell ref="B11:M11"/>
    <mergeCell ref="B12:F13"/>
    <mergeCell ref="H12:M13"/>
    <mergeCell ref="B16:M16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29:E29"/>
    <mergeCell ref="F29:G29"/>
    <mergeCell ref="H29:I29"/>
    <mergeCell ref="K29:N29"/>
    <mergeCell ref="O29:P29"/>
    <mergeCell ref="Q29:R29"/>
    <mergeCell ref="B31:M31"/>
    <mergeCell ref="B32:E32"/>
    <mergeCell ref="F32:I32"/>
    <mergeCell ref="J32:M32"/>
    <mergeCell ref="B33:E33"/>
    <mergeCell ref="F33:I33"/>
    <mergeCell ref="J33:M33"/>
    <mergeCell ref="B34:E34"/>
    <mergeCell ref="F34:I34"/>
    <mergeCell ref="B36:M38"/>
  </mergeCells>
  <hyperlinks>
    <hyperlink ref="B12" location="'Executive Dashboard'!A1" display="🏆  EXECUTIVE DASHBOARD"/>
    <hyperlink ref="H12" location="'Leadership Review'!A1" display="🧭  LEADERSHIP REVIEW"/>
    <hyperlink ref="F18" location="'Toolbox Talks'!A1" display="Register"/>
    <hyperlink ref="H18" location="'Dash · Toolbox Talks'!A1" display="Dashboard"/>
    <hyperlink ref="O18" location="'JSA Risk Assessment'!A1" display="Register"/>
    <hyperlink ref="Q18" location="'Dash · JSA Risk Assessment'!A1" display="Dashboard"/>
    <hyperlink ref="F19" location="'Training'!A1" display="Register"/>
    <hyperlink ref="H19" location="'Dash · Training'!A1" display="Dashboard"/>
    <hyperlink ref="O19" location="'HSE Observations'!A1" display="Register"/>
    <hyperlink ref="Q19" location="'Dash · HSE Observations'!A1" display="Dashboard"/>
    <hyperlink ref="F20" location="'Workplace Inspections'!A1" display="Register"/>
    <hyperlink ref="H20" location="'Dash · Workplace Inspections'!A1" display="Dashboard"/>
    <hyperlink ref="O20" location="'Equipment Inspections'!A1" display="Register"/>
    <hyperlink ref="Q20" location="'Dash · Equipment Inspections'!A1" display="Dashboard"/>
    <hyperlink ref="F21" location="'Safety Walkthroughs'!A1" display="Register"/>
    <hyperlink ref="H21" location="'Dash · Safety Walkthroughs'!A1" display="Dashboard"/>
    <hyperlink ref="O21" location="'Safety Meetings'!A1" display="Register"/>
    <hyperlink ref="Q21" location="'Dash · Safety Meetings'!A1" display="Dashboard"/>
    <hyperlink ref="F22" location="'Safety Bulletins'!A1" display="Register"/>
    <hyperlink ref="H22" location="'Dash · Safety Bulletins'!A1" display="Dashboard"/>
    <hyperlink ref="O22" location="'Emergency Drills'!A1" display="Register"/>
    <hyperlink ref="Q22" location="'Dash · Emergency Drills'!A1" display="Dashboard"/>
    <hyperlink ref="F23" location="'Internal Audits'!A1" display="Register"/>
    <hyperlink ref="H23" location="'Dash · Internal Audits'!A1" display="Dashboard"/>
    <hyperlink ref="O23" location="'External Audits'!A1" display="Register"/>
    <hyperlink ref="Q23" location="'Dash · External Audits'!A1" display="Dashboard"/>
    <hyperlink ref="F24" location="'Management Visits'!A1" display="Register"/>
    <hyperlink ref="H24" location="'Dash · Management Visits'!A1" display="Dashboard"/>
    <hyperlink ref="O24" location="'Management Reviews'!A1" display="Register"/>
    <hyperlink ref="Q24" location="'Dash · Management Reviews'!A1" display="Dashboard"/>
    <hyperlink ref="F25" location="'Disciplinary Actions'!A1" display="Register"/>
    <hyperlink ref="H25" location="'Dash · Disciplinary Actions'!A1" display="Dashboard"/>
    <hyperlink ref="O25" location="'Safety Awards'!A1" display="Register"/>
    <hyperlink ref="Q25" location="'Dash · Safety Awards'!A1" display="Dashboard"/>
    <hyperlink ref="F26" location="'Stop Work Authority'!A1" display="Register"/>
    <hyperlink ref="H26" location="'Dash · Stop Work Authority'!A1" display="Dashboard"/>
    <hyperlink ref="O26" location="'Alcohol Tests'!A1" display="Register"/>
    <hyperlink ref="Q26" location="'Dash · Alcohol Tests'!A1" display="Dashboard"/>
    <hyperlink ref="F27" location="'PTW Audits'!A1" display="Register"/>
    <hyperlink ref="H27" location="'Dash · PTW Audits'!A1" display="Dashboard"/>
    <hyperlink ref="O27" location="'Corrective Actions'!A1" display="Register"/>
    <hyperlink ref="Q27" location="'Dash · Corrective Actions'!A1" display="Dashboard"/>
    <hyperlink ref="F28" location="'NC Management'!A1" display="Register"/>
    <hyperlink ref="H28" location="'Dash · NC Management'!A1" display="Dashboard"/>
    <hyperlink ref="O28" location="'Unsafe Acts'!A1" display="Register"/>
    <hyperlink ref="Q28" location="'Dash · Unsafe Acts'!A1" display="Dashboard"/>
    <hyperlink ref="F29" location="'Unsafe Conditions'!A1" display="Register"/>
    <hyperlink ref="H29" location="'Dash · Unsafe Conditions'!A1" display="Dashboard"/>
    <hyperlink ref="O29" location="'Incident'!A1" display="Register"/>
    <hyperlink ref="Q29" location="'Dash · Incident'!A1" display="Dashboard"/>
    <hyperlink ref="B32" location="'Master Data'!A1" display="Master Data"/>
    <hyperlink ref="F32" location="'Settings'!A1" display="Settings"/>
    <hyperlink ref="J32" location="'Help'!A1" display="Help"/>
    <hyperlink ref="B33" location="'Calculations'!A1" display="Calculations"/>
    <hyperlink ref="F33" location="'Incident'!A1" display="Incident Register"/>
    <hyperlink ref="J33" location="'Corrective Actions'!A1" display="Corrective Actions"/>
    <hyperlink ref="B34" location="'Data Quality'!A1" display="Data Quality"/>
    <hyperlink ref="F34" location="'Investigation Log'!A1" display="Investigation Log"/>
  </hyperlinks>
  <pageMargins left="0.3" right="0.3" top="0.4" bottom="0.4" header="0.3" footer="0.3"/>
  <pageSetup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F3D6E"/>
    <pageSetUpPr fitToPage="1"/>
  </sheetPr>
  <dimension ref="A1:S188"/>
  <sheetViews>
    <sheetView showGridLines="0" zoomScale="75" zoomScaleNormal="7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2105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2106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</row>
    <row r="11" spans="2:19">
      <c r="B11" s="11" t="s">
        <v>2111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>
      <c r="B12" s="12" t="s">
        <v>1844</v>
      </c>
      <c r="C12" s="16" t="s">
        <v>73</v>
      </c>
      <c r="D12" s="16"/>
      <c r="F12" s="12" t="s">
        <v>129</v>
      </c>
      <c r="G12" s="16" t="s">
        <v>1614</v>
      </c>
      <c r="H12" s="16"/>
      <c r="J12" s="12" t="s">
        <v>2112</v>
      </c>
      <c r="K12" s="16" t="s">
        <v>1614</v>
      </c>
      <c r="L12" s="16"/>
      <c r="N12" s="10" t="s">
        <v>2113</v>
      </c>
      <c r="O12" s="10"/>
      <c r="P12" s="10"/>
      <c r="Q12" s="10"/>
      <c r="R12" s="10"/>
      <c r="S12" s="10"/>
    </row>
    <row r="14" spans="2:19" ht="20" customHeight="1">
      <c r="B14" s="53" t="s">
        <v>2114</v>
      </c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</row>
    <row r="15" spans="2:19" ht="4" customHeight="1"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</row>
    <row r="16" spans="2:19">
      <c r="B16" s="37" t="s">
        <v>1681</v>
      </c>
      <c r="C16" s="37"/>
      <c r="D16" s="37"/>
      <c r="E16" s="37" t="s">
        <v>1683</v>
      </c>
      <c r="F16" s="37"/>
      <c r="G16" s="37"/>
      <c r="H16" s="37" t="s">
        <v>2062</v>
      </c>
      <c r="I16" s="37"/>
      <c r="J16" s="37"/>
      <c r="K16" s="37" t="s">
        <v>2115</v>
      </c>
      <c r="L16" s="37"/>
      <c r="M16" s="37"/>
      <c r="N16" s="37" t="s">
        <v>2116</v>
      </c>
      <c r="O16" s="37"/>
      <c r="P16" s="37"/>
      <c r="Q16" s="37" t="s">
        <v>2117</v>
      </c>
      <c r="R16" s="37"/>
      <c r="S16" s="37"/>
    </row>
    <row r="17" spans="2:19">
      <c r="B17" s="38">
        <f>Calculations!$DK$12</f>
        <v>0</v>
      </c>
      <c r="C17" s="38"/>
      <c r="E17" s="38">
        <f>Calculations!$DK$13</f>
        <v>0</v>
      </c>
      <c r="F17" s="38"/>
      <c r="H17" s="39">
        <f>Calculations!$DK$14</f>
        <v>0</v>
      </c>
      <c r="I17" s="39"/>
      <c r="K17" s="39">
        <f>Calculations!$DK$15</f>
        <v>0</v>
      </c>
      <c r="L17" s="39"/>
      <c r="N17" s="39">
        <f>Calculations!$DK$16</f>
        <v>0</v>
      </c>
      <c r="O17" s="39"/>
      <c r="Q17" s="39">
        <f>Calculations!$DK$17</f>
        <v>0</v>
      </c>
      <c r="R17" s="39"/>
    </row>
    <row r="18" spans="2:19">
      <c r="B18" s="38"/>
      <c r="C18" s="38"/>
      <c r="D18" s="38"/>
      <c r="E18" s="38"/>
      <c r="F18" s="38"/>
      <c r="G18" s="38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</row>
    <row r="19" spans="2:19">
      <c r="B19" s="55">
        <f>IF(Calculations!$DL$12=0,IF(Calculations!$DK$12&gt;0,"▲ new","● flat"),IF(Calculations!$DK$12=Calculations!$DL$12,"● flat",(IF(Calculations!$DK$12&gt;Calculations!$DL$12,"▲ ","▼ "))&amp;TEXT(ABS(Calculations!$DM$12),"0.0%")&amp;" vs prior"))</f>
        <v>0</v>
      </c>
      <c r="C19" s="55"/>
      <c r="D19" s="55"/>
      <c r="E19" s="55">
        <f>IF(Calculations!$DL$13=0,IF(Calculations!$DK$13&gt;0,"▲ new","● flat"),IF(Calculations!$DK$13=Calculations!$DL$13,"● flat",(IF(Calculations!$DK$13&gt;Calculations!$DL$13,"▲ ","▼ "))&amp;TEXT(ABS(Calculations!$DM$13),"0.0%")&amp;" vs prior"))</f>
        <v>0</v>
      </c>
      <c r="F19" s="55"/>
      <c r="G19" s="55"/>
      <c r="H19" s="55">
        <f>IF(Calculations!$DL$14=0,IF(Calculations!$DK$14&gt;0,"▲ new","● flat"),IF(Calculations!$DK$14=Calculations!$DL$14,"● flat",(IF(Calculations!$DK$14&gt;Calculations!$DL$14,"▲ ","▼ "))&amp;TEXT(ABS(Calculations!$DM$14),"0.0%")&amp;" vs prior"))</f>
        <v>0</v>
      </c>
      <c r="I19" s="55"/>
      <c r="J19" s="55"/>
      <c r="K19" s="55">
        <f>IF(Calculations!$DL$15=0,IF(Calculations!$DK$15&gt;0,"▲ new","● flat"),IF(Calculations!$DK$15=Calculations!$DL$15,"● flat",(IF(Calculations!$DK$15&gt;Calculations!$DL$15,"▲ ","▼ "))&amp;TEXT(ABS(Calculations!$DM$15),"0.0%")&amp;" vs prior"))</f>
        <v>0</v>
      </c>
      <c r="L19" s="55"/>
      <c r="M19" s="55"/>
      <c r="N19" s="55">
        <f>IF(Calculations!$DL$16=0,IF(Calculations!$DK$16&gt;0,"▲ new","● flat"),IF(Calculations!$DK$16=Calculations!$DL$16,"● flat",(IF(Calculations!$DK$16&gt;Calculations!$DL$16,"▲ ","▼ "))&amp;TEXT(ABS(Calculations!$DM$16),"0.0%")&amp;" vs prior"))</f>
        <v>0</v>
      </c>
      <c r="O19" s="55"/>
      <c r="P19" s="55"/>
      <c r="Q19" s="55">
        <f>IF(Calculations!$DL$17=0,IF(Calculations!$DK$17&gt;0,"▲ new","● flat"),IF(Calculations!$DK$17=Calculations!$DL$17,"● flat",(IF(Calculations!$DK$17&gt;Calculations!$DL$17,"▲ ","▼ "))&amp;TEXT(ABS(Calculations!$DM$17),"0.0%")&amp;" vs prior"))</f>
        <v>0</v>
      </c>
      <c r="R19" s="55"/>
      <c r="S19" s="55"/>
    </row>
    <row r="21" spans="2:19" ht="4" customHeight="1"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</row>
    <row r="22" spans="2:19">
      <c r="B22" s="37" t="s">
        <v>2118</v>
      </c>
      <c r="C22" s="37"/>
      <c r="D22" s="37"/>
      <c r="E22" s="37" t="s">
        <v>2119</v>
      </c>
      <c r="F22" s="37"/>
      <c r="G22" s="37"/>
      <c r="H22" s="37" t="s">
        <v>2120</v>
      </c>
      <c r="I22" s="37"/>
      <c r="J22" s="37"/>
      <c r="K22" s="37" t="s">
        <v>2121</v>
      </c>
      <c r="L22" s="37"/>
      <c r="M22" s="37"/>
      <c r="N22" s="37" t="s">
        <v>2122</v>
      </c>
      <c r="O22" s="37"/>
      <c r="P22" s="37"/>
      <c r="Q22" s="37" t="s">
        <v>2123</v>
      </c>
      <c r="R22" s="37"/>
      <c r="S22" s="37"/>
    </row>
    <row r="23" spans="2:19">
      <c r="B23" s="39">
        <f>Calculations!$DK$18</f>
        <v>0</v>
      </c>
      <c r="C23" s="39"/>
      <c r="E23" s="39">
        <f>Calculations!$DK$19</f>
        <v>0</v>
      </c>
      <c r="F23" s="39"/>
      <c r="H23" s="39">
        <f>Calculations!$DK$20</f>
        <v>0</v>
      </c>
      <c r="I23" s="39"/>
      <c r="K23" s="39">
        <f>Calculations!$DK$21</f>
        <v>0</v>
      </c>
      <c r="L23" s="39"/>
      <c r="N23" s="40">
        <f>Calculations!$DK$22</f>
        <v>0</v>
      </c>
      <c r="O23" s="40"/>
      <c r="Q23" s="40">
        <f>Calculations!$DK$23</f>
        <v>0</v>
      </c>
      <c r="R23" s="40"/>
    </row>
    <row r="24" spans="2:19"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40"/>
      <c r="O24" s="40"/>
      <c r="P24" s="40"/>
      <c r="Q24" s="40"/>
      <c r="R24" s="40"/>
      <c r="S24" s="40"/>
    </row>
    <row r="25" spans="2:19">
      <c r="B25" s="55">
        <f>IF(Calculations!$DL$18=0,IF(Calculations!$DK$18&gt;0,"▲ new","● flat"),IF(Calculations!$DK$18=Calculations!$DL$18,"● flat",(IF(Calculations!$DK$18&gt;Calculations!$DL$18,"▲ ","▼ "))&amp;TEXT(ABS(Calculations!$DM$18),"0.0%")&amp;" vs prior"))</f>
        <v>0</v>
      </c>
      <c r="C25" s="55"/>
      <c r="D25" s="55"/>
      <c r="E25" s="55">
        <f>IF(Calculations!$DL$19=0,IF(Calculations!$DK$19&gt;0,"▲ new","● flat"),IF(Calculations!$DK$19=Calculations!$DL$19,"● flat",(IF(Calculations!$DK$19&gt;Calculations!$DL$19,"▲ ","▼ "))&amp;TEXT(ABS(Calculations!$DM$19),"0.0%")&amp;" vs prior"))</f>
        <v>0</v>
      </c>
      <c r="F25" s="55"/>
      <c r="G25" s="55"/>
      <c r="H25" s="55">
        <f>IF(Calculations!$DL$20=0,IF(Calculations!$DK$20&gt;0,"▲ new","● flat"),IF(Calculations!$DK$20=Calculations!$DL$20,"● flat",(IF(Calculations!$DK$20&gt;Calculations!$DL$20,"▲ ","▼ "))&amp;TEXT(ABS(Calculations!$DM$20),"0.0%")&amp;" vs prior"))</f>
        <v>0</v>
      </c>
      <c r="I25" s="55"/>
      <c r="J25" s="55"/>
      <c r="K25" s="55">
        <f>IF(Calculations!$DL$21=0,IF(Calculations!$DK$21&gt;0,"▲ new","● flat"),IF(Calculations!$DK$21=Calculations!$DL$21,"● flat",(IF(Calculations!$DK$21&gt;Calculations!$DL$21,"▲ ","▼ "))&amp;TEXT(ABS(Calculations!$DM$21),"0.0%")&amp;" vs prior"))</f>
        <v>0</v>
      </c>
      <c r="L25" s="55"/>
      <c r="M25" s="55"/>
      <c r="N25" s="55">
        <f>IF(Calculations!$DL$22=0,IF(Calculations!$DK$22&gt;0,"▲ new","● flat"),IF(Calculations!$DK$22=Calculations!$DL$22,"● flat",(IF(Calculations!$DK$22&gt;Calculations!$DL$22,"▲ ","▼ "))&amp;TEXT(ABS(Calculations!$DM$22),"0.0%")&amp;" vs prior"))</f>
        <v>0</v>
      </c>
      <c r="O25" s="55"/>
      <c r="P25" s="55"/>
      <c r="Q25" s="55">
        <f>IF(Calculations!$DL$23=0,IF(Calculations!$DK$23&gt;0,"▲ new","● flat"),IF(Calculations!$DK$23=Calculations!$DL$23,"● flat",(IF(Calculations!$DK$23&gt;Calculations!$DL$23,"▲ ","▼ "))&amp;TEXT(ABS(Calculations!$DM$23),"0.0%")&amp;" vs prior"))</f>
        <v>0</v>
      </c>
      <c r="R25" s="55"/>
      <c r="S25" s="55"/>
    </row>
    <row r="28" spans="2:19" ht="20" customHeight="1">
      <c r="B28" s="56" t="s">
        <v>2124</v>
      </c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</row>
    <row r="29" spans="2:19" ht="4" customHeight="1"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</row>
    <row r="30" spans="2:19">
      <c r="B30" s="37" t="s">
        <v>2125</v>
      </c>
      <c r="C30" s="37"/>
      <c r="D30" s="37"/>
      <c r="E30" s="37" t="s">
        <v>2126</v>
      </c>
      <c r="F30" s="37"/>
      <c r="G30" s="37"/>
      <c r="H30" s="37" t="s">
        <v>2127</v>
      </c>
      <c r="I30" s="37"/>
      <c r="J30" s="37"/>
      <c r="K30" s="37" t="s">
        <v>2128</v>
      </c>
      <c r="L30" s="37"/>
      <c r="M30" s="37"/>
      <c r="N30" s="37" t="s">
        <v>2129</v>
      </c>
      <c r="O30" s="37"/>
      <c r="P30" s="37"/>
      <c r="Q30" s="37" t="s">
        <v>2063</v>
      </c>
      <c r="R30" s="37"/>
      <c r="S30" s="37"/>
    </row>
    <row r="31" spans="2:19">
      <c r="B31" s="39">
        <f>Calculations!$DK$24</f>
        <v>0</v>
      </c>
      <c r="C31" s="39"/>
      <c r="E31" s="40">
        <f>Calculations!$DK$25</f>
        <v>0</v>
      </c>
      <c r="F31" s="40"/>
      <c r="H31" s="39">
        <f>Calculations!$DK$26</f>
        <v>0</v>
      </c>
      <c r="I31" s="39"/>
      <c r="K31" s="40">
        <f>Calculations!$DK$27</f>
        <v>0</v>
      </c>
      <c r="L31" s="40"/>
      <c r="N31" s="39">
        <f>Calculations!$DK$28</f>
        <v>0</v>
      </c>
      <c r="O31" s="39"/>
      <c r="Q31" s="40">
        <f>Calculations!$DK$29</f>
        <v>0</v>
      </c>
      <c r="R31" s="40"/>
    </row>
    <row r="32" spans="2:19">
      <c r="B32" s="39"/>
      <c r="C32" s="39"/>
      <c r="D32" s="39"/>
      <c r="E32" s="40"/>
      <c r="F32" s="40"/>
      <c r="G32" s="40"/>
      <c r="H32" s="39"/>
      <c r="I32" s="39"/>
      <c r="J32" s="39"/>
      <c r="K32" s="40"/>
      <c r="L32" s="40"/>
      <c r="M32" s="40"/>
      <c r="N32" s="39"/>
      <c r="O32" s="39"/>
      <c r="P32" s="39"/>
      <c r="Q32" s="40"/>
      <c r="R32" s="40"/>
      <c r="S32" s="40"/>
    </row>
    <row r="33" spans="2:19">
      <c r="B33" s="55">
        <f>IF(Calculations!$DL$24=0,IF(Calculations!$DK$24&gt;0,"▲ new","● flat"),IF(Calculations!$DK$24=Calculations!$DL$24,"● flat",(IF(Calculations!$DK$24&gt;Calculations!$DL$24,"▲ ","▼ "))&amp;TEXT(ABS(Calculations!$DM$24),"0.0%")&amp;" vs prior"))</f>
        <v>0</v>
      </c>
      <c r="C33" s="55"/>
      <c r="D33" s="55"/>
      <c r="E33" s="55">
        <f>IF(Calculations!$DL$25=0,IF(Calculations!$DK$25&gt;0,"▲ new","● flat"),IF(Calculations!$DK$25=Calculations!$DL$25,"● flat",(IF(Calculations!$DK$25&gt;Calculations!$DL$25,"▲ ","▼ "))&amp;TEXT(ABS(Calculations!$DM$25),"0.0%")&amp;" vs prior"))</f>
        <v>0</v>
      </c>
      <c r="F33" s="55"/>
      <c r="G33" s="55"/>
      <c r="H33" s="55">
        <f>IF(Calculations!$DL$26=0,IF(Calculations!$DK$26&gt;0,"▲ new","● flat"),IF(Calculations!$DK$26=Calculations!$DL$26,"● flat",(IF(Calculations!$DK$26&gt;Calculations!$DL$26,"▲ ","▼ "))&amp;TEXT(ABS(Calculations!$DM$26),"0.0%")&amp;" vs prior"))</f>
        <v>0</v>
      </c>
      <c r="I33" s="55"/>
      <c r="J33" s="55"/>
      <c r="K33" s="55">
        <f>IF(Calculations!$DL$27=0,IF(Calculations!$DK$27&gt;0,"▲ new","● flat"),IF(Calculations!$DK$27=Calculations!$DL$27,"● flat",(IF(Calculations!$DK$27&gt;Calculations!$DL$27,"▲ ","▼ "))&amp;TEXT(ABS(Calculations!$DM$27),"0.0%")&amp;" vs prior"))</f>
        <v>0</v>
      </c>
      <c r="L33" s="55"/>
      <c r="M33" s="55"/>
      <c r="N33" s="55">
        <f>IF(Calculations!$DL$28=0,IF(Calculations!$DK$28&gt;0,"▲ new","● flat"),IF(Calculations!$DK$28=Calculations!$DL$28,"● flat",(IF(Calculations!$DK$28&gt;Calculations!$DL$28,"▲ ","▼ "))&amp;TEXT(ABS(Calculations!$DM$28),"0.0%")&amp;" vs prior"))</f>
        <v>0</v>
      </c>
      <c r="O33" s="55"/>
      <c r="P33" s="55"/>
      <c r="Q33" s="55">
        <f>IF(Calculations!$DL$29=0,IF(Calculations!$DK$29&gt;0,"▲ new","● flat"),IF(Calculations!$DK$29=Calculations!$DL$29,"● flat",(IF(Calculations!$DK$29&gt;Calculations!$DL$29,"▲ ","▼ "))&amp;TEXT(ABS(Calculations!$DM$29),"0.0%")&amp;" vs prior"))</f>
        <v>0</v>
      </c>
      <c r="R33" s="55"/>
      <c r="S33" s="55"/>
    </row>
    <row r="35" spans="2:19" ht="4" customHeight="1"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</row>
    <row r="36" spans="2:19">
      <c r="B36" s="37" t="s">
        <v>2130</v>
      </c>
      <c r="C36" s="37"/>
      <c r="D36" s="37"/>
      <c r="E36" s="37" t="s">
        <v>2131</v>
      </c>
      <c r="F36" s="37"/>
      <c r="G36" s="37"/>
      <c r="H36" s="37" t="s">
        <v>2132</v>
      </c>
      <c r="I36" s="37"/>
      <c r="J36" s="37"/>
      <c r="K36" s="37" t="s">
        <v>2133</v>
      </c>
      <c r="L36" s="37"/>
      <c r="M36" s="37"/>
      <c r="N36" s="37" t="s">
        <v>2134</v>
      </c>
      <c r="O36" s="37"/>
      <c r="P36" s="37"/>
      <c r="Q36" s="37" t="s">
        <v>2135</v>
      </c>
      <c r="R36" s="37"/>
      <c r="S36" s="37"/>
    </row>
    <row r="37" spans="2:19">
      <c r="B37" s="39">
        <f>Calculations!$DK$30</f>
        <v>0</v>
      </c>
      <c r="C37" s="39"/>
      <c r="E37" s="40">
        <f>Calculations!$DK$31</f>
        <v>0</v>
      </c>
      <c r="F37" s="40"/>
      <c r="H37" s="39">
        <f>Calculations!$DK$32</f>
        <v>0</v>
      </c>
      <c r="I37" s="39"/>
      <c r="K37" s="40">
        <f>Calculations!$DK$33</f>
        <v>0</v>
      </c>
      <c r="L37" s="40"/>
      <c r="N37" s="39">
        <f>Calculations!$DK$34</f>
        <v>0</v>
      </c>
      <c r="O37" s="39"/>
      <c r="Q37" s="39">
        <f>Calculations!$DK$35</f>
        <v>0</v>
      </c>
      <c r="R37" s="39"/>
    </row>
    <row r="38" spans="2:19">
      <c r="B38" s="39"/>
      <c r="C38" s="39"/>
      <c r="D38" s="39"/>
      <c r="E38" s="40"/>
      <c r="F38" s="40"/>
      <c r="G38" s="40"/>
      <c r="H38" s="39"/>
      <c r="I38" s="39"/>
      <c r="J38" s="39"/>
      <c r="K38" s="40"/>
      <c r="L38" s="40"/>
      <c r="M38" s="40"/>
      <c r="N38" s="39"/>
      <c r="O38" s="39"/>
      <c r="P38" s="39"/>
      <c r="Q38" s="39"/>
      <c r="R38" s="39"/>
      <c r="S38" s="39"/>
    </row>
    <row r="39" spans="2:19">
      <c r="B39" s="55">
        <f>IF(Calculations!$DL$30=0,IF(Calculations!$DK$30&gt;0,"▲ new","● flat"),IF(Calculations!$DK$30=Calculations!$DL$30,"● flat",(IF(Calculations!$DK$30&gt;Calculations!$DL$30,"▲ ","▼ "))&amp;TEXT(ABS(Calculations!$DM$30),"0.0%")&amp;" vs prior"))</f>
        <v>0</v>
      </c>
      <c r="C39" s="55"/>
      <c r="D39" s="55"/>
      <c r="E39" s="55">
        <f>IF(Calculations!$DL$31=0,IF(Calculations!$DK$31&gt;0,"▲ new","● flat"),IF(Calculations!$DK$31=Calculations!$DL$31,"● flat",(IF(Calculations!$DK$31&gt;Calculations!$DL$31,"▲ ","▼ "))&amp;TEXT(ABS(Calculations!$DM$31),"0.0%")&amp;" vs prior"))</f>
        <v>0</v>
      </c>
      <c r="F39" s="55"/>
      <c r="G39" s="55"/>
      <c r="H39" s="55">
        <f>IF(Calculations!$DL$32=0,IF(Calculations!$DK$32&gt;0,"▲ new","● flat"),IF(Calculations!$DK$32=Calculations!$DL$32,"● flat",(IF(Calculations!$DK$32&gt;Calculations!$DL$32,"▲ ","▼ "))&amp;TEXT(ABS(Calculations!$DM$32),"0.0%")&amp;" vs prior"))</f>
        <v>0</v>
      </c>
      <c r="I39" s="55"/>
      <c r="J39" s="55"/>
      <c r="K39" s="55">
        <f>IF(Calculations!$DL$33=0,IF(Calculations!$DK$33&gt;0,"▲ new","● flat"),IF(Calculations!$DK$33=Calculations!$DL$33,"● flat",(IF(Calculations!$DK$33&gt;Calculations!$DL$33,"▲ ","▼ "))&amp;TEXT(ABS(Calculations!$DM$33),"0.0%")&amp;" vs prior"))</f>
        <v>0</v>
      </c>
      <c r="L39" s="55"/>
      <c r="M39" s="55"/>
      <c r="N39" s="55">
        <f>IF(Calculations!$DL$34=0,IF(Calculations!$DK$34&gt;0,"▲ new","● flat"),IF(Calculations!$DK$34=Calculations!$DL$34,"● flat",(IF(Calculations!$DK$34&gt;Calculations!$DL$34,"▲ ","▼ "))&amp;TEXT(ABS(Calculations!$DM$34),"0.0%")&amp;" vs prior"))</f>
        <v>0</v>
      </c>
      <c r="O39" s="55"/>
      <c r="P39" s="55"/>
      <c r="Q39" s="55">
        <f>IF(Calculations!$DL$35=0,IF(Calculations!$DK$35&gt;0,"▲ new","● flat"),IF(Calculations!$DK$35=Calculations!$DL$35,"● flat",(IF(Calculations!$DK$35&gt;Calculations!$DL$35,"▲ ","▼ "))&amp;TEXT(ABS(Calculations!$DM$35),"0.0%")&amp;" vs prior"))</f>
        <v>0</v>
      </c>
      <c r="R39" s="55"/>
      <c r="S39" s="55"/>
    </row>
    <row r="41" spans="2:19" ht="4" customHeight="1"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</row>
    <row r="42" spans="2:19">
      <c r="B42" s="37" t="s">
        <v>2136</v>
      </c>
      <c r="C42" s="37"/>
      <c r="D42" s="37"/>
      <c r="E42" s="37" t="s">
        <v>2137</v>
      </c>
      <c r="F42" s="37"/>
      <c r="G42" s="37"/>
      <c r="H42" s="37" t="s">
        <v>2138</v>
      </c>
      <c r="I42" s="37"/>
      <c r="J42" s="37"/>
      <c r="K42" s="37" t="s">
        <v>2139</v>
      </c>
      <c r="L42" s="37"/>
      <c r="M42" s="37"/>
      <c r="N42" s="37" t="s">
        <v>2140</v>
      </c>
      <c r="O42" s="37"/>
      <c r="P42" s="37"/>
      <c r="Q42" s="37" t="s">
        <v>2141</v>
      </c>
      <c r="R42" s="37"/>
      <c r="S42" s="37"/>
    </row>
    <row r="43" spans="2:19">
      <c r="B43" s="39">
        <f>Calculations!$DK$36</f>
        <v>0</v>
      </c>
      <c r="C43" s="39"/>
      <c r="E43" s="39">
        <f>Calculations!$DK$37</f>
        <v>0</v>
      </c>
      <c r="F43" s="39"/>
      <c r="H43" s="40">
        <f>Calculations!$DK$38</f>
        <v>0</v>
      </c>
      <c r="I43" s="40"/>
      <c r="K43" s="39">
        <f>Calculations!$DK$39</f>
        <v>0</v>
      </c>
      <c r="L43" s="39"/>
      <c r="N43" s="40">
        <f>Calculations!$DK$40</f>
        <v>0</v>
      </c>
      <c r="O43" s="40"/>
      <c r="Q43" s="39">
        <f>Calculations!$DK$41</f>
        <v>0</v>
      </c>
      <c r="R43" s="39"/>
    </row>
    <row r="44" spans="2:19">
      <c r="B44" s="39"/>
      <c r="C44" s="39"/>
      <c r="D44" s="39"/>
      <c r="E44" s="39"/>
      <c r="F44" s="39"/>
      <c r="G44" s="39"/>
      <c r="H44" s="40"/>
      <c r="I44" s="40"/>
      <c r="J44" s="40"/>
      <c r="K44" s="39"/>
      <c r="L44" s="39"/>
      <c r="M44" s="39"/>
      <c r="N44" s="40"/>
      <c r="O44" s="40"/>
      <c r="P44" s="40"/>
      <c r="Q44" s="39"/>
      <c r="R44" s="39"/>
      <c r="S44" s="39"/>
    </row>
    <row r="45" spans="2:19">
      <c r="B45" s="55">
        <f>IF(Calculations!$DL$36=0,IF(Calculations!$DK$36&gt;0,"▲ new","● flat"),IF(Calculations!$DK$36=Calculations!$DL$36,"● flat",(IF(Calculations!$DK$36&gt;Calculations!$DL$36,"▲ ","▼ "))&amp;TEXT(ABS(Calculations!$DM$36),"0.0%")&amp;" vs prior"))</f>
        <v>0</v>
      </c>
      <c r="C45" s="55"/>
      <c r="D45" s="55"/>
      <c r="E45" s="55">
        <f>IF(Calculations!$DL$37=0,IF(Calculations!$DK$37&gt;0,"▲ new","● flat"),IF(Calculations!$DK$37=Calculations!$DL$37,"● flat",(IF(Calculations!$DK$37&gt;Calculations!$DL$37,"▲ ","▼ "))&amp;TEXT(ABS(Calculations!$DM$37),"0.0%")&amp;" vs prior"))</f>
        <v>0</v>
      </c>
      <c r="F45" s="55"/>
      <c r="G45" s="55"/>
      <c r="H45" s="55">
        <f>IF(Calculations!$DL$38=0,IF(Calculations!$DK$38&gt;0,"▲ new","● flat"),IF(Calculations!$DK$38=Calculations!$DL$38,"● flat",(IF(Calculations!$DK$38&gt;Calculations!$DL$38,"▲ ","▼ "))&amp;TEXT(ABS(Calculations!$DM$38),"0.0%")&amp;" vs prior"))</f>
        <v>0</v>
      </c>
      <c r="I45" s="55"/>
      <c r="J45" s="55"/>
      <c r="K45" s="55">
        <f>IF(Calculations!$DL$39=0,IF(Calculations!$DK$39&gt;0,"▲ new","● flat"),IF(Calculations!$DK$39=Calculations!$DL$39,"● flat",(IF(Calculations!$DK$39&gt;Calculations!$DL$39,"▲ ","▼ "))&amp;TEXT(ABS(Calculations!$DM$39),"0.0%")&amp;" vs prior"))</f>
        <v>0</v>
      </c>
      <c r="L45" s="55"/>
      <c r="M45" s="55"/>
      <c r="N45" s="55">
        <f>IF(Calculations!$DL$40=0,IF(Calculations!$DK$40&gt;0,"▲ new","● flat"),IF(Calculations!$DK$40=Calculations!$DL$40,"● flat",(IF(Calculations!$DK$40&gt;Calculations!$DL$40,"▲ ","▼ "))&amp;TEXT(ABS(Calculations!$DM$40),"0.0%")&amp;" vs prior"))</f>
        <v>0</v>
      </c>
      <c r="O45" s="55"/>
      <c r="P45" s="55"/>
      <c r="Q45" s="55">
        <f>IF(Calculations!$DL$41=0,IF(Calculations!$DK$41&gt;0,"▲ new","● flat"),IF(Calculations!$DK$41=Calculations!$DL$41,"● flat",(IF(Calculations!$DK$41&gt;Calculations!$DL$41,"▲ ","▼ "))&amp;TEXT(ABS(Calculations!$DM$41),"0.0%")&amp;" vs prior"))</f>
        <v>0</v>
      </c>
      <c r="R45" s="55"/>
      <c r="S45" s="55"/>
    </row>
    <row r="47" spans="2:19" ht="4" customHeight="1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</row>
    <row r="48" spans="2:19">
      <c r="B48" s="37" t="s">
        <v>2142</v>
      </c>
      <c r="C48" s="37"/>
      <c r="D48" s="37"/>
      <c r="E48" s="37" t="s">
        <v>2143</v>
      </c>
      <c r="F48" s="37"/>
      <c r="G48" s="37"/>
      <c r="H48" s="37" t="s">
        <v>2144</v>
      </c>
      <c r="I48" s="37"/>
      <c r="J48" s="37"/>
      <c r="K48" s="37" t="s">
        <v>2145</v>
      </c>
      <c r="L48" s="37"/>
      <c r="M48" s="37"/>
      <c r="N48" s="37" t="s">
        <v>2146</v>
      </c>
      <c r="O48" s="37"/>
      <c r="P48" s="37"/>
      <c r="Q48" s="37" t="s">
        <v>2147</v>
      </c>
      <c r="R48" s="37"/>
      <c r="S48" s="37"/>
    </row>
    <row r="49" spans="2:19">
      <c r="B49" s="40">
        <f>Calculations!$DK$42</f>
        <v>0</v>
      </c>
      <c r="C49" s="40"/>
      <c r="E49" s="39">
        <f>Calculations!$DK$43</f>
        <v>0</v>
      </c>
      <c r="F49" s="39"/>
      <c r="H49" s="39">
        <f>Calculations!$DK$44</f>
        <v>0</v>
      </c>
      <c r="I49" s="39"/>
      <c r="K49" s="39">
        <f>Calculations!$DK$45</f>
        <v>0</v>
      </c>
      <c r="L49" s="39"/>
      <c r="N49" s="39">
        <f>Calculations!$DK$46</f>
        <v>0</v>
      </c>
      <c r="O49" s="39"/>
      <c r="Q49" s="39">
        <f>Calculations!$DK$47</f>
        <v>0</v>
      </c>
      <c r="R49" s="39"/>
    </row>
    <row r="50" spans="2:19">
      <c r="B50" s="40"/>
      <c r="C50" s="40"/>
      <c r="D50" s="40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</row>
    <row r="51" spans="2:19">
      <c r="B51" s="55">
        <f>IF(Calculations!$DL$42=0,IF(Calculations!$DK$42&gt;0,"▲ new","● flat"),IF(Calculations!$DK$42=Calculations!$DL$42,"● flat",(IF(Calculations!$DK$42&gt;Calculations!$DL$42,"▲ ","▼ "))&amp;TEXT(ABS(Calculations!$DM$42),"0.0%")&amp;" vs prior"))</f>
        <v>0</v>
      </c>
      <c r="C51" s="55"/>
      <c r="D51" s="55"/>
      <c r="E51" s="55">
        <f>IF(Calculations!$DL$43=0,IF(Calculations!$DK$43&gt;0,"▲ new","● flat"),IF(Calculations!$DK$43=Calculations!$DL$43,"● flat",(IF(Calculations!$DK$43&gt;Calculations!$DL$43,"▲ ","▼ "))&amp;TEXT(ABS(Calculations!$DM$43),"0.0%")&amp;" vs prior"))</f>
        <v>0</v>
      </c>
      <c r="F51" s="55"/>
      <c r="G51" s="55"/>
      <c r="H51" s="55">
        <f>IF(Calculations!$DL$44=0,IF(Calculations!$DK$44&gt;0,"▲ new","● flat"),IF(Calculations!$DK$44=Calculations!$DL$44,"● flat",(IF(Calculations!$DK$44&gt;Calculations!$DL$44,"▲ ","▼ "))&amp;TEXT(ABS(Calculations!$DM$44),"0.0%")&amp;" vs prior"))</f>
        <v>0</v>
      </c>
      <c r="I51" s="55"/>
      <c r="J51" s="55"/>
      <c r="K51" s="55">
        <f>IF(Calculations!$DL$45=0,IF(Calculations!$DK$45&gt;0,"▲ new","● flat"),IF(Calculations!$DK$45=Calculations!$DL$45,"● flat",(IF(Calculations!$DK$45&gt;Calculations!$DL$45,"▲ ","▼ "))&amp;TEXT(ABS(Calculations!$DM$45),"0.0%")&amp;" vs prior"))</f>
        <v>0</v>
      </c>
      <c r="L51" s="55"/>
      <c r="M51" s="55"/>
      <c r="N51" s="55">
        <f>IF(Calculations!$DL$46=0,IF(Calculations!$DK$46&gt;0,"▲ new","● flat"),IF(Calculations!$DK$46=Calculations!$DL$46,"● flat",(IF(Calculations!$DK$46&gt;Calculations!$DL$46,"▲ ","▼ "))&amp;TEXT(ABS(Calculations!$DM$46),"0.0%")&amp;" vs prior"))</f>
        <v>0</v>
      </c>
      <c r="O51" s="55"/>
      <c r="P51" s="55"/>
      <c r="Q51" s="55">
        <f>IF(Calculations!$DL$47=0,IF(Calculations!$DK$47&gt;0,"▲ new","● flat"),IF(Calculations!$DK$47=Calculations!$DL$47,"● flat",(IF(Calculations!$DK$47&gt;Calculations!$DL$47,"▲ ","▼ "))&amp;TEXT(ABS(Calculations!$DM$47),"0.0%")&amp;" vs prior"))</f>
        <v>0</v>
      </c>
      <c r="R51" s="55"/>
      <c r="S51" s="55"/>
    </row>
    <row r="53" spans="2:19" ht="4" customHeight="1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</row>
    <row r="54" spans="2:19">
      <c r="B54" s="37" t="s">
        <v>2148</v>
      </c>
      <c r="C54" s="37"/>
      <c r="D54" s="37"/>
      <c r="E54" s="37" t="s">
        <v>2149</v>
      </c>
      <c r="F54" s="37"/>
      <c r="G54" s="37"/>
      <c r="H54" s="37" t="s">
        <v>2150</v>
      </c>
      <c r="I54" s="37"/>
      <c r="J54" s="37"/>
      <c r="K54" s="37" t="s">
        <v>2151</v>
      </c>
      <c r="L54" s="37"/>
      <c r="M54" s="37"/>
      <c r="N54" s="37" t="s">
        <v>2152</v>
      </c>
      <c r="O54" s="37"/>
      <c r="P54" s="37"/>
      <c r="Q54" s="37" t="s">
        <v>2153</v>
      </c>
      <c r="R54" s="37"/>
      <c r="S54" s="37"/>
    </row>
    <row r="55" spans="2:19">
      <c r="B55" s="40">
        <f>Calculations!$DK$48</f>
        <v>0</v>
      </c>
      <c r="C55" s="40"/>
      <c r="E55" s="39">
        <f>Calculations!$DK$49</f>
        <v>0</v>
      </c>
      <c r="F55" s="39"/>
      <c r="H55" s="40">
        <f>Calculations!$DK$50</f>
        <v>0</v>
      </c>
      <c r="I55" s="40"/>
      <c r="K55" s="39">
        <f>Calculations!$DK$51</f>
        <v>0</v>
      </c>
      <c r="L55" s="39"/>
      <c r="N55" s="39">
        <f>Calculations!$DK$52</f>
        <v>0</v>
      </c>
      <c r="O55" s="39"/>
      <c r="Q55" s="39">
        <f>Calculations!$DK$53</f>
        <v>0</v>
      </c>
      <c r="R55" s="39"/>
    </row>
    <row r="56" spans="2:19">
      <c r="B56" s="40"/>
      <c r="C56" s="40"/>
      <c r="D56" s="40"/>
      <c r="E56" s="39"/>
      <c r="F56" s="39"/>
      <c r="G56" s="39"/>
      <c r="H56" s="40"/>
      <c r="I56" s="40"/>
      <c r="J56" s="40"/>
      <c r="K56" s="39"/>
      <c r="L56" s="39"/>
      <c r="M56" s="39"/>
      <c r="N56" s="39"/>
      <c r="O56" s="39"/>
      <c r="P56" s="39"/>
      <c r="Q56" s="39"/>
      <c r="R56" s="39"/>
      <c r="S56" s="39"/>
    </row>
    <row r="57" spans="2:19">
      <c r="B57" s="55">
        <f>IF(Calculations!$DL$48=0,IF(Calculations!$DK$48&gt;0,"▲ new","● flat"),IF(Calculations!$DK$48=Calculations!$DL$48,"● flat",(IF(Calculations!$DK$48&gt;Calculations!$DL$48,"▲ ","▼ "))&amp;TEXT(ABS(Calculations!$DM$48),"0.0%")&amp;" vs prior"))</f>
        <v>0</v>
      </c>
      <c r="C57" s="55"/>
      <c r="D57" s="55"/>
      <c r="E57" s="55">
        <f>IF(Calculations!$DL$49=0,IF(Calculations!$DK$49&gt;0,"▲ new","● flat"),IF(Calculations!$DK$49=Calculations!$DL$49,"● flat",(IF(Calculations!$DK$49&gt;Calculations!$DL$49,"▲ ","▼ "))&amp;TEXT(ABS(Calculations!$DM$49),"0.0%")&amp;" vs prior"))</f>
        <v>0</v>
      </c>
      <c r="F57" s="55"/>
      <c r="G57" s="55"/>
      <c r="H57" s="55">
        <f>IF(Calculations!$DL$50=0,IF(Calculations!$DK$50&gt;0,"▲ new","● flat"),IF(Calculations!$DK$50=Calculations!$DL$50,"● flat",(IF(Calculations!$DK$50&gt;Calculations!$DL$50,"▲ ","▼ "))&amp;TEXT(ABS(Calculations!$DM$50),"0.0%")&amp;" vs prior"))</f>
        <v>0</v>
      </c>
      <c r="I57" s="55"/>
      <c r="J57" s="55"/>
      <c r="K57" s="55">
        <f>IF(Calculations!$DL$51=0,IF(Calculations!$DK$51&gt;0,"▲ new","● flat"),IF(Calculations!$DK$51=Calculations!$DL$51,"● flat",(IF(Calculations!$DK$51&gt;Calculations!$DL$51,"▲ ","▼ "))&amp;TEXT(ABS(Calculations!$DM$51),"0.0%")&amp;" vs prior"))</f>
        <v>0</v>
      </c>
      <c r="L57" s="55"/>
      <c r="M57" s="55"/>
      <c r="N57" s="55">
        <f>IF(Calculations!$DL$52=0,IF(Calculations!$DK$52&gt;0,"▲ new","● flat"),IF(Calculations!$DK$52=Calculations!$DL$52,"● flat",(IF(Calculations!$DK$52&gt;Calculations!$DL$52,"▲ ","▼ "))&amp;TEXT(ABS(Calculations!$DM$52),"0.0%")&amp;" vs prior"))</f>
        <v>0</v>
      </c>
      <c r="O57" s="55"/>
      <c r="P57" s="55"/>
      <c r="Q57" s="55">
        <f>IF(Calculations!$DL$53=0,IF(Calculations!$DK$53&gt;0,"▲ new","● flat"),IF(Calculations!$DK$53=Calculations!$DL$53,"● flat",(IF(Calculations!$DK$53&gt;Calculations!$DL$53,"▲ ","▼ "))&amp;TEXT(ABS(Calculations!$DM$53),"0.0%")&amp;" vs prior"))</f>
        <v>0</v>
      </c>
      <c r="R57" s="55"/>
      <c r="S57" s="55"/>
    </row>
    <row r="59" spans="2:19" ht="4" customHeight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</row>
    <row r="60" spans="2:19">
      <c r="B60" s="37" t="s">
        <v>2154</v>
      </c>
      <c r="C60" s="37"/>
      <c r="D60" s="37"/>
      <c r="E60" s="37" t="s">
        <v>2155</v>
      </c>
      <c r="F60" s="37"/>
      <c r="G60" s="37"/>
      <c r="H60" s="37" t="s">
        <v>2156</v>
      </c>
      <c r="I60" s="37"/>
      <c r="J60" s="37"/>
      <c r="K60" s="37" t="s">
        <v>2157</v>
      </c>
      <c r="L60" s="37"/>
      <c r="M60" s="37"/>
      <c r="N60" s="37" t="s">
        <v>2158</v>
      </c>
      <c r="O60" s="37"/>
      <c r="P60" s="37"/>
      <c r="Q60" s="37" t="s">
        <v>2159</v>
      </c>
      <c r="R60" s="37"/>
      <c r="S60" s="37"/>
    </row>
    <row r="61" spans="2:19">
      <c r="B61" s="39">
        <f>Calculations!$DK$54</f>
        <v>0</v>
      </c>
      <c r="C61" s="39"/>
      <c r="E61" s="40">
        <f>Calculations!$DK$55</f>
        <v>0</v>
      </c>
      <c r="F61" s="40"/>
      <c r="H61" s="39">
        <f>Calculations!$DK$56</f>
        <v>0</v>
      </c>
      <c r="I61" s="39"/>
      <c r="K61" s="40">
        <f>Calculations!$DK$57</f>
        <v>0</v>
      </c>
      <c r="L61" s="40"/>
      <c r="N61" s="39">
        <f>Calculations!$DK$58</f>
        <v>0</v>
      </c>
      <c r="O61" s="39"/>
      <c r="Q61" s="40">
        <f>Calculations!$DK$59</f>
        <v>0</v>
      </c>
      <c r="R61" s="40"/>
    </row>
    <row r="62" spans="2:19">
      <c r="B62" s="39"/>
      <c r="C62" s="39"/>
      <c r="D62" s="39"/>
      <c r="E62" s="40"/>
      <c r="F62" s="40"/>
      <c r="G62" s="40"/>
      <c r="H62" s="39"/>
      <c r="I62" s="39"/>
      <c r="J62" s="39"/>
      <c r="K62" s="40"/>
      <c r="L62" s="40"/>
      <c r="M62" s="40"/>
      <c r="N62" s="39"/>
      <c r="O62" s="39"/>
      <c r="P62" s="39"/>
      <c r="Q62" s="40"/>
      <c r="R62" s="40"/>
      <c r="S62" s="40"/>
    </row>
    <row r="63" spans="2:19">
      <c r="B63" s="55">
        <f>IF(Calculations!$DL$54=0,IF(Calculations!$DK$54&gt;0,"▲ new","● flat"),IF(Calculations!$DK$54=Calculations!$DL$54,"● flat",(IF(Calculations!$DK$54&gt;Calculations!$DL$54,"▲ ","▼ "))&amp;TEXT(ABS(Calculations!$DM$54),"0.0%")&amp;" vs prior"))</f>
        <v>0</v>
      </c>
      <c r="C63" s="55"/>
      <c r="D63" s="55"/>
      <c r="E63" s="55">
        <f>IF(Calculations!$DL$55=0,IF(Calculations!$DK$55&gt;0,"▲ new","● flat"),IF(Calculations!$DK$55=Calculations!$DL$55,"● flat",(IF(Calculations!$DK$55&gt;Calculations!$DL$55,"▲ ","▼ "))&amp;TEXT(ABS(Calculations!$DM$55),"0.0%")&amp;" vs prior"))</f>
        <v>0</v>
      </c>
      <c r="F63" s="55"/>
      <c r="G63" s="55"/>
      <c r="H63" s="55">
        <f>IF(Calculations!$DL$56=0,IF(Calculations!$DK$56&gt;0,"▲ new","● flat"),IF(Calculations!$DK$56=Calculations!$DL$56,"● flat",(IF(Calculations!$DK$56&gt;Calculations!$DL$56,"▲ ","▼ "))&amp;TEXT(ABS(Calculations!$DM$56),"0.0%")&amp;" vs prior"))</f>
        <v>0</v>
      </c>
      <c r="I63" s="55"/>
      <c r="J63" s="55"/>
      <c r="K63" s="55">
        <f>IF(Calculations!$DL$57=0,IF(Calculations!$DK$57&gt;0,"▲ new","● flat"),IF(Calculations!$DK$57=Calculations!$DL$57,"● flat",(IF(Calculations!$DK$57&gt;Calculations!$DL$57,"▲ ","▼ "))&amp;TEXT(ABS(Calculations!$DM$57),"0.0%")&amp;" vs prior"))</f>
        <v>0</v>
      </c>
      <c r="L63" s="55"/>
      <c r="M63" s="55"/>
      <c r="N63" s="55">
        <f>IF(Calculations!$DL$58=0,IF(Calculations!$DK$58&gt;0,"▲ new","● flat"),IF(Calculations!$DK$58=Calculations!$DL$58,"● flat",(IF(Calculations!$DK$58&gt;Calculations!$DL$58,"▲ ","▼ "))&amp;TEXT(ABS(Calculations!$DM$58),"0.0%")&amp;" vs prior"))</f>
        <v>0</v>
      </c>
      <c r="O63" s="55"/>
      <c r="P63" s="55"/>
      <c r="Q63" s="55">
        <f>IF(Calculations!$DL$59=0,IF(Calculations!$DK$59&gt;0,"▲ new","● flat"),IF(Calculations!$DK$59=Calculations!$DL$59,"● flat",(IF(Calculations!$DK$59&gt;Calculations!$DL$59,"▲ ","▼ "))&amp;TEXT(ABS(Calculations!$DM$59),"0.0%")&amp;" vs prior"))</f>
        <v>0</v>
      </c>
      <c r="R63" s="55"/>
      <c r="S63" s="55"/>
    </row>
    <row r="65" spans="2:19" ht="4" customHeight="1">
      <c r="B65" s="54"/>
      <c r="C65" s="54"/>
      <c r="D65" s="54"/>
      <c r="E65" s="54"/>
      <c r="F65" s="54"/>
      <c r="G65" s="54"/>
    </row>
    <row r="66" spans="2:19">
      <c r="B66" s="37" t="s">
        <v>2160</v>
      </c>
      <c r="C66" s="37"/>
      <c r="D66" s="37"/>
      <c r="E66" s="37" t="s">
        <v>2161</v>
      </c>
      <c r="F66" s="37"/>
      <c r="G66" s="37"/>
    </row>
    <row r="67" spans="2:19">
      <c r="B67" s="39">
        <f>Calculations!$DK$60</f>
        <v>0</v>
      </c>
      <c r="C67" s="39"/>
      <c r="E67" s="40">
        <f>Calculations!$DK$61</f>
        <v>0</v>
      </c>
      <c r="F67" s="40"/>
    </row>
    <row r="68" spans="2:19">
      <c r="B68" s="39"/>
      <c r="C68" s="39"/>
      <c r="D68" s="39"/>
      <c r="E68" s="40"/>
      <c r="F68" s="40"/>
      <c r="G68" s="40"/>
    </row>
    <row r="69" spans="2:19">
      <c r="B69" s="55">
        <f>IF(Calculations!$DL$60=0,IF(Calculations!$DK$60&gt;0,"▲ new","● flat"),IF(Calculations!$DK$60=Calculations!$DL$60,"● flat",(IF(Calculations!$DK$60&gt;Calculations!$DL$60,"▲ ","▼ "))&amp;TEXT(ABS(Calculations!$DM$60),"0.0%")&amp;" vs prior"))</f>
        <v>0</v>
      </c>
      <c r="C69" s="55"/>
      <c r="D69" s="55"/>
      <c r="E69" s="55">
        <f>IF(Calculations!$DL$61=0,IF(Calculations!$DK$61&gt;0,"▲ new","● flat"),IF(Calculations!$DK$61=Calculations!$DL$61,"● flat",(IF(Calculations!$DK$61&gt;Calculations!$DL$61,"▲ ","▼ "))&amp;TEXT(ABS(Calculations!$DM$61),"0.0%")&amp;" vs prior"))</f>
        <v>0</v>
      </c>
      <c r="F69" s="55"/>
      <c r="G69" s="55"/>
    </row>
    <row r="72" spans="2:19">
      <c r="B72" s="11" t="s">
        <v>2162</v>
      </c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118" spans="2:19">
      <c r="B118" s="11" t="s">
        <v>2163</v>
      </c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36" spans="8:19">
      <c r="H136" s="10" t="s">
        <v>2164</v>
      </c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</row>
    <row r="137" spans="8:19"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</row>
    <row r="153" spans="2:19">
      <c r="B153" s="11" t="s">
        <v>2165</v>
      </c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</row>
    <row r="162" spans="2:19">
      <c r="B162" s="57">
        <f>Calculations!$DK$29</f>
        <v>0</v>
      </c>
      <c r="C162" s="57"/>
      <c r="D162" s="57"/>
      <c r="E162" s="57">
        <f>Calculations!$DK$55</f>
        <v>0</v>
      </c>
      <c r="F162" s="57"/>
      <c r="G162" s="57"/>
      <c r="H162" s="57">
        <f>Calculations!$DK$31</f>
        <v>0</v>
      </c>
      <c r="I162" s="57"/>
      <c r="J162" s="57"/>
      <c r="K162" s="57">
        <f>Calculations!$DK$57</f>
        <v>0</v>
      </c>
      <c r="L162" s="57"/>
      <c r="M162" s="57"/>
      <c r="N162" s="57">
        <f>Calculations!$DK$33</f>
        <v>0</v>
      </c>
      <c r="O162" s="57"/>
      <c r="P162" s="57"/>
      <c r="Q162" s="57">
        <f>Calculations!$DK$22</f>
        <v>0</v>
      </c>
      <c r="R162" s="57"/>
      <c r="S162" s="57"/>
    </row>
    <row r="181" spans="2:9">
      <c r="B181" s="11" t="s">
        <v>2166</v>
      </c>
      <c r="C181" s="11"/>
      <c r="D181" s="11"/>
      <c r="E181" s="11"/>
      <c r="F181" s="11"/>
      <c r="G181" s="11"/>
      <c r="H181" s="11"/>
      <c r="I181" s="11"/>
    </row>
    <row r="182" spans="2:9">
      <c r="B182" s="12" t="s">
        <v>1970</v>
      </c>
      <c r="C182" s="12"/>
      <c r="D182" s="12" t="s">
        <v>1846</v>
      </c>
      <c r="E182" s="12"/>
      <c r="F182" s="12" t="s">
        <v>1845</v>
      </c>
      <c r="G182" s="12"/>
      <c r="H182" s="12" t="s">
        <v>286</v>
      </c>
      <c r="I182" s="12"/>
    </row>
    <row r="183" spans="2:9">
      <c r="B183" s="13">
        <f>Calculations!$DR$41</f>
        <v>0</v>
      </c>
      <c r="C183" s="13"/>
      <c r="D183" s="23">
        <f>Calculations!$DS$41</f>
        <v>0</v>
      </c>
      <c r="E183" s="23"/>
      <c r="F183" s="23">
        <f>Calculations!$DT$41</f>
        <v>0</v>
      </c>
      <c r="G183" s="23"/>
      <c r="H183" s="13">
        <f>Calculations!$DU$41</f>
        <v>0</v>
      </c>
      <c r="I183" s="13"/>
    </row>
    <row r="184" spans="2:9">
      <c r="B184" s="13">
        <f>Calculations!$DR$42</f>
        <v>0</v>
      </c>
      <c r="C184" s="13"/>
      <c r="D184" s="23">
        <f>Calculations!$DS$42</f>
        <v>0</v>
      </c>
      <c r="E184" s="23"/>
      <c r="F184" s="23">
        <f>Calculations!$DT$42</f>
        <v>0</v>
      </c>
      <c r="G184" s="23"/>
      <c r="H184" s="13">
        <f>Calculations!$DU$42</f>
        <v>0</v>
      </c>
      <c r="I184" s="13"/>
    </row>
    <row r="185" spans="2:9">
      <c r="B185" s="13">
        <f>Calculations!$DR$43</f>
        <v>0</v>
      </c>
      <c r="C185" s="13"/>
      <c r="D185" s="23">
        <f>Calculations!$DS$43</f>
        <v>0</v>
      </c>
      <c r="E185" s="23"/>
      <c r="F185" s="23">
        <f>Calculations!$DT$43</f>
        <v>0</v>
      </c>
      <c r="G185" s="23"/>
      <c r="H185" s="13">
        <f>Calculations!$DU$43</f>
        <v>0</v>
      </c>
      <c r="I185" s="13"/>
    </row>
    <row r="186" spans="2:9">
      <c r="B186" s="13">
        <f>Calculations!$DR$44</f>
        <v>0</v>
      </c>
      <c r="C186" s="13"/>
      <c r="D186" s="23">
        <f>Calculations!$DS$44</f>
        <v>0</v>
      </c>
      <c r="E186" s="23"/>
      <c r="F186" s="23">
        <f>Calculations!$DT$44</f>
        <v>0</v>
      </c>
      <c r="G186" s="23"/>
      <c r="H186" s="13">
        <f>Calculations!$DU$44</f>
        <v>0</v>
      </c>
      <c r="I186" s="13"/>
    </row>
    <row r="187" spans="2:9">
      <c r="B187" s="13">
        <f>Calculations!$DR$45</f>
        <v>0</v>
      </c>
      <c r="C187" s="13"/>
      <c r="D187" s="23">
        <f>Calculations!$DS$45</f>
        <v>0</v>
      </c>
      <c r="E187" s="23"/>
      <c r="F187" s="23">
        <f>Calculations!$DT$45</f>
        <v>0</v>
      </c>
      <c r="G187" s="23"/>
      <c r="H187" s="13">
        <f>Calculations!$DU$45</f>
        <v>0</v>
      </c>
      <c r="I187" s="13"/>
    </row>
    <row r="188" spans="2:9">
      <c r="B188" s="13">
        <f>Calculations!$DR$46</f>
        <v>0</v>
      </c>
      <c r="C188" s="13"/>
      <c r="D188" s="23">
        <f>Calculations!$DS$46</f>
        <v>0</v>
      </c>
      <c r="E188" s="23"/>
      <c r="F188" s="23">
        <f>Calculations!$DT$46</f>
        <v>0</v>
      </c>
      <c r="G188" s="23"/>
      <c r="H188" s="13">
        <f>Calculations!$DU$46</f>
        <v>0</v>
      </c>
      <c r="I188" s="13"/>
    </row>
  </sheetData>
  <mergeCells count="251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62:D162"/>
    <mergeCell ref="E162:G162"/>
    <mergeCell ref="H162:J162"/>
    <mergeCell ref="K162:M162"/>
    <mergeCell ref="N162:P162"/>
    <mergeCell ref="Q162:S162"/>
    <mergeCell ref="B181:I181"/>
    <mergeCell ref="B182:C182"/>
    <mergeCell ref="D182:E182"/>
    <mergeCell ref="F182:G182"/>
    <mergeCell ref="H182:I182"/>
    <mergeCell ref="B183:C183"/>
    <mergeCell ref="D183:E183"/>
    <mergeCell ref="F183:G183"/>
    <mergeCell ref="H183:I183"/>
    <mergeCell ref="B184:C184"/>
    <mergeCell ref="D184:E184"/>
    <mergeCell ref="F184:G184"/>
    <mergeCell ref="H184:I184"/>
    <mergeCell ref="B185:C185"/>
    <mergeCell ref="D185:E185"/>
    <mergeCell ref="F185:G185"/>
    <mergeCell ref="H185:I185"/>
    <mergeCell ref="B186:C186"/>
    <mergeCell ref="D186:E186"/>
    <mergeCell ref="F186:G186"/>
    <mergeCell ref="H186:I186"/>
    <mergeCell ref="B187:C187"/>
    <mergeCell ref="D187:E187"/>
    <mergeCell ref="F187:G187"/>
    <mergeCell ref="H187:I187"/>
    <mergeCell ref="B188:C188"/>
    <mergeCell ref="D188:E188"/>
    <mergeCell ref="F188:G188"/>
    <mergeCell ref="H188:I188"/>
  </mergeCells>
  <conditionalFormatting sqref="B15:D15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9:D19">
    <cfRule type="expression" dxfId="5" priority="4">
      <formula>gdTRIR&lt;0</formula>
    </cfRule>
  </conditionalFormatting>
  <conditionalFormatting sqref="B21:D21">
    <cfRule type="expression" dxfId="2" priority="25">
      <formula>rgFirstAid=2</formula>
    </cfRule>
    <cfRule type="expression" dxfId="3" priority="26">
      <formula>rgFirstAid=1</formula>
    </cfRule>
    <cfRule type="expression" dxfId="4" priority="27">
      <formula>rgFirstAid=0</formula>
    </cfRule>
  </conditionalFormatting>
  <conditionalFormatting sqref="B25:D25">
    <cfRule type="expression" dxfId="5" priority="28">
      <formula>gdFirstAid&lt;0</formula>
    </cfRule>
  </conditionalFormatting>
  <conditionalFormatting sqref="B29:D29">
    <cfRule type="expression" dxfId="2" priority="49">
      <formula>rgToolboxTalks=2</formula>
    </cfRule>
    <cfRule type="expression" dxfId="3" priority="50">
      <formula>rgToolboxTalks=1</formula>
    </cfRule>
    <cfRule type="expression" dxfId="4" priority="51">
      <formula>rgToolboxTalks=0</formula>
    </cfRule>
  </conditionalFormatting>
  <conditionalFormatting sqref="B33:D33">
    <cfRule type="expression" dxfId="5" priority="52">
      <formula>gdToolboxTalks&lt;0</formula>
    </cfRule>
  </conditionalFormatting>
  <conditionalFormatting sqref="B35:D35">
    <cfRule type="expression" dxfId="2" priority="73">
      <formula>rgHSEObservations=2</formula>
    </cfRule>
    <cfRule type="expression" dxfId="3" priority="74">
      <formula>rgHSEObservations=1</formula>
    </cfRule>
    <cfRule type="expression" dxfId="4" priority="75">
      <formula>rgHSEObservations=0</formula>
    </cfRule>
  </conditionalFormatting>
  <conditionalFormatting sqref="B39:D39">
    <cfRule type="expression" dxfId="5" priority="76">
      <formula>gdHSEObservations&lt;0</formula>
    </cfRule>
  </conditionalFormatting>
  <conditionalFormatting sqref="B41:D41">
    <cfRule type="expression" dxfId="2" priority="97">
      <formula>rgSafetyWalkthroughs=2</formula>
    </cfRule>
    <cfRule type="expression" dxfId="3" priority="98">
      <formula>rgSafetyWalkthroughs=1</formula>
    </cfRule>
    <cfRule type="expression" dxfId="4" priority="99">
      <formula>rgSafetyWalkthroughs=0</formula>
    </cfRule>
  </conditionalFormatting>
  <conditionalFormatting sqref="B45:D45">
    <cfRule type="expression" dxfId="5" priority="100">
      <formula>gdSafetyWalkthroughs&lt;0</formula>
    </cfRule>
  </conditionalFormatting>
  <conditionalFormatting sqref="B47:D47">
    <cfRule type="expression" dxfId="2" priority="121">
      <formula>rgDrillParticipation=2</formula>
    </cfRule>
    <cfRule type="expression" dxfId="3" priority="122">
      <formula>rgDrillParticipation=1</formula>
    </cfRule>
    <cfRule type="expression" dxfId="4" priority="123">
      <formula>rgDrillParticipation=0</formula>
    </cfRule>
  </conditionalFormatting>
  <conditionalFormatting sqref="B51:D51">
    <cfRule type="expression" dxfId="5" priority="124">
      <formula>gdDrillParticipation&lt;0</formula>
    </cfRule>
  </conditionalFormatting>
  <conditionalFormatting sqref="B53:D53">
    <cfRule type="expression" dxfId="2" priority="145">
      <formula>rgMgmtVisitCloseout=2</formula>
    </cfRule>
    <cfRule type="expression" dxfId="3" priority="146">
      <formula>rgMgmtVisitCloseout=1</formula>
    </cfRule>
    <cfRule type="expression" dxfId="4" priority="147">
      <formula>rgMgmtVisitCloseout=0</formula>
    </cfRule>
  </conditionalFormatting>
  <conditionalFormatting sqref="B57:D57">
    <cfRule type="expression" dxfId="5" priority="148">
      <formula>gdMgmtVisitCloseout&lt;0</formula>
    </cfRule>
  </conditionalFormatting>
  <conditionalFormatting sqref="B59:D59">
    <cfRule type="expression" dxfId="2" priority="169">
      <formula>rgPTWAudits=2</formula>
    </cfRule>
    <cfRule type="expression" dxfId="3" priority="170">
      <formula>rgPTWAudits=1</formula>
    </cfRule>
    <cfRule type="expression" dxfId="4" priority="171">
      <formula>rgPTWAudits=0</formula>
    </cfRule>
  </conditionalFormatting>
  <conditionalFormatting sqref="B63:D63">
    <cfRule type="expression" dxfId="5" priority="172">
      <formula>gdPTWAudits&lt;0</formula>
    </cfRule>
  </conditionalFormatting>
  <conditionalFormatting sqref="B65:D65">
    <cfRule type="expression" dxfId="2" priority="193">
      <formula>rgUnsafeConditionsReported=2</formula>
    </cfRule>
    <cfRule type="expression" dxfId="3" priority="194">
      <formula>rgUnsafeConditionsReported=1</formula>
    </cfRule>
    <cfRule type="expression" dxfId="4" priority="195">
      <formula>rgUnsafeConditionsReported=0</formula>
    </cfRule>
  </conditionalFormatting>
  <conditionalFormatting sqref="B69:D69">
    <cfRule type="expression" dxfId="5" priority="196">
      <formula>gdUnsafeConditionsReported&lt;0</formula>
    </cfRule>
  </conditionalFormatting>
  <conditionalFormatting sqref="E15:G15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E19:G19">
    <cfRule type="expression" dxfId="5" priority="8">
      <formula>gdLTIFR&lt;0</formula>
    </cfRule>
  </conditionalFormatting>
  <conditionalFormatting sqref="E21:G21">
    <cfRule type="expression" dxfId="2" priority="29">
      <formula>rgLostDays=2</formula>
    </cfRule>
    <cfRule type="expression" dxfId="3" priority="30">
      <formula>rgLostDays=1</formula>
    </cfRule>
    <cfRule type="expression" dxfId="4" priority="31">
      <formula>rgLostDays=0</formula>
    </cfRule>
  </conditionalFormatting>
  <conditionalFormatting sqref="E25:G25">
    <cfRule type="expression" dxfId="5" priority="32">
      <formula>gdLostDays&lt;0</formula>
    </cfRule>
  </conditionalFormatting>
  <conditionalFormatting sqref="E29:G29">
    <cfRule type="expression" dxfId="2" priority="53">
      <formula>rgToolboxAvgAttendance=2</formula>
    </cfRule>
    <cfRule type="expression" dxfId="3" priority="54">
      <formula>rgToolboxAvgAttendance=1</formula>
    </cfRule>
    <cfRule type="expression" dxfId="4" priority="55">
      <formula>rgToolboxAvgAttendance=0</formula>
    </cfRule>
  </conditionalFormatting>
  <conditionalFormatting sqref="E33:G33">
    <cfRule type="expression" dxfId="5" priority="56">
      <formula>gdToolboxAvgAttendance&lt;0</formula>
    </cfRule>
  </conditionalFormatting>
  <conditionalFormatting sqref="E35:G35">
    <cfRule type="expression" dxfId="2" priority="77">
      <formula>rgObsClosure=2</formula>
    </cfRule>
    <cfRule type="expression" dxfId="3" priority="78">
      <formula>rgObsClosure=1</formula>
    </cfRule>
    <cfRule type="expression" dxfId="4" priority="79">
      <formula>rgObsClosure=0</formula>
    </cfRule>
  </conditionalFormatting>
  <conditionalFormatting sqref="E39:G39">
    <cfRule type="expression" dxfId="5" priority="80">
      <formula>gdObsClosure&lt;0</formula>
    </cfRule>
  </conditionalFormatting>
  <conditionalFormatting sqref="E41:G41">
    <cfRule type="expression" dxfId="2" priority="101">
      <formula>rgSafetyMeetings=2</formula>
    </cfRule>
    <cfRule type="expression" dxfId="3" priority="102">
      <formula>rgSafetyMeetings=1</formula>
    </cfRule>
    <cfRule type="expression" dxfId="4" priority="103">
      <formula>rgSafetyMeetings=0</formula>
    </cfRule>
  </conditionalFormatting>
  <conditionalFormatting sqref="E45:G45">
    <cfRule type="expression" dxfId="5" priority="104">
      <formula>gdSafetyMeetings&lt;0</formula>
    </cfRule>
  </conditionalFormatting>
  <conditionalFormatting sqref="E47:G47">
    <cfRule type="expression" dxfId="2" priority="125">
      <formula>rgInternalAudits=2</formula>
    </cfRule>
    <cfRule type="expression" dxfId="3" priority="126">
      <formula>rgInternalAudits=1</formula>
    </cfRule>
    <cfRule type="expression" dxfId="4" priority="127">
      <formula>rgInternalAudits=0</formula>
    </cfRule>
  </conditionalFormatting>
  <conditionalFormatting sqref="E51:G51">
    <cfRule type="expression" dxfId="5" priority="128">
      <formula>gdInternalAudits&lt;0</formula>
    </cfRule>
  </conditionalFormatting>
  <conditionalFormatting sqref="E53:G53">
    <cfRule type="expression" dxfId="2" priority="149">
      <formula>rgManagementReviews=2</formula>
    </cfRule>
    <cfRule type="expression" dxfId="3" priority="150">
      <formula>rgManagementReviews=1</formula>
    </cfRule>
    <cfRule type="expression" dxfId="4" priority="151">
      <formula>rgManagementReviews=0</formula>
    </cfRule>
  </conditionalFormatting>
  <conditionalFormatting sqref="E57:G57">
    <cfRule type="expression" dxfId="5" priority="152">
      <formula>gdManagementReviews&lt;0</formula>
    </cfRule>
  </conditionalFormatting>
  <conditionalFormatting sqref="E59:G59">
    <cfRule type="expression" dxfId="2" priority="173">
      <formula>rgPTWCompliance=2</formula>
    </cfRule>
    <cfRule type="expression" dxfId="3" priority="174">
      <formula>rgPTWCompliance=1</formula>
    </cfRule>
    <cfRule type="expression" dxfId="4" priority="175">
      <formula>rgPTWCompliance=0</formula>
    </cfRule>
  </conditionalFormatting>
  <conditionalFormatting sqref="E63:G63">
    <cfRule type="expression" dxfId="5" priority="176">
      <formula>gdPTWCompliance&lt;0</formula>
    </cfRule>
  </conditionalFormatting>
  <conditionalFormatting sqref="E65:G65">
    <cfRule type="expression" dxfId="2" priority="197">
      <formula>rgUnsafeConditionClosure=2</formula>
    </cfRule>
    <cfRule type="expression" dxfId="3" priority="198">
      <formula>rgUnsafeConditionClosure=1</formula>
    </cfRule>
    <cfRule type="expression" dxfId="4" priority="199">
      <formula>rgUnsafeConditionClosure=0</formula>
    </cfRule>
  </conditionalFormatting>
  <conditionalFormatting sqref="E69:G69">
    <cfRule type="expression" dxfId="5" priority="200">
      <formula>gdUnsafeConditionClosure&lt;0</formula>
    </cfRule>
  </conditionalFormatting>
  <conditionalFormatting sqref="H15:J15">
    <cfRule type="expression" dxfId="2" priority="9">
      <formula>rgTotalIncidents=2</formula>
    </cfRule>
    <cfRule type="expression" dxfId="3" priority="10">
      <formula>rgTotalIncidents=1</formula>
    </cfRule>
    <cfRule type="expression" dxfId="4" priority="11">
      <formula>rgTotalIncidents=0</formula>
    </cfRule>
  </conditionalFormatting>
  <conditionalFormatting sqref="H19:J19">
    <cfRule type="expression" dxfId="5" priority="12">
      <formula>gdTotalIncidents&lt;0</formula>
    </cfRule>
  </conditionalFormatting>
  <conditionalFormatting sqref="H21:J21">
    <cfRule type="expression" dxfId="2" priority="33">
      <formula>rgDisciplinary=2</formula>
    </cfRule>
    <cfRule type="expression" dxfId="3" priority="34">
      <formula>rgDisciplinary=1</formula>
    </cfRule>
    <cfRule type="expression" dxfId="4" priority="35">
      <formula>rgDisciplinary=0</formula>
    </cfRule>
  </conditionalFormatting>
  <conditionalFormatting sqref="H25:J25">
    <cfRule type="expression" dxfId="5" priority="36">
      <formula>gdDisciplinary&lt;0</formula>
    </cfRule>
  </conditionalFormatting>
  <conditionalFormatting sqref="H29:J29">
    <cfRule type="expression" dxfId="2" priority="57">
      <formula>rgJSAAssessments=2</formula>
    </cfRule>
    <cfRule type="expression" dxfId="3" priority="58">
      <formula>rgJSAAssessments=1</formula>
    </cfRule>
    <cfRule type="expression" dxfId="4" priority="59">
      <formula>rgJSAAssessments=0</formula>
    </cfRule>
  </conditionalFormatting>
  <conditionalFormatting sqref="H33:J33">
    <cfRule type="expression" dxfId="5" priority="60">
      <formula>gdJSAAssessments&lt;0</formula>
    </cfRule>
  </conditionalFormatting>
  <conditionalFormatting sqref="H35:J35">
    <cfRule type="expression" dxfId="2" priority="81">
      <formula>rgWorkplaceInspections=2</formula>
    </cfRule>
    <cfRule type="expression" dxfId="3" priority="82">
      <formula>rgWorkplaceInspections=1</formula>
    </cfRule>
    <cfRule type="expression" dxfId="4" priority="83">
      <formula>rgWorkplaceInspections=0</formula>
    </cfRule>
  </conditionalFormatting>
  <conditionalFormatting sqref="H39:J39">
    <cfRule type="expression" dxfId="5" priority="84">
      <formula>gdWorkplaceInspections&lt;0</formula>
    </cfRule>
  </conditionalFormatting>
  <conditionalFormatting sqref="H41:J41">
    <cfRule type="expression" dxfId="2" priority="105">
      <formula>rgMeetingsCloseout=2</formula>
    </cfRule>
    <cfRule type="expression" dxfId="3" priority="106">
      <formula>rgMeetingsCloseout=1</formula>
    </cfRule>
    <cfRule type="expression" dxfId="4" priority="107">
      <formula>rgMeetingsCloseout=0</formula>
    </cfRule>
  </conditionalFormatting>
  <conditionalFormatting sqref="H45:J45">
    <cfRule type="expression" dxfId="5" priority="108">
      <formula>gdMeetingsCloseout&lt;0</formula>
    </cfRule>
  </conditionalFormatting>
  <conditionalFormatting sqref="H47:J47">
    <cfRule type="expression" dxfId="2" priority="129">
      <formula>rgInternalAuditNCs=2</formula>
    </cfRule>
    <cfRule type="expression" dxfId="3" priority="130">
      <formula>rgInternalAuditNCs=1</formula>
    </cfRule>
    <cfRule type="expression" dxfId="4" priority="131">
      <formula>rgInternalAuditNCs=0</formula>
    </cfRule>
  </conditionalFormatting>
  <conditionalFormatting sqref="H51:J51">
    <cfRule type="expression" dxfId="5" priority="132">
      <formula>gdInternalAuditNCs&lt;0</formula>
    </cfRule>
  </conditionalFormatting>
  <conditionalFormatting sqref="H53:J53">
    <cfRule type="expression" dxfId="2" priority="153">
      <formula>rgMgmtReviewAttendance=2</formula>
    </cfRule>
    <cfRule type="expression" dxfId="3" priority="154">
      <formula>rgMgmtReviewAttendance=1</formula>
    </cfRule>
    <cfRule type="expression" dxfId="4" priority="155">
      <formula>rgMgmtReviewAttendance=0</formula>
    </cfRule>
  </conditionalFormatting>
  <conditionalFormatting sqref="H57:J57">
    <cfRule type="expression" dxfId="5" priority="156">
      <formula>gdMgmtReviewAttendance&lt;0</formula>
    </cfRule>
  </conditionalFormatting>
  <conditionalFormatting sqref="H59:J59">
    <cfRule type="expression" dxfId="2" priority="177">
      <formula>rgCorrectiveActions=2</formula>
    </cfRule>
    <cfRule type="expression" dxfId="3" priority="178">
      <formula>rgCorrectiveActions=1</formula>
    </cfRule>
    <cfRule type="expression" dxfId="4" priority="179">
      <formula>rgCorrectiveActions=0</formula>
    </cfRule>
  </conditionalFormatting>
  <conditionalFormatting sqref="H63:J63">
    <cfRule type="expression" dxfId="5" priority="180">
      <formula>gdCorrectiveActions&lt;0</formula>
    </cfRule>
  </conditionalFormatting>
  <conditionalFormatting sqref="K15:M15">
    <cfRule type="expression" dxfId="2" priority="13">
      <formula>rgRecordable=2</formula>
    </cfRule>
    <cfRule type="expression" dxfId="3" priority="14">
      <formula>rgRecordable=1</formula>
    </cfRule>
    <cfRule type="expression" dxfId="4" priority="15">
      <formula>rgRecordable=0</formula>
    </cfRule>
  </conditionalFormatting>
  <conditionalFormatting sqref="K19:M19">
    <cfRule type="expression" dxfId="5" priority="16">
      <formula>gdRecordable&lt;0</formula>
    </cfRule>
  </conditionalFormatting>
  <conditionalFormatting sqref="K21:M21">
    <cfRule type="expression" dxfId="2" priority="37">
      <formula>rgOpenNCs=2</formula>
    </cfRule>
    <cfRule type="expression" dxfId="3" priority="38">
      <formula>rgOpenNCs=1</formula>
    </cfRule>
    <cfRule type="expression" dxfId="4" priority="39">
      <formula>rgOpenNCs=0</formula>
    </cfRule>
  </conditionalFormatting>
  <conditionalFormatting sqref="K25:M25">
    <cfRule type="expression" dxfId="5" priority="40">
      <formula>gdOpenNCs&lt;0</formula>
    </cfRule>
  </conditionalFormatting>
  <conditionalFormatting sqref="K29:M29">
    <cfRule type="expression" dxfId="2" priority="61">
      <formula>rgJSAApproved=2</formula>
    </cfRule>
    <cfRule type="expression" dxfId="3" priority="62">
      <formula>rgJSAApproved=1</formula>
    </cfRule>
    <cfRule type="expression" dxfId="4" priority="63">
      <formula>rgJSAApproved=0</formula>
    </cfRule>
  </conditionalFormatting>
  <conditionalFormatting sqref="K33:M33">
    <cfRule type="expression" dxfId="5" priority="64">
      <formula>gdJSAApproved&lt;0</formula>
    </cfRule>
  </conditionalFormatting>
  <conditionalFormatting sqref="K35:M35">
    <cfRule type="expression" dxfId="2" priority="85">
      <formula>rgWorkplaceInspClosure=2</formula>
    </cfRule>
    <cfRule type="expression" dxfId="3" priority="86">
      <formula>rgWorkplaceInspClosure=1</formula>
    </cfRule>
    <cfRule type="expression" dxfId="4" priority="87">
      <formula>rgWorkplaceInspClosure=0</formula>
    </cfRule>
  </conditionalFormatting>
  <conditionalFormatting sqref="K39:M39">
    <cfRule type="expression" dxfId="5" priority="88">
      <formula>gdWorkplaceInspClosure&lt;0</formula>
    </cfRule>
  </conditionalFormatting>
  <conditionalFormatting sqref="K41:M41">
    <cfRule type="expression" dxfId="2" priority="109">
      <formula>rgSafetyBulletins=2</formula>
    </cfRule>
    <cfRule type="expression" dxfId="3" priority="110">
      <formula>rgSafetyBulletins=1</formula>
    </cfRule>
    <cfRule type="expression" dxfId="4" priority="111">
      <formula>rgSafetyBulletins=0</formula>
    </cfRule>
  </conditionalFormatting>
  <conditionalFormatting sqref="K45:M45">
    <cfRule type="expression" dxfId="5" priority="112">
      <formula>gdSafetyBulletins&lt;0</formula>
    </cfRule>
  </conditionalFormatting>
  <conditionalFormatting sqref="K47:M47">
    <cfRule type="expression" dxfId="2" priority="133">
      <formula>rgExternalAudits=2</formula>
    </cfRule>
    <cfRule type="expression" dxfId="3" priority="134">
      <formula>rgExternalAudits=1</formula>
    </cfRule>
    <cfRule type="expression" dxfId="4" priority="135">
      <formula>rgExternalAudits=0</formula>
    </cfRule>
  </conditionalFormatting>
  <conditionalFormatting sqref="K51:M51">
    <cfRule type="expression" dxfId="5" priority="136">
      <formula>gdExternalAudits&lt;0</formula>
    </cfRule>
  </conditionalFormatting>
  <conditionalFormatting sqref="K53:M53">
    <cfRule type="expression" dxfId="2" priority="157">
      <formula>rgSafetyAwards=2</formula>
    </cfRule>
    <cfRule type="expression" dxfId="3" priority="158">
      <formula>rgSafetyAwards=1</formula>
    </cfRule>
    <cfRule type="expression" dxfId="4" priority="159">
      <formula>rgSafetyAwards=0</formula>
    </cfRule>
  </conditionalFormatting>
  <conditionalFormatting sqref="K57:M57">
    <cfRule type="expression" dxfId="5" priority="160">
      <formula>gdSafetyAwards&lt;0</formula>
    </cfRule>
  </conditionalFormatting>
  <conditionalFormatting sqref="K59:M59">
    <cfRule type="expression" dxfId="2" priority="181">
      <formula>rgCAClosure=2</formula>
    </cfRule>
    <cfRule type="expression" dxfId="3" priority="182">
      <formula>rgCAClosure=1</formula>
    </cfRule>
    <cfRule type="expression" dxfId="4" priority="183">
      <formula>rgCAClosure=0</formula>
    </cfRule>
  </conditionalFormatting>
  <conditionalFormatting sqref="K63:M63">
    <cfRule type="expression" dxfId="5" priority="184">
      <formula>gdCAClosure&lt;0</formula>
    </cfRule>
  </conditionalFormatting>
  <conditionalFormatting sqref="N15:P15">
    <cfRule type="expression" dxfId="2" priority="17">
      <formula>rgLTIFatality=2</formula>
    </cfRule>
    <cfRule type="expression" dxfId="3" priority="18">
      <formula>rgLTIFatality=1</formula>
    </cfRule>
    <cfRule type="expression" dxfId="4" priority="19">
      <formula>rgLTIFatality=0</formula>
    </cfRule>
  </conditionalFormatting>
  <conditionalFormatting sqref="N19:P19">
    <cfRule type="expression" dxfId="5" priority="20">
      <formula>gdLTIFatality&lt;0</formula>
    </cfRule>
  </conditionalFormatting>
  <conditionalFormatting sqref="N21:P21">
    <cfRule type="expression" dxfId="2" priority="41">
      <formula>rgNCClosure=2</formula>
    </cfRule>
    <cfRule type="expression" dxfId="3" priority="42">
      <formula>rgNCClosure=1</formula>
    </cfRule>
    <cfRule type="expression" dxfId="4" priority="43">
      <formula>rgNCClosure=0</formula>
    </cfRule>
  </conditionalFormatting>
  <conditionalFormatting sqref="N25:P25">
    <cfRule type="expression" dxfId="5" priority="44">
      <formula>gdNCClosure&lt;0</formula>
    </cfRule>
  </conditionalFormatting>
  <conditionalFormatting sqref="N29:P29">
    <cfRule type="expression" dxfId="2" priority="65">
      <formula>rgTrainings=2</formula>
    </cfRule>
    <cfRule type="expression" dxfId="3" priority="66">
      <formula>rgTrainings=1</formula>
    </cfRule>
    <cfRule type="expression" dxfId="4" priority="67">
      <formula>rgTrainings=0</formula>
    </cfRule>
  </conditionalFormatting>
  <conditionalFormatting sqref="N33:P33">
    <cfRule type="expression" dxfId="5" priority="68">
      <formula>gdTrainings&lt;0</formula>
    </cfRule>
  </conditionalFormatting>
  <conditionalFormatting sqref="N35:P35">
    <cfRule type="expression" dxfId="2" priority="89">
      <formula>rgEquipmentInspections=2</formula>
    </cfRule>
    <cfRule type="expression" dxfId="3" priority="90">
      <formula>rgEquipmentInspections=1</formula>
    </cfRule>
    <cfRule type="expression" dxfId="4" priority="91">
      <formula>rgEquipmentInspections=0</formula>
    </cfRule>
  </conditionalFormatting>
  <conditionalFormatting sqref="N39:P39">
    <cfRule type="expression" dxfId="5" priority="92">
      <formula>gdEquipmentInspections&lt;0</formula>
    </cfRule>
  </conditionalFormatting>
  <conditionalFormatting sqref="N41:P41">
    <cfRule type="expression" dxfId="2" priority="113">
      <formula>rgBulletinReach=2</formula>
    </cfRule>
    <cfRule type="expression" dxfId="3" priority="114">
      <formula>rgBulletinReach=1</formula>
    </cfRule>
    <cfRule type="expression" dxfId="4" priority="115">
      <formula>rgBulletinReach=0</formula>
    </cfRule>
  </conditionalFormatting>
  <conditionalFormatting sqref="N45:P45">
    <cfRule type="expression" dxfId="5" priority="116">
      <formula>gdBulletinReach&lt;0</formula>
    </cfRule>
  </conditionalFormatting>
  <conditionalFormatting sqref="N47:P47">
    <cfRule type="expression" dxfId="2" priority="137">
      <formula>rgExternalAuditNCs=2</formula>
    </cfRule>
    <cfRule type="expression" dxfId="3" priority="138">
      <formula>rgExternalAuditNCs=1</formula>
    </cfRule>
    <cfRule type="expression" dxfId="4" priority="139">
      <formula>rgExternalAuditNCs=0</formula>
    </cfRule>
  </conditionalFormatting>
  <conditionalFormatting sqref="N51:P51">
    <cfRule type="expression" dxfId="5" priority="140">
      <formula>gdExternalAuditNCs&lt;0</formula>
    </cfRule>
  </conditionalFormatting>
  <conditionalFormatting sqref="N53:P53">
    <cfRule type="expression" dxfId="2" priority="161">
      <formula>rgStopWorkAuthority=2</formula>
    </cfRule>
    <cfRule type="expression" dxfId="3" priority="162">
      <formula>rgStopWorkAuthority=1</formula>
    </cfRule>
    <cfRule type="expression" dxfId="4" priority="163">
      <formula>rgStopWorkAuthority=0</formula>
    </cfRule>
  </conditionalFormatting>
  <conditionalFormatting sqref="N57:P57">
    <cfRule type="expression" dxfId="5" priority="164">
      <formula>gdStopWorkAuthority&lt;0</formula>
    </cfRule>
  </conditionalFormatting>
  <conditionalFormatting sqref="N59:P59">
    <cfRule type="expression" dxfId="2" priority="185">
      <formula>rgUnsafeActsReported=2</formula>
    </cfRule>
    <cfRule type="expression" dxfId="3" priority="186">
      <formula>rgUnsafeActsReported=1</formula>
    </cfRule>
    <cfRule type="expression" dxfId="4" priority="187">
      <formula>rgUnsafeActsReported=0</formula>
    </cfRule>
  </conditionalFormatting>
  <conditionalFormatting sqref="N63:P63">
    <cfRule type="expression" dxfId="5" priority="188">
      <formula>gdUnsafeActsReported&lt;0</formula>
    </cfRule>
  </conditionalFormatting>
  <conditionalFormatting sqref="Q15:S15">
    <cfRule type="expression" dxfId="2" priority="21">
      <formula>rgNearMiss=2</formula>
    </cfRule>
    <cfRule type="expression" dxfId="3" priority="22">
      <formula>rgNearMiss=1</formula>
    </cfRule>
    <cfRule type="expression" dxfId="4" priority="23">
      <formula>rgNearMiss=0</formula>
    </cfRule>
  </conditionalFormatting>
  <conditionalFormatting sqref="Q19:S19">
    <cfRule type="expression" dxfId="5" priority="24">
      <formula>gdNearMiss&lt;0</formula>
    </cfRule>
  </conditionalFormatting>
  <conditionalFormatting sqref="Q21:S21">
    <cfRule type="expression" dxfId="2" priority="45">
      <formula>rgAlcoholPositive=2</formula>
    </cfRule>
    <cfRule type="expression" dxfId="3" priority="46">
      <formula>rgAlcoholPositive=1</formula>
    </cfRule>
    <cfRule type="expression" dxfId="4" priority="47">
      <formula>rgAlcoholPositive=0</formula>
    </cfRule>
  </conditionalFormatting>
  <conditionalFormatting sqref="Q25:S25">
    <cfRule type="expression" dxfId="5" priority="48">
      <formula>gdAlcoholPositive&lt;0</formula>
    </cfRule>
  </conditionalFormatting>
  <conditionalFormatting sqref="Q29:S29">
    <cfRule type="expression" dxfId="2" priority="69">
      <formula>rgTrainingCompliance=2</formula>
    </cfRule>
    <cfRule type="expression" dxfId="3" priority="70">
      <formula>rgTrainingCompliance=1</formula>
    </cfRule>
    <cfRule type="expression" dxfId="4" priority="71">
      <formula>rgTrainingCompliance=0</formula>
    </cfRule>
  </conditionalFormatting>
  <conditionalFormatting sqref="Q33:S33">
    <cfRule type="expression" dxfId="5" priority="72">
      <formula>gdTrainingCompliance&lt;0</formula>
    </cfRule>
  </conditionalFormatting>
  <conditionalFormatting sqref="Q35:S35">
    <cfRule type="expression" dxfId="2" priority="93">
      <formula>rgEquipmentCriticalFindings=2</formula>
    </cfRule>
    <cfRule type="expression" dxfId="3" priority="94">
      <formula>rgEquipmentCriticalFindings=1</formula>
    </cfRule>
    <cfRule type="expression" dxfId="4" priority="95">
      <formula>rgEquipmentCriticalFindings=0</formula>
    </cfRule>
  </conditionalFormatting>
  <conditionalFormatting sqref="Q39:S39">
    <cfRule type="expression" dxfId="5" priority="96">
      <formula>gdEquipmentCriticalFindings&lt;0</formula>
    </cfRule>
  </conditionalFormatting>
  <conditionalFormatting sqref="Q41:S41">
    <cfRule type="expression" dxfId="2" priority="117">
      <formula>rgEmergencyDrills=2</formula>
    </cfRule>
    <cfRule type="expression" dxfId="3" priority="118">
      <formula>rgEmergencyDrills=1</formula>
    </cfRule>
    <cfRule type="expression" dxfId="4" priority="119">
      <formula>rgEmergencyDrills=0</formula>
    </cfRule>
  </conditionalFormatting>
  <conditionalFormatting sqref="Q45:S45">
    <cfRule type="expression" dxfId="5" priority="120">
      <formula>gdEmergencyDrills&lt;0</formula>
    </cfRule>
  </conditionalFormatting>
  <conditionalFormatting sqref="Q47:S47">
    <cfRule type="expression" dxfId="2" priority="141">
      <formula>rgManagementVisits=2</formula>
    </cfRule>
    <cfRule type="expression" dxfId="3" priority="142">
      <formula>rgManagementVisits=1</formula>
    </cfRule>
    <cfRule type="expression" dxfId="4" priority="143">
      <formula>rgManagementVisits=0</formula>
    </cfRule>
  </conditionalFormatting>
  <conditionalFormatting sqref="Q51:S51">
    <cfRule type="expression" dxfId="5" priority="144">
      <formula>gdManagementVisits&lt;0</formula>
    </cfRule>
  </conditionalFormatting>
  <conditionalFormatting sqref="Q53:S53">
    <cfRule type="expression" dxfId="2" priority="165">
      <formula>rgAlcoholTests=2</formula>
    </cfRule>
    <cfRule type="expression" dxfId="3" priority="166">
      <formula>rgAlcoholTests=1</formula>
    </cfRule>
    <cfRule type="expression" dxfId="4" priority="167">
      <formula>rgAlcoholTests=0</formula>
    </cfRule>
  </conditionalFormatting>
  <conditionalFormatting sqref="Q57:S57">
    <cfRule type="expression" dxfId="5" priority="168">
      <formula>gdAlcoholTests&lt;0</formula>
    </cfRule>
  </conditionalFormatting>
  <conditionalFormatting sqref="Q59:S59">
    <cfRule type="expression" dxfId="2" priority="189">
      <formula>rgUnsafeActClosure=2</formula>
    </cfRule>
    <cfRule type="expression" dxfId="3" priority="190">
      <formula>rgUnsafeActClosure=1</formula>
    </cfRule>
    <cfRule type="expression" dxfId="4" priority="191">
      <formula>rgUnsafeActClosure=0</formula>
    </cfRule>
  </conditionalFormatting>
  <conditionalFormatting sqref="Q63:S63">
    <cfRule type="expression" dxfId="5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Calculations!EM12:EM23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Calculations!EL12:EL23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Calculations!EK12:EK23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Calculations!EJ12:EJ23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Calculations!EI12:EI23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Calculations!EH12:EH23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Calculations!EG12:EG23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Calculations!EF12:EF23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Calculations!EE12:EE23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Calculations!ED12:ED23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Calculations!EB12:EB23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Calculations!EA12:EA23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Calculations!DZ12:DZ23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Calculations!DY12:DY23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Calculations!DX12:DX23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D18</xm:sqref>
            </x14:sparkline>
          </x14:sparklines>
        </x14:sparklineGroup>
      </x14:sparklineGroups>
    </ext>
  </extLst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D71920"/>
    <pageSetUpPr fitToPage="1"/>
  </sheetPr>
  <dimension ref="A1:S137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2167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2168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</row>
    <row r="11" spans="2:19">
      <c r="B11" s="11" t="s">
        <v>2169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2:19">
      <c r="B13" s="37" t="s">
        <v>1681</v>
      </c>
      <c r="C13" s="37"/>
      <c r="D13" s="37"/>
      <c r="E13" s="37"/>
      <c r="F13" s="37" t="s">
        <v>1683</v>
      </c>
      <c r="G13" s="37"/>
      <c r="H13" s="37"/>
      <c r="I13" s="37"/>
      <c r="J13" s="37" t="s">
        <v>2115</v>
      </c>
      <c r="K13" s="37"/>
      <c r="L13" s="37"/>
      <c r="M13" s="37"/>
      <c r="N13" s="37" t="s">
        <v>2119</v>
      </c>
      <c r="O13" s="37"/>
      <c r="P13" s="37"/>
      <c r="Q13" s="37"/>
    </row>
    <row r="14" spans="2:19">
      <c r="B14" s="38">
        <f>Calculations!$DK$12</f>
        <v>0</v>
      </c>
      <c r="C14" s="38"/>
      <c r="D14" s="38"/>
      <c r="F14" s="38">
        <f>Calculations!$DK$13</f>
        <v>0</v>
      </c>
      <c r="G14" s="38"/>
      <c r="H14" s="38"/>
      <c r="J14" s="39">
        <f>Calculations!$DK$15</f>
        <v>0</v>
      </c>
      <c r="K14" s="39"/>
      <c r="L14" s="39"/>
      <c r="N14" s="39">
        <f>Calculations!$DK$19</f>
        <v>0</v>
      </c>
      <c r="O14" s="39"/>
      <c r="P14" s="39"/>
    </row>
    <row r="15" spans="2:19">
      <c r="B15" s="38"/>
      <c r="C15" s="38"/>
      <c r="D15" s="38"/>
      <c r="E15" s="38"/>
      <c r="F15" s="38"/>
      <c r="G15" s="38"/>
      <c r="H15" s="38"/>
      <c r="I15" s="38"/>
      <c r="J15" s="39"/>
      <c r="K15" s="39"/>
      <c r="L15" s="39"/>
      <c r="M15" s="39"/>
      <c r="N15" s="39"/>
      <c r="O15" s="39"/>
      <c r="P15" s="39"/>
      <c r="Q15" s="39"/>
    </row>
    <row r="16" spans="2:19">
      <c r="B16" s="55">
        <f>IF(Calculations!$DL$12=0,IF(Calculations!$DK$12&gt;0,"▲ new","● flat"),IF(Calculations!$DK$12=Calculations!$DL$12,"● flat",(IF(Calculations!$DK$12&gt;Calculations!$DL$12,"▲ ","▼ "))&amp;TEXT(ABS(Calculations!$DM$12),"0.0%")&amp;" vs prior"))</f>
        <v>0</v>
      </c>
      <c r="C16" s="55"/>
      <c r="D16" s="55"/>
      <c r="E16" s="55"/>
      <c r="F16" s="55">
        <f>IF(Calculations!$DL$13=0,IF(Calculations!$DK$13&gt;0,"▲ new","● flat"),IF(Calculations!$DK$13=Calculations!$DL$13,"● flat",(IF(Calculations!$DK$13&gt;Calculations!$DL$13,"▲ ","▼ "))&amp;TEXT(ABS(Calculations!$DM$13),"0.0%")&amp;" vs prior"))</f>
        <v>0</v>
      </c>
      <c r="G16" s="55"/>
      <c r="H16" s="55"/>
      <c r="I16" s="55"/>
      <c r="J16" s="55">
        <f>IF(Calculations!$DL$15=0,IF(Calculations!$DK$15&gt;0,"▲ new","● flat"),IF(Calculations!$DK$15=Calculations!$DL$15,"● flat",(IF(Calculations!$DK$15&gt;Calculations!$DL$15,"▲ ","▼ "))&amp;TEXT(ABS(Calculations!$DM$15),"0.0%")&amp;" vs prior"))</f>
        <v>0</v>
      </c>
      <c r="K16" s="55"/>
      <c r="L16" s="55"/>
      <c r="M16" s="55"/>
      <c r="N16" s="55">
        <f>IF(Calculations!$DL$19=0,IF(Calculations!$DK$19&gt;0,"▲ new","● flat"),IF(Calculations!$DK$19=Calculations!$DL$19,"● flat",(IF(Calculations!$DK$19&gt;Calculations!$DL$19,"▲ ","▼ "))&amp;TEXT(ABS(Calculations!$DM$19),"0.0%")&amp;" vs prior"))</f>
        <v>0</v>
      </c>
      <c r="O16" s="55"/>
      <c r="P16" s="55"/>
      <c r="Q16" s="55"/>
    </row>
    <row r="18" spans="2:19" ht="4" customHeight="1"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</row>
    <row r="19" spans="2:19">
      <c r="B19" s="37" t="s">
        <v>2170</v>
      </c>
      <c r="C19" s="37"/>
      <c r="D19" s="37"/>
      <c r="E19" s="37"/>
      <c r="F19" s="37" t="s">
        <v>2171</v>
      </c>
      <c r="G19" s="37"/>
      <c r="H19" s="37"/>
      <c r="I19" s="37"/>
      <c r="J19" s="37" t="s">
        <v>2172</v>
      </c>
      <c r="K19" s="37"/>
      <c r="L19" s="37"/>
      <c r="M19" s="37"/>
      <c r="N19" s="37" t="s">
        <v>2117</v>
      </c>
      <c r="O19" s="37"/>
      <c r="P19" s="37"/>
      <c r="Q19" s="37"/>
    </row>
    <row r="20" spans="2:19">
      <c r="B20" s="40">
        <f>Calculations!$DK$31</f>
        <v>0</v>
      </c>
      <c r="C20" s="40"/>
      <c r="D20" s="40"/>
      <c r="F20" s="40">
        <f>Calculations!$DK$29</f>
        <v>0</v>
      </c>
      <c r="G20" s="40"/>
      <c r="H20" s="40"/>
      <c r="J20" s="40">
        <f>Calculations!$DK$57</f>
        <v>0</v>
      </c>
      <c r="K20" s="40"/>
      <c r="L20" s="40"/>
      <c r="N20" s="39">
        <f>Calculations!$DK$17</f>
        <v>0</v>
      </c>
      <c r="O20" s="39"/>
      <c r="P20" s="39"/>
    </row>
    <row r="21" spans="2:19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39"/>
      <c r="O21" s="39"/>
      <c r="P21" s="39"/>
      <c r="Q21" s="39"/>
    </row>
    <row r="22" spans="2:19">
      <c r="B22" s="55">
        <f>IF(Calculations!$DL$31=0,IF(Calculations!$DK$31&gt;0,"▲ new","● flat"),IF(Calculations!$DK$31=Calculations!$DL$31,"● flat",(IF(Calculations!$DK$31&gt;Calculations!$DL$31,"▲ ","▼ "))&amp;TEXT(ABS(Calculations!$DM$31),"0.0%")&amp;" vs prior"))</f>
        <v>0</v>
      </c>
      <c r="C22" s="55"/>
      <c r="D22" s="55"/>
      <c r="E22" s="55"/>
      <c r="F22" s="55">
        <f>IF(Calculations!$DL$29=0,IF(Calculations!$DK$29&gt;0,"▲ new","● flat"),IF(Calculations!$DK$29=Calculations!$DL$29,"● flat",(IF(Calculations!$DK$29&gt;Calculations!$DL$29,"▲ ","▼ "))&amp;TEXT(ABS(Calculations!$DM$29),"0.0%")&amp;" vs prior"))</f>
        <v>0</v>
      </c>
      <c r="G22" s="55"/>
      <c r="H22" s="55"/>
      <c r="I22" s="55"/>
      <c r="J22" s="55">
        <f>IF(Calculations!$DL$57=0,IF(Calculations!$DK$57&gt;0,"▲ new","● flat"),IF(Calculations!$DK$57=Calculations!$DL$57,"● flat",(IF(Calculations!$DK$57&gt;Calculations!$DL$57,"▲ ","▼ "))&amp;TEXT(ABS(Calculations!$DM$57),"0.0%")&amp;" vs prior"))</f>
        <v>0</v>
      </c>
      <c r="K22" s="55"/>
      <c r="L22" s="55"/>
      <c r="M22" s="55"/>
      <c r="N22" s="55">
        <f>IF(Calculations!$DL$17=0,IF(Calculations!$DK$17&gt;0,"▲ new","● flat"),IF(Calculations!$DK$17=Calculations!$DL$17,"● flat",(IF(Calculations!$DK$17&gt;Calculations!$DL$17,"▲ ","▼ "))&amp;TEXT(ABS(Calculations!$DM$17),"0.0%")&amp;" vs prior"))</f>
        <v>0</v>
      </c>
      <c r="O22" s="55"/>
      <c r="P22" s="55"/>
      <c r="Q22" s="55"/>
    </row>
    <row r="24" spans="2:19">
      <c r="B24" s="11" t="s">
        <v>2173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41" spans="2:19">
      <c r="B41" s="11" t="s">
        <v>2174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2:19">
      <c r="B42" s="11" t="s">
        <v>2175</v>
      </c>
      <c r="C42" s="11"/>
      <c r="D42" s="11"/>
      <c r="E42" s="11"/>
      <c r="H42" s="11" t="s">
        <v>2176</v>
      </c>
      <c r="I42" s="11"/>
      <c r="J42" s="11"/>
      <c r="K42" s="11"/>
    </row>
    <row r="43" spans="2:19">
      <c r="B43" s="58">
        <f>INDEX(Calculations!$DI$125:$DI$127,1)</f>
        <v>0</v>
      </c>
      <c r="C43" s="58"/>
      <c r="D43" s="58"/>
      <c r="E43" s="59">
        <f>INDEX(Calculations!$DJ$125:$DJ$127,1)</f>
        <v>0</v>
      </c>
      <c r="H43" s="60">
        <f>INDEX(Calculations!$DI$129:$DI$131,1)</f>
        <v>0</v>
      </c>
      <c r="I43" s="60"/>
      <c r="J43" s="60"/>
      <c r="K43" s="59">
        <f>INDEX(Calculations!$DJ$129:$DJ$131,1)</f>
        <v>0</v>
      </c>
    </row>
    <row r="44" spans="2:19">
      <c r="B44" s="58">
        <f>INDEX(Calculations!$DI$125:$DI$127,2)</f>
        <v>0</v>
      </c>
      <c r="C44" s="58"/>
      <c r="D44" s="58"/>
      <c r="E44" s="59">
        <f>INDEX(Calculations!$DJ$125:$DJ$127,2)</f>
        <v>0</v>
      </c>
      <c r="H44" s="60">
        <f>INDEX(Calculations!$DI$129:$DI$131,2)</f>
        <v>0</v>
      </c>
      <c r="I44" s="60"/>
      <c r="J44" s="60"/>
      <c r="K44" s="59">
        <f>INDEX(Calculations!$DJ$129:$DJ$131,2)</f>
        <v>0</v>
      </c>
    </row>
    <row r="45" spans="2:19">
      <c r="B45" s="58">
        <f>INDEX(Calculations!$DI$125:$DI$127,3)</f>
        <v>0</v>
      </c>
      <c r="C45" s="58"/>
      <c r="D45" s="58"/>
      <c r="E45" s="59">
        <f>INDEX(Calculations!$DJ$125:$DJ$127,3)</f>
        <v>0</v>
      </c>
      <c r="H45" s="60">
        <f>INDEX(Calculations!$DI$129:$DI$131,3)</f>
        <v>0</v>
      </c>
      <c r="I45" s="60"/>
      <c r="J45" s="60"/>
      <c r="K45" s="59">
        <f>INDEX(Calculations!$DJ$129:$DJ$131,3)</f>
        <v>0</v>
      </c>
    </row>
    <row r="49" spans="2:19">
      <c r="B49" s="11" t="s">
        <v>2177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2:19">
      <c r="B50" s="12" t="s">
        <v>1950</v>
      </c>
      <c r="C50" s="12" t="s">
        <v>2178</v>
      </c>
      <c r="D50" s="12" t="s">
        <v>1902</v>
      </c>
    </row>
    <row r="51" spans="2:19">
      <c r="B51" s="13" t="s">
        <v>1701</v>
      </c>
      <c r="C51" s="13" t="s">
        <v>1861</v>
      </c>
      <c r="D51" s="22">
        <f>rgToolboxAvgAttendance</f>
        <v>0</v>
      </c>
    </row>
    <row r="52" spans="2:19">
      <c r="B52" s="13" t="s">
        <v>1703</v>
      </c>
      <c r="C52" s="13" t="s">
        <v>1863</v>
      </c>
      <c r="D52" s="22">
        <f>rgJSAApproved</f>
        <v>0</v>
      </c>
    </row>
    <row r="53" spans="2:19">
      <c r="B53" s="13" t="s">
        <v>1704</v>
      </c>
      <c r="C53" s="13" t="s">
        <v>1865</v>
      </c>
      <c r="D53" s="22">
        <f>rgTrainingCompliance</f>
        <v>0</v>
      </c>
    </row>
    <row r="54" spans="2:19">
      <c r="B54" s="13" t="s">
        <v>1705</v>
      </c>
      <c r="C54" s="13" t="s">
        <v>1866</v>
      </c>
      <c r="D54" s="22">
        <f>rgObsClosure</f>
        <v>0</v>
      </c>
    </row>
    <row r="55" spans="2:19">
      <c r="B55" s="13" t="s">
        <v>1706</v>
      </c>
      <c r="C55" s="13" t="s">
        <v>1867</v>
      </c>
      <c r="D55" s="22">
        <f>rgWorkplaceInspClosure</f>
        <v>0</v>
      </c>
    </row>
    <row r="56" spans="2:19">
      <c r="B56" s="13" t="s">
        <v>1707</v>
      </c>
      <c r="C56" s="13" t="s">
        <v>1868</v>
      </c>
      <c r="D56" s="22">
        <f>rgEquipmentCriticalFindings</f>
        <v>0</v>
      </c>
    </row>
    <row r="57" spans="2:19">
      <c r="B57" s="13" t="s">
        <v>1708</v>
      </c>
      <c r="C57" s="13" t="s">
        <v>1708</v>
      </c>
      <c r="D57" s="22">
        <f>rgSafetyWalkthroughs</f>
        <v>0</v>
      </c>
    </row>
    <row r="58" spans="2:19">
      <c r="B58" s="13" t="s">
        <v>1709</v>
      </c>
      <c r="C58" s="13" t="s">
        <v>1869</v>
      </c>
      <c r="D58" s="22">
        <f>rgMeetingsCloseout</f>
        <v>0</v>
      </c>
    </row>
    <row r="59" spans="2:19">
      <c r="B59" s="13" t="s">
        <v>1710</v>
      </c>
      <c r="C59" s="13" t="s">
        <v>1870</v>
      </c>
      <c r="D59" s="22">
        <f>rgBulletinReach</f>
        <v>0</v>
      </c>
    </row>
    <row r="60" spans="2:19">
      <c r="B60" s="13" t="s">
        <v>1711</v>
      </c>
      <c r="C60" s="13" t="s">
        <v>1871</v>
      </c>
      <c r="D60" s="22">
        <f>rgDrillParticipation</f>
        <v>0</v>
      </c>
    </row>
    <row r="61" spans="2:19">
      <c r="B61" s="13" t="s">
        <v>1712</v>
      </c>
      <c r="C61" s="13" t="s">
        <v>1872</v>
      </c>
      <c r="D61" s="22">
        <f>rgInternalAuditNCs</f>
        <v>0</v>
      </c>
    </row>
    <row r="62" spans="2:19">
      <c r="B62" s="13" t="s">
        <v>1713</v>
      </c>
      <c r="C62" s="13" t="s">
        <v>1873</v>
      </c>
      <c r="D62" s="22">
        <f>rgExternalAuditNCs</f>
        <v>0</v>
      </c>
    </row>
    <row r="63" spans="2:19">
      <c r="B63" s="13" t="s">
        <v>1714</v>
      </c>
      <c r="C63" s="13" t="s">
        <v>1874</v>
      </c>
      <c r="D63" s="22">
        <f>rgMgmtVisitCloseout</f>
        <v>0</v>
      </c>
    </row>
    <row r="64" spans="2:19">
      <c r="B64" s="13" t="s">
        <v>1715</v>
      </c>
      <c r="C64" s="13" t="s">
        <v>1875</v>
      </c>
      <c r="D64" s="22">
        <f>rgMgmtReviewAttendance</f>
        <v>0</v>
      </c>
    </row>
    <row r="65" spans="2:19">
      <c r="B65" s="13" t="s">
        <v>1716</v>
      </c>
      <c r="C65" s="13" t="s">
        <v>1856</v>
      </c>
      <c r="D65" s="22">
        <f>rgDisciplinary</f>
        <v>0</v>
      </c>
    </row>
    <row r="66" spans="2:19">
      <c r="B66" s="13" t="s">
        <v>1717</v>
      </c>
      <c r="C66" s="13" t="s">
        <v>1717</v>
      </c>
      <c r="D66" s="22">
        <f>rgSafetyAwards</f>
        <v>0</v>
      </c>
    </row>
    <row r="67" spans="2:19">
      <c r="B67" s="13" t="s">
        <v>1718</v>
      </c>
      <c r="C67" s="13" t="s">
        <v>1718</v>
      </c>
      <c r="D67" s="22">
        <f>rgStopWorkAuthority</f>
        <v>0</v>
      </c>
    </row>
    <row r="68" spans="2:19">
      <c r="B68" s="13" t="s">
        <v>1719</v>
      </c>
      <c r="C68" s="13" t="s">
        <v>1859</v>
      </c>
      <c r="D68" s="22">
        <f>rgAlcoholPositive</f>
        <v>0</v>
      </c>
    </row>
    <row r="69" spans="2:19">
      <c r="B69" s="13" t="s">
        <v>1720</v>
      </c>
      <c r="C69" s="13" t="s">
        <v>1876</v>
      </c>
      <c r="D69" s="22">
        <f>rgPTWCompliance</f>
        <v>0</v>
      </c>
    </row>
    <row r="70" spans="2:19">
      <c r="B70" s="13" t="s">
        <v>1721</v>
      </c>
      <c r="C70" s="13" t="s">
        <v>1877</v>
      </c>
      <c r="D70" s="22">
        <f>rgCAClosure</f>
        <v>0</v>
      </c>
    </row>
    <row r="71" spans="2:19">
      <c r="B71" s="13" t="s">
        <v>1722</v>
      </c>
      <c r="C71" s="13" t="s">
        <v>1858</v>
      </c>
      <c r="D71" s="22">
        <f>rgNCClosure</f>
        <v>0</v>
      </c>
    </row>
    <row r="72" spans="2:19">
      <c r="B72" s="13" t="s">
        <v>1723</v>
      </c>
      <c r="C72" s="13" t="s">
        <v>1879</v>
      </c>
      <c r="D72" s="22">
        <f>rgUnsafeActClosure</f>
        <v>0</v>
      </c>
    </row>
    <row r="73" spans="2:19">
      <c r="B73" s="13" t="s">
        <v>1724</v>
      </c>
      <c r="C73" s="13" t="s">
        <v>1881</v>
      </c>
      <c r="D73" s="22">
        <f>rgUnsafeConditionClosure</f>
        <v>0</v>
      </c>
    </row>
    <row r="74" spans="2:19">
      <c r="B74" s="13" t="s">
        <v>1725</v>
      </c>
      <c r="C74" s="13" t="s">
        <v>1681</v>
      </c>
      <c r="D74" s="22">
        <f>rgTRIR</f>
        <v>0</v>
      </c>
    </row>
    <row r="77" spans="2:19">
      <c r="B77" s="11" t="s">
        <v>2179</v>
      </c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2:19">
      <c r="B78" s="12" t="s">
        <v>2180</v>
      </c>
      <c r="C78" s="12" t="s">
        <v>129</v>
      </c>
      <c r="D78" s="12" t="s">
        <v>1914</v>
      </c>
      <c r="E78" s="12" t="s">
        <v>1854</v>
      </c>
      <c r="F78" s="12" t="s">
        <v>1954</v>
      </c>
      <c r="G78" s="12" t="s">
        <v>1955</v>
      </c>
      <c r="H78" s="12" t="s">
        <v>1956</v>
      </c>
    </row>
    <row r="79" spans="2:19">
      <c r="B79" s="23">
        <v>1</v>
      </c>
      <c r="C79" s="13">
        <f>INDEX(Calculations!$J$363:$J$372,1)</f>
        <v>0</v>
      </c>
      <c r="D79" s="22">
        <f>INDEX(Calculations!$K$363:$K$372,1)</f>
        <v>0</v>
      </c>
      <c r="E79" s="22">
        <f>INDEX(Calculations!$C$363:$C$372,MATCH(INDEX(Calculations!$J$363:$J$372,1),Calculations!$B$363:$B$372,0))</f>
        <v>0</v>
      </c>
      <c r="F79" s="25">
        <f>INDEX(Calculations!$D$363:$D$372,MATCH(INDEX(Calculations!$J$363:$J$372,1),Calculations!$B$363:$B$372,0))</f>
        <v>0</v>
      </c>
      <c r="G79" s="25">
        <f>INDEX(Calculations!$E$363:$E$372,MATCH(INDEX(Calculations!$J$363:$J$372,1),Calculations!$B$363:$B$372,0))</f>
        <v>0</v>
      </c>
      <c r="H79" s="25">
        <f>INDEX(Calculations!$F$363:$F$372,MATCH(INDEX(Calculations!$J$363:$J$372,1),Calculations!$B$363:$B$372,0))</f>
        <v>0</v>
      </c>
    </row>
    <row r="80" spans="2:19">
      <c r="B80" s="23">
        <v>2</v>
      </c>
      <c r="C80" s="13">
        <f>INDEX(Calculations!$J$363:$J$372,2)</f>
        <v>0</v>
      </c>
      <c r="D80" s="22">
        <f>INDEX(Calculations!$K$363:$K$372,2)</f>
        <v>0</v>
      </c>
      <c r="E80" s="22">
        <f>INDEX(Calculations!$C$363:$C$372,MATCH(INDEX(Calculations!$J$363:$J$372,2),Calculations!$B$363:$B$372,0))</f>
        <v>0</v>
      </c>
      <c r="F80" s="25">
        <f>INDEX(Calculations!$D$363:$D$372,MATCH(INDEX(Calculations!$J$363:$J$372,2),Calculations!$B$363:$B$372,0))</f>
        <v>0</v>
      </c>
      <c r="G80" s="25">
        <f>INDEX(Calculations!$E$363:$E$372,MATCH(INDEX(Calculations!$J$363:$J$372,2),Calculations!$B$363:$B$372,0))</f>
        <v>0</v>
      </c>
      <c r="H80" s="25">
        <f>INDEX(Calculations!$F$363:$F$372,MATCH(INDEX(Calculations!$J$363:$J$372,2),Calculations!$B$363:$B$372,0))</f>
        <v>0</v>
      </c>
    </row>
    <row r="81" spans="2:19">
      <c r="B81" s="23">
        <v>3</v>
      </c>
      <c r="C81" s="13">
        <f>INDEX(Calculations!$J$363:$J$372,3)</f>
        <v>0</v>
      </c>
      <c r="D81" s="22">
        <f>INDEX(Calculations!$K$363:$K$372,3)</f>
        <v>0</v>
      </c>
      <c r="E81" s="22">
        <f>INDEX(Calculations!$C$363:$C$372,MATCH(INDEX(Calculations!$J$363:$J$372,3),Calculations!$B$363:$B$372,0))</f>
        <v>0</v>
      </c>
      <c r="F81" s="25">
        <f>INDEX(Calculations!$D$363:$D$372,MATCH(INDEX(Calculations!$J$363:$J$372,3),Calculations!$B$363:$B$372,0))</f>
        <v>0</v>
      </c>
      <c r="G81" s="25">
        <f>INDEX(Calculations!$E$363:$E$372,MATCH(INDEX(Calculations!$J$363:$J$372,3),Calculations!$B$363:$B$372,0))</f>
        <v>0</v>
      </c>
      <c r="H81" s="25">
        <f>INDEX(Calculations!$F$363:$F$372,MATCH(INDEX(Calculations!$J$363:$J$372,3),Calculations!$B$363:$B$372,0))</f>
        <v>0</v>
      </c>
    </row>
    <row r="82" spans="2:19">
      <c r="B82" s="23">
        <v>4</v>
      </c>
      <c r="C82" s="13">
        <f>INDEX(Calculations!$J$363:$J$372,4)</f>
        <v>0</v>
      </c>
      <c r="D82" s="22">
        <f>INDEX(Calculations!$K$363:$K$372,4)</f>
        <v>0</v>
      </c>
      <c r="E82" s="22">
        <f>INDEX(Calculations!$C$363:$C$372,MATCH(INDEX(Calculations!$J$363:$J$372,4),Calculations!$B$363:$B$372,0))</f>
        <v>0</v>
      </c>
      <c r="F82" s="25">
        <f>INDEX(Calculations!$D$363:$D$372,MATCH(INDEX(Calculations!$J$363:$J$372,4),Calculations!$B$363:$B$372,0))</f>
        <v>0</v>
      </c>
      <c r="G82" s="25">
        <f>INDEX(Calculations!$E$363:$E$372,MATCH(INDEX(Calculations!$J$363:$J$372,4),Calculations!$B$363:$B$372,0))</f>
        <v>0</v>
      </c>
      <c r="H82" s="25">
        <f>INDEX(Calculations!$F$363:$F$372,MATCH(INDEX(Calculations!$J$363:$J$372,4),Calculations!$B$363:$B$372,0))</f>
        <v>0</v>
      </c>
    </row>
    <row r="83" spans="2:19">
      <c r="B83" s="23">
        <v>5</v>
      </c>
      <c r="C83" s="13">
        <f>INDEX(Calculations!$J$363:$J$372,5)</f>
        <v>0</v>
      </c>
      <c r="D83" s="22">
        <f>INDEX(Calculations!$K$363:$K$372,5)</f>
        <v>0</v>
      </c>
      <c r="E83" s="22">
        <f>INDEX(Calculations!$C$363:$C$372,MATCH(INDEX(Calculations!$J$363:$J$372,5),Calculations!$B$363:$B$372,0))</f>
        <v>0</v>
      </c>
      <c r="F83" s="25">
        <f>INDEX(Calculations!$D$363:$D$372,MATCH(INDEX(Calculations!$J$363:$J$372,5),Calculations!$B$363:$B$372,0))</f>
        <v>0</v>
      </c>
      <c r="G83" s="25">
        <f>INDEX(Calculations!$E$363:$E$372,MATCH(INDEX(Calculations!$J$363:$J$372,5),Calculations!$B$363:$B$372,0))</f>
        <v>0</v>
      </c>
      <c r="H83" s="25">
        <f>INDEX(Calculations!$F$363:$F$372,MATCH(INDEX(Calculations!$J$363:$J$372,5),Calculations!$B$363:$B$372,0))</f>
        <v>0</v>
      </c>
    </row>
    <row r="84" spans="2:19">
      <c r="B84" s="23">
        <v>6</v>
      </c>
      <c r="C84" s="13">
        <f>INDEX(Calculations!$J$363:$J$372,6)</f>
        <v>0</v>
      </c>
      <c r="D84" s="22">
        <f>INDEX(Calculations!$K$363:$K$372,6)</f>
        <v>0</v>
      </c>
      <c r="E84" s="22">
        <f>INDEX(Calculations!$C$363:$C$372,MATCH(INDEX(Calculations!$J$363:$J$372,6),Calculations!$B$363:$B$372,0))</f>
        <v>0</v>
      </c>
      <c r="F84" s="25">
        <f>INDEX(Calculations!$D$363:$D$372,MATCH(INDEX(Calculations!$J$363:$J$372,6),Calculations!$B$363:$B$372,0))</f>
        <v>0</v>
      </c>
      <c r="G84" s="25">
        <f>INDEX(Calculations!$E$363:$E$372,MATCH(INDEX(Calculations!$J$363:$J$372,6),Calculations!$B$363:$B$372,0))</f>
        <v>0</v>
      </c>
      <c r="H84" s="25">
        <f>INDEX(Calculations!$F$363:$F$372,MATCH(INDEX(Calculations!$J$363:$J$372,6),Calculations!$B$363:$B$372,0))</f>
        <v>0</v>
      </c>
    </row>
    <row r="85" spans="2:19">
      <c r="B85" s="23">
        <v>7</v>
      </c>
      <c r="C85" s="13">
        <f>INDEX(Calculations!$J$363:$J$372,7)</f>
        <v>0</v>
      </c>
      <c r="D85" s="22">
        <f>INDEX(Calculations!$K$363:$K$372,7)</f>
        <v>0</v>
      </c>
      <c r="E85" s="22">
        <f>INDEX(Calculations!$C$363:$C$372,MATCH(INDEX(Calculations!$J$363:$J$372,7),Calculations!$B$363:$B$372,0))</f>
        <v>0</v>
      </c>
      <c r="F85" s="25">
        <f>INDEX(Calculations!$D$363:$D$372,MATCH(INDEX(Calculations!$J$363:$J$372,7),Calculations!$B$363:$B$372,0))</f>
        <v>0</v>
      </c>
      <c r="G85" s="25">
        <f>INDEX(Calculations!$E$363:$E$372,MATCH(INDEX(Calculations!$J$363:$J$372,7),Calculations!$B$363:$B$372,0))</f>
        <v>0</v>
      </c>
      <c r="H85" s="25">
        <f>INDEX(Calculations!$F$363:$F$372,MATCH(INDEX(Calculations!$J$363:$J$372,7),Calculations!$B$363:$B$372,0))</f>
        <v>0</v>
      </c>
    </row>
    <row r="86" spans="2:19">
      <c r="B86" s="23">
        <v>8</v>
      </c>
      <c r="C86" s="13">
        <f>INDEX(Calculations!$J$363:$J$372,8)</f>
        <v>0</v>
      </c>
      <c r="D86" s="22">
        <f>INDEX(Calculations!$K$363:$K$372,8)</f>
        <v>0</v>
      </c>
      <c r="E86" s="22">
        <f>INDEX(Calculations!$C$363:$C$372,MATCH(INDEX(Calculations!$J$363:$J$372,8),Calculations!$B$363:$B$372,0))</f>
        <v>0</v>
      </c>
      <c r="F86" s="25">
        <f>INDEX(Calculations!$D$363:$D$372,MATCH(INDEX(Calculations!$J$363:$J$372,8),Calculations!$B$363:$B$372,0))</f>
        <v>0</v>
      </c>
      <c r="G86" s="25">
        <f>INDEX(Calculations!$E$363:$E$372,MATCH(INDEX(Calculations!$J$363:$J$372,8),Calculations!$B$363:$B$372,0))</f>
        <v>0</v>
      </c>
      <c r="H86" s="25">
        <f>INDEX(Calculations!$F$363:$F$372,MATCH(INDEX(Calculations!$J$363:$J$372,8),Calculations!$B$363:$B$372,0))</f>
        <v>0</v>
      </c>
    </row>
    <row r="89" spans="2:19">
      <c r="B89" s="11" t="s">
        <v>2181</v>
      </c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2:19">
      <c r="N90" s="61" t="s">
        <v>1953</v>
      </c>
      <c r="O90" s="61"/>
      <c r="P90" s="61"/>
      <c r="Q90" s="61"/>
      <c r="R90" s="61"/>
    </row>
    <row r="91" spans="2:19">
      <c r="N91" s="62">
        <f>Calculations!$C$360</f>
        <v>0</v>
      </c>
      <c r="O91" s="62"/>
      <c r="P91" s="62"/>
      <c r="Q91" s="62"/>
      <c r="R91" s="62"/>
    </row>
    <row r="92" spans="2:19">
      <c r="N92" s="62"/>
      <c r="O92" s="62"/>
      <c r="P92" s="62"/>
      <c r="Q92" s="62"/>
      <c r="R92" s="62"/>
    </row>
    <row r="93" spans="2:19">
      <c r="N93" s="62"/>
      <c r="O93" s="62"/>
      <c r="P93" s="62"/>
      <c r="Q93" s="62"/>
      <c r="R93" s="62"/>
    </row>
    <row r="94" spans="2:19">
      <c r="N94" s="62"/>
      <c r="O94" s="62"/>
      <c r="P94" s="62"/>
      <c r="Q94" s="62"/>
      <c r="R94" s="62"/>
    </row>
    <row r="95" spans="2:19">
      <c r="N95" s="62"/>
      <c r="O95" s="62"/>
      <c r="P95" s="62"/>
      <c r="Q95" s="62"/>
      <c r="R95" s="62"/>
    </row>
    <row r="96" spans="2:19">
      <c r="N96" s="62"/>
      <c r="O96" s="62"/>
      <c r="P96" s="62"/>
      <c r="Q96" s="62"/>
      <c r="R96" s="62"/>
    </row>
    <row r="106" spans="2:19">
      <c r="B106" s="11" t="s">
        <v>2182</v>
      </c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2:19">
      <c r="I107" s="12" t="s">
        <v>2183</v>
      </c>
      <c r="J107" s="12" t="s">
        <v>1505</v>
      </c>
      <c r="K107" s="12" t="s">
        <v>1546</v>
      </c>
      <c r="L107" s="12" t="s">
        <v>1571</v>
      </c>
      <c r="M107" s="12" t="s">
        <v>1582</v>
      </c>
    </row>
    <row r="108" spans="2:19">
      <c r="I108" s="13" t="s">
        <v>1853</v>
      </c>
      <c r="J108" s="22">
        <f>SUM(Calculations!$O$12:$O$14)</f>
        <v>0</v>
      </c>
      <c r="K108" s="22">
        <f>SUM(Calculations!$O$15:$O$17)</f>
        <v>0</v>
      </c>
      <c r="L108" s="22">
        <f>SUM(Calculations!$O$18:$O$20)</f>
        <v>0</v>
      </c>
      <c r="M108" s="22">
        <f>SUM(Calculations!$O$21:$O$23)</f>
        <v>0</v>
      </c>
    </row>
    <row r="109" spans="2:19">
      <c r="I109" s="13" t="s">
        <v>2184</v>
      </c>
      <c r="J109" s="25">
        <f>IFERROR(SUM(Calculations!$S$12:$S$14)/SUM(Calculations!$R$12:$R$14)*100,0)</f>
        <v>0</v>
      </c>
      <c r="K109" s="25">
        <f>IFERROR(SUM(Calculations!$S$15:$S$17)/SUM(Calculations!$R$15:$R$17)*100,0)</f>
        <v>0</v>
      </c>
      <c r="L109" s="25">
        <f>IFERROR(SUM(Calculations!$S$18:$S$20)/SUM(Calculations!$R$18:$R$20)*100,0)</f>
        <v>0</v>
      </c>
      <c r="M109" s="25">
        <f>IFERROR(SUM(Calculations!$S$21:$S$23)/SUM(Calculations!$R$21:$R$23)*100,0)</f>
        <v>0</v>
      </c>
    </row>
    <row r="110" spans="2:19">
      <c r="I110" s="13" t="s">
        <v>1956</v>
      </c>
      <c r="J110" s="25">
        <f>IFERROR(SUM(Calculations!$AC$12:$AC$14)/SUM(Calculations!$AB$12:$AB$14)*100,0)</f>
        <v>0</v>
      </c>
      <c r="K110" s="25">
        <f>IFERROR(SUM(Calculations!$AC$15:$AC$17)/SUM(Calculations!$AB$15:$AB$17)*100,0)</f>
        <v>0</v>
      </c>
      <c r="L110" s="25">
        <f>IFERROR(SUM(Calculations!$AC$18:$AC$20)/SUM(Calculations!$AB$18:$AB$20)*100,0)</f>
        <v>0</v>
      </c>
      <c r="M110" s="25">
        <f>IFERROR(SUM(Calculations!$AC$21:$AC$23)/SUM(Calculations!$AB$21:$AB$23)*100,0)</f>
        <v>0</v>
      </c>
    </row>
    <row r="123" spans="2:19">
      <c r="B123" s="11" t="s">
        <v>2185</v>
      </c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2:19">
      <c r="B124" s="12" t="s">
        <v>1970</v>
      </c>
      <c r="C124" s="12" t="s">
        <v>2186</v>
      </c>
      <c r="D124" s="12" t="s">
        <v>2187</v>
      </c>
      <c r="E124" s="12" t="s">
        <v>2188</v>
      </c>
    </row>
    <row r="125" spans="2:19">
      <c r="B125" s="13" t="s">
        <v>1681</v>
      </c>
      <c r="C125" s="23">
        <f>AVERAGE(INDEX(Calculations!$CI$12:$CI$23,1):INDEX(Calculations!$CI$12:$CI$23,IF(CurMonthNo=0,12,CurMonthNo)))</f>
        <v>0</v>
      </c>
      <c r="D125" s="23">
        <f>PYTRIR</f>
        <v>0</v>
      </c>
      <c r="E125" s="13">
        <f>IF(PYTRIR=0,"(enter prior year data)",TEXT((C125-PYTRIR)/PYTRIR,"+0.0%;-0.0%"))</f>
        <v>0</v>
      </c>
    </row>
    <row r="126" spans="2:19">
      <c r="B126" s="13" t="s">
        <v>1683</v>
      </c>
      <c r="C126" s="23">
        <f>AVERAGE(INDEX(Calculations!$CJ$12:$CJ$23,1):INDEX(Calculations!$CJ$12:$CJ$23,IF(CurMonthNo=0,12,CurMonthNo)))</f>
        <v>0</v>
      </c>
      <c r="D126" s="23">
        <f>PYLTIFR</f>
        <v>0</v>
      </c>
      <c r="E126" s="13">
        <f>IF(PYLTIFR=0,"(enter prior year data)",TEXT((C126-PYLTIFR)/PYLTIFR,"+0.0%;-0.0%"))</f>
        <v>0</v>
      </c>
    </row>
    <row r="127" spans="2:19">
      <c r="B127" s="13" t="s">
        <v>1853</v>
      </c>
      <c r="C127" s="22">
        <f>SUM(INDEX(Calculations!$O$12:$O$23,1):INDEX(Calculations!$O$12:$O$23,IF(CurMonthNo=0,12,CurMonthNo)))</f>
        <v>0</v>
      </c>
      <c r="D127" s="22">
        <f>PYTotalInc</f>
        <v>0</v>
      </c>
      <c r="E127" s="13">
        <f>IF(PYTotalInc=0,"(enter prior year data)",TEXT((C127-PYTotalInc)/PYTotalInc,"+0.0%;-0.0%"))</f>
        <v>0</v>
      </c>
    </row>
    <row r="128" spans="2:19">
      <c r="B128" s="13" t="s">
        <v>2184</v>
      </c>
      <c r="C128" s="25">
        <f>IFERROR(SUM(INDEX(Calculations!$S$12:$S$23,1):INDEX(Calculations!$S$12:$S$23,IF(CurMonthNo=0,12,CurMonthNo)))/SUM(INDEX(Calculations!$R$12:$R$23,1):INDEX(Calculations!$R$12:$R$23,IF(CurMonthNo=0,12,CurMonthNo)))*100,0)</f>
        <v>0</v>
      </c>
      <c r="D128" s="25">
        <f>PYTrain</f>
        <v>0</v>
      </c>
      <c r="E128" s="13">
        <f>IF(PYTrain=0,"(enter prior year data)",TEXT((C128-PYTrain)/PYTrain,"+0.0%;-0.0%"))</f>
        <v>0</v>
      </c>
    </row>
    <row r="129" spans="2:19">
      <c r="B129" s="13" t="s">
        <v>1955</v>
      </c>
      <c r="C129" s="25">
        <f>IFERROR(SUM(INDEX(Calculations!$U$12:$U$23,1):INDEX(Calculations!$U$12:$U$23,IF(CurMonthNo=0,12,CurMonthNo)))/SUM(INDEX(Calculations!$T$12:$T$23,1):INDEX(Calculations!$T$12:$T$23,IF(CurMonthNo=0,12,CurMonthNo)))*100,0)</f>
        <v>0</v>
      </c>
      <c r="D129" s="25">
        <f>PYObs</f>
        <v>0</v>
      </c>
      <c r="E129" s="13">
        <f>IF(PYObs=0,"(enter prior year data)",TEXT((C129-PYObs)/PYObs,"+0.0%;-0.0%"))</f>
        <v>0</v>
      </c>
    </row>
    <row r="130" spans="2:19">
      <c r="B130" s="13" t="s">
        <v>1956</v>
      </c>
      <c r="C130" s="25">
        <f>IFERROR(SUM(INDEX(Calculations!$AC$12:$AC$23,1):INDEX(Calculations!$AC$12:$AC$23,IF(CurMonthNo=0,12,CurMonthNo)))/SUM(INDEX(Calculations!$AB$12:$AB$23,1):INDEX(Calculations!$AB$12:$AB$23,IF(CurMonthNo=0,12,CurMonthNo)))*100,0)</f>
        <v>0</v>
      </c>
      <c r="D130" s="25">
        <f>PYCA</f>
        <v>0</v>
      </c>
      <c r="E130" s="13">
        <f>IF(PYCA=0,"(enter prior year data)",TEXT((C130-PYCA)/PYCA,"+0.0%;-0.0%"))</f>
        <v>0</v>
      </c>
    </row>
    <row r="133" spans="2:19">
      <c r="B133" s="11" t="s">
        <v>2189</v>
      </c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2:19" ht="28" customHeight="1">
      <c r="B134" s="63">
        <f>"• TRIR is "&amp;TEXT(TRIR,"0.00")&amp;"  ("&amp;TEXT(Calculations!$DM$12,"+0.0%;-0.0%")&amp;" vs the prior period)"</f>
        <v>0</v>
      </c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</row>
    <row r="135" spans="2:19" ht="28" customHeight="1">
      <c r="B135" s="63">
        <f>"• Department League: "&amp;INDEX(Calculations!$J$363:$J$372,8)&amp;" has the lowest composite safety score this period ("&amp;INDEX(Calculations!$K$363:$K$372,8)&amp;"/100) — review its training, observation-closure and CA-closure rates."</f>
        <v>0</v>
      </c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</row>
    <row r="136" spans="2:19" ht="28" customHeight="1">
      <c r="B136" s="63">
        <f>"• System-wide backlog: "&amp;Calculations!$C$360&amp;" items are currently overdue across CA, NC, Inspections and Unsafe Act/Condition registers; "&amp;INDEX(Calculations!$C$355:$C$358,4)&amp;" have been open more than 30 days."</f>
        <v>0</v>
      </c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</row>
    <row r="137" spans="2:19" ht="28" customHeight="1">
      <c r="B137" s="63">
        <f>"• Leading:Lagging ratio is "&amp;TEXT(INDEX(Calculations!$CP$12:$CP$23,12),"0.0")&amp;":1 this month, versus "&amp;TEXT(INDEX(Calculations!$CP$12:$CP$23,11),"0.0")&amp;":1 last month."</f>
        <v>0</v>
      </c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</row>
  </sheetData>
  <mergeCells count="60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  <mergeCell ref="B49:S49"/>
    <mergeCell ref="B77:S77"/>
    <mergeCell ref="B89:S89"/>
    <mergeCell ref="N90:R90"/>
    <mergeCell ref="N91:R96"/>
    <mergeCell ref="B106:S106"/>
    <mergeCell ref="B123:S123"/>
    <mergeCell ref="B133:S133"/>
    <mergeCell ref="B134:S134"/>
    <mergeCell ref="B135:S135"/>
    <mergeCell ref="B136:S136"/>
    <mergeCell ref="B137:S137"/>
  </mergeCells>
  <conditionalFormatting sqref="B12:E12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6:E16">
    <cfRule type="expression" dxfId="5" priority="4">
      <formula>gdTRIR&lt;0</formula>
    </cfRule>
  </conditionalFormatting>
  <conditionalFormatting sqref="B18:E18">
    <cfRule type="expression" dxfId="2" priority="17">
      <formula>rgObsClosure=2</formula>
    </cfRule>
    <cfRule type="expression" dxfId="3" priority="18">
      <formula>rgObsClosure=1</formula>
    </cfRule>
    <cfRule type="expression" dxfId="4" priority="19">
      <formula>rgObsClosure=0</formula>
    </cfRule>
  </conditionalFormatting>
  <conditionalFormatting sqref="B22:E22">
    <cfRule type="expression" dxfId="5" priority="20">
      <formula>gdObsClosure&lt;0</formula>
    </cfRule>
  </conditionalFormatting>
  <conditionalFormatting sqref="D79:D86">
    <cfRule type="dataBar" priority="33">
      <dataBar>
        <cfvo type="min" val="0"/>
        <cfvo type="max" val="0"/>
        <color rgb="FF15A34A"/>
      </dataBar>
    </cfRule>
  </conditionalFormatting>
  <conditionalFormatting sqref="F12:I12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F16:I16">
    <cfRule type="expression" dxfId="5" priority="8">
      <formula>gdLTIFR&lt;0</formula>
    </cfRule>
  </conditionalFormatting>
  <conditionalFormatting sqref="F18:I18">
    <cfRule type="expression" dxfId="2" priority="21">
      <formula>rgTrainingCompliance=2</formula>
    </cfRule>
    <cfRule type="expression" dxfId="3" priority="22">
      <formula>rgTrainingCompliance=1</formula>
    </cfRule>
    <cfRule type="expression" dxfId="4" priority="23">
      <formula>rgTrainingCompliance=0</formula>
    </cfRule>
  </conditionalFormatting>
  <conditionalFormatting sqref="F22:I22">
    <cfRule type="expression" dxfId="5" priority="24">
      <formula>gdTrainingCompliance&lt;0</formula>
    </cfRule>
  </conditionalFormatting>
  <conditionalFormatting sqref="J12:M12">
    <cfRule type="expression" dxfId="2" priority="9">
      <formula>rgRecordable=2</formula>
    </cfRule>
    <cfRule type="expression" dxfId="3" priority="10">
      <formula>rgRecordable=1</formula>
    </cfRule>
    <cfRule type="expression" dxfId="4" priority="11">
      <formula>rgRecordable=0</formula>
    </cfRule>
  </conditionalFormatting>
  <conditionalFormatting sqref="J16:M16">
    <cfRule type="expression" dxfId="5" priority="12">
      <formula>gdRecordable&lt;0</formula>
    </cfRule>
  </conditionalFormatting>
  <conditionalFormatting sqref="J18:M18">
    <cfRule type="expression" dxfId="2" priority="25">
      <formula>rgCAClosure=2</formula>
    </cfRule>
    <cfRule type="expression" dxfId="3" priority="26">
      <formula>rgCAClosure=1</formula>
    </cfRule>
    <cfRule type="expression" dxfId="4" priority="27">
      <formula>rgCAClosure=0</formula>
    </cfRule>
  </conditionalFormatting>
  <conditionalFormatting sqref="J22:M22">
    <cfRule type="expression" dxfId="5" priority="28">
      <formula>gdCAClosure&lt;0</formula>
    </cfRule>
  </conditionalFormatting>
  <conditionalFormatting sqref="N12:Q12">
    <cfRule type="expression" dxfId="2" priority="13">
      <formula>rgLostDays=2</formula>
    </cfRule>
    <cfRule type="expression" dxfId="3" priority="14">
      <formula>rgLostDays=1</formula>
    </cfRule>
    <cfRule type="expression" dxfId="4" priority="15">
      <formula>rgLostDays=0</formula>
    </cfRule>
  </conditionalFormatting>
  <conditionalFormatting sqref="N16:Q16">
    <cfRule type="expression" dxfId="5" priority="16">
      <formula>gdLostDays&lt;0</formula>
    </cfRule>
  </conditionalFormatting>
  <conditionalFormatting sqref="N18:Q18">
    <cfRule type="expression" dxfId="2" priority="29">
      <formula>rgNearMiss=2</formula>
    </cfRule>
    <cfRule type="expression" dxfId="3" priority="30">
      <formula>rgNearMiss=1</formula>
    </cfRule>
    <cfRule type="expression" dxfId="4" priority="31">
      <formula>rgNearMiss=0</formula>
    </cfRule>
  </conditionalFormatting>
  <conditionalFormatting sqref="N22:Q22">
    <cfRule type="expression" dxfId="5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Calculations!EK12:EK23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Calculations!EB12:EB23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E15</xm:sqref>
            </x14:sparkline>
          </x14:sparklines>
        </x14:sparklineGroup>
      </x14:sparklineGroups>
    </ext>
  </extLst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  <pageSetUpPr fitToPage="1"/>
  </sheetPr>
  <dimension ref="A1:S82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2190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2191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2194</v>
      </c>
      <c r="C13" s="37"/>
      <c r="D13" s="37"/>
      <c r="E13" s="37"/>
      <c r="F13" s="37" t="s">
        <v>2196</v>
      </c>
      <c r="G13" s="37"/>
      <c r="H13" s="37"/>
      <c r="I13" s="37"/>
      <c r="J13" s="37" t="s">
        <v>2197</v>
      </c>
      <c r="K13" s="37"/>
      <c r="L13" s="37"/>
      <c r="M13" s="37"/>
      <c r="N13" s="37" t="s">
        <v>2198</v>
      </c>
      <c r="O13" s="37"/>
      <c r="P13" s="37"/>
      <c r="Q13" s="37"/>
    </row>
    <row r="14" spans="2:19">
      <c r="B14" s="39">
        <f>Calculations!$N$484</f>
        <v>0</v>
      </c>
      <c r="C14" s="39"/>
      <c r="D14" s="39"/>
      <c r="E14" s="39"/>
      <c r="F14" s="39">
        <f>Calculations!$N$485</f>
        <v>0</v>
      </c>
      <c r="G14" s="39"/>
      <c r="H14" s="39"/>
      <c r="I14" s="39"/>
      <c r="J14" s="39">
        <f>Calculations!$N$486</f>
        <v>0</v>
      </c>
      <c r="K14" s="39"/>
      <c r="L14" s="39"/>
      <c r="M14" s="39"/>
      <c r="N14" s="40">
        <f>Calculations!$N$487</f>
        <v>0</v>
      </c>
      <c r="O14" s="40"/>
      <c r="P14" s="40"/>
      <c r="Q14" s="40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40"/>
      <c r="O15" s="40"/>
      <c r="P15" s="40"/>
      <c r="Q15" s="40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2199</v>
      </c>
      <c r="C19" s="37"/>
      <c r="D19" s="37"/>
      <c r="E19" s="37"/>
      <c r="F19" s="37" t="s">
        <v>2200</v>
      </c>
      <c r="G19" s="37"/>
      <c r="H19" s="37"/>
      <c r="I19" s="37"/>
      <c r="J19" s="37" t="s">
        <v>2201</v>
      </c>
      <c r="K19" s="37"/>
      <c r="L19" s="37"/>
      <c r="M19" s="37"/>
      <c r="N19" s="37" t="s">
        <v>2202</v>
      </c>
      <c r="O19" s="37"/>
      <c r="P19" s="37"/>
      <c r="Q19" s="37"/>
    </row>
    <row r="20" spans="2:19">
      <c r="B20" s="39">
        <f>Calculations!$N$488</f>
        <v>0</v>
      </c>
      <c r="C20" s="39"/>
      <c r="D20" s="39"/>
      <c r="E20" s="39"/>
      <c r="F20" s="39">
        <f>Calculations!$N$489</f>
        <v>0</v>
      </c>
      <c r="G20" s="39"/>
      <c r="H20" s="39"/>
      <c r="I20" s="39"/>
      <c r="J20" s="39">
        <f>Calculations!$N$490</f>
        <v>0</v>
      </c>
      <c r="K20" s="39"/>
      <c r="L20" s="39"/>
      <c r="M20" s="39"/>
      <c r="N20" s="39">
        <f>Calculations!$N$491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"&amp;INDEX(Calculations!$C$484:$C$495,CurMonthNo)&amp;"   vs   "&amp;INDEX(L_Month,CurMonthNo-1)&amp;": "&amp;INDEX(Calculations!$C$484:$C$495,CurMonthNo-1)&amp;"   "&amp;IF(INDEX(Calculations!$C$484:$C$495,CurMonthNo)&gt;=INDEX(Calculations!$C$484:$C$495,CurMonthNo-1),"▲ ","▼ ")&amp;TEXT(IFERROR((INDEX(Calculations!$C$484:$C$495,CurMonthNo)-INDEX(Calculations!$C$484:$C$495,CurMonthNo-1))/INDEX(Calculations!$C$484:$C$495,CurMonthNo-1),0),"+0.0%;-0.0%")))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2204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>
        <f>Calculations!$B$269</f>
        <v>0</v>
      </c>
      <c r="C44" s="12">
        <f>Calculations!$C$269</f>
        <v>0</v>
      </c>
      <c r="D44" s="12">
        <f>Calculations!$D$269</f>
        <v>0</v>
      </c>
      <c r="E44" s="12">
        <f>Calculations!$E$269</f>
        <v>0</v>
      </c>
      <c r="F44" s="12">
        <f>Calculations!$F$269</f>
        <v>0</v>
      </c>
      <c r="G44" s="12">
        <f>Calculations!$G$269</f>
        <v>0</v>
      </c>
      <c r="H44" s="12">
        <f>Calculations!$H$269</f>
        <v>0</v>
      </c>
    </row>
    <row r="45" spans="2:19">
      <c r="B45" s="13">
        <f>Calculations!$B$270</f>
        <v>0</v>
      </c>
      <c r="C45" s="28">
        <f>Calculations!$C$270</f>
        <v>0</v>
      </c>
      <c r="D45" s="28">
        <f>Calculations!$D$270</f>
        <v>0</v>
      </c>
      <c r="E45" s="28">
        <f>Calculations!$E$270</f>
        <v>0</v>
      </c>
      <c r="F45" s="28">
        <f>Calculations!$F$270</f>
        <v>0</v>
      </c>
      <c r="G45" s="28">
        <f>Calculations!$G$270</f>
        <v>0</v>
      </c>
      <c r="H45" s="28">
        <f>Calculations!$H$270</f>
        <v>0</v>
      </c>
    </row>
    <row r="46" spans="2:19">
      <c r="B46" s="13">
        <f>Calculations!$B$271</f>
        <v>0</v>
      </c>
      <c r="C46" s="28">
        <f>Calculations!$C$271</f>
        <v>0</v>
      </c>
      <c r="D46" s="28">
        <f>Calculations!$D$271</f>
        <v>0</v>
      </c>
      <c r="E46" s="28">
        <f>Calculations!$E$271</f>
        <v>0</v>
      </c>
      <c r="F46" s="28">
        <f>Calculations!$F$271</f>
        <v>0</v>
      </c>
      <c r="G46" s="28">
        <f>Calculations!$G$271</f>
        <v>0</v>
      </c>
      <c r="H46" s="28">
        <f>Calculations!$H$271</f>
        <v>0</v>
      </c>
    </row>
    <row r="47" spans="2:19">
      <c r="B47" s="13">
        <f>Calculations!$B$272</f>
        <v>0</v>
      </c>
      <c r="C47" s="28">
        <f>Calculations!$C$272</f>
        <v>0</v>
      </c>
      <c r="D47" s="28">
        <f>Calculations!$D$272</f>
        <v>0</v>
      </c>
      <c r="E47" s="28">
        <f>Calculations!$E$272</f>
        <v>0</v>
      </c>
      <c r="F47" s="28">
        <f>Calculations!$F$272</f>
        <v>0</v>
      </c>
      <c r="G47" s="28">
        <f>Calculations!$G$272</f>
        <v>0</v>
      </c>
      <c r="H47" s="28">
        <f>Calculations!$H$272</f>
        <v>0</v>
      </c>
    </row>
    <row r="48" spans="2:19">
      <c r="B48" s="13">
        <f>Calculations!$B$273</f>
        <v>0</v>
      </c>
      <c r="C48" s="28">
        <f>Calculations!$C$273</f>
        <v>0</v>
      </c>
      <c r="D48" s="28">
        <f>Calculations!$D$273</f>
        <v>0</v>
      </c>
      <c r="E48" s="28">
        <f>Calculations!$E$273</f>
        <v>0</v>
      </c>
      <c r="F48" s="28">
        <f>Calculations!$F$273</f>
        <v>0</v>
      </c>
      <c r="G48" s="28">
        <f>Calculations!$G$273</f>
        <v>0</v>
      </c>
      <c r="H48" s="28">
        <f>Calculations!$H$273</f>
        <v>0</v>
      </c>
    </row>
    <row r="49" spans="2:19">
      <c r="B49" s="13">
        <f>Calculations!$B$274</f>
        <v>0</v>
      </c>
      <c r="C49" s="28">
        <f>Calculations!$C$274</f>
        <v>0</v>
      </c>
      <c r="D49" s="28">
        <f>Calculations!$D$274</f>
        <v>0</v>
      </c>
      <c r="E49" s="28">
        <f>Calculations!$E$274</f>
        <v>0</v>
      </c>
      <c r="F49" s="28">
        <f>Calculations!$F$274</f>
        <v>0</v>
      </c>
      <c r="G49" s="28">
        <f>Calculations!$G$274</f>
        <v>0</v>
      </c>
      <c r="H49" s="28">
        <f>Calculations!$H$274</f>
        <v>0</v>
      </c>
    </row>
    <row r="50" spans="2:19">
      <c r="B50" s="13">
        <f>Calculations!$B$275</f>
        <v>0</v>
      </c>
      <c r="C50" s="28">
        <f>Calculations!$C$275</f>
        <v>0</v>
      </c>
      <c r="D50" s="28">
        <f>Calculations!$D$275</f>
        <v>0</v>
      </c>
      <c r="E50" s="28">
        <f>Calculations!$E$275</f>
        <v>0</v>
      </c>
      <c r="F50" s="28">
        <f>Calculations!$F$275</f>
        <v>0</v>
      </c>
      <c r="G50" s="28">
        <f>Calculations!$G$275</f>
        <v>0</v>
      </c>
      <c r="H50" s="28">
        <f>Calculations!$H$275</f>
        <v>0</v>
      </c>
    </row>
    <row r="51" spans="2:19">
      <c r="B51" s="13">
        <f>Calculations!$B$276</f>
        <v>0</v>
      </c>
      <c r="C51" s="28">
        <f>Calculations!$C$276</f>
        <v>0</v>
      </c>
      <c r="D51" s="28">
        <f>Calculations!$D$276</f>
        <v>0</v>
      </c>
      <c r="E51" s="28">
        <f>Calculations!$E$276</f>
        <v>0</v>
      </c>
      <c r="F51" s="28">
        <f>Calculations!$F$276</f>
        <v>0</v>
      </c>
      <c r="G51" s="28">
        <f>Calculations!$G$276</f>
        <v>0</v>
      </c>
      <c r="H51" s="28">
        <f>Calculations!$H$276</f>
        <v>0</v>
      </c>
    </row>
    <row r="52" spans="2:19">
      <c r="B52" s="13">
        <f>Calculations!$B$277</f>
        <v>0</v>
      </c>
      <c r="C52" s="28">
        <f>Calculations!$C$277</f>
        <v>0</v>
      </c>
      <c r="D52" s="28">
        <f>Calculations!$D$277</f>
        <v>0</v>
      </c>
      <c r="E52" s="28">
        <f>Calculations!$E$277</f>
        <v>0</v>
      </c>
      <c r="F52" s="28">
        <f>Calculations!$F$277</f>
        <v>0</v>
      </c>
      <c r="G52" s="28">
        <f>Calculations!$G$277</f>
        <v>0</v>
      </c>
      <c r="H52" s="28">
        <f>Calculations!$H$277</f>
        <v>0</v>
      </c>
    </row>
    <row r="55" spans="2:19">
      <c r="B55" s="11" t="s">
        <v>2205</v>
      </c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2:19">
      <c r="B56" s="12" t="s">
        <v>129</v>
      </c>
      <c r="C56" s="12" t="s">
        <v>1887</v>
      </c>
      <c r="D56" s="12" t="s">
        <v>1694</v>
      </c>
      <c r="E56" s="12" t="s">
        <v>1969</v>
      </c>
    </row>
    <row r="57" spans="2:19">
      <c r="B57" s="13">
        <f>IFERROR(Calculations!$P$484,"")</f>
        <v>0</v>
      </c>
      <c r="C57" s="22">
        <f>IFERROR(Calculations!$Q$484,"")</f>
        <v>0</v>
      </c>
      <c r="D57" s="22">
        <f>IFERROR(Calculations!$R$484,"")</f>
        <v>0</v>
      </c>
      <c r="E57" s="25">
        <f>IFERROR(Calculations!$S$484,"")</f>
        <v>0</v>
      </c>
    </row>
    <row r="58" spans="2:19">
      <c r="B58" s="13">
        <f>IFERROR(Calculations!$P$485,"")</f>
        <v>0</v>
      </c>
      <c r="C58" s="22">
        <f>IFERROR(Calculations!$Q$485,"")</f>
        <v>0</v>
      </c>
      <c r="D58" s="22">
        <f>IFERROR(Calculations!$R$485,"")</f>
        <v>0</v>
      </c>
      <c r="E58" s="25">
        <f>IFERROR(Calculations!$S$485,"")</f>
        <v>0</v>
      </c>
    </row>
    <row r="59" spans="2:19">
      <c r="B59" s="13">
        <f>IFERROR(Calculations!$P$486,"")</f>
        <v>0</v>
      </c>
      <c r="C59" s="22">
        <f>IFERROR(Calculations!$Q$486,"")</f>
        <v>0</v>
      </c>
      <c r="D59" s="22">
        <f>IFERROR(Calculations!$R$486,"")</f>
        <v>0</v>
      </c>
      <c r="E59" s="25">
        <f>IFERROR(Calculations!$S$486,"")</f>
        <v>0</v>
      </c>
    </row>
    <row r="60" spans="2:19">
      <c r="B60" s="13">
        <f>IFERROR(Calculations!$P$487,"")</f>
        <v>0</v>
      </c>
      <c r="C60" s="22">
        <f>IFERROR(Calculations!$Q$487,"")</f>
        <v>0</v>
      </c>
      <c r="D60" s="22">
        <f>IFERROR(Calculations!$R$487,"")</f>
        <v>0</v>
      </c>
      <c r="E60" s="25">
        <f>IFERROR(Calculations!$S$487,"")</f>
        <v>0</v>
      </c>
    </row>
    <row r="61" spans="2:19">
      <c r="B61" s="13">
        <f>IFERROR(Calculations!$P$488,"")</f>
        <v>0</v>
      </c>
      <c r="C61" s="22">
        <f>IFERROR(Calculations!$Q$488,"")</f>
        <v>0</v>
      </c>
      <c r="D61" s="22">
        <f>IFERROR(Calculations!$R$488,"")</f>
        <v>0</v>
      </c>
      <c r="E61" s="25">
        <f>IFERROR(Calculations!$S$488,"")</f>
        <v>0</v>
      </c>
    </row>
    <row r="62" spans="2:19">
      <c r="B62" s="13">
        <f>IFERROR(Calculations!$P$489,"")</f>
        <v>0</v>
      </c>
      <c r="C62" s="22">
        <f>IFERROR(Calculations!$Q$489,"")</f>
        <v>0</v>
      </c>
      <c r="D62" s="22">
        <f>IFERROR(Calculations!$R$489,"")</f>
        <v>0</v>
      </c>
      <c r="E62" s="25">
        <f>IFERROR(Calculations!$S$489,"")</f>
        <v>0</v>
      </c>
    </row>
    <row r="63" spans="2:19">
      <c r="B63" s="13">
        <f>IFERROR(Calculations!$P$490,"")</f>
        <v>0</v>
      </c>
      <c r="C63" s="22">
        <f>IFERROR(Calculations!$Q$490,"")</f>
        <v>0</v>
      </c>
      <c r="D63" s="22">
        <f>IFERROR(Calculations!$R$490,"")</f>
        <v>0</v>
      </c>
      <c r="E63" s="25">
        <f>IFERROR(Calculations!$S$490,"")</f>
        <v>0</v>
      </c>
    </row>
    <row r="64" spans="2:19">
      <c r="B64" s="13">
        <f>IFERROR(Calculations!$P$491,"")</f>
        <v>0</v>
      </c>
      <c r="C64" s="22">
        <f>IFERROR(Calculations!$Q$491,"")</f>
        <v>0</v>
      </c>
      <c r="D64" s="22">
        <f>IFERROR(Calculations!$R$491,"")</f>
        <v>0</v>
      </c>
      <c r="E64" s="25">
        <f>IFERROR(Calculations!$S$491,"")</f>
        <v>0</v>
      </c>
    </row>
    <row r="65" spans="2:19">
      <c r="B65" s="13">
        <f>IFERROR(Calculations!$P$492,"")</f>
        <v>0</v>
      </c>
      <c r="C65" s="22">
        <f>IFERROR(Calculations!$Q$492,"")</f>
        <v>0</v>
      </c>
      <c r="D65" s="22">
        <f>IFERROR(Calculations!$R$492,"")</f>
        <v>0</v>
      </c>
      <c r="E65" s="25">
        <f>IFERROR(Calculations!$S$492,"")</f>
        <v>0</v>
      </c>
    </row>
    <row r="66" spans="2:19">
      <c r="B66" s="13">
        <f>IFERROR(Calculations!$P$493,"")</f>
        <v>0</v>
      </c>
      <c r="C66" s="22">
        <f>IFERROR(Calculations!$Q$493,"")</f>
        <v>0</v>
      </c>
      <c r="D66" s="22">
        <f>IFERROR(Calculations!$R$493,"")</f>
        <v>0</v>
      </c>
      <c r="E66" s="25">
        <f>IFERROR(Calculations!$S$493,"")</f>
        <v>0</v>
      </c>
    </row>
    <row r="72" spans="2:19">
      <c r="B72" s="11" t="s">
        <v>2206</v>
      </c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2:19">
      <c r="B73" s="12" t="s">
        <v>1970</v>
      </c>
      <c r="C73" s="12" t="s">
        <v>3</v>
      </c>
      <c r="D73" s="12" t="s">
        <v>19</v>
      </c>
      <c r="E73" s="12" t="s">
        <v>44</v>
      </c>
      <c r="F73" s="12" t="s">
        <v>53</v>
      </c>
      <c r="G73" s="12" t="s">
        <v>60</v>
      </c>
      <c r="H73" s="12" t="s">
        <v>73</v>
      </c>
      <c r="I73" s="12" t="s">
        <v>76</v>
      </c>
      <c r="J73" s="12" t="s">
        <v>86</v>
      </c>
      <c r="K73" s="12" t="s">
        <v>102</v>
      </c>
      <c r="L73" s="12" t="s">
        <v>106</v>
      </c>
      <c r="M73" s="12" t="s">
        <v>111</v>
      </c>
      <c r="N73" s="12" t="s">
        <v>122</v>
      </c>
      <c r="O73" s="12" t="s">
        <v>1971</v>
      </c>
    </row>
    <row r="74" spans="2:19">
      <c r="B74" s="13">
        <f>IF(Calculations!$U$484="","",Calculations!$U$484)</f>
        <v>0</v>
      </c>
      <c r="C74" s="22">
        <f>IFERROR(Calculations!$V$484,"")</f>
        <v>0</v>
      </c>
      <c r="D74" s="22">
        <f>IFERROR(Calculations!$W$484,"")</f>
        <v>0</v>
      </c>
      <c r="E74" s="22">
        <f>IFERROR(Calculations!$X$484,"")</f>
        <v>0</v>
      </c>
      <c r="F74" s="22">
        <f>IFERROR(Calculations!$Y$484,"")</f>
        <v>0</v>
      </c>
      <c r="G74" s="22">
        <f>IFERROR(Calculations!$Z$484,"")</f>
        <v>0</v>
      </c>
      <c r="H74" s="22">
        <f>IFERROR(Calculations!$AA$484,"")</f>
        <v>0</v>
      </c>
      <c r="I74" s="22">
        <f>IFERROR(Calculations!$AB$484,"")</f>
        <v>0</v>
      </c>
      <c r="J74" s="22">
        <f>IFERROR(Calculations!$AC$484,"")</f>
        <v>0</v>
      </c>
      <c r="K74" s="22">
        <f>IFERROR(Calculations!$AD$484,"")</f>
        <v>0</v>
      </c>
      <c r="L74" s="22">
        <f>IFERROR(Calculations!$AE$484,"")</f>
        <v>0</v>
      </c>
      <c r="M74" s="22">
        <f>IFERROR(Calculations!$AF$484,"")</f>
        <v>0</v>
      </c>
      <c r="N74" s="22">
        <f>IFERROR(Calculations!$AG$484,"")</f>
        <v>0</v>
      </c>
      <c r="O74" s="22">
        <f>IFERROR(Calculations!$AH$484,"")</f>
        <v>0</v>
      </c>
    </row>
    <row r="75" spans="2:19">
      <c r="B75" s="13">
        <f>IF(Calculations!$U$485="","",Calculations!$U$485)</f>
        <v>0</v>
      </c>
      <c r="C75" s="22">
        <f>IFERROR(Calculations!$V$485,"")</f>
        <v>0</v>
      </c>
      <c r="D75" s="22">
        <f>IFERROR(Calculations!$W$485,"")</f>
        <v>0</v>
      </c>
      <c r="E75" s="22">
        <f>IFERROR(Calculations!$X$485,"")</f>
        <v>0</v>
      </c>
      <c r="F75" s="22">
        <f>IFERROR(Calculations!$Y$485,"")</f>
        <v>0</v>
      </c>
      <c r="G75" s="22">
        <f>IFERROR(Calculations!$Z$485,"")</f>
        <v>0</v>
      </c>
      <c r="H75" s="22">
        <f>IFERROR(Calculations!$AA$485,"")</f>
        <v>0</v>
      </c>
      <c r="I75" s="22">
        <f>IFERROR(Calculations!$AB$485,"")</f>
        <v>0</v>
      </c>
      <c r="J75" s="22">
        <f>IFERROR(Calculations!$AC$485,"")</f>
        <v>0</v>
      </c>
      <c r="K75" s="22">
        <f>IFERROR(Calculations!$AD$485,"")</f>
        <v>0</v>
      </c>
      <c r="L75" s="22">
        <f>IFERROR(Calculations!$AE$485,"")</f>
        <v>0</v>
      </c>
      <c r="M75" s="22">
        <f>IFERROR(Calculations!$AF$485,"")</f>
        <v>0</v>
      </c>
      <c r="N75" s="22">
        <f>IFERROR(Calculations!$AG$485,"")</f>
        <v>0</v>
      </c>
      <c r="O75" s="22">
        <f>IFERROR(Calculations!$AH$485,"")</f>
        <v>0</v>
      </c>
    </row>
    <row r="76" spans="2:19">
      <c r="B76" s="13">
        <f>IF(Calculations!$U$486="","",Calculations!$U$486)</f>
        <v>0</v>
      </c>
      <c r="C76" s="22">
        <f>IFERROR(Calculations!$V$486,"")</f>
        <v>0</v>
      </c>
      <c r="D76" s="22">
        <f>IFERROR(Calculations!$W$486,"")</f>
        <v>0</v>
      </c>
      <c r="E76" s="22">
        <f>IFERROR(Calculations!$X$486,"")</f>
        <v>0</v>
      </c>
      <c r="F76" s="22">
        <f>IFERROR(Calculations!$Y$486,"")</f>
        <v>0</v>
      </c>
      <c r="G76" s="22">
        <f>IFERROR(Calculations!$Z$486,"")</f>
        <v>0</v>
      </c>
      <c r="H76" s="22">
        <f>IFERROR(Calculations!$AA$486,"")</f>
        <v>0</v>
      </c>
      <c r="I76" s="22">
        <f>IFERROR(Calculations!$AB$486,"")</f>
        <v>0</v>
      </c>
      <c r="J76" s="22">
        <f>IFERROR(Calculations!$AC$486,"")</f>
        <v>0</v>
      </c>
      <c r="K76" s="22">
        <f>IFERROR(Calculations!$AD$486,"")</f>
        <v>0</v>
      </c>
      <c r="L76" s="22">
        <f>IFERROR(Calculations!$AE$486,"")</f>
        <v>0</v>
      </c>
      <c r="M76" s="22">
        <f>IFERROR(Calculations!$AF$486,"")</f>
        <v>0</v>
      </c>
      <c r="N76" s="22">
        <f>IFERROR(Calculations!$AG$486,"")</f>
        <v>0</v>
      </c>
      <c r="O76" s="22">
        <f>IFERROR(Calculations!$AH$486,"")</f>
        <v>0</v>
      </c>
    </row>
    <row r="77" spans="2:19">
      <c r="B77" s="13">
        <f>IF(Calculations!$U$487="","",Calculations!$U$487)</f>
        <v>0</v>
      </c>
      <c r="C77" s="22">
        <f>IFERROR(Calculations!$V$487,"")</f>
        <v>0</v>
      </c>
      <c r="D77" s="22">
        <f>IFERROR(Calculations!$W$487,"")</f>
        <v>0</v>
      </c>
      <c r="E77" s="22">
        <f>IFERROR(Calculations!$X$487,"")</f>
        <v>0</v>
      </c>
      <c r="F77" s="22">
        <f>IFERROR(Calculations!$Y$487,"")</f>
        <v>0</v>
      </c>
      <c r="G77" s="22">
        <f>IFERROR(Calculations!$Z$487,"")</f>
        <v>0</v>
      </c>
      <c r="H77" s="22">
        <f>IFERROR(Calculations!$AA$487,"")</f>
        <v>0</v>
      </c>
      <c r="I77" s="22">
        <f>IFERROR(Calculations!$AB$487,"")</f>
        <v>0</v>
      </c>
      <c r="J77" s="22">
        <f>IFERROR(Calculations!$AC$487,"")</f>
        <v>0</v>
      </c>
      <c r="K77" s="22">
        <f>IFERROR(Calculations!$AD$487,"")</f>
        <v>0</v>
      </c>
      <c r="L77" s="22">
        <f>IFERROR(Calculations!$AE$487,"")</f>
        <v>0</v>
      </c>
      <c r="M77" s="22">
        <f>IFERROR(Calculations!$AF$487,"")</f>
        <v>0</v>
      </c>
      <c r="N77" s="22">
        <f>IFERROR(Calculations!$AG$487,"")</f>
        <v>0</v>
      </c>
      <c r="O77" s="22">
        <f>IFERROR(Calculations!$AH$487,"")</f>
        <v>0</v>
      </c>
    </row>
    <row r="78" spans="2:19">
      <c r="B78" s="13">
        <f>IF(Calculations!$U$488="","",Calculations!$U$488)</f>
        <v>0</v>
      </c>
      <c r="C78" s="22">
        <f>IFERROR(Calculations!$V$488,"")</f>
        <v>0</v>
      </c>
      <c r="D78" s="22">
        <f>IFERROR(Calculations!$W$488,"")</f>
        <v>0</v>
      </c>
      <c r="E78" s="22">
        <f>IFERROR(Calculations!$X$488,"")</f>
        <v>0</v>
      </c>
      <c r="F78" s="22">
        <f>IFERROR(Calculations!$Y$488,"")</f>
        <v>0</v>
      </c>
      <c r="G78" s="22">
        <f>IFERROR(Calculations!$Z$488,"")</f>
        <v>0</v>
      </c>
      <c r="H78" s="22">
        <f>IFERROR(Calculations!$AA$488,"")</f>
        <v>0</v>
      </c>
      <c r="I78" s="22">
        <f>IFERROR(Calculations!$AB$488,"")</f>
        <v>0</v>
      </c>
      <c r="J78" s="22">
        <f>IFERROR(Calculations!$AC$488,"")</f>
        <v>0</v>
      </c>
      <c r="K78" s="22">
        <f>IFERROR(Calculations!$AD$488,"")</f>
        <v>0</v>
      </c>
      <c r="L78" s="22">
        <f>IFERROR(Calculations!$AE$488,"")</f>
        <v>0</v>
      </c>
      <c r="M78" s="22">
        <f>IFERROR(Calculations!$AF$488,"")</f>
        <v>0</v>
      </c>
      <c r="N78" s="22">
        <f>IFERROR(Calculations!$AG$488,"")</f>
        <v>0</v>
      </c>
      <c r="O78" s="22">
        <f>IFERROR(Calculations!$AH$488,"")</f>
        <v>0</v>
      </c>
    </row>
    <row r="79" spans="2:19">
      <c r="B79" s="13">
        <f>IF(Calculations!$U$489="","",Calculations!$U$489)</f>
        <v>0</v>
      </c>
      <c r="C79" s="22">
        <f>IFERROR(Calculations!$V$489,"")</f>
        <v>0</v>
      </c>
      <c r="D79" s="22">
        <f>IFERROR(Calculations!$W$489,"")</f>
        <v>0</v>
      </c>
      <c r="E79" s="22">
        <f>IFERROR(Calculations!$X$489,"")</f>
        <v>0</v>
      </c>
      <c r="F79" s="22">
        <f>IFERROR(Calculations!$Y$489,"")</f>
        <v>0</v>
      </c>
      <c r="G79" s="22">
        <f>IFERROR(Calculations!$Z$489,"")</f>
        <v>0</v>
      </c>
      <c r="H79" s="22">
        <f>IFERROR(Calculations!$AA$489,"")</f>
        <v>0</v>
      </c>
      <c r="I79" s="22">
        <f>IFERROR(Calculations!$AB$489,"")</f>
        <v>0</v>
      </c>
      <c r="J79" s="22">
        <f>IFERROR(Calculations!$AC$489,"")</f>
        <v>0</v>
      </c>
      <c r="K79" s="22">
        <f>IFERROR(Calculations!$AD$489,"")</f>
        <v>0</v>
      </c>
      <c r="L79" s="22">
        <f>IFERROR(Calculations!$AE$489,"")</f>
        <v>0</v>
      </c>
      <c r="M79" s="22">
        <f>IFERROR(Calculations!$AF$489,"")</f>
        <v>0</v>
      </c>
      <c r="N79" s="22">
        <f>IFERROR(Calculations!$AG$489,"")</f>
        <v>0</v>
      </c>
      <c r="O79" s="22">
        <f>IFERROR(Calculations!$AH$489,"")</f>
        <v>0</v>
      </c>
    </row>
    <row r="82" spans="2:19">
      <c r="B82" s="11" t="s">
        <v>2207</v>
      </c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</sheetData>
  <mergeCells count="4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55:S55"/>
    <mergeCell ref="B72:S72"/>
    <mergeCell ref="B82:S82"/>
  </mergeCells>
  <conditionalFormatting sqref="C45:H52">
    <cfRule type="colorScale" priority="1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conditionalFormatting sqref="C57:C66">
    <cfRule type="dataBar" priority="2">
      <dataBar>
        <cfvo type="min" val="0"/>
        <cfvo type="max" val="0"/>
        <color rgb="FF0B6EA8"/>
      </dataBar>
    </cfRule>
  </conditionalFormatting>
  <conditionalFormatting sqref="C75:N75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2208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2209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2210</v>
      </c>
      <c r="C13" s="37"/>
      <c r="D13" s="37"/>
      <c r="E13" s="37"/>
      <c r="F13" s="37" t="s">
        <v>2211</v>
      </c>
      <c r="G13" s="37"/>
      <c r="H13" s="37"/>
      <c r="I13" s="37"/>
      <c r="J13" s="37" t="s">
        <v>2212</v>
      </c>
      <c r="K13" s="37"/>
      <c r="L13" s="37"/>
      <c r="M13" s="37"/>
      <c r="N13" s="37" t="s">
        <v>2213</v>
      </c>
      <c r="O13" s="37"/>
      <c r="P13" s="37"/>
      <c r="Q13" s="37"/>
    </row>
    <row r="14" spans="2:19">
      <c r="B14" s="39">
        <f>Calculations!$N$510</f>
        <v>0</v>
      </c>
      <c r="C14" s="39"/>
      <c r="D14" s="39"/>
      <c r="E14" s="39"/>
      <c r="F14" s="39">
        <f>Calculations!$N$511</f>
        <v>0</v>
      </c>
      <c r="G14" s="39"/>
      <c r="H14" s="39"/>
      <c r="I14" s="39"/>
      <c r="J14" s="39">
        <f>Calculations!$N$512</f>
        <v>0</v>
      </c>
      <c r="K14" s="39"/>
      <c r="L14" s="39"/>
      <c r="M14" s="39"/>
      <c r="N14" s="39">
        <f>Calculations!$N$513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2214</v>
      </c>
      <c r="C19" s="37"/>
      <c r="D19" s="37"/>
      <c r="E19" s="37"/>
      <c r="F19" s="37" t="s">
        <v>2215</v>
      </c>
      <c r="G19" s="37"/>
      <c r="H19" s="37"/>
      <c r="I19" s="37"/>
      <c r="J19" s="37" t="s">
        <v>2216</v>
      </c>
      <c r="K19" s="37"/>
      <c r="L19" s="37"/>
      <c r="M19" s="37"/>
      <c r="N19" s="37" t="s">
        <v>2217</v>
      </c>
      <c r="O19" s="37"/>
      <c r="P19" s="37"/>
      <c r="Q19" s="37"/>
    </row>
    <row r="20" spans="2:19">
      <c r="B20" s="39">
        <f>Calculations!$N$514</f>
        <v>0</v>
      </c>
      <c r="C20" s="39"/>
      <c r="D20" s="39"/>
      <c r="E20" s="39"/>
      <c r="F20" s="39">
        <f>Calculations!$N$515</f>
        <v>0</v>
      </c>
      <c r="G20" s="39"/>
      <c r="H20" s="39"/>
      <c r="I20" s="39"/>
      <c r="J20" s="39">
        <f>Calculations!$N$516</f>
        <v>0</v>
      </c>
      <c r="K20" s="39"/>
      <c r="L20" s="39"/>
      <c r="M20" s="39"/>
      <c r="N20" s="39">
        <f>Calculations!$N$517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"&amp;INDEX(Calculations!$C$510:$C$521,CurMonthNo)&amp;"   vs   "&amp;INDEX(L_Month,CurMonthNo-1)&amp;": "&amp;INDEX(Calculations!$C$510:$C$521,CurMonthNo-1)&amp;"   "&amp;IF(INDEX(Calculations!$C$510:$C$521,CurMonthNo)&gt;=INDEX(Calculations!$C$510:$C$521,CurMonthNo-1),"▲ ","▼ ")&amp;TEXT(IFERROR((INDEX(Calculations!$C$510:$C$521,CurMonthNo)-INDEX(Calculations!$C$510:$C$521,CurMonthNo-1))/INDEX(Calculations!$C$510:$C$521,CurMonthNo-1),0),"+0.0%;-0.0%")))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IFERROR(Calculations!$P$510,"")</f>
        <v>0</v>
      </c>
      <c r="C45" s="22">
        <f>IFERROR(Calculations!$Q$510,"")</f>
        <v>0</v>
      </c>
      <c r="D45" s="25">
        <f>IFERROR(Calculations!$R$510,"")</f>
        <v>0</v>
      </c>
      <c r="E45" s="22">
        <f>IFERROR(Calculations!$S$510,"")</f>
        <v>0</v>
      </c>
    </row>
    <row r="46" spans="2:19">
      <c r="B46" s="13">
        <f>IFERROR(Calculations!$P$511,"")</f>
        <v>0</v>
      </c>
      <c r="C46" s="22">
        <f>IFERROR(Calculations!$Q$511,"")</f>
        <v>0</v>
      </c>
      <c r="D46" s="25">
        <f>IFERROR(Calculations!$R$511,"")</f>
        <v>0</v>
      </c>
      <c r="E46" s="22">
        <f>IFERROR(Calculations!$S$511,"")</f>
        <v>0</v>
      </c>
    </row>
    <row r="47" spans="2:19">
      <c r="B47" s="13">
        <f>IFERROR(Calculations!$P$512,"")</f>
        <v>0</v>
      </c>
      <c r="C47" s="22">
        <f>IFERROR(Calculations!$Q$512,"")</f>
        <v>0</v>
      </c>
      <c r="D47" s="25">
        <f>IFERROR(Calculations!$R$512,"")</f>
        <v>0</v>
      </c>
      <c r="E47" s="22">
        <f>IFERROR(Calculations!$S$512,"")</f>
        <v>0</v>
      </c>
    </row>
    <row r="48" spans="2:19">
      <c r="B48" s="13">
        <f>IFERROR(Calculations!$P$513,"")</f>
        <v>0</v>
      </c>
      <c r="C48" s="22">
        <f>IFERROR(Calculations!$Q$513,"")</f>
        <v>0</v>
      </c>
      <c r="D48" s="25">
        <f>IFERROR(Calculations!$R$513,"")</f>
        <v>0</v>
      </c>
      <c r="E48" s="22">
        <f>IFERROR(Calculations!$S$513,"")</f>
        <v>0</v>
      </c>
    </row>
    <row r="49" spans="2:19">
      <c r="B49" s="13">
        <f>IFERROR(Calculations!$P$514,"")</f>
        <v>0</v>
      </c>
      <c r="C49" s="22">
        <f>IFERROR(Calculations!$Q$514,"")</f>
        <v>0</v>
      </c>
      <c r="D49" s="25">
        <f>IFERROR(Calculations!$R$514,"")</f>
        <v>0</v>
      </c>
      <c r="E49" s="22">
        <f>IFERROR(Calculations!$S$514,"")</f>
        <v>0</v>
      </c>
    </row>
    <row r="50" spans="2:19">
      <c r="B50" s="13">
        <f>IFERROR(Calculations!$P$515,"")</f>
        <v>0</v>
      </c>
      <c r="C50" s="22">
        <f>IFERROR(Calculations!$Q$515,"")</f>
        <v>0</v>
      </c>
      <c r="D50" s="25">
        <f>IFERROR(Calculations!$R$515,"")</f>
        <v>0</v>
      </c>
      <c r="E50" s="22">
        <f>IFERROR(Calculations!$S$515,"")</f>
        <v>0</v>
      </c>
    </row>
    <row r="51" spans="2:19">
      <c r="B51" s="13">
        <f>IFERROR(Calculations!$P$516,"")</f>
        <v>0</v>
      </c>
      <c r="C51" s="22">
        <f>IFERROR(Calculations!$Q$516,"")</f>
        <v>0</v>
      </c>
      <c r="D51" s="25">
        <f>IFERROR(Calculations!$R$516,"")</f>
        <v>0</v>
      </c>
      <c r="E51" s="22">
        <f>IFERROR(Calculations!$S$516,"")</f>
        <v>0</v>
      </c>
    </row>
    <row r="52" spans="2:19">
      <c r="B52" s="13">
        <f>IFERROR(Calculations!$P$517,"")</f>
        <v>0</v>
      </c>
      <c r="C52" s="22">
        <f>IFERROR(Calculations!$Q$517,"")</f>
        <v>0</v>
      </c>
      <c r="D52" s="25">
        <f>IFERROR(Calculations!$R$517,"")</f>
        <v>0</v>
      </c>
      <c r="E52" s="22">
        <f>IFERROR(Calculations!$S$517,"")</f>
        <v>0</v>
      </c>
    </row>
    <row r="53" spans="2:19">
      <c r="B53" s="13">
        <f>IFERROR(Calculations!$P$518,"")</f>
        <v>0</v>
      </c>
      <c r="C53" s="22">
        <f>IFERROR(Calculations!$Q$518,"")</f>
        <v>0</v>
      </c>
      <c r="D53" s="25">
        <f>IFERROR(Calculations!$R$518,"")</f>
        <v>0</v>
      </c>
      <c r="E53" s="22">
        <f>IFERROR(Calculations!$S$518,"")</f>
        <v>0</v>
      </c>
    </row>
    <row r="54" spans="2:19">
      <c r="B54" s="13">
        <f>IFERROR(Calculations!$P$519,"")</f>
        <v>0</v>
      </c>
      <c r="C54" s="22">
        <f>IFERROR(Calculations!$Q$519,"")</f>
        <v>0</v>
      </c>
      <c r="D54" s="25">
        <f>IFERROR(Calculations!$R$519,"")</f>
        <v>0</v>
      </c>
      <c r="E54" s="22">
        <f>IFERROR(Calculations!$S$519,"")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IF(Calculations!$U$510="","",Calculations!$U$510)</f>
        <v>0</v>
      </c>
      <c r="C62" s="22">
        <f>IFERROR(Calculations!$V$510,"")</f>
        <v>0</v>
      </c>
      <c r="D62" s="22">
        <f>IFERROR(Calculations!$W$510,"")</f>
        <v>0</v>
      </c>
      <c r="E62" s="22">
        <f>IFERROR(Calculations!$X$510,"")</f>
        <v>0</v>
      </c>
      <c r="F62" s="22">
        <f>IFERROR(Calculations!$Y$510,"")</f>
        <v>0</v>
      </c>
      <c r="G62" s="22">
        <f>IFERROR(Calculations!$Z$510,"")</f>
        <v>0</v>
      </c>
      <c r="H62" s="22">
        <f>IFERROR(Calculations!$AA$510,"")</f>
        <v>0</v>
      </c>
      <c r="I62" s="22">
        <f>IFERROR(Calculations!$AB$510,"")</f>
        <v>0</v>
      </c>
      <c r="J62" s="22">
        <f>IFERROR(Calculations!$AC$510,"")</f>
        <v>0</v>
      </c>
      <c r="K62" s="22">
        <f>IFERROR(Calculations!$AD$510,"")</f>
        <v>0</v>
      </c>
      <c r="L62" s="22">
        <f>IFERROR(Calculations!$AE$510,"")</f>
        <v>0</v>
      </c>
      <c r="M62" s="22">
        <f>IFERROR(Calculations!$AF$510,"")</f>
        <v>0</v>
      </c>
      <c r="N62" s="22">
        <f>IFERROR(Calculations!$AG$510,"")</f>
        <v>0</v>
      </c>
      <c r="O62" s="22">
        <f>IFERROR(Calculations!$AH$510,"")</f>
        <v>0</v>
      </c>
    </row>
    <row r="63" spans="2:19">
      <c r="B63" s="13">
        <f>IF(Calculations!$U$511="","",Calculations!$U$511)</f>
        <v>0</v>
      </c>
      <c r="C63" s="22">
        <f>IFERROR(Calculations!$V$511,"")</f>
        <v>0</v>
      </c>
      <c r="D63" s="22">
        <f>IFERROR(Calculations!$W$511,"")</f>
        <v>0</v>
      </c>
      <c r="E63" s="22">
        <f>IFERROR(Calculations!$X$511,"")</f>
        <v>0</v>
      </c>
      <c r="F63" s="22">
        <f>IFERROR(Calculations!$Y$511,"")</f>
        <v>0</v>
      </c>
      <c r="G63" s="22">
        <f>IFERROR(Calculations!$Z$511,"")</f>
        <v>0</v>
      </c>
      <c r="H63" s="22">
        <f>IFERROR(Calculations!$AA$511,"")</f>
        <v>0</v>
      </c>
      <c r="I63" s="22">
        <f>IFERROR(Calculations!$AB$511,"")</f>
        <v>0</v>
      </c>
      <c r="J63" s="22">
        <f>IFERROR(Calculations!$AC$511,"")</f>
        <v>0</v>
      </c>
      <c r="K63" s="22">
        <f>IFERROR(Calculations!$AD$511,"")</f>
        <v>0</v>
      </c>
      <c r="L63" s="22">
        <f>IFERROR(Calculations!$AE$511,"")</f>
        <v>0</v>
      </c>
      <c r="M63" s="22">
        <f>IFERROR(Calculations!$AF$511,"")</f>
        <v>0</v>
      </c>
      <c r="N63" s="22">
        <f>IFERROR(Calculations!$AG$511,"")</f>
        <v>0</v>
      </c>
      <c r="O63" s="22">
        <f>IFERROR(Calculations!$AH$511,"")</f>
        <v>0</v>
      </c>
    </row>
    <row r="64" spans="2:19">
      <c r="B64" s="13">
        <f>IF(Calculations!$U$512="","",Calculations!$U$512)</f>
        <v>0</v>
      </c>
      <c r="C64" s="22">
        <f>IFERROR(Calculations!$V$512,"")</f>
        <v>0</v>
      </c>
      <c r="D64" s="22">
        <f>IFERROR(Calculations!$W$512,"")</f>
        <v>0</v>
      </c>
      <c r="E64" s="22">
        <f>IFERROR(Calculations!$X$512,"")</f>
        <v>0</v>
      </c>
      <c r="F64" s="22">
        <f>IFERROR(Calculations!$Y$512,"")</f>
        <v>0</v>
      </c>
      <c r="G64" s="22">
        <f>IFERROR(Calculations!$Z$512,"")</f>
        <v>0</v>
      </c>
      <c r="H64" s="22">
        <f>IFERROR(Calculations!$AA$512,"")</f>
        <v>0</v>
      </c>
      <c r="I64" s="22">
        <f>IFERROR(Calculations!$AB$512,"")</f>
        <v>0</v>
      </c>
      <c r="J64" s="22">
        <f>IFERROR(Calculations!$AC$512,"")</f>
        <v>0</v>
      </c>
      <c r="K64" s="22">
        <f>IFERROR(Calculations!$AD$512,"")</f>
        <v>0</v>
      </c>
      <c r="L64" s="22">
        <f>IFERROR(Calculations!$AE$512,"")</f>
        <v>0</v>
      </c>
      <c r="M64" s="22">
        <f>IFERROR(Calculations!$AF$512,"")</f>
        <v>0</v>
      </c>
      <c r="N64" s="22">
        <f>IFERROR(Calculations!$AG$512,"")</f>
        <v>0</v>
      </c>
      <c r="O64" s="22">
        <f>IFERROR(Calculations!$AH$512,"")</f>
        <v>0</v>
      </c>
    </row>
    <row r="65" spans="2:19">
      <c r="B65" s="13">
        <f>IF(Calculations!$U$513="","",Calculations!$U$513)</f>
        <v>0</v>
      </c>
      <c r="C65" s="22">
        <f>IFERROR(Calculations!$V$513,"")</f>
        <v>0</v>
      </c>
      <c r="D65" s="22">
        <f>IFERROR(Calculations!$W$513,"")</f>
        <v>0</v>
      </c>
      <c r="E65" s="22">
        <f>IFERROR(Calculations!$X$513,"")</f>
        <v>0</v>
      </c>
      <c r="F65" s="22">
        <f>IFERROR(Calculations!$Y$513,"")</f>
        <v>0</v>
      </c>
      <c r="G65" s="22">
        <f>IFERROR(Calculations!$Z$513,"")</f>
        <v>0</v>
      </c>
      <c r="H65" s="22">
        <f>IFERROR(Calculations!$AA$513,"")</f>
        <v>0</v>
      </c>
      <c r="I65" s="22">
        <f>IFERROR(Calculations!$AB$513,"")</f>
        <v>0</v>
      </c>
      <c r="J65" s="22">
        <f>IFERROR(Calculations!$AC$513,"")</f>
        <v>0</v>
      </c>
      <c r="K65" s="22">
        <f>IFERROR(Calculations!$AD$513,"")</f>
        <v>0</v>
      </c>
      <c r="L65" s="22">
        <f>IFERROR(Calculations!$AE$513,"")</f>
        <v>0</v>
      </c>
      <c r="M65" s="22">
        <f>IFERROR(Calculations!$AF$513,"")</f>
        <v>0</v>
      </c>
      <c r="N65" s="22">
        <f>IFERROR(Calculations!$AG$513,"")</f>
        <v>0</v>
      </c>
      <c r="O65" s="22">
        <f>IFERROR(Calculations!$AH$513,"")</f>
        <v>0</v>
      </c>
    </row>
    <row r="66" spans="2:19">
      <c r="B66" s="13">
        <f>IF(Calculations!$U$514="","",Calculations!$U$514)</f>
        <v>0</v>
      </c>
      <c r="C66" s="22">
        <f>IFERROR(Calculations!$V$514,"")</f>
        <v>0</v>
      </c>
      <c r="D66" s="22">
        <f>IFERROR(Calculations!$W$514,"")</f>
        <v>0</v>
      </c>
      <c r="E66" s="22">
        <f>IFERROR(Calculations!$X$514,"")</f>
        <v>0</v>
      </c>
      <c r="F66" s="22">
        <f>IFERROR(Calculations!$Y$514,"")</f>
        <v>0</v>
      </c>
      <c r="G66" s="22">
        <f>IFERROR(Calculations!$Z$514,"")</f>
        <v>0</v>
      </c>
      <c r="H66" s="22">
        <f>IFERROR(Calculations!$AA$514,"")</f>
        <v>0</v>
      </c>
      <c r="I66" s="22">
        <f>IFERROR(Calculations!$AB$514,"")</f>
        <v>0</v>
      </c>
      <c r="J66" s="22">
        <f>IFERROR(Calculations!$AC$514,"")</f>
        <v>0</v>
      </c>
      <c r="K66" s="22">
        <f>IFERROR(Calculations!$AD$514,"")</f>
        <v>0</v>
      </c>
      <c r="L66" s="22">
        <f>IFERROR(Calculations!$AE$514,"")</f>
        <v>0</v>
      </c>
      <c r="M66" s="22">
        <f>IFERROR(Calculations!$AF$514,"")</f>
        <v>0</v>
      </c>
      <c r="N66" s="22">
        <f>IFERROR(Calculations!$AG$514,"")</f>
        <v>0</v>
      </c>
      <c r="O66" s="22">
        <f>IFERROR(Calculations!$AH$514,"")</f>
        <v>0</v>
      </c>
    </row>
    <row r="67" spans="2:19">
      <c r="B67" s="13">
        <f>IF(Calculations!$U$515="","",Calculations!$U$515)</f>
        <v>0</v>
      </c>
      <c r="C67" s="22">
        <f>IFERROR(Calculations!$V$515,"")</f>
        <v>0</v>
      </c>
      <c r="D67" s="22">
        <f>IFERROR(Calculations!$W$515,"")</f>
        <v>0</v>
      </c>
      <c r="E67" s="22">
        <f>IFERROR(Calculations!$X$515,"")</f>
        <v>0</v>
      </c>
      <c r="F67" s="22">
        <f>IFERROR(Calculations!$Y$515,"")</f>
        <v>0</v>
      </c>
      <c r="G67" s="22">
        <f>IFERROR(Calculations!$Z$515,"")</f>
        <v>0</v>
      </c>
      <c r="H67" s="22">
        <f>IFERROR(Calculations!$AA$515,"")</f>
        <v>0</v>
      </c>
      <c r="I67" s="22">
        <f>IFERROR(Calculations!$AB$515,"")</f>
        <v>0</v>
      </c>
      <c r="J67" s="22">
        <f>IFERROR(Calculations!$AC$515,"")</f>
        <v>0</v>
      </c>
      <c r="K67" s="22">
        <f>IFERROR(Calculations!$AD$515,"")</f>
        <v>0</v>
      </c>
      <c r="L67" s="22">
        <f>IFERROR(Calculations!$AE$515,"")</f>
        <v>0</v>
      </c>
      <c r="M67" s="22">
        <f>IFERROR(Calculations!$AF$515,"")</f>
        <v>0</v>
      </c>
      <c r="N67" s="22">
        <f>IFERROR(Calculations!$AG$515,"")</f>
        <v>0</v>
      </c>
      <c r="O67" s="22">
        <f>IFERROR(Calculations!$AH$515,"")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B71" s="12" t="s">
        <v>129</v>
      </c>
      <c r="C71" s="12" t="s">
        <v>2218</v>
      </c>
    </row>
    <row r="72" spans="2:19">
      <c r="B72" s="13">
        <f>INDEX(Calculations!$F$375:$F$379,1)</f>
        <v>0</v>
      </c>
      <c r="C72" s="22">
        <f>INDEX(Calculations!$G$375:$G$379,1)</f>
        <v>0</v>
      </c>
    </row>
    <row r="73" spans="2:19">
      <c r="B73" s="13">
        <f>INDEX(Calculations!$F$375:$F$379,2)</f>
        <v>0</v>
      </c>
      <c r="C73" s="22">
        <f>INDEX(Calculations!$G$375:$G$379,2)</f>
        <v>0</v>
      </c>
    </row>
    <row r="74" spans="2:19">
      <c r="B74" s="13">
        <f>INDEX(Calculations!$F$375:$F$379,3)</f>
        <v>0</v>
      </c>
      <c r="C74" s="22">
        <f>INDEX(Calculations!$G$375:$G$379,3)</f>
        <v>0</v>
      </c>
    </row>
    <row r="75" spans="2:19">
      <c r="B75" s="13">
        <f>INDEX(Calculations!$F$375:$F$379,4)</f>
        <v>0</v>
      </c>
      <c r="C75" s="22">
        <f>INDEX(Calculations!$G$375:$G$379,4)</f>
        <v>0</v>
      </c>
    </row>
    <row r="76" spans="2:19">
      <c r="B76" s="13">
        <f>INDEX(Calculations!$F$375:$F$379,5)</f>
        <v>0</v>
      </c>
      <c r="C76" s="22">
        <f>INDEX(Calculations!$G$375:$G$379,5)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72:C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  <pageSetUpPr fitToPage="1"/>
  </sheetPr>
  <dimension ref="A1:S72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2219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2220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2221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2224</v>
      </c>
      <c r="O13" s="37"/>
      <c r="P13" s="37"/>
      <c r="Q13" s="37"/>
    </row>
    <row r="14" spans="2:19">
      <c r="B14" s="39">
        <f>Calculations!$N$536</f>
        <v>0</v>
      </c>
      <c r="C14" s="39"/>
      <c r="D14" s="39"/>
      <c r="E14" s="39"/>
      <c r="F14" s="39">
        <f>Calculations!$N$537</f>
        <v>0</v>
      </c>
      <c r="G14" s="39"/>
      <c r="H14" s="39"/>
      <c r="I14" s="39"/>
      <c r="J14" s="39">
        <f>Calculations!$N$538</f>
        <v>0</v>
      </c>
      <c r="K14" s="39"/>
      <c r="L14" s="39"/>
      <c r="M14" s="39"/>
      <c r="N14" s="39">
        <f>Calculations!$N$539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2225</v>
      </c>
      <c r="C19" s="37"/>
      <c r="D19" s="37"/>
      <c r="E19" s="37"/>
      <c r="F19" s="37" t="s">
        <v>2226</v>
      </c>
      <c r="G19" s="37"/>
      <c r="H19" s="37"/>
      <c r="I19" s="37"/>
      <c r="J19" s="37" t="s">
        <v>2227</v>
      </c>
      <c r="K19" s="37"/>
      <c r="L19" s="37"/>
      <c r="M19" s="37"/>
      <c r="N19" s="37" t="s">
        <v>2228</v>
      </c>
      <c r="O19" s="37"/>
      <c r="P19" s="37"/>
      <c r="Q19" s="37"/>
    </row>
    <row r="20" spans="2:19">
      <c r="B20" s="40">
        <f>Calculations!$N$540</f>
        <v>0</v>
      </c>
      <c r="C20" s="40"/>
      <c r="D20" s="40"/>
      <c r="E20" s="40"/>
      <c r="F20" s="39">
        <f>Calculations!$N$541</f>
        <v>0</v>
      </c>
      <c r="G20" s="39"/>
      <c r="H20" s="39"/>
      <c r="I20" s="39"/>
      <c r="J20" s="40">
        <f>Calculations!$N$542</f>
        <v>0</v>
      </c>
      <c r="K20" s="40"/>
      <c r="L20" s="40"/>
      <c r="M20" s="40"/>
      <c r="N20" s="39">
        <f>Calculations!$N$543</f>
        <v>0</v>
      </c>
      <c r="O20" s="39"/>
      <c r="P20" s="39"/>
      <c r="Q20" s="39"/>
    </row>
    <row r="21" spans="2:19">
      <c r="B21" s="40"/>
      <c r="C21" s="40"/>
      <c r="D21" s="40"/>
      <c r="E21" s="40"/>
      <c r="F21" s="39"/>
      <c r="G21" s="39"/>
      <c r="H21" s="39"/>
      <c r="I21" s="39"/>
      <c r="J21" s="40"/>
      <c r="K21" s="40"/>
      <c r="L21" s="40"/>
      <c r="M21" s="40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"&amp;INDEX(Calculations!$C$536:$C$547,CurMonthNo)&amp;"   vs   "&amp;INDEX(L_Month,CurMonthNo-1)&amp;": "&amp;INDEX(Calculations!$C$536:$C$547,CurMonthNo-1)&amp;"   "&amp;IF(INDEX(Calculations!$C$536:$C$547,CurMonthNo)&gt;=INDEX(Calculations!$C$536:$C$547,CurMonthNo-1),"▲ ","▼ ")&amp;TEXT(IFERROR((INDEX(Calculations!$C$536:$C$547,CurMonthNo)-INDEX(Calculations!$C$536:$C$547,CurMonthNo-1))/INDEX(Calculations!$C$536:$C$547,CurMonthNo-1),0),"+0.0%;-0.0%")))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1969</v>
      </c>
    </row>
    <row r="45" spans="2:19">
      <c r="B45" s="13">
        <f>IFERROR(Calculations!$P$536,"")</f>
        <v>0</v>
      </c>
      <c r="C45" s="22">
        <f>IFERROR(Calculations!$Q$536,"")</f>
        <v>0</v>
      </c>
      <c r="D45" s="25">
        <f>IFERROR(Calculations!$R$536,"")</f>
        <v>0</v>
      </c>
      <c r="E45" s="25">
        <f>IFERROR(Calculations!$S$536,"")</f>
        <v>0</v>
      </c>
    </row>
    <row r="46" spans="2:19">
      <c r="B46" s="13">
        <f>IFERROR(Calculations!$P$537,"")</f>
        <v>0</v>
      </c>
      <c r="C46" s="22">
        <f>IFERROR(Calculations!$Q$537,"")</f>
        <v>0</v>
      </c>
      <c r="D46" s="25">
        <f>IFERROR(Calculations!$R$537,"")</f>
        <v>0</v>
      </c>
      <c r="E46" s="25">
        <f>IFERROR(Calculations!$S$537,"")</f>
        <v>0</v>
      </c>
    </row>
    <row r="47" spans="2:19">
      <c r="B47" s="13">
        <f>IFERROR(Calculations!$P$538,"")</f>
        <v>0</v>
      </c>
      <c r="C47" s="22">
        <f>IFERROR(Calculations!$Q$538,"")</f>
        <v>0</v>
      </c>
      <c r="D47" s="25">
        <f>IFERROR(Calculations!$R$538,"")</f>
        <v>0</v>
      </c>
      <c r="E47" s="25">
        <f>IFERROR(Calculations!$S$538,"")</f>
        <v>0</v>
      </c>
    </row>
    <row r="48" spans="2:19">
      <c r="B48" s="13">
        <f>IFERROR(Calculations!$P$539,"")</f>
        <v>0</v>
      </c>
      <c r="C48" s="22">
        <f>IFERROR(Calculations!$Q$539,"")</f>
        <v>0</v>
      </c>
      <c r="D48" s="25">
        <f>IFERROR(Calculations!$R$539,"")</f>
        <v>0</v>
      </c>
      <c r="E48" s="25">
        <f>IFERROR(Calculations!$S$539,"")</f>
        <v>0</v>
      </c>
    </row>
    <row r="49" spans="2:19">
      <c r="B49" s="13">
        <f>IFERROR(Calculations!$P$540,"")</f>
        <v>0</v>
      </c>
      <c r="C49" s="22">
        <f>IFERROR(Calculations!$Q$540,"")</f>
        <v>0</v>
      </c>
      <c r="D49" s="25">
        <f>IFERROR(Calculations!$R$540,"")</f>
        <v>0</v>
      </c>
      <c r="E49" s="25">
        <f>IFERROR(Calculations!$S$540,"")</f>
        <v>0</v>
      </c>
    </row>
    <row r="50" spans="2:19">
      <c r="B50" s="13">
        <f>IFERROR(Calculations!$P$541,"")</f>
        <v>0</v>
      </c>
      <c r="C50" s="22">
        <f>IFERROR(Calculations!$Q$541,"")</f>
        <v>0</v>
      </c>
      <c r="D50" s="25">
        <f>IFERROR(Calculations!$R$541,"")</f>
        <v>0</v>
      </c>
      <c r="E50" s="25">
        <f>IFERROR(Calculations!$S$541,"")</f>
        <v>0</v>
      </c>
    </row>
    <row r="51" spans="2:19">
      <c r="B51" s="13">
        <f>IFERROR(Calculations!$P$542,"")</f>
        <v>0</v>
      </c>
      <c r="C51" s="22">
        <f>IFERROR(Calculations!$Q$542,"")</f>
        <v>0</v>
      </c>
      <c r="D51" s="25">
        <f>IFERROR(Calculations!$R$542,"")</f>
        <v>0</v>
      </c>
      <c r="E51" s="25">
        <f>IFERROR(Calculations!$S$542,"")</f>
        <v>0</v>
      </c>
    </row>
    <row r="52" spans="2:19">
      <c r="B52" s="13">
        <f>IFERROR(Calculations!$P$543,"")</f>
        <v>0</v>
      </c>
      <c r="C52" s="22">
        <f>IFERROR(Calculations!$Q$543,"")</f>
        <v>0</v>
      </c>
      <c r="D52" s="25">
        <f>IFERROR(Calculations!$R$543,"")</f>
        <v>0</v>
      </c>
      <c r="E52" s="25">
        <f>IFERROR(Calculations!$S$543,"")</f>
        <v>0</v>
      </c>
    </row>
    <row r="53" spans="2:19">
      <c r="B53" s="13">
        <f>IFERROR(Calculations!$P$544,"")</f>
        <v>0</v>
      </c>
      <c r="C53" s="22">
        <f>IFERROR(Calculations!$Q$544,"")</f>
        <v>0</v>
      </c>
      <c r="D53" s="25">
        <f>IFERROR(Calculations!$R$544,"")</f>
        <v>0</v>
      </c>
      <c r="E53" s="25">
        <f>IFERROR(Calculations!$S$544,"")</f>
        <v>0</v>
      </c>
    </row>
    <row r="54" spans="2:19">
      <c r="B54" s="13">
        <f>IFERROR(Calculations!$P$545,"")</f>
        <v>0</v>
      </c>
      <c r="C54" s="22">
        <f>IFERROR(Calculations!$Q$545,"")</f>
        <v>0</v>
      </c>
      <c r="D54" s="25">
        <f>IFERROR(Calculations!$R$545,"")</f>
        <v>0</v>
      </c>
      <c r="E54" s="25">
        <f>IFERROR(Calculations!$S$545,"")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IF(Calculations!$U$536="","",Calculations!$U$536)</f>
        <v>0</v>
      </c>
      <c r="C62" s="22">
        <f>IFERROR(Calculations!$V$536,"")</f>
        <v>0</v>
      </c>
      <c r="D62" s="22">
        <f>IFERROR(Calculations!$W$536,"")</f>
        <v>0</v>
      </c>
      <c r="E62" s="22">
        <f>IFERROR(Calculations!$X$536,"")</f>
        <v>0</v>
      </c>
      <c r="F62" s="22">
        <f>IFERROR(Calculations!$Y$536,"")</f>
        <v>0</v>
      </c>
      <c r="G62" s="22">
        <f>IFERROR(Calculations!$Z$536,"")</f>
        <v>0</v>
      </c>
      <c r="H62" s="22">
        <f>IFERROR(Calculations!$AA$536,"")</f>
        <v>0</v>
      </c>
      <c r="I62" s="22">
        <f>IFERROR(Calculations!$AB$536,"")</f>
        <v>0</v>
      </c>
      <c r="J62" s="22">
        <f>IFERROR(Calculations!$AC$536,"")</f>
        <v>0</v>
      </c>
      <c r="K62" s="22">
        <f>IFERROR(Calculations!$AD$536,"")</f>
        <v>0</v>
      </c>
      <c r="L62" s="22">
        <f>IFERROR(Calculations!$AE$536,"")</f>
        <v>0</v>
      </c>
      <c r="M62" s="22">
        <f>IFERROR(Calculations!$AF$536,"")</f>
        <v>0</v>
      </c>
      <c r="N62" s="22">
        <f>IFERROR(Calculations!$AG$536,"")</f>
        <v>0</v>
      </c>
      <c r="O62" s="22">
        <f>IFERROR(Calculations!$AH$536,"")</f>
        <v>0</v>
      </c>
    </row>
    <row r="63" spans="2:19">
      <c r="B63" s="13">
        <f>IF(Calculations!$U$537="","",Calculations!$U$537)</f>
        <v>0</v>
      </c>
      <c r="C63" s="22">
        <f>IFERROR(Calculations!$V$537,"")</f>
        <v>0</v>
      </c>
      <c r="D63" s="22">
        <f>IFERROR(Calculations!$W$537,"")</f>
        <v>0</v>
      </c>
      <c r="E63" s="22">
        <f>IFERROR(Calculations!$X$537,"")</f>
        <v>0</v>
      </c>
      <c r="F63" s="22">
        <f>IFERROR(Calculations!$Y$537,"")</f>
        <v>0</v>
      </c>
      <c r="G63" s="22">
        <f>IFERROR(Calculations!$Z$537,"")</f>
        <v>0</v>
      </c>
      <c r="H63" s="22">
        <f>IFERROR(Calculations!$AA$537,"")</f>
        <v>0</v>
      </c>
      <c r="I63" s="22">
        <f>IFERROR(Calculations!$AB$537,"")</f>
        <v>0</v>
      </c>
      <c r="J63" s="22">
        <f>IFERROR(Calculations!$AC$537,"")</f>
        <v>0</v>
      </c>
      <c r="K63" s="22">
        <f>IFERROR(Calculations!$AD$537,"")</f>
        <v>0</v>
      </c>
      <c r="L63" s="22">
        <f>IFERROR(Calculations!$AE$537,"")</f>
        <v>0</v>
      </c>
      <c r="M63" s="22">
        <f>IFERROR(Calculations!$AF$537,"")</f>
        <v>0</v>
      </c>
      <c r="N63" s="22">
        <f>IFERROR(Calculations!$AG$537,"")</f>
        <v>0</v>
      </c>
      <c r="O63" s="22">
        <f>IFERROR(Calculations!$AH$537,"")</f>
        <v>0</v>
      </c>
    </row>
    <row r="64" spans="2:19">
      <c r="B64" s="13">
        <f>IF(Calculations!$U$538="","",Calculations!$U$538)</f>
        <v>0</v>
      </c>
      <c r="C64" s="22">
        <f>IFERROR(Calculations!$V$538,"")</f>
        <v>0</v>
      </c>
      <c r="D64" s="22">
        <f>IFERROR(Calculations!$W$538,"")</f>
        <v>0</v>
      </c>
      <c r="E64" s="22">
        <f>IFERROR(Calculations!$X$538,"")</f>
        <v>0</v>
      </c>
      <c r="F64" s="22">
        <f>IFERROR(Calculations!$Y$538,"")</f>
        <v>0</v>
      </c>
      <c r="G64" s="22">
        <f>IFERROR(Calculations!$Z$538,"")</f>
        <v>0</v>
      </c>
      <c r="H64" s="22">
        <f>IFERROR(Calculations!$AA$538,"")</f>
        <v>0</v>
      </c>
      <c r="I64" s="22">
        <f>IFERROR(Calculations!$AB$538,"")</f>
        <v>0</v>
      </c>
      <c r="J64" s="22">
        <f>IFERROR(Calculations!$AC$538,"")</f>
        <v>0</v>
      </c>
      <c r="K64" s="22">
        <f>IFERROR(Calculations!$AD$538,"")</f>
        <v>0</v>
      </c>
      <c r="L64" s="22">
        <f>IFERROR(Calculations!$AE$538,"")</f>
        <v>0</v>
      </c>
      <c r="M64" s="22">
        <f>IFERROR(Calculations!$AF$538,"")</f>
        <v>0</v>
      </c>
      <c r="N64" s="22">
        <f>IFERROR(Calculations!$AG$538,"")</f>
        <v>0</v>
      </c>
      <c r="O64" s="22">
        <f>IFERROR(Calculations!$AH$538,"")</f>
        <v>0</v>
      </c>
    </row>
    <row r="65" spans="2:19">
      <c r="B65" s="13">
        <f>IF(Calculations!$U$539="","",Calculations!$U$539)</f>
        <v>0</v>
      </c>
      <c r="C65" s="22">
        <f>IFERROR(Calculations!$V$539,"")</f>
        <v>0</v>
      </c>
      <c r="D65" s="22">
        <f>IFERROR(Calculations!$W$539,"")</f>
        <v>0</v>
      </c>
      <c r="E65" s="22">
        <f>IFERROR(Calculations!$X$539,"")</f>
        <v>0</v>
      </c>
      <c r="F65" s="22">
        <f>IFERROR(Calculations!$Y$539,"")</f>
        <v>0</v>
      </c>
      <c r="G65" s="22">
        <f>IFERROR(Calculations!$Z$539,"")</f>
        <v>0</v>
      </c>
      <c r="H65" s="22">
        <f>IFERROR(Calculations!$AA$539,"")</f>
        <v>0</v>
      </c>
      <c r="I65" s="22">
        <f>IFERROR(Calculations!$AB$539,"")</f>
        <v>0</v>
      </c>
      <c r="J65" s="22">
        <f>IFERROR(Calculations!$AC$539,"")</f>
        <v>0</v>
      </c>
      <c r="K65" s="22">
        <f>IFERROR(Calculations!$AD$539,"")</f>
        <v>0</v>
      </c>
      <c r="L65" s="22">
        <f>IFERROR(Calculations!$AE$539,"")</f>
        <v>0</v>
      </c>
      <c r="M65" s="22">
        <f>IFERROR(Calculations!$AF$539,"")</f>
        <v>0</v>
      </c>
      <c r="N65" s="22">
        <f>IFERROR(Calculations!$AG$539,"")</f>
        <v>0</v>
      </c>
      <c r="O65" s="22">
        <f>IFERROR(Calculations!$AH$539,"")</f>
        <v>0</v>
      </c>
    </row>
    <row r="66" spans="2:19">
      <c r="B66" s="13">
        <f>IF(Calculations!$U$540="","",Calculations!$U$540)</f>
        <v>0</v>
      </c>
      <c r="C66" s="22">
        <f>IFERROR(Calculations!$V$540,"")</f>
        <v>0</v>
      </c>
      <c r="D66" s="22">
        <f>IFERROR(Calculations!$W$540,"")</f>
        <v>0</v>
      </c>
      <c r="E66" s="22">
        <f>IFERROR(Calculations!$X$540,"")</f>
        <v>0</v>
      </c>
      <c r="F66" s="22">
        <f>IFERROR(Calculations!$Y$540,"")</f>
        <v>0</v>
      </c>
      <c r="G66" s="22">
        <f>IFERROR(Calculations!$Z$540,"")</f>
        <v>0</v>
      </c>
      <c r="H66" s="22">
        <f>IFERROR(Calculations!$AA$540,"")</f>
        <v>0</v>
      </c>
      <c r="I66" s="22">
        <f>IFERROR(Calculations!$AB$540,"")</f>
        <v>0</v>
      </c>
      <c r="J66" s="22">
        <f>IFERROR(Calculations!$AC$540,"")</f>
        <v>0</v>
      </c>
      <c r="K66" s="22">
        <f>IFERROR(Calculations!$AD$540,"")</f>
        <v>0</v>
      </c>
      <c r="L66" s="22">
        <f>IFERROR(Calculations!$AE$540,"")</f>
        <v>0</v>
      </c>
      <c r="M66" s="22">
        <f>IFERROR(Calculations!$AF$540,"")</f>
        <v>0</v>
      </c>
      <c r="N66" s="22">
        <f>IFERROR(Calculations!$AG$540,"")</f>
        <v>0</v>
      </c>
      <c r="O66" s="22">
        <f>IFERROR(Calculations!$AH$540,"")</f>
        <v>0</v>
      </c>
    </row>
    <row r="67" spans="2:19">
      <c r="B67" s="13">
        <f>IF(Calculations!$U$541="","",Calculations!$U$541)</f>
        <v>0</v>
      </c>
      <c r="C67" s="22">
        <f>IFERROR(Calculations!$V$541,"")</f>
        <v>0</v>
      </c>
      <c r="D67" s="22">
        <f>IFERROR(Calculations!$W$541,"")</f>
        <v>0</v>
      </c>
      <c r="E67" s="22">
        <f>IFERROR(Calculations!$X$541,"")</f>
        <v>0</v>
      </c>
      <c r="F67" s="22">
        <f>IFERROR(Calculations!$Y$541,"")</f>
        <v>0</v>
      </c>
      <c r="G67" s="22">
        <f>IFERROR(Calculations!$Z$541,"")</f>
        <v>0</v>
      </c>
      <c r="H67" s="22">
        <f>IFERROR(Calculations!$AA$541,"")</f>
        <v>0</v>
      </c>
      <c r="I67" s="22">
        <f>IFERROR(Calculations!$AB$541,"")</f>
        <v>0</v>
      </c>
      <c r="J67" s="22">
        <f>IFERROR(Calculations!$AC$541,"")</f>
        <v>0</v>
      </c>
      <c r="K67" s="22">
        <f>IFERROR(Calculations!$AD$541,"")</f>
        <v>0</v>
      </c>
      <c r="L67" s="22">
        <f>IFERROR(Calculations!$AE$541,"")</f>
        <v>0</v>
      </c>
      <c r="M67" s="22">
        <f>IFERROR(Calculations!$AF$541,"")</f>
        <v>0</v>
      </c>
      <c r="N67" s="22">
        <f>IFERROR(Calculations!$AG$541,"")</f>
        <v>0</v>
      </c>
      <c r="O67" s="22">
        <f>IFERROR(Calculations!$AH$541,"")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B71" s="66">
        <f>INDEX(Calculations!$B$280:$B$282,1)</f>
        <v>0</v>
      </c>
      <c r="H71" s="66">
        <f>INDEX(Calculations!$B$280:$B$282,2)</f>
        <v>0</v>
      </c>
      <c r="N71" s="66">
        <f>INDEX(Calculations!$B$280:$B$282,3)</f>
        <v>0</v>
      </c>
    </row>
    <row r="72" spans="2:19">
      <c r="B72" s="67">
        <f>INDEX(Calculations!$C$280:$C$282,1)</f>
        <v>0</v>
      </c>
      <c r="H72" s="67">
        <f>INDEX(Calculations!$C$280:$C$282,2)</f>
        <v>0</v>
      </c>
      <c r="N72" s="67">
        <f>INDEX(Calculations!$C$280:$C$282,3)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2229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2230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2231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2232</v>
      </c>
      <c r="O13" s="37"/>
      <c r="P13" s="37"/>
      <c r="Q13" s="37"/>
    </row>
    <row r="14" spans="2:19">
      <c r="B14" s="39">
        <f>Calculations!$N$562</f>
        <v>0</v>
      </c>
      <c r="C14" s="39"/>
      <c r="D14" s="39"/>
      <c r="E14" s="39"/>
      <c r="F14" s="39">
        <f>Calculations!$N$563</f>
        <v>0</v>
      </c>
      <c r="G14" s="39"/>
      <c r="H14" s="39"/>
      <c r="I14" s="39"/>
      <c r="J14" s="39">
        <f>Calculations!$N$564</f>
        <v>0</v>
      </c>
      <c r="K14" s="39"/>
      <c r="L14" s="39"/>
      <c r="M14" s="39"/>
      <c r="N14" s="39">
        <f>Calculations!$N$565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2233</v>
      </c>
      <c r="C19" s="37"/>
      <c r="D19" s="37"/>
      <c r="E19" s="37"/>
      <c r="F19" s="37" t="s">
        <v>2234</v>
      </c>
      <c r="G19" s="37"/>
      <c r="H19" s="37"/>
      <c r="I19" s="37"/>
      <c r="J19" s="37" t="s">
        <v>2213</v>
      </c>
      <c r="K19" s="37"/>
      <c r="L19" s="37"/>
      <c r="M19" s="37"/>
      <c r="N19" s="37" t="s">
        <v>2235</v>
      </c>
      <c r="O19" s="37"/>
      <c r="P19" s="37"/>
      <c r="Q19" s="37"/>
    </row>
    <row r="20" spans="2:19">
      <c r="B20" s="39">
        <f>Calculations!$N$566</f>
        <v>0</v>
      </c>
      <c r="C20" s="39"/>
      <c r="D20" s="39"/>
      <c r="E20" s="39"/>
      <c r="F20" s="39">
        <f>Calculations!$N$567</f>
        <v>0</v>
      </c>
      <c r="G20" s="39"/>
      <c r="H20" s="39"/>
      <c r="I20" s="39"/>
      <c r="J20" s="39">
        <f>Calculations!$N$568</f>
        <v>0</v>
      </c>
      <c r="K20" s="39"/>
      <c r="L20" s="39"/>
      <c r="M20" s="39"/>
      <c r="N20" s="40">
        <f>Calculations!$N$569</f>
        <v>0</v>
      </c>
      <c r="O20" s="40"/>
      <c r="P20" s="40"/>
      <c r="Q20" s="40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40"/>
      <c r="O21" s="40"/>
      <c r="P21" s="40"/>
      <c r="Q21" s="40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"&amp;INDEX(Calculations!$C$562:$C$573,CurMonthNo)&amp;"   vs   "&amp;INDEX(L_Month,CurMonthNo-1)&amp;": "&amp;INDEX(Calculations!$C$562:$C$573,CurMonthNo-1)&amp;"   "&amp;IF(INDEX(Calculations!$C$562:$C$573,CurMonthNo)&gt;=INDEX(Calculations!$C$562:$C$573,CurMonthNo-1),"▲ ","▼ ")&amp;TEXT(IFERROR((INDEX(Calculations!$C$562:$C$573,CurMonthNo)-INDEX(Calculations!$C$562:$C$573,CurMonthNo-1))/INDEX(Calculations!$C$562:$C$573,CurMonthNo-1),0),"+0.0%;-0.0%")))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IFERROR(Calculations!$P$562,"")</f>
        <v>0</v>
      </c>
      <c r="C45" s="22">
        <f>IFERROR(Calculations!$Q$562,"")</f>
        <v>0</v>
      </c>
      <c r="D45" s="25">
        <f>IFERROR(Calculations!$R$562,"")</f>
        <v>0</v>
      </c>
      <c r="E45" s="22">
        <f>IFERROR(Calculations!$S$562,"")</f>
        <v>0</v>
      </c>
    </row>
    <row r="46" spans="2:19">
      <c r="B46" s="13">
        <f>IFERROR(Calculations!$P$563,"")</f>
        <v>0</v>
      </c>
      <c r="C46" s="22">
        <f>IFERROR(Calculations!$Q$563,"")</f>
        <v>0</v>
      </c>
      <c r="D46" s="25">
        <f>IFERROR(Calculations!$R$563,"")</f>
        <v>0</v>
      </c>
      <c r="E46" s="22">
        <f>IFERROR(Calculations!$S$563,"")</f>
        <v>0</v>
      </c>
    </row>
    <row r="47" spans="2:19">
      <c r="B47" s="13">
        <f>IFERROR(Calculations!$P$564,"")</f>
        <v>0</v>
      </c>
      <c r="C47" s="22">
        <f>IFERROR(Calculations!$Q$564,"")</f>
        <v>0</v>
      </c>
      <c r="D47" s="25">
        <f>IFERROR(Calculations!$R$564,"")</f>
        <v>0</v>
      </c>
      <c r="E47" s="22">
        <f>IFERROR(Calculations!$S$564,"")</f>
        <v>0</v>
      </c>
    </row>
    <row r="48" spans="2:19">
      <c r="B48" s="13">
        <f>IFERROR(Calculations!$P$565,"")</f>
        <v>0</v>
      </c>
      <c r="C48" s="22">
        <f>IFERROR(Calculations!$Q$565,"")</f>
        <v>0</v>
      </c>
      <c r="D48" s="25">
        <f>IFERROR(Calculations!$R$565,"")</f>
        <v>0</v>
      </c>
      <c r="E48" s="22">
        <f>IFERROR(Calculations!$S$565,"")</f>
        <v>0</v>
      </c>
    </row>
    <row r="49" spans="2:19">
      <c r="B49" s="13">
        <f>IFERROR(Calculations!$P$566,"")</f>
        <v>0</v>
      </c>
      <c r="C49" s="22">
        <f>IFERROR(Calculations!$Q$566,"")</f>
        <v>0</v>
      </c>
      <c r="D49" s="25">
        <f>IFERROR(Calculations!$R$566,"")</f>
        <v>0</v>
      </c>
      <c r="E49" s="22">
        <f>IFERROR(Calculations!$S$566,"")</f>
        <v>0</v>
      </c>
    </row>
    <row r="50" spans="2:19">
      <c r="B50" s="13">
        <f>IFERROR(Calculations!$P$567,"")</f>
        <v>0</v>
      </c>
      <c r="C50" s="22">
        <f>IFERROR(Calculations!$Q$567,"")</f>
        <v>0</v>
      </c>
      <c r="D50" s="25">
        <f>IFERROR(Calculations!$R$567,"")</f>
        <v>0</v>
      </c>
      <c r="E50" s="22">
        <f>IFERROR(Calculations!$S$567,"")</f>
        <v>0</v>
      </c>
    </row>
    <row r="51" spans="2:19">
      <c r="B51" s="13">
        <f>IFERROR(Calculations!$P$568,"")</f>
        <v>0</v>
      </c>
      <c r="C51" s="22">
        <f>IFERROR(Calculations!$Q$568,"")</f>
        <v>0</v>
      </c>
      <c r="D51" s="25">
        <f>IFERROR(Calculations!$R$568,"")</f>
        <v>0</v>
      </c>
      <c r="E51" s="22">
        <f>IFERROR(Calculations!$S$568,"")</f>
        <v>0</v>
      </c>
    </row>
    <row r="52" spans="2:19">
      <c r="B52" s="13">
        <f>IFERROR(Calculations!$P$569,"")</f>
        <v>0</v>
      </c>
      <c r="C52" s="22">
        <f>IFERROR(Calculations!$Q$569,"")</f>
        <v>0</v>
      </c>
      <c r="D52" s="25">
        <f>IFERROR(Calculations!$R$569,"")</f>
        <v>0</v>
      </c>
      <c r="E52" s="22">
        <f>IFERROR(Calculations!$S$569,"")</f>
        <v>0</v>
      </c>
    </row>
    <row r="53" spans="2:19">
      <c r="B53" s="13">
        <f>IFERROR(Calculations!$P$570,"")</f>
        <v>0</v>
      </c>
      <c r="C53" s="22">
        <f>IFERROR(Calculations!$Q$570,"")</f>
        <v>0</v>
      </c>
      <c r="D53" s="25">
        <f>IFERROR(Calculations!$R$570,"")</f>
        <v>0</v>
      </c>
      <c r="E53" s="22">
        <f>IFERROR(Calculations!$S$570,"")</f>
        <v>0</v>
      </c>
    </row>
    <row r="54" spans="2:19">
      <c r="B54" s="13">
        <f>IFERROR(Calculations!$P$571,"")</f>
        <v>0</v>
      </c>
      <c r="C54" s="22">
        <f>IFERROR(Calculations!$Q$571,"")</f>
        <v>0</v>
      </c>
      <c r="D54" s="25">
        <f>IFERROR(Calculations!$R$571,"")</f>
        <v>0</v>
      </c>
      <c r="E54" s="22">
        <f>IFERROR(Calculations!$S$571,"")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IF(Calculations!$U$562="","",Calculations!$U$562)</f>
        <v>0</v>
      </c>
      <c r="C62" s="22">
        <f>IFERROR(Calculations!$V$562,"")</f>
        <v>0</v>
      </c>
      <c r="D62" s="22">
        <f>IFERROR(Calculations!$W$562,"")</f>
        <v>0</v>
      </c>
      <c r="E62" s="22">
        <f>IFERROR(Calculations!$X$562,"")</f>
        <v>0</v>
      </c>
      <c r="F62" s="22">
        <f>IFERROR(Calculations!$Y$562,"")</f>
        <v>0</v>
      </c>
      <c r="G62" s="22">
        <f>IFERROR(Calculations!$Z$562,"")</f>
        <v>0</v>
      </c>
      <c r="H62" s="22">
        <f>IFERROR(Calculations!$AA$562,"")</f>
        <v>0</v>
      </c>
      <c r="I62" s="22">
        <f>IFERROR(Calculations!$AB$562,"")</f>
        <v>0</v>
      </c>
      <c r="J62" s="22">
        <f>IFERROR(Calculations!$AC$562,"")</f>
        <v>0</v>
      </c>
      <c r="K62" s="22">
        <f>IFERROR(Calculations!$AD$562,"")</f>
        <v>0</v>
      </c>
      <c r="L62" s="22">
        <f>IFERROR(Calculations!$AE$562,"")</f>
        <v>0</v>
      </c>
      <c r="M62" s="22">
        <f>IFERROR(Calculations!$AF$562,"")</f>
        <v>0</v>
      </c>
      <c r="N62" s="22">
        <f>IFERROR(Calculations!$AG$562,"")</f>
        <v>0</v>
      </c>
      <c r="O62" s="22">
        <f>IFERROR(Calculations!$AH$562,"")</f>
        <v>0</v>
      </c>
    </row>
    <row r="63" spans="2:19">
      <c r="B63" s="13">
        <f>IF(Calculations!$U$563="","",Calculations!$U$563)</f>
        <v>0</v>
      </c>
      <c r="C63" s="22">
        <f>IFERROR(Calculations!$V$563,"")</f>
        <v>0</v>
      </c>
      <c r="D63" s="22">
        <f>IFERROR(Calculations!$W$563,"")</f>
        <v>0</v>
      </c>
      <c r="E63" s="22">
        <f>IFERROR(Calculations!$X$563,"")</f>
        <v>0</v>
      </c>
      <c r="F63" s="22">
        <f>IFERROR(Calculations!$Y$563,"")</f>
        <v>0</v>
      </c>
      <c r="G63" s="22">
        <f>IFERROR(Calculations!$Z$563,"")</f>
        <v>0</v>
      </c>
      <c r="H63" s="22">
        <f>IFERROR(Calculations!$AA$563,"")</f>
        <v>0</v>
      </c>
      <c r="I63" s="22">
        <f>IFERROR(Calculations!$AB$563,"")</f>
        <v>0</v>
      </c>
      <c r="J63" s="22">
        <f>IFERROR(Calculations!$AC$563,"")</f>
        <v>0</v>
      </c>
      <c r="K63" s="22">
        <f>IFERROR(Calculations!$AD$563,"")</f>
        <v>0</v>
      </c>
      <c r="L63" s="22">
        <f>IFERROR(Calculations!$AE$563,"")</f>
        <v>0</v>
      </c>
      <c r="M63" s="22">
        <f>IFERROR(Calculations!$AF$563,"")</f>
        <v>0</v>
      </c>
      <c r="N63" s="22">
        <f>IFERROR(Calculations!$AG$563,"")</f>
        <v>0</v>
      </c>
      <c r="O63" s="22">
        <f>IFERROR(Calculations!$AH$563,"")</f>
        <v>0</v>
      </c>
    </row>
    <row r="64" spans="2:19">
      <c r="B64" s="13">
        <f>IF(Calculations!$U$564="","",Calculations!$U$564)</f>
        <v>0</v>
      </c>
      <c r="C64" s="22">
        <f>IFERROR(Calculations!$V$564,"")</f>
        <v>0</v>
      </c>
      <c r="D64" s="22">
        <f>IFERROR(Calculations!$W$564,"")</f>
        <v>0</v>
      </c>
      <c r="E64" s="22">
        <f>IFERROR(Calculations!$X$564,"")</f>
        <v>0</v>
      </c>
      <c r="F64" s="22">
        <f>IFERROR(Calculations!$Y$564,"")</f>
        <v>0</v>
      </c>
      <c r="G64" s="22">
        <f>IFERROR(Calculations!$Z$564,"")</f>
        <v>0</v>
      </c>
      <c r="H64" s="22">
        <f>IFERROR(Calculations!$AA$564,"")</f>
        <v>0</v>
      </c>
      <c r="I64" s="22">
        <f>IFERROR(Calculations!$AB$564,"")</f>
        <v>0</v>
      </c>
      <c r="J64" s="22">
        <f>IFERROR(Calculations!$AC$564,"")</f>
        <v>0</v>
      </c>
      <c r="K64" s="22">
        <f>IFERROR(Calculations!$AD$564,"")</f>
        <v>0</v>
      </c>
      <c r="L64" s="22">
        <f>IFERROR(Calculations!$AE$564,"")</f>
        <v>0</v>
      </c>
      <c r="M64" s="22">
        <f>IFERROR(Calculations!$AF$564,"")</f>
        <v>0</v>
      </c>
      <c r="N64" s="22">
        <f>IFERROR(Calculations!$AG$564,"")</f>
        <v>0</v>
      </c>
      <c r="O64" s="22">
        <f>IFERROR(Calculations!$AH$564,"")</f>
        <v>0</v>
      </c>
    </row>
    <row r="65" spans="2:19">
      <c r="B65" s="13">
        <f>IF(Calculations!$U$565="","",Calculations!$U$565)</f>
        <v>0</v>
      </c>
      <c r="C65" s="22">
        <f>IFERROR(Calculations!$V$565,"")</f>
        <v>0</v>
      </c>
      <c r="D65" s="22">
        <f>IFERROR(Calculations!$W$565,"")</f>
        <v>0</v>
      </c>
      <c r="E65" s="22">
        <f>IFERROR(Calculations!$X$565,"")</f>
        <v>0</v>
      </c>
      <c r="F65" s="22">
        <f>IFERROR(Calculations!$Y$565,"")</f>
        <v>0</v>
      </c>
      <c r="G65" s="22">
        <f>IFERROR(Calculations!$Z$565,"")</f>
        <v>0</v>
      </c>
      <c r="H65" s="22">
        <f>IFERROR(Calculations!$AA$565,"")</f>
        <v>0</v>
      </c>
      <c r="I65" s="22">
        <f>IFERROR(Calculations!$AB$565,"")</f>
        <v>0</v>
      </c>
      <c r="J65" s="22">
        <f>IFERROR(Calculations!$AC$565,"")</f>
        <v>0</v>
      </c>
      <c r="K65" s="22">
        <f>IFERROR(Calculations!$AD$565,"")</f>
        <v>0</v>
      </c>
      <c r="L65" s="22">
        <f>IFERROR(Calculations!$AE$565,"")</f>
        <v>0</v>
      </c>
      <c r="M65" s="22">
        <f>IFERROR(Calculations!$AF$565,"")</f>
        <v>0</v>
      </c>
      <c r="N65" s="22">
        <f>IFERROR(Calculations!$AG$565,"")</f>
        <v>0</v>
      </c>
      <c r="O65" s="22">
        <f>IFERROR(Calculations!$AH$565,"")</f>
        <v>0</v>
      </c>
    </row>
    <row r="66" spans="2:19">
      <c r="B66" s="13">
        <f>IF(Calculations!$U$566="","",Calculations!$U$566)</f>
        <v>0</v>
      </c>
      <c r="C66" s="22">
        <f>IFERROR(Calculations!$V$566,"")</f>
        <v>0</v>
      </c>
      <c r="D66" s="22">
        <f>IFERROR(Calculations!$W$566,"")</f>
        <v>0</v>
      </c>
      <c r="E66" s="22">
        <f>IFERROR(Calculations!$X$566,"")</f>
        <v>0</v>
      </c>
      <c r="F66" s="22">
        <f>IFERROR(Calculations!$Y$566,"")</f>
        <v>0</v>
      </c>
      <c r="G66" s="22">
        <f>IFERROR(Calculations!$Z$566,"")</f>
        <v>0</v>
      </c>
      <c r="H66" s="22">
        <f>IFERROR(Calculations!$AA$566,"")</f>
        <v>0</v>
      </c>
      <c r="I66" s="22">
        <f>IFERROR(Calculations!$AB$566,"")</f>
        <v>0</v>
      </c>
      <c r="J66" s="22">
        <f>IFERROR(Calculations!$AC$566,"")</f>
        <v>0</v>
      </c>
      <c r="K66" s="22">
        <f>IFERROR(Calculations!$AD$566,"")</f>
        <v>0</v>
      </c>
      <c r="L66" s="22">
        <f>IFERROR(Calculations!$AE$566,"")</f>
        <v>0</v>
      </c>
      <c r="M66" s="22">
        <f>IFERROR(Calculations!$AF$566,"")</f>
        <v>0</v>
      </c>
      <c r="N66" s="22">
        <f>IFERROR(Calculations!$AG$566,"")</f>
        <v>0</v>
      </c>
      <c r="O66" s="22">
        <f>IFERROR(Calculations!$AH$566,"")</f>
        <v>0</v>
      </c>
    </row>
    <row r="67" spans="2:19">
      <c r="B67" s="13">
        <f>IF(Calculations!$U$567="","",Calculations!$U$567)</f>
        <v>0</v>
      </c>
      <c r="C67" s="22">
        <f>IFERROR(Calculations!$V$567,"")</f>
        <v>0</v>
      </c>
      <c r="D67" s="22">
        <f>IFERROR(Calculations!$W$567,"")</f>
        <v>0</v>
      </c>
      <c r="E67" s="22">
        <f>IFERROR(Calculations!$X$567,"")</f>
        <v>0</v>
      </c>
      <c r="F67" s="22">
        <f>IFERROR(Calculations!$Y$567,"")</f>
        <v>0</v>
      </c>
      <c r="G67" s="22">
        <f>IFERROR(Calculations!$Z$567,"")</f>
        <v>0</v>
      </c>
      <c r="H67" s="22">
        <f>IFERROR(Calculations!$AA$567,"")</f>
        <v>0</v>
      </c>
      <c r="I67" s="22">
        <f>IFERROR(Calculations!$AB$567,"")</f>
        <v>0</v>
      </c>
      <c r="J67" s="22">
        <f>IFERROR(Calculations!$AC$567,"")</f>
        <v>0</v>
      </c>
      <c r="K67" s="22">
        <f>IFERROR(Calculations!$AD$567,"")</f>
        <v>0</v>
      </c>
      <c r="L67" s="22">
        <f>IFERROR(Calculations!$AE$567,"")</f>
        <v>0</v>
      </c>
      <c r="M67" s="22">
        <f>IFERROR(Calculations!$AF$567,"")</f>
        <v>0</v>
      </c>
      <c r="N67" s="22">
        <f>IFERROR(Calculations!$AG$567,"")</f>
        <v>0</v>
      </c>
      <c r="O67" s="22">
        <f>IFERROR(Calculations!$AH$567,"")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H71" s="12" t="s">
        <v>129</v>
      </c>
      <c r="I71" s="12" t="s">
        <v>2218</v>
      </c>
    </row>
    <row r="72" spans="2:19">
      <c r="H72" s="13">
        <f>INDEX(Calculations!$F$387:$F$391,1)</f>
        <v>0</v>
      </c>
      <c r="I72" s="22">
        <f>INDEX(Calculations!$G$387:$G$391,1)</f>
        <v>0</v>
      </c>
    </row>
    <row r="73" spans="2:19">
      <c r="H73" s="13">
        <f>INDEX(Calculations!$F$387:$F$391,2)</f>
        <v>0</v>
      </c>
      <c r="I73" s="22">
        <f>INDEX(Calculations!$G$387:$G$391,2)</f>
        <v>0</v>
      </c>
    </row>
    <row r="74" spans="2:19">
      <c r="H74" s="13">
        <f>INDEX(Calculations!$F$387:$F$391,3)</f>
        <v>0</v>
      </c>
      <c r="I74" s="22">
        <f>INDEX(Calculations!$G$387:$G$391,3)</f>
        <v>0</v>
      </c>
    </row>
    <row r="75" spans="2:19">
      <c r="H75" s="13">
        <f>INDEX(Calculations!$F$387:$F$391,4)</f>
        <v>0</v>
      </c>
      <c r="I75" s="22">
        <f>INDEX(Calculations!$G$387:$G$391,4)</f>
        <v>0</v>
      </c>
    </row>
    <row r="76" spans="2:19">
      <c r="H76" s="13">
        <f>INDEX(Calculations!$F$387:$F$391,5)</f>
        <v>0</v>
      </c>
      <c r="I76" s="22">
        <f>INDEX(Calculations!$G$387:$G$391,5)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2236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2237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2194</v>
      </c>
      <c r="C13" s="37"/>
      <c r="D13" s="37"/>
      <c r="E13" s="37"/>
      <c r="F13" s="37" t="s">
        <v>2222</v>
      </c>
      <c r="G13" s="37"/>
      <c r="H13" s="37"/>
      <c r="I13" s="37"/>
      <c r="J13" s="37" t="s">
        <v>2232</v>
      </c>
      <c r="K13" s="37"/>
      <c r="L13" s="37"/>
      <c r="M13" s="37"/>
      <c r="N13" s="37" t="s">
        <v>2238</v>
      </c>
      <c r="O13" s="37"/>
      <c r="P13" s="37"/>
      <c r="Q13" s="37"/>
    </row>
    <row r="14" spans="2:19">
      <c r="B14" s="39">
        <f>Calculations!$N$588</f>
        <v>0</v>
      </c>
      <c r="C14" s="39"/>
      <c r="D14" s="39"/>
      <c r="E14" s="39"/>
      <c r="F14" s="39">
        <f>Calculations!$N$589</f>
        <v>0</v>
      </c>
      <c r="G14" s="39"/>
      <c r="H14" s="39"/>
      <c r="I14" s="39"/>
      <c r="J14" s="39">
        <f>Calculations!$N$590</f>
        <v>0</v>
      </c>
      <c r="K14" s="39"/>
      <c r="L14" s="39"/>
      <c r="M14" s="39"/>
      <c r="N14" s="39">
        <f>Calculations!$N$591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2239</v>
      </c>
      <c r="C19" s="37"/>
      <c r="D19" s="37"/>
      <c r="E19" s="37"/>
      <c r="F19" s="37" t="s">
        <v>2240</v>
      </c>
      <c r="G19" s="37"/>
      <c r="H19" s="37"/>
      <c r="I19" s="37"/>
      <c r="J19" s="37" t="s">
        <v>2241</v>
      </c>
      <c r="K19" s="37"/>
      <c r="L19" s="37"/>
      <c r="M19" s="37"/>
      <c r="N19" s="37" t="s">
        <v>2235</v>
      </c>
      <c r="O19" s="37"/>
      <c r="P19" s="37"/>
      <c r="Q19" s="37"/>
    </row>
    <row r="20" spans="2:19">
      <c r="B20" s="39">
        <f>Calculations!$N$592</f>
        <v>0</v>
      </c>
      <c r="C20" s="39"/>
      <c r="D20" s="39"/>
      <c r="E20" s="39"/>
      <c r="F20" s="39">
        <f>Calculations!$N$593</f>
        <v>0</v>
      </c>
      <c r="G20" s="39"/>
      <c r="H20" s="39"/>
      <c r="I20" s="39"/>
      <c r="J20" s="40">
        <f>Calculations!$N$594</f>
        <v>0</v>
      </c>
      <c r="K20" s="40"/>
      <c r="L20" s="40"/>
      <c r="M20" s="40"/>
      <c r="N20" s="40">
        <f>Calculations!$N$595</f>
        <v>0</v>
      </c>
      <c r="O20" s="40"/>
      <c r="P20" s="40"/>
      <c r="Q20" s="40"/>
    </row>
    <row r="21" spans="2:19">
      <c r="B21" s="39"/>
      <c r="C21" s="39"/>
      <c r="D21" s="39"/>
      <c r="E21" s="39"/>
      <c r="F21" s="39"/>
      <c r="G21" s="39"/>
      <c r="H21" s="39"/>
      <c r="I21" s="39"/>
      <c r="J21" s="40"/>
      <c r="K21" s="40"/>
      <c r="L21" s="40"/>
      <c r="M21" s="40"/>
      <c r="N21" s="40"/>
      <c r="O21" s="40"/>
      <c r="P21" s="40"/>
      <c r="Q21" s="40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"&amp;INDEX(Calculations!$C$588:$C$599,CurMonthNo)&amp;"   vs   "&amp;INDEX(L_Month,CurMonthNo-1)&amp;": "&amp;INDEX(Calculations!$C$588:$C$599,CurMonthNo-1)&amp;"   "&amp;IF(INDEX(Calculations!$C$588:$C$599,CurMonthNo)&gt;=INDEX(Calculations!$C$588:$C$599,CurMonthNo-1),"▲ ","▼ ")&amp;TEXT(IFERROR((INDEX(Calculations!$C$588:$C$599,CurMonthNo)-INDEX(Calculations!$C$588:$C$599,CurMonthNo-1))/INDEX(Calculations!$C$588:$C$599,CurMonthNo-1),0),"+0.0%;-0.0%")))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IFERROR(Calculations!$P$588,"")</f>
        <v>0</v>
      </c>
      <c r="C45" s="22">
        <f>IFERROR(Calculations!$Q$588,"")</f>
        <v>0</v>
      </c>
      <c r="D45" s="25">
        <f>IFERROR(Calculations!$R$588,"")</f>
        <v>0</v>
      </c>
      <c r="E45" s="22">
        <f>IFERROR(Calculations!$S$588,"")</f>
        <v>0</v>
      </c>
    </row>
    <row r="46" spans="2:19">
      <c r="B46" s="13">
        <f>IFERROR(Calculations!$P$589,"")</f>
        <v>0</v>
      </c>
      <c r="C46" s="22">
        <f>IFERROR(Calculations!$Q$589,"")</f>
        <v>0</v>
      </c>
      <c r="D46" s="25">
        <f>IFERROR(Calculations!$R$589,"")</f>
        <v>0</v>
      </c>
      <c r="E46" s="22">
        <f>IFERROR(Calculations!$S$589,"")</f>
        <v>0</v>
      </c>
    </row>
    <row r="47" spans="2:19">
      <c r="B47" s="13">
        <f>IFERROR(Calculations!$P$590,"")</f>
        <v>0</v>
      </c>
      <c r="C47" s="22">
        <f>IFERROR(Calculations!$Q$590,"")</f>
        <v>0</v>
      </c>
      <c r="D47" s="25">
        <f>IFERROR(Calculations!$R$590,"")</f>
        <v>0</v>
      </c>
      <c r="E47" s="22">
        <f>IFERROR(Calculations!$S$590,"")</f>
        <v>0</v>
      </c>
    </row>
    <row r="48" spans="2:19">
      <c r="B48" s="13">
        <f>IFERROR(Calculations!$P$591,"")</f>
        <v>0</v>
      </c>
      <c r="C48" s="22">
        <f>IFERROR(Calculations!$Q$591,"")</f>
        <v>0</v>
      </c>
      <c r="D48" s="25">
        <f>IFERROR(Calculations!$R$591,"")</f>
        <v>0</v>
      </c>
      <c r="E48" s="22">
        <f>IFERROR(Calculations!$S$591,"")</f>
        <v>0</v>
      </c>
    </row>
    <row r="49" spans="2:19">
      <c r="B49" s="13">
        <f>IFERROR(Calculations!$P$592,"")</f>
        <v>0</v>
      </c>
      <c r="C49" s="22">
        <f>IFERROR(Calculations!$Q$592,"")</f>
        <v>0</v>
      </c>
      <c r="D49" s="25">
        <f>IFERROR(Calculations!$R$592,"")</f>
        <v>0</v>
      </c>
      <c r="E49" s="22">
        <f>IFERROR(Calculations!$S$592,"")</f>
        <v>0</v>
      </c>
    </row>
    <row r="50" spans="2:19">
      <c r="B50" s="13">
        <f>IFERROR(Calculations!$P$593,"")</f>
        <v>0</v>
      </c>
      <c r="C50" s="22">
        <f>IFERROR(Calculations!$Q$593,"")</f>
        <v>0</v>
      </c>
      <c r="D50" s="25">
        <f>IFERROR(Calculations!$R$593,"")</f>
        <v>0</v>
      </c>
      <c r="E50" s="22">
        <f>IFERROR(Calculations!$S$593,"")</f>
        <v>0</v>
      </c>
    </row>
    <row r="51" spans="2:19">
      <c r="B51" s="13">
        <f>IFERROR(Calculations!$P$594,"")</f>
        <v>0</v>
      </c>
      <c r="C51" s="22">
        <f>IFERROR(Calculations!$Q$594,"")</f>
        <v>0</v>
      </c>
      <c r="D51" s="25">
        <f>IFERROR(Calculations!$R$594,"")</f>
        <v>0</v>
      </c>
      <c r="E51" s="22">
        <f>IFERROR(Calculations!$S$594,"")</f>
        <v>0</v>
      </c>
    </row>
    <row r="52" spans="2:19">
      <c r="B52" s="13">
        <f>IFERROR(Calculations!$P$595,"")</f>
        <v>0</v>
      </c>
      <c r="C52" s="22">
        <f>IFERROR(Calculations!$Q$595,"")</f>
        <v>0</v>
      </c>
      <c r="D52" s="25">
        <f>IFERROR(Calculations!$R$595,"")</f>
        <v>0</v>
      </c>
      <c r="E52" s="22">
        <f>IFERROR(Calculations!$S$595,"")</f>
        <v>0</v>
      </c>
    </row>
    <row r="53" spans="2:19">
      <c r="B53" s="13">
        <f>IFERROR(Calculations!$P$596,"")</f>
        <v>0</v>
      </c>
      <c r="C53" s="22">
        <f>IFERROR(Calculations!$Q$596,"")</f>
        <v>0</v>
      </c>
      <c r="D53" s="25">
        <f>IFERROR(Calculations!$R$596,"")</f>
        <v>0</v>
      </c>
      <c r="E53" s="22">
        <f>IFERROR(Calculations!$S$596,"")</f>
        <v>0</v>
      </c>
    </row>
    <row r="54" spans="2:19">
      <c r="B54" s="13">
        <f>IFERROR(Calculations!$P$597,"")</f>
        <v>0</v>
      </c>
      <c r="C54" s="22">
        <f>IFERROR(Calculations!$Q$597,"")</f>
        <v>0</v>
      </c>
      <c r="D54" s="25">
        <f>IFERROR(Calculations!$R$597,"")</f>
        <v>0</v>
      </c>
      <c r="E54" s="22">
        <f>IFERROR(Calculations!$S$597,"")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IF(Calculations!$U$588="","",Calculations!$U$588)</f>
        <v>0</v>
      </c>
      <c r="C62" s="22">
        <f>IFERROR(Calculations!$V$588,"")</f>
        <v>0</v>
      </c>
      <c r="D62" s="22">
        <f>IFERROR(Calculations!$W$588,"")</f>
        <v>0</v>
      </c>
      <c r="E62" s="22">
        <f>IFERROR(Calculations!$X$588,"")</f>
        <v>0</v>
      </c>
      <c r="F62" s="22">
        <f>IFERROR(Calculations!$Y$588,"")</f>
        <v>0</v>
      </c>
      <c r="G62" s="22">
        <f>IFERROR(Calculations!$Z$588,"")</f>
        <v>0</v>
      </c>
      <c r="H62" s="22">
        <f>IFERROR(Calculations!$AA$588,"")</f>
        <v>0</v>
      </c>
      <c r="I62" s="22">
        <f>IFERROR(Calculations!$AB$588,"")</f>
        <v>0</v>
      </c>
      <c r="J62" s="22">
        <f>IFERROR(Calculations!$AC$588,"")</f>
        <v>0</v>
      </c>
      <c r="K62" s="22">
        <f>IFERROR(Calculations!$AD$588,"")</f>
        <v>0</v>
      </c>
      <c r="L62" s="22">
        <f>IFERROR(Calculations!$AE$588,"")</f>
        <v>0</v>
      </c>
      <c r="M62" s="22">
        <f>IFERROR(Calculations!$AF$588,"")</f>
        <v>0</v>
      </c>
      <c r="N62" s="22">
        <f>IFERROR(Calculations!$AG$588,"")</f>
        <v>0</v>
      </c>
      <c r="O62" s="22">
        <f>IFERROR(Calculations!$AH$588,"")</f>
        <v>0</v>
      </c>
    </row>
    <row r="63" spans="2:19">
      <c r="B63" s="13">
        <f>IF(Calculations!$U$589="","",Calculations!$U$589)</f>
        <v>0</v>
      </c>
      <c r="C63" s="22">
        <f>IFERROR(Calculations!$V$589,"")</f>
        <v>0</v>
      </c>
      <c r="D63" s="22">
        <f>IFERROR(Calculations!$W$589,"")</f>
        <v>0</v>
      </c>
      <c r="E63" s="22">
        <f>IFERROR(Calculations!$X$589,"")</f>
        <v>0</v>
      </c>
      <c r="F63" s="22">
        <f>IFERROR(Calculations!$Y$589,"")</f>
        <v>0</v>
      </c>
      <c r="G63" s="22">
        <f>IFERROR(Calculations!$Z$589,"")</f>
        <v>0</v>
      </c>
      <c r="H63" s="22">
        <f>IFERROR(Calculations!$AA$589,"")</f>
        <v>0</v>
      </c>
      <c r="I63" s="22">
        <f>IFERROR(Calculations!$AB$589,"")</f>
        <v>0</v>
      </c>
      <c r="J63" s="22">
        <f>IFERROR(Calculations!$AC$589,"")</f>
        <v>0</v>
      </c>
      <c r="K63" s="22">
        <f>IFERROR(Calculations!$AD$589,"")</f>
        <v>0</v>
      </c>
      <c r="L63" s="22">
        <f>IFERROR(Calculations!$AE$589,"")</f>
        <v>0</v>
      </c>
      <c r="M63" s="22">
        <f>IFERROR(Calculations!$AF$589,"")</f>
        <v>0</v>
      </c>
      <c r="N63" s="22">
        <f>IFERROR(Calculations!$AG$589,"")</f>
        <v>0</v>
      </c>
      <c r="O63" s="22">
        <f>IFERROR(Calculations!$AH$589,"")</f>
        <v>0</v>
      </c>
    </row>
    <row r="64" spans="2:19">
      <c r="B64" s="13">
        <f>IF(Calculations!$U$590="","",Calculations!$U$590)</f>
        <v>0</v>
      </c>
      <c r="C64" s="22">
        <f>IFERROR(Calculations!$V$590,"")</f>
        <v>0</v>
      </c>
      <c r="D64" s="22">
        <f>IFERROR(Calculations!$W$590,"")</f>
        <v>0</v>
      </c>
      <c r="E64" s="22">
        <f>IFERROR(Calculations!$X$590,"")</f>
        <v>0</v>
      </c>
      <c r="F64" s="22">
        <f>IFERROR(Calculations!$Y$590,"")</f>
        <v>0</v>
      </c>
      <c r="G64" s="22">
        <f>IFERROR(Calculations!$Z$590,"")</f>
        <v>0</v>
      </c>
      <c r="H64" s="22">
        <f>IFERROR(Calculations!$AA$590,"")</f>
        <v>0</v>
      </c>
      <c r="I64" s="22">
        <f>IFERROR(Calculations!$AB$590,"")</f>
        <v>0</v>
      </c>
      <c r="J64" s="22">
        <f>IFERROR(Calculations!$AC$590,"")</f>
        <v>0</v>
      </c>
      <c r="K64" s="22">
        <f>IFERROR(Calculations!$AD$590,"")</f>
        <v>0</v>
      </c>
      <c r="L64" s="22">
        <f>IFERROR(Calculations!$AE$590,"")</f>
        <v>0</v>
      </c>
      <c r="M64" s="22">
        <f>IFERROR(Calculations!$AF$590,"")</f>
        <v>0</v>
      </c>
      <c r="N64" s="22">
        <f>IFERROR(Calculations!$AG$590,"")</f>
        <v>0</v>
      </c>
      <c r="O64" s="22">
        <f>IFERROR(Calculations!$AH$590,"")</f>
        <v>0</v>
      </c>
    </row>
    <row r="65" spans="2:19">
      <c r="B65" s="13">
        <f>IF(Calculations!$U$591="","",Calculations!$U$591)</f>
        <v>0</v>
      </c>
      <c r="C65" s="22">
        <f>IFERROR(Calculations!$V$591,"")</f>
        <v>0</v>
      </c>
      <c r="D65" s="22">
        <f>IFERROR(Calculations!$W$591,"")</f>
        <v>0</v>
      </c>
      <c r="E65" s="22">
        <f>IFERROR(Calculations!$X$591,"")</f>
        <v>0</v>
      </c>
      <c r="F65" s="22">
        <f>IFERROR(Calculations!$Y$591,"")</f>
        <v>0</v>
      </c>
      <c r="G65" s="22">
        <f>IFERROR(Calculations!$Z$591,"")</f>
        <v>0</v>
      </c>
      <c r="H65" s="22">
        <f>IFERROR(Calculations!$AA$591,"")</f>
        <v>0</v>
      </c>
      <c r="I65" s="22">
        <f>IFERROR(Calculations!$AB$591,"")</f>
        <v>0</v>
      </c>
      <c r="J65" s="22">
        <f>IFERROR(Calculations!$AC$591,"")</f>
        <v>0</v>
      </c>
      <c r="K65" s="22">
        <f>IFERROR(Calculations!$AD$591,"")</f>
        <v>0</v>
      </c>
      <c r="L65" s="22">
        <f>IFERROR(Calculations!$AE$591,"")</f>
        <v>0</v>
      </c>
      <c r="M65" s="22">
        <f>IFERROR(Calculations!$AF$591,"")</f>
        <v>0</v>
      </c>
      <c r="N65" s="22">
        <f>IFERROR(Calculations!$AG$591,"")</f>
        <v>0</v>
      </c>
      <c r="O65" s="22">
        <f>IFERROR(Calculations!$AH$591,"")</f>
        <v>0</v>
      </c>
    </row>
    <row r="66" spans="2:19">
      <c r="B66" s="13">
        <f>IF(Calculations!$U$592="","",Calculations!$U$592)</f>
        <v>0</v>
      </c>
      <c r="C66" s="22">
        <f>IFERROR(Calculations!$V$592,"")</f>
        <v>0</v>
      </c>
      <c r="D66" s="22">
        <f>IFERROR(Calculations!$W$592,"")</f>
        <v>0</v>
      </c>
      <c r="E66" s="22">
        <f>IFERROR(Calculations!$X$592,"")</f>
        <v>0</v>
      </c>
      <c r="F66" s="22">
        <f>IFERROR(Calculations!$Y$592,"")</f>
        <v>0</v>
      </c>
      <c r="G66" s="22">
        <f>IFERROR(Calculations!$Z$592,"")</f>
        <v>0</v>
      </c>
      <c r="H66" s="22">
        <f>IFERROR(Calculations!$AA$592,"")</f>
        <v>0</v>
      </c>
      <c r="I66" s="22">
        <f>IFERROR(Calculations!$AB$592,"")</f>
        <v>0</v>
      </c>
      <c r="J66" s="22">
        <f>IFERROR(Calculations!$AC$592,"")</f>
        <v>0</v>
      </c>
      <c r="K66" s="22">
        <f>IFERROR(Calculations!$AD$592,"")</f>
        <v>0</v>
      </c>
      <c r="L66" s="22">
        <f>IFERROR(Calculations!$AE$592,"")</f>
        <v>0</v>
      </c>
      <c r="M66" s="22">
        <f>IFERROR(Calculations!$AF$592,"")</f>
        <v>0</v>
      </c>
      <c r="N66" s="22">
        <f>IFERROR(Calculations!$AG$592,"")</f>
        <v>0</v>
      </c>
      <c r="O66" s="22">
        <f>IFERROR(Calculations!$AH$592,"")</f>
        <v>0</v>
      </c>
    </row>
    <row r="67" spans="2:19">
      <c r="B67" s="13">
        <f>IF(Calculations!$U$593="","",Calculations!$U$593)</f>
        <v>0</v>
      </c>
      <c r="C67" s="22">
        <f>IFERROR(Calculations!$V$593,"")</f>
        <v>0</v>
      </c>
      <c r="D67" s="22">
        <f>IFERROR(Calculations!$W$593,"")</f>
        <v>0</v>
      </c>
      <c r="E67" s="22">
        <f>IFERROR(Calculations!$X$593,"")</f>
        <v>0</v>
      </c>
      <c r="F67" s="22">
        <f>IFERROR(Calculations!$Y$593,"")</f>
        <v>0</v>
      </c>
      <c r="G67" s="22">
        <f>IFERROR(Calculations!$Z$593,"")</f>
        <v>0</v>
      </c>
      <c r="H67" s="22">
        <f>IFERROR(Calculations!$AA$593,"")</f>
        <v>0</v>
      </c>
      <c r="I67" s="22">
        <f>IFERROR(Calculations!$AB$593,"")</f>
        <v>0</v>
      </c>
      <c r="J67" s="22">
        <f>IFERROR(Calculations!$AC$593,"")</f>
        <v>0</v>
      </c>
      <c r="K67" s="22">
        <f>IFERROR(Calculations!$AD$593,"")</f>
        <v>0</v>
      </c>
      <c r="L67" s="22">
        <f>IFERROR(Calculations!$AE$593,"")</f>
        <v>0</v>
      </c>
      <c r="M67" s="22">
        <f>IFERROR(Calculations!$AF$593,"")</f>
        <v>0</v>
      </c>
      <c r="N67" s="22">
        <f>IFERROR(Calculations!$AG$593,"")</f>
        <v>0</v>
      </c>
      <c r="O67" s="22">
        <f>IFERROR(Calculations!$AH$593,"")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H71" s="12" t="s">
        <v>129</v>
      </c>
      <c r="I71" s="12" t="s">
        <v>2218</v>
      </c>
    </row>
    <row r="72" spans="2:19">
      <c r="H72" s="13">
        <f>INDEX(Calculations!$F$399:$F$403,1)</f>
        <v>0</v>
      </c>
      <c r="I72" s="22">
        <f>INDEX(Calculations!$G$399:$G$403,1)</f>
        <v>0</v>
      </c>
    </row>
    <row r="73" spans="2:19">
      <c r="H73" s="13">
        <f>INDEX(Calculations!$F$399:$F$403,2)</f>
        <v>0</v>
      </c>
      <c r="I73" s="22">
        <f>INDEX(Calculations!$G$399:$G$403,2)</f>
        <v>0</v>
      </c>
    </row>
    <row r="74" spans="2:19">
      <c r="H74" s="13">
        <f>INDEX(Calculations!$F$399:$F$403,3)</f>
        <v>0</v>
      </c>
      <c r="I74" s="22">
        <f>INDEX(Calculations!$G$399:$G$403,3)</f>
        <v>0</v>
      </c>
    </row>
    <row r="75" spans="2:19">
      <c r="H75" s="13">
        <f>INDEX(Calculations!$F$399:$F$403,4)</f>
        <v>0</v>
      </c>
      <c r="I75" s="22">
        <f>INDEX(Calculations!$G$399:$G$403,4)</f>
        <v>0</v>
      </c>
    </row>
    <row r="76" spans="2:19">
      <c r="H76" s="13">
        <f>INDEX(Calculations!$F$399:$F$403,5)</f>
        <v>0</v>
      </c>
      <c r="I76" s="22">
        <f>INDEX(Calculations!$G$399:$G$403,5)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2242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2243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2194</v>
      </c>
      <c r="C13" s="37"/>
      <c r="D13" s="37"/>
      <c r="E13" s="37"/>
      <c r="F13" s="37" t="s">
        <v>2222</v>
      </c>
      <c r="G13" s="37"/>
      <c r="H13" s="37"/>
      <c r="I13" s="37"/>
      <c r="J13" s="37" t="s">
        <v>2232</v>
      </c>
      <c r="K13" s="37"/>
      <c r="L13" s="37"/>
      <c r="M13" s="37"/>
      <c r="N13" s="37" t="s">
        <v>2238</v>
      </c>
      <c r="O13" s="37"/>
      <c r="P13" s="37"/>
      <c r="Q13" s="37"/>
    </row>
    <row r="14" spans="2:19">
      <c r="B14" s="39">
        <f>Calculations!$N$614</f>
        <v>0</v>
      </c>
      <c r="C14" s="39"/>
      <c r="D14" s="39"/>
      <c r="E14" s="39"/>
      <c r="F14" s="39">
        <f>Calculations!$N$615</f>
        <v>0</v>
      </c>
      <c r="G14" s="39"/>
      <c r="H14" s="39"/>
      <c r="I14" s="39"/>
      <c r="J14" s="39">
        <f>Calculations!$N$616</f>
        <v>0</v>
      </c>
      <c r="K14" s="39"/>
      <c r="L14" s="39"/>
      <c r="M14" s="39"/>
      <c r="N14" s="39">
        <f>Calculations!$N$617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2239</v>
      </c>
      <c r="C19" s="37"/>
      <c r="D19" s="37"/>
      <c r="E19" s="37"/>
      <c r="F19" s="37" t="s">
        <v>2240</v>
      </c>
      <c r="G19" s="37"/>
      <c r="H19" s="37"/>
      <c r="I19" s="37"/>
      <c r="J19" s="37" t="s">
        <v>2241</v>
      </c>
      <c r="K19" s="37"/>
      <c r="L19" s="37"/>
      <c r="M19" s="37"/>
      <c r="N19" s="37" t="s">
        <v>2235</v>
      </c>
      <c r="O19" s="37"/>
      <c r="P19" s="37"/>
      <c r="Q19" s="37"/>
    </row>
    <row r="20" spans="2:19">
      <c r="B20" s="39">
        <f>Calculations!$N$618</f>
        <v>0</v>
      </c>
      <c r="C20" s="39"/>
      <c r="D20" s="39"/>
      <c r="E20" s="39"/>
      <c r="F20" s="39">
        <f>Calculations!$N$619</f>
        <v>0</v>
      </c>
      <c r="G20" s="39"/>
      <c r="H20" s="39"/>
      <c r="I20" s="39"/>
      <c r="J20" s="40">
        <f>Calculations!$N$620</f>
        <v>0</v>
      </c>
      <c r="K20" s="40"/>
      <c r="L20" s="40"/>
      <c r="M20" s="40"/>
      <c r="N20" s="40">
        <f>Calculations!$N$621</f>
        <v>0</v>
      </c>
      <c r="O20" s="40"/>
      <c r="P20" s="40"/>
      <c r="Q20" s="40"/>
    </row>
    <row r="21" spans="2:19">
      <c r="B21" s="39"/>
      <c r="C21" s="39"/>
      <c r="D21" s="39"/>
      <c r="E21" s="39"/>
      <c r="F21" s="39"/>
      <c r="G21" s="39"/>
      <c r="H21" s="39"/>
      <c r="I21" s="39"/>
      <c r="J21" s="40"/>
      <c r="K21" s="40"/>
      <c r="L21" s="40"/>
      <c r="M21" s="40"/>
      <c r="N21" s="40"/>
      <c r="O21" s="40"/>
      <c r="P21" s="40"/>
      <c r="Q21" s="40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"&amp;INDEX(Calculations!$C$614:$C$625,CurMonthNo)&amp;"   vs   "&amp;INDEX(L_Month,CurMonthNo-1)&amp;": "&amp;INDEX(Calculations!$C$614:$C$625,CurMonthNo-1)&amp;"   "&amp;IF(INDEX(Calculations!$C$614:$C$625,CurMonthNo)&gt;=INDEX(Calculations!$C$614:$C$625,CurMonthNo-1),"▲ ","▼ ")&amp;TEXT(IFERROR((INDEX(Calculations!$C$614:$C$625,CurMonthNo)-INDEX(Calculations!$C$614:$C$625,CurMonthNo-1))/INDEX(Calculations!$C$614:$C$625,CurMonthNo-1),0),"+0.0%;-0.0%")))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IFERROR(Calculations!$P$614,"")</f>
        <v>0</v>
      </c>
      <c r="C45" s="22">
        <f>IFERROR(Calculations!$Q$614,"")</f>
        <v>0</v>
      </c>
      <c r="D45" s="25">
        <f>IFERROR(Calculations!$R$614,"")</f>
        <v>0</v>
      </c>
      <c r="E45" s="22">
        <f>IFERROR(Calculations!$S$614,"")</f>
        <v>0</v>
      </c>
    </row>
    <row r="46" spans="2:19">
      <c r="B46" s="13">
        <f>IFERROR(Calculations!$P$615,"")</f>
        <v>0</v>
      </c>
      <c r="C46" s="22">
        <f>IFERROR(Calculations!$Q$615,"")</f>
        <v>0</v>
      </c>
      <c r="D46" s="25">
        <f>IFERROR(Calculations!$R$615,"")</f>
        <v>0</v>
      </c>
      <c r="E46" s="22">
        <f>IFERROR(Calculations!$S$615,"")</f>
        <v>0</v>
      </c>
    </row>
    <row r="47" spans="2:19">
      <c r="B47" s="13">
        <f>IFERROR(Calculations!$P$616,"")</f>
        <v>0</v>
      </c>
      <c r="C47" s="22">
        <f>IFERROR(Calculations!$Q$616,"")</f>
        <v>0</v>
      </c>
      <c r="D47" s="25">
        <f>IFERROR(Calculations!$R$616,"")</f>
        <v>0</v>
      </c>
      <c r="E47" s="22">
        <f>IFERROR(Calculations!$S$616,"")</f>
        <v>0</v>
      </c>
    </row>
    <row r="48" spans="2:19">
      <c r="B48" s="13">
        <f>IFERROR(Calculations!$P$617,"")</f>
        <v>0</v>
      </c>
      <c r="C48" s="22">
        <f>IFERROR(Calculations!$Q$617,"")</f>
        <v>0</v>
      </c>
      <c r="D48" s="25">
        <f>IFERROR(Calculations!$R$617,"")</f>
        <v>0</v>
      </c>
      <c r="E48" s="22">
        <f>IFERROR(Calculations!$S$617,"")</f>
        <v>0</v>
      </c>
    </row>
    <row r="49" spans="2:19">
      <c r="B49" s="13">
        <f>IFERROR(Calculations!$P$618,"")</f>
        <v>0</v>
      </c>
      <c r="C49" s="22">
        <f>IFERROR(Calculations!$Q$618,"")</f>
        <v>0</v>
      </c>
      <c r="D49" s="25">
        <f>IFERROR(Calculations!$R$618,"")</f>
        <v>0</v>
      </c>
      <c r="E49" s="22">
        <f>IFERROR(Calculations!$S$618,"")</f>
        <v>0</v>
      </c>
    </row>
    <row r="50" spans="2:19">
      <c r="B50" s="13">
        <f>IFERROR(Calculations!$P$619,"")</f>
        <v>0</v>
      </c>
      <c r="C50" s="22">
        <f>IFERROR(Calculations!$Q$619,"")</f>
        <v>0</v>
      </c>
      <c r="D50" s="25">
        <f>IFERROR(Calculations!$R$619,"")</f>
        <v>0</v>
      </c>
      <c r="E50" s="22">
        <f>IFERROR(Calculations!$S$619,"")</f>
        <v>0</v>
      </c>
    </row>
    <row r="51" spans="2:19">
      <c r="B51" s="13">
        <f>IFERROR(Calculations!$P$620,"")</f>
        <v>0</v>
      </c>
      <c r="C51" s="22">
        <f>IFERROR(Calculations!$Q$620,"")</f>
        <v>0</v>
      </c>
      <c r="D51" s="25">
        <f>IFERROR(Calculations!$R$620,"")</f>
        <v>0</v>
      </c>
      <c r="E51" s="22">
        <f>IFERROR(Calculations!$S$620,"")</f>
        <v>0</v>
      </c>
    </row>
    <row r="52" spans="2:19">
      <c r="B52" s="13">
        <f>IFERROR(Calculations!$P$621,"")</f>
        <v>0</v>
      </c>
      <c r="C52" s="22">
        <f>IFERROR(Calculations!$Q$621,"")</f>
        <v>0</v>
      </c>
      <c r="D52" s="25">
        <f>IFERROR(Calculations!$R$621,"")</f>
        <v>0</v>
      </c>
      <c r="E52" s="22">
        <f>IFERROR(Calculations!$S$621,"")</f>
        <v>0</v>
      </c>
    </row>
    <row r="53" spans="2:19">
      <c r="B53" s="13">
        <f>IFERROR(Calculations!$P$622,"")</f>
        <v>0</v>
      </c>
      <c r="C53" s="22">
        <f>IFERROR(Calculations!$Q$622,"")</f>
        <v>0</v>
      </c>
      <c r="D53" s="25">
        <f>IFERROR(Calculations!$R$622,"")</f>
        <v>0</v>
      </c>
      <c r="E53" s="22">
        <f>IFERROR(Calculations!$S$622,"")</f>
        <v>0</v>
      </c>
    </row>
    <row r="54" spans="2:19">
      <c r="B54" s="13">
        <f>IFERROR(Calculations!$P$623,"")</f>
        <v>0</v>
      </c>
      <c r="C54" s="22">
        <f>IFERROR(Calculations!$Q$623,"")</f>
        <v>0</v>
      </c>
      <c r="D54" s="25">
        <f>IFERROR(Calculations!$R$623,"")</f>
        <v>0</v>
      </c>
      <c r="E54" s="22">
        <f>IFERROR(Calculations!$S$623,"")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IF(Calculations!$U$614="","",Calculations!$U$614)</f>
        <v>0</v>
      </c>
      <c r="C62" s="22">
        <f>IFERROR(Calculations!$V$614,"")</f>
        <v>0</v>
      </c>
      <c r="D62" s="22">
        <f>IFERROR(Calculations!$W$614,"")</f>
        <v>0</v>
      </c>
      <c r="E62" s="22">
        <f>IFERROR(Calculations!$X$614,"")</f>
        <v>0</v>
      </c>
      <c r="F62" s="22">
        <f>IFERROR(Calculations!$Y$614,"")</f>
        <v>0</v>
      </c>
      <c r="G62" s="22">
        <f>IFERROR(Calculations!$Z$614,"")</f>
        <v>0</v>
      </c>
      <c r="H62" s="22">
        <f>IFERROR(Calculations!$AA$614,"")</f>
        <v>0</v>
      </c>
      <c r="I62" s="22">
        <f>IFERROR(Calculations!$AB$614,"")</f>
        <v>0</v>
      </c>
      <c r="J62" s="22">
        <f>IFERROR(Calculations!$AC$614,"")</f>
        <v>0</v>
      </c>
      <c r="K62" s="22">
        <f>IFERROR(Calculations!$AD$614,"")</f>
        <v>0</v>
      </c>
      <c r="L62" s="22">
        <f>IFERROR(Calculations!$AE$614,"")</f>
        <v>0</v>
      </c>
      <c r="M62" s="22">
        <f>IFERROR(Calculations!$AF$614,"")</f>
        <v>0</v>
      </c>
      <c r="N62" s="22">
        <f>IFERROR(Calculations!$AG$614,"")</f>
        <v>0</v>
      </c>
      <c r="O62" s="22">
        <f>IFERROR(Calculations!$AH$614,"")</f>
        <v>0</v>
      </c>
    </row>
    <row r="63" spans="2:19">
      <c r="B63" s="13">
        <f>IF(Calculations!$U$615="","",Calculations!$U$615)</f>
        <v>0</v>
      </c>
      <c r="C63" s="22">
        <f>IFERROR(Calculations!$V$615,"")</f>
        <v>0</v>
      </c>
      <c r="D63" s="22">
        <f>IFERROR(Calculations!$W$615,"")</f>
        <v>0</v>
      </c>
      <c r="E63" s="22">
        <f>IFERROR(Calculations!$X$615,"")</f>
        <v>0</v>
      </c>
      <c r="F63" s="22">
        <f>IFERROR(Calculations!$Y$615,"")</f>
        <v>0</v>
      </c>
      <c r="G63" s="22">
        <f>IFERROR(Calculations!$Z$615,"")</f>
        <v>0</v>
      </c>
      <c r="H63" s="22">
        <f>IFERROR(Calculations!$AA$615,"")</f>
        <v>0</v>
      </c>
      <c r="I63" s="22">
        <f>IFERROR(Calculations!$AB$615,"")</f>
        <v>0</v>
      </c>
      <c r="J63" s="22">
        <f>IFERROR(Calculations!$AC$615,"")</f>
        <v>0</v>
      </c>
      <c r="K63" s="22">
        <f>IFERROR(Calculations!$AD$615,"")</f>
        <v>0</v>
      </c>
      <c r="L63" s="22">
        <f>IFERROR(Calculations!$AE$615,"")</f>
        <v>0</v>
      </c>
      <c r="M63" s="22">
        <f>IFERROR(Calculations!$AF$615,"")</f>
        <v>0</v>
      </c>
      <c r="N63" s="22">
        <f>IFERROR(Calculations!$AG$615,"")</f>
        <v>0</v>
      </c>
      <c r="O63" s="22">
        <f>IFERROR(Calculations!$AH$615,"")</f>
        <v>0</v>
      </c>
    </row>
    <row r="64" spans="2:19">
      <c r="B64" s="13">
        <f>IF(Calculations!$U$616="","",Calculations!$U$616)</f>
        <v>0</v>
      </c>
      <c r="C64" s="22">
        <f>IFERROR(Calculations!$V$616,"")</f>
        <v>0</v>
      </c>
      <c r="D64" s="22">
        <f>IFERROR(Calculations!$W$616,"")</f>
        <v>0</v>
      </c>
      <c r="E64" s="22">
        <f>IFERROR(Calculations!$X$616,"")</f>
        <v>0</v>
      </c>
      <c r="F64" s="22">
        <f>IFERROR(Calculations!$Y$616,"")</f>
        <v>0</v>
      </c>
      <c r="G64" s="22">
        <f>IFERROR(Calculations!$Z$616,"")</f>
        <v>0</v>
      </c>
      <c r="H64" s="22">
        <f>IFERROR(Calculations!$AA$616,"")</f>
        <v>0</v>
      </c>
      <c r="I64" s="22">
        <f>IFERROR(Calculations!$AB$616,"")</f>
        <v>0</v>
      </c>
      <c r="J64" s="22">
        <f>IFERROR(Calculations!$AC$616,"")</f>
        <v>0</v>
      </c>
      <c r="K64" s="22">
        <f>IFERROR(Calculations!$AD$616,"")</f>
        <v>0</v>
      </c>
      <c r="L64" s="22">
        <f>IFERROR(Calculations!$AE$616,"")</f>
        <v>0</v>
      </c>
      <c r="M64" s="22">
        <f>IFERROR(Calculations!$AF$616,"")</f>
        <v>0</v>
      </c>
      <c r="N64" s="22">
        <f>IFERROR(Calculations!$AG$616,"")</f>
        <v>0</v>
      </c>
      <c r="O64" s="22">
        <f>IFERROR(Calculations!$AH$616,"")</f>
        <v>0</v>
      </c>
    </row>
    <row r="65" spans="2:19">
      <c r="B65" s="13">
        <f>IF(Calculations!$U$617="","",Calculations!$U$617)</f>
        <v>0</v>
      </c>
      <c r="C65" s="22">
        <f>IFERROR(Calculations!$V$617,"")</f>
        <v>0</v>
      </c>
      <c r="D65" s="22">
        <f>IFERROR(Calculations!$W$617,"")</f>
        <v>0</v>
      </c>
      <c r="E65" s="22">
        <f>IFERROR(Calculations!$X$617,"")</f>
        <v>0</v>
      </c>
      <c r="F65" s="22">
        <f>IFERROR(Calculations!$Y$617,"")</f>
        <v>0</v>
      </c>
      <c r="G65" s="22">
        <f>IFERROR(Calculations!$Z$617,"")</f>
        <v>0</v>
      </c>
      <c r="H65" s="22">
        <f>IFERROR(Calculations!$AA$617,"")</f>
        <v>0</v>
      </c>
      <c r="I65" s="22">
        <f>IFERROR(Calculations!$AB$617,"")</f>
        <v>0</v>
      </c>
      <c r="J65" s="22">
        <f>IFERROR(Calculations!$AC$617,"")</f>
        <v>0</v>
      </c>
      <c r="K65" s="22">
        <f>IFERROR(Calculations!$AD$617,"")</f>
        <v>0</v>
      </c>
      <c r="L65" s="22">
        <f>IFERROR(Calculations!$AE$617,"")</f>
        <v>0</v>
      </c>
      <c r="M65" s="22">
        <f>IFERROR(Calculations!$AF$617,"")</f>
        <v>0</v>
      </c>
      <c r="N65" s="22">
        <f>IFERROR(Calculations!$AG$617,"")</f>
        <v>0</v>
      </c>
      <c r="O65" s="22">
        <f>IFERROR(Calculations!$AH$617,"")</f>
        <v>0</v>
      </c>
    </row>
    <row r="66" spans="2:19">
      <c r="B66" s="13">
        <f>IF(Calculations!$U$618="","",Calculations!$U$618)</f>
        <v>0</v>
      </c>
      <c r="C66" s="22">
        <f>IFERROR(Calculations!$V$618,"")</f>
        <v>0</v>
      </c>
      <c r="D66" s="22">
        <f>IFERROR(Calculations!$W$618,"")</f>
        <v>0</v>
      </c>
      <c r="E66" s="22">
        <f>IFERROR(Calculations!$X$618,"")</f>
        <v>0</v>
      </c>
      <c r="F66" s="22">
        <f>IFERROR(Calculations!$Y$618,"")</f>
        <v>0</v>
      </c>
      <c r="G66" s="22">
        <f>IFERROR(Calculations!$Z$618,"")</f>
        <v>0</v>
      </c>
      <c r="H66" s="22">
        <f>IFERROR(Calculations!$AA$618,"")</f>
        <v>0</v>
      </c>
      <c r="I66" s="22">
        <f>IFERROR(Calculations!$AB$618,"")</f>
        <v>0</v>
      </c>
      <c r="J66" s="22">
        <f>IFERROR(Calculations!$AC$618,"")</f>
        <v>0</v>
      </c>
      <c r="K66" s="22">
        <f>IFERROR(Calculations!$AD$618,"")</f>
        <v>0</v>
      </c>
      <c r="L66" s="22">
        <f>IFERROR(Calculations!$AE$618,"")</f>
        <v>0</v>
      </c>
      <c r="M66" s="22">
        <f>IFERROR(Calculations!$AF$618,"")</f>
        <v>0</v>
      </c>
      <c r="N66" s="22">
        <f>IFERROR(Calculations!$AG$618,"")</f>
        <v>0</v>
      </c>
      <c r="O66" s="22">
        <f>IFERROR(Calculations!$AH$618,"")</f>
        <v>0</v>
      </c>
    </row>
    <row r="67" spans="2:19">
      <c r="B67" s="13">
        <f>IF(Calculations!$U$619="","",Calculations!$U$619)</f>
        <v>0</v>
      </c>
      <c r="C67" s="22">
        <f>IFERROR(Calculations!$V$619,"")</f>
        <v>0</v>
      </c>
      <c r="D67" s="22">
        <f>IFERROR(Calculations!$W$619,"")</f>
        <v>0</v>
      </c>
      <c r="E67" s="22">
        <f>IFERROR(Calculations!$X$619,"")</f>
        <v>0</v>
      </c>
      <c r="F67" s="22">
        <f>IFERROR(Calculations!$Y$619,"")</f>
        <v>0</v>
      </c>
      <c r="G67" s="22">
        <f>IFERROR(Calculations!$Z$619,"")</f>
        <v>0</v>
      </c>
      <c r="H67" s="22">
        <f>IFERROR(Calculations!$AA$619,"")</f>
        <v>0</v>
      </c>
      <c r="I67" s="22">
        <f>IFERROR(Calculations!$AB$619,"")</f>
        <v>0</v>
      </c>
      <c r="J67" s="22">
        <f>IFERROR(Calculations!$AC$619,"")</f>
        <v>0</v>
      </c>
      <c r="K67" s="22">
        <f>IFERROR(Calculations!$AD$619,"")</f>
        <v>0</v>
      </c>
      <c r="L67" s="22">
        <f>IFERROR(Calculations!$AE$619,"")</f>
        <v>0</v>
      </c>
      <c r="M67" s="22">
        <f>IFERROR(Calculations!$AF$619,"")</f>
        <v>0</v>
      </c>
      <c r="N67" s="22">
        <f>IFERROR(Calculations!$AG$619,"")</f>
        <v>0</v>
      </c>
      <c r="O67" s="22">
        <f>IFERROR(Calculations!$AH$619,"")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H71" s="12" t="s">
        <v>129</v>
      </c>
      <c r="I71" s="12" t="s">
        <v>2218</v>
      </c>
    </row>
    <row r="72" spans="2:19">
      <c r="H72" s="13">
        <f>INDEX(Calculations!$F$411:$F$415,1)</f>
        <v>0</v>
      </c>
      <c r="I72" s="22">
        <f>INDEX(Calculations!$G$411:$G$415,1)</f>
        <v>0</v>
      </c>
    </row>
    <row r="73" spans="2:19">
      <c r="H73" s="13">
        <f>INDEX(Calculations!$F$411:$F$415,2)</f>
        <v>0</v>
      </c>
      <c r="I73" s="22">
        <f>INDEX(Calculations!$G$411:$G$415,2)</f>
        <v>0</v>
      </c>
    </row>
    <row r="74" spans="2:19">
      <c r="H74" s="13">
        <f>INDEX(Calculations!$F$411:$F$415,3)</f>
        <v>0</v>
      </c>
      <c r="I74" s="22">
        <f>INDEX(Calculations!$G$411:$G$415,3)</f>
        <v>0</v>
      </c>
    </row>
    <row r="75" spans="2:19">
      <c r="H75" s="13">
        <f>INDEX(Calculations!$F$411:$F$415,4)</f>
        <v>0</v>
      </c>
      <c r="I75" s="22">
        <f>INDEX(Calculations!$G$411:$G$415,4)</f>
        <v>0</v>
      </c>
    </row>
    <row r="76" spans="2:19">
      <c r="H76" s="13">
        <f>INDEX(Calculations!$F$411:$F$415,5)</f>
        <v>0</v>
      </c>
      <c r="I76" s="22">
        <f>INDEX(Calculations!$G$411:$G$415,5)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2244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2245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2194</v>
      </c>
      <c r="C13" s="37"/>
      <c r="D13" s="37"/>
      <c r="E13" s="37"/>
      <c r="F13" s="37" t="s">
        <v>2222</v>
      </c>
      <c r="G13" s="37"/>
      <c r="H13" s="37"/>
      <c r="I13" s="37"/>
      <c r="J13" s="37" t="s">
        <v>2232</v>
      </c>
      <c r="K13" s="37"/>
      <c r="L13" s="37"/>
      <c r="M13" s="37"/>
      <c r="N13" s="37" t="s">
        <v>2238</v>
      </c>
      <c r="O13" s="37"/>
      <c r="P13" s="37"/>
      <c r="Q13" s="37"/>
    </row>
    <row r="14" spans="2:19">
      <c r="B14" s="39">
        <f>Calculations!$N$640</f>
        <v>0</v>
      </c>
      <c r="C14" s="39"/>
      <c r="D14" s="39"/>
      <c r="E14" s="39"/>
      <c r="F14" s="39">
        <f>Calculations!$N$641</f>
        <v>0</v>
      </c>
      <c r="G14" s="39"/>
      <c r="H14" s="39"/>
      <c r="I14" s="39"/>
      <c r="J14" s="39">
        <f>Calculations!$N$642</f>
        <v>0</v>
      </c>
      <c r="K14" s="39"/>
      <c r="L14" s="39"/>
      <c r="M14" s="39"/>
      <c r="N14" s="39">
        <f>Calculations!$N$643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2239</v>
      </c>
      <c r="C19" s="37"/>
      <c r="D19" s="37"/>
      <c r="E19" s="37"/>
      <c r="F19" s="37" t="s">
        <v>2240</v>
      </c>
      <c r="G19" s="37"/>
      <c r="H19" s="37"/>
      <c r="I19" s="37"/>
      <c r="J19" s="37" t="s">
        <v>2241</v>
      </c>
      <c r="K19" s="37"/>
      <c r="L19" s="37"/>
      <c r="M19" s="37"/>
      <c r="N19" s="37" t="s">
        <v>2235</v>
      </c>
      <c r="O19" s="37"/>
      <c r="P19" s="37"/>
      <c r="Q19" s="37"/>
    </row>
    <row r="20" spans="2:19">
      <c r="B20" s="39">
        <f>Calculations!$N$644</f>
        <v>0</v>
      </c>
      <c r="C20" s="39"/>
      <c r="D20" s="39"/>
      <c r="E20" s="39"/>
      <c r="F20" s="39">
        <f>Calculations!$N$645</f>
        <v>0</v>
      </c>
      <c r="G20" s="39"/>
      <c r="H20" s="39"/>
      <c r="I20" s="39"/>
      <c r="J20" s="40">
        <f>Calculations!$N$646</f>
        <v>0</v>
      </c>
      <c r="K20" s="40"/>
      <c r="L20" s="40"/>
      <c r="M20" s="40"/>
      <c r="N20" s="40">
        <f>Calculations!$N$647</f>
        <v>0</v>
      </c>
      <c r="O20" s="40"/>
      <c r="P20" s="40"/>
      <c r="Q20" s="40"/>
    </row>
    <row r="21" spans="2:19">
      <c r="B21" s="39"/>
      <c r="C21" s="39"/>
      <c r="D21" s="39"/>
      <c r="E21" s="39"/>
      <c r="F21" s="39"/>
      <c r="G21" s="39"/>
      <c r="H21" s="39"/>
      <c r="I21" s="39"/>
      <c r="J21" s="40"/>
      <c r="K21" s="40"/>
      <c r="L21" s="40"/>
      <c r="M21" s="40"/>
      <c r="N21" s="40"/>
      <c r="O21" s="40"/>
      <c r="P21" s="40"/>
      <c r="Q21" s="40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"&amp;INDEX(Calculations!$C$640:$C$651,CurMonthNo)&amp;"   vs   "&amp;INDEX(L_Month,CurMonthNo-1)&amp;": "&amp;INDEX(Calculations!$C$640:$C$651,CurMonthNo-1)&amp;"   "&amp;IF(INDEX(Calculations!$C$640:$C$651,CurMonthNo)&gt;=INDEX(Calculations!$C$640:$C$651,CurMonthNo-1),"▲ ","▼ ")&amp;TEXT(IFERROR((INDEX(Calculations!$C$640:$C$651,CurMonthNo)-INDEX(Calculations!$C$640:$C$651,CurMonthNo-1))/INDEX(Calculations!$C$640:$C$651,CurMonthNo-1),0),"+0.0%;-0.0%")))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IFERROR(Calculations!$P$640,"")</f>
        <v>0</v>
      </c>
      <c r="C45" s="22">
        <f>IFERROR(Calculations!$Q$640,"")</f>
        <v>0</v>
      </c>
      <c r="D45" s="25">
        <f>IFERROR(Calculations!$R$640,"")</f>
        <v>0</v>
      </c>
      <c r="E45" s="22">
        <f>IFERROR(Calculations!$S$640,"")</f>
        <v>0</v>
      </c>
    </row>
    <row r="46" spans="2:19">
      <c r="B46" s="13">
        <f>IFERROR(Calculations!$P$641,"")</f>
        <v>0</v>
      </c>
      <c r="C46" s="22">
        <f>IFERROR(Calculations!$Q$641,"")</f>
        <v>0</v>
      </c>
      <c r="D46" s="25">
        <f>IFERROR(Calculations!$R$641,"")</f>
        <v>0</v>
      </c>
      <c r="E46" s="22">
        <f>IFERROR(Calculations!$S$641,"")</f>
        <v>0</v>
      </c>
    </row>
    <row r="47" spans="2:19">
      <c r="B47" s="13">
        <f>IFERROR(Calculations!$P$642,"")</f>
        <v>0</v>
      </c>
      <c r="C47" s="22">
        <f>IFERROR(Calculations!$Q$642,"")</f>
        <v>0</v>
      </c>
      <c r="D47" s="25">
        <f>IFERROR(Calculations!$R$642,"")</f>
        <v>0</v>
      </c>
      <c r="E47" s="22">
        <f>IFERROR(Calculations!$S$642,"")</f>
        <v>0</v>
      </c>
    </row>
    <row r="48" spans="2:19">
      <c r="B48" s="13">
        <f>IFERROR(Calculations!$P$643,"")</f>
        <v>0</v>
      </c>
      <c r="C48" s="22">
        <f>IFERROR(Calculations!$Q$643,"")</f>
        <v>0</v>
      </c>
      <c r="D48" s="25">
        <f>IFERROR(Calculations!$R$643,"")</f>
        <v>0</v>
      </c>
      <c r="E48" s="22">
        <f>IFERROR(Calculations!$S$643,"")</f>
        <v>0</v>
      </c>
    </row>
    <row r="49" spans="2:19">
      <c r="B49" s="13">
        <f>IFERROR(Calculations!$P$644,"")</f>
        <v>0</v>
      </c>
      <c r="C49" s="22">
        <f>IFERROR(Calculations!$Q$644,"")</f>
        <v>0</v>
      </c>
      <c r="D49" s="25">
        <f>IFERROR(Calculations!$R$644,"")</f>
        <v>0</v>
      </c>
      <c r="E49" s="22">
        <f>IFERROR(Calculations!$S$644,"")</f>
        <v>0</v>
      </c>
    </row>
    <row r="50" spans="2:19">
      <c r="B50" s="13">
        <f>IFERROR(Calculations!$P$645,"")</f>
        <v>0</v>
      </c>
      <c r="C50" s="22">
        <f>IFERROR(Calculations!$Q$645,"")</f>
        <v>0</v>
      </c>
      <c r="D50" s="25">
        <f>IFERROR(Calculations!$R$645,"")</f>
        <v>0</v>
      </c>
      <c r="E50" s="22">
        <f>IFERROR(Calculations!$S$645,"")</f>
        <v>0</v>
      </c>
    </row>
    <row r="51" spans="2:19">
      <c r="B51" s="13">
        <f>IFERROR(Calculations!$P$646,"")</f>
        <v>0</v>
      </c>
      <c r="C51" s="22">
        <f>IFERROR(Calculations!$Q$646,"")</f>
        <v>0</v>
      </c>
      <c r="D51" s="25">
        <f>IFERROR(Calculations!$R$646,"")</f>
        <v>0</v>
      </c>
      <c r="E51" s="22">
        <f>IFERROR(Calculations!$S$646,"")</f>
        <v>0</v>
      </c>
    </row>
    <row r="52" spans="2:19">
      <c r="B52" s="13">
        <f>IFERROR(Calculations!$P$647,"")</f>
        <v>0</v>
      </c>
      <c r="C52" s="22">
        <f>IFERROR(Calculations!$Q$647,"")</f>
        <v>0</v>
      </c>
      <c r="D52" s="25">
        <f>IFERROR(Calculations!$R$647,"")</f>
        <v>0</v>
      </c>
      <c r="E52" s="22">
        <f>IFERROR(Calculations!$S$647,"")</f>
        <v>0</v>
      </c>
    </row>
    <row r="53" spans="2:19">
      <c r="B53" s="13">
        <f>IFERROR(Calculations!$P$648,"")</f>
        <v>0</v>
      </c>
      <c r="C53" s="22">
        <f>IFERROR(Calculations!$Q$648,"")</f>
        <v>0</v>
      </c>
      <c r="D53" s="25">
        <f>IFERROR(Calculations!$R$648,"")</f>
        <v>0</v>
      </c>
      <c r="E53" s="22">
        <f>IFERROR(Calculations!$S$648,"")</f>
        <v>0</v>
      </c>
    </row>
    <row r="54" spans="2:19">
      <c r="B54" s="13">
        <f>IFERROR(Calculations!$P$649,"")</f>
        <v>0</v>
      </c>
      <c r="C54" s="22">
        <f>IFERROR(Calculations!$Q$649,"")</f>
        <v>0</v>
      </c>
      <c r="D54" s="25">
        <f>IFERROR(Calculations!$R$649,"")</f>
        <v>0</v>
      </c>
      <c r="E54" s="22">
        <f>IFERROR(Calculations!$S$649,"")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IF(Calculations!$U$640="","",Calculations!$U$640)</f>
        <v>0</v>
      </c>
      <c r="C62" s="22">
        <f>IFERROR(Calculations!$V$640,"")</f>
        <v>0</v>
      </c>
      <c r="D62" s="22">
        <f>IFERROR(Calculations!$W$640,"")</f>
        <v>0</v>
      </c>
      <c r="E62" s="22">
        <f>IFERROR(Calculations!$X$640,"")</f>
        <v>0</v>
      </c>
      <c r="F62" s="22">
        <f>IFERROR(Calculations!$Y$640,"")</f>
        <v>0</v>
      </c>
      <c r="G62" s="22">
        <f>IFERROR(Calculations!$Z$640,"")</f>
        <v>0</v>
      </c>
      <c r="H62" s="22">
        <f>IFERROR(Calculations!$AA$640,"")</f>
        <v>0</v>
      </c>
      <c r="I62" s="22">
        <f>IFERROR(Calculations!$AB$640,"")</f>
        <v>0</v>
      </c>
      <c r="J62" s="22">
        <f>IFERROR(Calculations!$AC$640,"")</f>
        <v>0</v>
      </c>
      <c r="K62" s="22">
        <f>IFERROR(Calculations!$AD$640,"")</f>
        <v>0</v>
      </c>
      <c r="L62" s="22">
        <f>IFERROR(Calculations!$AE$640,"")</f>
        <v>0</v>
      </c>
      <c r="M62" s="22">
        <f>IFERROR(Calculations!$AF$640,"")</f>
        <v>0</v>
      </c>
      <c r="N62" s="22">
        <f>IFERROR(Calculations!$AG$640,"")</f>
        <v>0</v>
      </c>
      <c r="O62" s="22">
        <f>IFERROR(Calculations!$AH$640,"")</f>
        <v>0</v>
      </c>
    </row>
    <row r="63" spans="2:19">
      <c r="B63" s="13">
        <f>IF(Calculations!$U$641="","",Calculations!$U$641)</f>
        <v>0</v>
      </c>
      <c r="C63" s="22">
        <f>IFERROR(Calculations!$V$641,"")</f>
        <v>0</v>
      </c>
      <c r="D63" s="22">
        <f>IFERROR(Calculations!$W$641,"")</f>
        <v>0</v>
      </c>
      <c r="E63" s="22">
        <f>IFERROR(Calculations!$X$641,"")</f>
        <v>0</v>
      </c>
      <c r="F63" s="22">
        <f>IFERROR(Calculations!$Y$641,"")</f>
        <v>0</v>
      </c>
      <c r="G63" s="22">
        <f>IFERROR(Calculations!$Z$641,"")</f>
        <v>0</v>
      </c>
      <c r="H63" s="22">
        <f>IFERROR(Calculations!$AA$641,"")</f>
        <v>0</v>
      </c>
      <c r="I63" s="22">
        <f>IFERROR(Calculations!$AB$641,"")</f>
        <v>0</v>
      </c>
      <c r="J63" s="22">
        <f>IFERROR(Calculations!$AC$641,"")</f>
        <v>0</v>
      </c>
      <c r="K63" s="22">
        <f>IFERROR(Calculations!$AD$641,"")</f>
        <v>0</v>
      </c>
      <c r="L63" s="22">
        <f>IFERROR(Calculations!$AE$641,"")</f>
        <v>0</v>
      </c>
      <c r="M63" s="22">
        <f>IFERROR(Calculations!$AF$641,"")</f>
        <v>0</v>
      </c>
      <c r="N63" s="22">
        <f>IFERROR(Calculations!$AG$641,"")</f>
        <v>0</v>
      </c>
      <c r="O63" s="22">
        <f>IFERROR(Calculations!$AH$641,"")</f>
        <v>0</v>
      </c>
    </row>
    <row r="64" spans="2:19">
      <c r="B64" s="13">
        <f>IF(Calculations!$U$642="","",Calculations!$U$642)</f>
        <v>0</v>
      </c>
      <c r="C64" s="22">
        <f>IFERROR(Calculations!$V$642,"")</f>
        <v>0</v>
      </c>
      <c r="D64" s="22">
        <f>IFERROR(Calculations!$W$642,"")</f>
        <v>0</v>
      </c>
      <c r="E64" s="22">
        <f>IFERROR(Calculations!$X$642,"")</f>
        <v>0</v>
      </c>
      <c r="F64" s="22">
        <f>IFERROR(Calculations!$Y$642,"")</f>
        <v>0</v>
      </c>
      <c r="G64" s="22">
        <f>IFERROR(Calculations!$Z$642,"")</f>
        <v>0</v>
      </c>
      <c r="H64" s="22">
        <f>IFERROR(Calculations!$AA$642,"")</f>
        <v>0</v>
      </c>
      <c r="I64" s="22">
        <f>IFERROR(Calculations!$AB$642,"")</f>
        <v>0</v>
      </c>
      <c r="J64" s="22">
        <f>IFERROR(Calculations!$AC$642,"")</f>
        <v>0</v>
      </c>
      <c r="K64" s="22">
        <f>IFERROR(Calculations!$AD$642,"")</f>
        <v>0</v>
      </c>
      <c r="L64" s="22">
        <f>IFERROR(Calculations!$AE$642,"")</f>
        <v>0</v>
      </c>
      <c r="M64" s="22">
        <f>IFERROR(Calculations!$AF$642,"")</f>
        <v>0</v>
      </c>
      <c r="N64" s="22">
        <f>IFERROR(Calculations!$AG$642,"")</f>
        <v>0</v>
      </c>
      <c r="O64" s="22">
        <f>IFERROR(Calculations!$AH$642,"")</f>
        <v>0</v>
      </c>
    </row>
    <row r="65" spans="2:19">
      <c r="B65" s="13">
        <f>IF(Calculations!$U$643="","",Calculations!$U$643)</f>
        <v>0</v>
      </c>
      <c r="C65" s="22">
        <f>IFERROR(Calculations!$V$643,"")</f>
        <v>0</v>
      </c>
      <c r="D65" s="22">
        <f>IFERROR(Calculations!$W$643,"")</f>
        <v>0</v>
      </c>
      <c r="E65" s="22">
        <f>IFERROR(Calculations!$X$643,"")</f>
        <v>0</v>
      </c>
      <c r="F65" s="22">
        <f>IFERROR(Calculations!$Y$643,"")</f>
        <v>0</v>
      </c>
      <c r="G65" s="22">
        <f>IFERROR(Calculations!$Z$643,"")</f>
        <v>0</v>
      </c>
      <c r="H65" s="22">
        <f>IFERROR(Calculations!$AA$643,"")</f>
        <v>0</v>
      </c>
      <c r="I65" s="22">
        <f>IFERROR(Calculations!$AB$643,"")</f>
        <v>0</v>
      </c>
      <c r="J65" s="22">
        <f>IFERROR(Calculations!$AC$643,"")</f>
        <v>0</v>
      </c>
      <c r="K65" s="22">
        <f>IFERROR(Calculations!$AD$643,"")</f>
        <v>0</v>
      </c>
      <c r="L65" s="22">
        <f>IFERROR(Calculations!$AE$643,"")</f>
        <v>0</v>
      </c>
      <c r="M65" s="22">
        <f>IFERROR(Calculations!$AF$643,"")</f>
        <v>0</v>
      </c>
      <c r="N65" s="22">
        <f>IFERROR(Calculations!$AG$643,"")</f>
        <v>0</v>
      </c>
      <c r="O65" s="22">
        <f>IFERROR(Calculations!$AH$643,"")</f>
        <v>0</v>
      </c>
    </row>
    <row r="66" spans="2:19">
      <c r="B66" s="13">
        <f>IF(Calculations!$U$644="","",Calculations!$U$644)</f>
        <v>0</v>
      </c>
      <c r="C66" s="22">
        <f>IFERROR(Calculations!$V$644,"")</f>
        <v>0</v>
      </c>
      <c r="D66" s="22">
        <f>IFERROR(Calculations!$W$644,"")</f>
        <v>0</v>
      </c>
      <c r="E66" s="22">
        <f>IFERROR(Calculations!$X$644,"")</f>
        <v>0</v>
      </c>
      <c r="F66" s="22">
        <f>IFERROR(Calculations!$Y$644,"")</f>
        <v>0</v>
      </c>
      <c r="G66" s="22">
        <f>IFERROR(Calculations!$Z$644,"")</f>
        <v>0</v>
      </c>
      <c r="H66" s="22">
        <f>IFERROR(Calculations!$AA$644,"")</f>
        <v>0</v>
      </c>
      <c r="I66" s="22">
        <f>IFERROR(Calculations!$AB$644,"")</f>
        <v>0</v>
      </c>
      <c r="J66" s="22">
        <f>IFERROR(Calculations!$AC$644,"")</f>
        <v>0</v>
      </c>
      <c r="K66" s="22">
        <f>IFERROR(Calculations!$AD$644,"")</f>
        <v>0</v>
      </c>
      <c r="L66" s="22">
        <f>IFERROR(Calculations!$AE$644,"")</f>
        <v>0</v>
      </c>
      <c r="M66" s="22">
        <f>IFERROR(Calculations!$AF$644,"")</f>
        <v>0</v>
      </c>
      <c r="N66" s="22">
        <f>IFERROR(Calculations!$AG$644,"")</f>
        <v>0</v>
      </c>
      <c r="O66" s="22">
        <f>IFERROR(Calculations!$AH$644,"")</f>
        <v>0</v>
      </c>
    </row>
    <row r="67" spans="2:19">
      <c r="B67" s="13">
        <f>IF(Calculations!$U$645="","",Calculations!$U$645)</f>
        <v>0</v>
      </c>
      <c r="C67" s="22">
        <f>IFERROR(Calculations!$V$645,"")</f>
        <v>0</v>
      </c>
      <c r="D67" s="22">
        <f>IFERROR(Calculations!$W$645,"")</f>
        <v>0</v>
      </c>
      <c r="E67" s="22">
        <f>IFERROR(Calculations!$X$645,"")</f>
        <v>0</v>
      </c>
      <c r="F67" s="22">
        <f>IFERROR(Calculations!$Y$645,"")</f>
        <v>0</v>
      </c>
      <c r="G67" s="22">
        <f>IFERROR(Calculations!$Z$645,"")</f>
        <v>0</v>
      </c>
      <c r="H67" s="22">
        <f>IFERROR(Calculations!$AA$645,"")</f>
        <v>0</v>
      </c>
      <c r="I67" s="22">
        <f>IFERROR(Calculations!$AB$645,"")</f>
        <v>0</v>
      </c>
      <c r="J67" s="22">
        <f>IFERROR(Calculations!$AC$645,"")</f>
        <v>0</v>
      </c>
      <c r="K67" s="22">
        <f>IFERROR(Calculations!$AD$645,"")</f>
        <v>0</v>
      </c>
      <c r="L67" s="22">
        <f>IFERROR(Calculations!$AE$645,"")</f>
        <v>0</v>
      </c>
      <c r="M67" s="22">
        <f>IFERROR(Calculations!$AF$645,"")</f>
        <v>0</v>
      </c>
      <c r="N67" s="22">
        <f>IFERROR(Calculations!$AG$645,"")</f>
        <v>0</v>
      </c>
      <c r="O67" s="22">
        <f>IFERROR(Calculations!$AH$645,"")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H71" s="12" t="s">
        <v>129</v>
      </c>
      <c r="I71" s="12" t="s">
        <v>2218</v>
      </c>
    </row>
    <row r="72" spans="2:19">
      <c r="H72" s="13">
        <f>INDEX(Calculations!$F$423:$F$427,1)</f>
        <v>0</v>
      </c>
      <c r="I72" s="22">
        <f>INDEX(Calculations!$G$423:$G$427,1)</f>
        <v>0</v>
      </c>
    </row>
    <row r="73" spans="2:19">
      <c r="H73" s="13">
        <f>INDEX(Calculations!$F$423:$F$427,2)</f>
        <v>0</v>
      </c>
      <c r="I73" s="22">
        <f>INDEX(Calculations!$G$423:$G$427,2)</f>
        <v>0</v>
      </c>
    </row>
    <row r="74" spans="2:19">
      <c r="H74" s="13">
        <f>INDEX(Calculations!$F$423:$F$427,3)</f>
        <v>0</v>
      </c>
      <c r="I74" s="22">
        <f>INDEX(Calculations!$G$423:$G$427,3)</f>
        <v>0</v>
      </c>
    </row>
    <row r="75" spans="2:19">
      <c r="H75" s="13">
        <f>INDEX(Calculations!$F$423:$F$427,4)</f>
        <v>0</v>
      </c>
      <c r="I75" s="22">
        <f>INDEX(Calculations!$G$423:$G$427,4)</f>
        <v>0</v>
      </c>
    </row>
    <row r="76" spans="2:19">
      <c r="H76" s="13">
        <f>INDEX(Calculations!$F$423:$F$427,5)</f>
        <v>0</v>
      </c>
      <c r="I76" s="22">
        <f>INDEX(Calculations!$G$423:$G$427,5)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2246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2247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2248</v>
      </c>
      <c r="C13" s="37"/>
      <c r="D13" s="37"/>
      <c r="E13" s="37"/>
      <c r="F13" s="37" t="s">
        <v>2198</v>
      </c>
      <c r="G13" s="37"/>
      <c r="H13" s="37"/>
      <c r="I13" s="37"/>
      <c r="J13" s="37" t="s">
        <v>2249</v>
      </c>
      <c r="K13" s="37"/>
      <c r="L13" s="37"/>
      <c r="M13" s="37"/>
      <c r="N13" s="37" t="s">
        <v>2250</v>
      </c>
      <c r="O13" s="37"/>
      <c r="P13" s="37"/>
      <c r="Q13" s="37"/>
    </row>
    <row r="14" spans="2:19">
      <c r="B14" s="39">
        <f>Calculations!$N$666</f>
        <v>0</v>
      </c>
      <c r="C14" s="39"/>
      <c r="D14" s="39"/>
      <c r="E14" s="39"/>
      <c r="F14" s="40">
        <f>Calculations!$N$667</f>
        <v>0</v>
      </c>
      <c r="G14" s="40"/>
      <c r="H14" s="40"/>
      <c r="I14" s="40"/>
      <c r="J14" s="39">
        <f>Calculations!$N$668</f>
        <v>0</v>
      </c>
      <c r="K14" s="39"/>
      <c r="L14" s="39"/>
      <c r="M14" s="39"/>
      <c r="N14" s="39">
        <f>Calculations!$N$669</f>
        <v>0</v>
      </c>
      <c r="O14" s="39"/>
      <c r="P14" s="39"/>
      <c r="Q14" s="39"/>
    </row>
    <row r="15" spans="2:19">
      <c r="B15" s="39"/>
      <c r="C15" s="39"/>
      <c r="D15" s="39"/>
      <c r="E15" s="39"/>
      <c r="F15" s="40"/>
      <c r="G15" s="40"/>
      <c r="H15" s="40"/>
      <c r="I15" s="40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2251</v>
      </c>
      <c r="C19" s="37"/>
      <c r="D19" s="37"/>
      <c r="E19" s="37"/>
      <c r="F19" s="37" t="s">
        <v>2226</v>
      </c>
      <c r="G19" s="37"/>
      <c r="H19" s="37"/>
      <c r="I19" s="37"/>
      <c r="J19" s="37" t="s">
        <v>2252</v>
      </c>
      <c r="K19" s="37"/>
      <c r="L19" s="37"/>
      <c r="M19" s="37"/>
      <c r="N19" s="37" t="s">
        <v>2253</v>
      </c>
      <c r="O19" s="37"/>
      <c r="P19" s="37"/>
      <c r="Q19" s="37"/>
    </row>
    <row r="20" spans="2:19">
      <c r="B20" s="40">
        <f>Calculations!$N$670</f>
        <v>0</v>
      </c>
      <c r="C20" s="40"/>
      <c r="D20" s="40"/>
      <c r="E20" s="40"/>
      <c r="F20" s="39">
        <f>Calculations!$N$671</f>
        <v>0</v>
      </c>
      <c r="G20" s="39"/>
      <c r="H20" s="39"/>
      <c r="I20" s="39"/>
      <c r="J20" s="39">
        <f>Calculations!$N$672</f>
        <v>0</v>
      </c>
      <c r="K20" s="39"/>
      <c r="L20" s="39"/>
      <c r="M20" s="39"/>
      <c r="N20" s="39">
        <f>Calculations!$N$673</f>
        <v>0</v>
      </c>
      <c r="O20" s="39"/>
      <c r="P20" s="39"/>
      <c r="Q20" s="39"/>
    </row>
    <row r="21" spans="2:19">
      <c r="B21" s="40"/>
      <c r="C21" s="40"/>
      <c r="D21" s="40"/>
      <c r="E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"&amp;INDEX(Calculations!$C$666:$C$677,CurMonthNo)&amp;"   vs   "&amp;INDEX(L_Month,CurMonthNo-1)&amp;": "&amp;INDEX(Calculations!$C$666:$C$677,CurMonthNo-1)&amp;"   "&amp;IF(INDEX(Calculations!$C$666:$C$677,CurMonthNo)&gt;=INDEX(Calculations!$C$666:$C$677,CurMonthNo-1),"▲ ","▼ ")&amp;TEXT(IFERROR((INDEX(Calculations!$C$666:$C$677,CurMonthNo)-INDEX(Calculations!$C$666:$C$677,CurMonthNo-1))/INDEX(Calculations!$C$666:$C$677,CurMonthNo-1),0),"+0.0%;-0.0%")))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1694</v>
      </c>
      <c r="E44" s="12" t="s">
        <v>1969</v>
      </c>
    </row>
    <row r="45" spans="2:19">
      <c r="B45" s="13">
        <f>IFERROR(Calculations!$P$666,"")</f>
        <v>0</v>
      </c>
      <c r="C45" s="22">
        <f>IFERROR(Calculations!$Q$666,"")</f>
        <v>0</v>
      </c>
      <c r="D45" s="22">
        <f>IFERROR(Calculations!$R$666,"")</f>
        <v>0</v>
      </c>
      <c r="E45" s="25">
        <f>IFERROR(Calculations!$S$666,"")</f>
        <v>0</v>
      </c>
    </row>
    <row r="46" spans="2:19">
      <c r="B46" s="13">
        <f>IFERROR(Calculations!$P$667,"")</f>
        <v>0</v>
      </c>
      <c r="C46" s="22">
        <f>IFERROR(Calculations!$Q$667,"")</f>
        <v>0</v>
      </c>
      <c r="D46" s="22">
        <f>IFERROR(Calculations!$R$667,"")</f>
        <v>0</v>
      </c>
      <c r="E46" s="25">
        <f>IFERROR(Calculations!$S$667,"")</f>
        <v>0</v>
      </c>
    </row>
    <row r="47" spans="2:19">
      <c r="B47" s="13">
        <f>IFERROR(Calculations!$P$668,"")</f>
        <v>0</v>
      </c>
      <c r="C47" s="22">
        <f>IFERROR(Calculations!$Q$668,"")</f>
        <v>0</v>
      </c>
      <c r="D47" s="22">
        <f>IFERROR(Calculations!$R$668,"")</f>
        <v>0</v>
      </c>
      <c r="E47" s="25">
        <f>IFERROR(Calculations!$S$668,"")</f>
        <v>0</v>
      </c>
    </row>
    <row r="48" spans="2:19">
      <c r="B48" s="13">
        <f>IFERROR(Calculations!$P$669,"")</f>
        <v>0</v>
      </c>
      <c r="C48" s="22">
        <f>IFERROR(Calculations!$Q$669,"")</f>
        <v>0</v>
      </c>
      <c r="D48" s="22">
        <f>IFERROR(Calculations!$R$669,"")</f>
        <v>0</v>
      </c>
      <c r="E48" s="25">
        <f>IFERROR(Calculations!$S$669,"")</f>
        <v>0</v>
      </c>
    </row>
    <row r="49" spans="2:19">
      <c r="B49" s="13">
        <f>IFERROR(Calculations!$P$670,"")</f>
        <v>0</v>
      </c>
      <c r="C49" s="22">
        <f>IFERROR(Calculations!$Q$670,"")</f>
        <v>0</v>
      </c>
      <c r="D49" s="22">
        <f>IFERROR(Calculations!$R$670,"")</f>
        <v>0</v>
      </c>
      <c r="E49" s="25">
        <f>IFERROR(Calculations!$S$670,"")</f>
        <v>0</v>
      </c>
    </row>
    <row r="50" spans="2:19">
      <c r="B50" s="13">
        <f>IFERROR(Calculations!$P$671,"")</f>
        <v>0</v>
      </c>
      <c r="C50" s="22">
        <f>IFERROR(Calculations!$Q$671,"")</f>
        <v>0</v>
      </c>
      <c r="D50" s="22">
        <f>IFERROR(Calculations!$R$671,"")</f>
        <v>0</v>
      </c>
      <c r="E50" s="25">
        <f>IFERROR(Calculations!$S$671,"")</f>
        <v>0</v>
      </c>
    </row>
    <row r="51" spans="2:19">
      <c r="B51" s="13">
        <f>IFERROR(Calculations!$P$672,"")</f>
        <v>0</v>
      </c>
      <c r="C51" s="22">
        <f>IFERROR(Calculations!$Q$672,"")</f>
        <v>0</v>
      </c>
      <c r="D51" s="22">
        <f>IFERROR(Calculations!$R$672,"")</f>
        <v>0</v>
      </c>
      <c r="E51" s="25">
        <f>IFERROR(Calculations!$S$672,"")</f>
        <v>0</v>
      </c>
    </row>
    <row r="52" spans="2:19">
      <c r="B52" s="13">
        <f>IFERROR(Calculations!$P$673,"")</f>
        <v>0</v>
      </c>
      <c r="C52" s="22">
        <f>IFERROR(Calculations!$Q$673,"")</f>
        <v>0</v>
      </c>
      <c r="D52" s="22">
        <f>IFERROR(Calculations!$R$673,"")</f>
        <v>0</v>
      </c>
      <c r="E52" s="25">
        <f>IFERROR(Calculations!$S$673,"")</f>
        <v>0</v>
      </c>
    </row>
    <row r="53" spans="2:19">
      <c r="B53" s="13">
        <f>IFERROR(Calculations!$P$674,"")</f>
        <v>0</v>
      </c>
      <c r="C53" s="22">
        <f>IFERROR(Calculations!$Q$674,"")</f>
        <v>0</v>
      </c>
      <c r="D53" s="22">
        <f>IFERROR(Calculations!$R$674,"")</f>
        <v>0</v>
      </c>
      <c r="E53" s="25">
        <f>IFERROR(Calculations!$S$674,"")</f>
        <v>0</v>
      </c>
    </row>
    <row r="54" spans="2:19">
      <c r="B54" s="13">
        <f>IFERROR(Calculations!$P$675,"")</f>
        <v>0</v>
      </c>
      <c r="C54" s="22">
        <f>IFERROR(Calculations!$Q$675,"")</f>
        <v>0</v>
      </c>
      <c r="D54" s="22">
        <f>IFERROR(Calculations!$R$675,"")</f>
        <v>0</v>
      </c>
      <c r="E54" s="25">
        <f>IFERROR(Calculations!$S$675,"")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IF(Calculations!$U$666="","",Calculations!$U$666)</f>
        <v>0</v>
      </c>
      <c r="C62" s="22">
        <f>IFERROR(Calculations!$V$666,"")</f>
        <v>0</v>
      </c>
      <c r="D62" s="22">
        <f>IFERROR(Calculations!$W$666,"")</f>
        <v>0</v>
      </c>
      <c r="E62" s="22">
        <f>IFERROR(Calculations!$X$666,"")</f>
        <v>0</v>
      </c>
      <c r="F62" s="22">
        <f>IFERROR(Calculations!$Y$666,"")</f>
        <v>0</v>
      </c>
      <c r="G62" s="22">
        <f>IFERROR(Calculations!$Z$666,"")</f>
        <v>0</v>
      </c>
      <c r="H62" s="22">
        <f>IFERROR(Calculations!$AA$666,"")</f>
        <v>0</v>
      </c>
      <c r="I62" s="22">
        <f>IFERROR(Calculations!$AB$666,"")</f>
        <v>0</v>
      </c>
      <c r="J62" s="22">
        <f>IFERROR(Calculations!$AC$666,"")</f>
        <v>0</v>
      </c>
      <c r="K62" s="22">
        <f>IFERROR(Calculations!$AD$666,"")</f>
        <v>0</v>
      </c>
      <c r="L62" s="22">
        <f>IFERROR(Calculations!$AE$666,"")</f>
        <v>0</v>
      </c>
      <c r="M62" s="22">
        <f>IFERROR(Calculations!$AF$666,"")</f>
        <v>0</v>
      </c>
      <c r="N62" s="22">
        <f>IFERROR(Calculations!$AG$666,"")</f>
        <v>0</v>
      </c>
      <c r="O62" s="22">
        <f>IFERROR(Calculations!$AH$666,"")</f>
        <v>0</v>
      </c>
    </row>
    <row r="63" spans="2:19">
      <c r="B63" s="13">
        <f>IF(Calculations!$U$667="","",Calculations!$U$667)</f>
        <v>0</v>
      </c>
      <c r="C63" s="22">
        <f>IFERROR(Calculations!$V$667,"")</f>
        <v>0</v>
      </c>
      <c r="D63" s="22">
        <f>IFERROR(Calculations!$W$667,"")</f>
        <v>0</v>
      </c>
      <c r="E63" s="22">
        <f>IFERROR(Calculations!$X$667,"")</f>
        <v>0</v>
      </c>
      <c r="F63" s="22">
        <f>IFERROR(Calculations!$Y$667,"")</f>
        <v>0</v>
      </c>
      <c r="G63" s="22">
        <f>IFERROR(Calculations!$Z$667,"")</f>
        <v>0</v>
      </c>
      <c r="H63" s="22">
        <f>IFERROR(Calculations!$AA$667,"")</f>
        <v>0</v>
      </c>
      <c r="I63" s="22">
        <f>IFERROR(Calculations!$AB$667,"")</f>
        <v>0</v>
      </c>
      <c r="J63" s="22">
        <f>IFERROR(Calculations!$AC$667,"")</f>
        <v>0</v>
      </c>
      <c r="K63" s="22">
        <f>IFERROR(Calculations!$AD$667,"")</f>
        <v>0</v>
      </c>
      <c r="L63" s="22">
        <f>IFERROR(Calculations!$AE$667,"")</f>
        <v>0</v>
      </c>
      <c r="M63" s="22">
        <f>IFERROR(Calculations!$AF$667,"")</f>
        <v>0</v>
      </c>
      <c r="N63" s="22">
        <f>IFERROR(Calculations!$AG$667,"")</f>
        <v>0</v>
      </c>
      <c r="O63" s="22">
        <f>IFERROR(Calculations!$AH$667,"")</f>
        <v>0</v>
      </c>
    </row>
    <row r="64" spans="2:19">
      <c r="B64" s="13">
        <f>IF(Calculations!$U$668="","",Calculations!$U$668)</f>
        <v>0</v>
      </c>
      <c r="C64" s="22">
        <f>IFERROR(Calculations!$V$668,"")</f>
        <v>0</v>
      </c>
      <c r="D64" s="22">
        <f>IFERROR(Calculations!$W$668,"")</f>
        <v>0</v>
      </c>
      <c r="E64" s="22">
        <f>IFERROR(Calculations!$X$668,"")</f>
        <v>0</v>
      </c>
      <c r="F64" s="22">
        <f>IFERROR(Calculations!$Y$668,"")</f>
        <v>0</v>
      </c>
      <c r="G64" s="22">
        <f>IFERROR(Calculations!$Z$668,"")</f>
        <v>0</v>
      </c>
      <c r="H64" s="22">
        <f>IFERROR(Calculations!$AA$668,"")</f>
        <v>0</v>
      </c>
      <c r="I64" s="22">
        <f>IFERROR(Calculations!$AB$668,"")</f>
        <v>0</v>
      </c>
      <c r="J64" s="22">
        <f>IFERROR(Calculations!$AC$668,"")</f>
        <v>0</v>
      </c>
      <c r="K64" s="22">
        <f>IFERROR(Calculations!$AD$668,"")</f>
        <v>0</v>
      </c>
      <c r="L64" s="22">
        <f>IFERROR(Calculations!$AE$668,"")</f>
        <v>0</v>
      </c>
      <c r="M64" s="22">
        <f>IFERROR(Calculations!$AF$668,"")</f>
        <v>0</v>
      </c>
      <c r="N64" s="22">
        <f>IFERROR(Calculations!$AG$668,"")</f>
        <v>0</v>
      </c>
      <c r="O64" s="22">
        <f>IFERROR(Calculations!$AH$668,"")</f>
        <v>0</v>
      </c>
    </row>
    <row r="65" spans="2:15">
      <c r="B65" s="13">
        <f>IF(Calculations!$U$669="","",Calculations!$U$669)</f>
        <v>0</v>
      </c>
      <c r="C65" s="22">
        <f>IFERROR(Calculations!$V$669,"")</f>
        <v>0</v>
      </c>
      <c r="D65" s="22">
        <f>IFERROR(Calculations!$W$669,"")</f>
        <v>0</v>
      </c>
      <c r="E65" s="22">
        <f>IFERROR(Calculations!$X$669,"")</f>
        <v>0</v>
      </c>
      <c r="F65" s="22">
        <f>IFERROR(Calculations!$Y$669,"")</f>
        <v>0</v>
      </c>
      <c r="G65" s="22">
        <f>IFERROR(Calculations!$Z$669,"")</f>
        <v>0</v>
      </c>
      <c r="H65" s="22">
        <f>IFERROR(Calculations!$AA$669,"")</f>
        <v>0</v>
      </c>
      <c r="I65" s="22">
        <f>IFERROR(Calculations!$AB$669,"")</f>
        <v>0</v>
      </c>
      <c r="J65" s="22">
        <f>IFERROR(Calculations!$AC$669,"")</f>
        <v>0</v>
      </c>
      <c r="K65" s="22">
        <f>IFERROR(Calculations!$AD$669,"")</f>
        <v>0</v>
      </c>
      <c r="L65" s="22">
        <f>IFERROR(Calculations!$AE$669,"")</f>
        <v>0</v>
      </c>
      <c r="M65" s="22">
        <f>IFERROR(Calculations!$AF$669,"")</f>
        <v>0</v>
      </c>
      <c r="N65" s="22">
        <f>IFERROR(Calculations!$AG$669,"")</f>
        <v>0</v>
      </c>
      <c r="O65" s="22">
        <f>IFERROR(Calculations!$AH$669,"")</f>
        <v>0</v>
      </c>
    </row>
    <row r="66" spans="2:15">
      <c r="B66" s="13">
        <f>IF(Calculations!$U$670="","",Calculations!$U$670)</f>
        <v>0</v>
      </c>
      <c r="C66" s="22">
        <f>IFERROR(Calculations!$V$670,"")</f>
        <v>0</v>
      </c>
      <c r="D66" s="22">
        <f>IFERROR(Calculations!$W$670,"")</f>
        <v>0</v>
      </c>
      <c r="E66" s="22">
        <f>IFERROR(Calculations!$X$670,"")</f>
        <v>0</v>
      </c>
      <c r="F66" s="22">
        <f>IFERROR(Calculations!$Y$670,"")</f>
        <v>0</v>
      </c>
      <c r="G66" s="22">
        <f>IFERROR(Calculations!$Z$670,"")</f>
        <v>0</v>
      </c>
      <c r="H66" s="22">
        <f>IFERROR(Calculations!$AA$670,"")</f>
        <v>0</v>
      </c>
      <c r="I66" s="22">
        <f>IFERROR(Calculations!$AB$670,"")</f>
        <v>0</v>
      </c>
      <c r="J66" s="22">
        <f>IFERROR(Calculations!$AC$670,"")</f>
        <v>0</v>
      </c>
      <c r="K66" s="22">
        <f>IFERROR(Calculations!$AD$670,"")</f>
        <v>0</v>
      </c>
      <c r="L66" s="22">
        <f>IFERROR(Calculations!$AE$670,"")</f>
        <v>0</v>
      </c>
      <c r="M66" s="22">
        <f>IFERROR(Calculations!$AF$670,"")</f>
        <v>0</v>
      </c>
      <c r="N66" s="22">
        <f>IFERROR(Calculations!$AG$670,"")</f>
        <v>0</v>
      </c>
      <c r="O66" s="22">
        <f>IFERROR(Calculations!$AH$670,"")</f>
        <v>0</v>
      </c>
    </row>
    <row r="67" spans="2:15">
      <c r="B67" s="13">
        <f>IF(Calculations!$U$671="","",Calculations!$U$671)</f>
        <v>0</v>
      </c>
      <c r="C67" s="22">
        <f>IFERROR(Calculations!$V$671,"")</f>
        <v>0</v>
      </c>
      <c r="D67" s="22">
        <f>IFERROR(Calculations!$W$671,"")</f>
        <v>0</v>
      </c>
      <c r="E67" s="22">
        <f>IFERROR(Calculations!$X$671,"")</f>
        <v>0</v>
      </c>
      <c r="F67" s="22">
        <f>IFERROR(Calculations!$Y$671,"")</f>
        <v>0</v>
      </c>
      <c r="G67" s="22">
        <f>IFERROR(Calculations!$Z$671,"")</f>
        <v>0</v>
      </c>
      <c r="H67" s="22">
        <f>IFERROR(Calculations!$AA$671,"")</f>
        <v>0</v>
      </c>
      <c r="I67" s="22">
        <f>IFERROR(Calculations!$AB$671,"")</f>
        <v>0</v>
      </c>
      <c r="J67" s="22">
        <f>IFERROR(Calculations!$AC$671,"")</f>
        <v>0</v>
      </c>
      <c r="K67" s="22">
        <f>IFERROR(Calculations!$AD$671,"")</f>
        <v>0</v>
      </c>
      <c r="L67" s="22">
        <f>IFERROR(Calculations!$AE$671,"")</f>
        <v>0</v>
      </c>
      <c r="M67" s="22">
        <f>IFERROR(Calculations!$AF$671,"")</f>
        <v>0</v>
      </c>
      <c r="N67" s="22">
        <f>IFERROR(Calculations!$AG$671,"")</f>
        <v>0</v>
      </c>
      <c r="O67" s="22">
        <f>IFERROR(Calculations!$AH$671,"")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2254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2255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2194</v>
      </c>
      <c r="C13" s="37"/>
      <c r="D13" s="37"/>
      <c r="E13" s="37"/>
      <c r="F13" s="37" t="s">
        <v>2256</v>
      </c>
      <c r="G13" s="37"/>
      <c r="H13" s="37"/>
      <c r="I13" s="37"/>
      <c r="J13" s="37" t="s">
        <v>2257</v>
      </c>
      <c r="K13" s="37"/>
      <c r="L13" s="37"/>
      <c r="M13" s="37"/>
      <c r="N13" s="37" t="s">
        <v>2258</v>
      </c>
      <c r="O13" s="37"/>
      <c r="P13" s="37"/>
      <c r="Q13" s="37"/>
    </row>
    <row r="14" spans="2:19">
      <c r="B14" s="39">
        <f>Calculations!$N$692</f>
        <v>0</v>
      </c>
      <c r="C14" s="39"/>
      <c r="D14" s="39"/>
      <c r="E14" s="39"/>
      <c r="F14" s="39">
        <f>Calculations!$N$693</f>
        <v>0</v>
      </c>
      <c r="G14" s="39"/>
      <c r="H14" s="39"/>
      <c r="I14" s="39"/>
      <c r="J14" s="39">
        <f>Calculations!$N$694</f>
        <v>0</v>
      </c>
      <c r="K14" s="39"/>
      <c r="L14" s="39"/>
      <c r="M14" s="39"/>
      <c r="N14" s="39">
        <f>Calculations!$N$695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2259</v>
      </c>
      <c r="C19" s="37"/>
      <c r="D19" s="37"/>
      <c r="E19" s="37"/>
      <c r="F19" s="37" t="s">
        <v>2260</v>
      </c>
      <c r="G19" s="37"/>
      <c r="H19" s="37"/>
      <c r="I19" s="37"/>
      <c r="J19" s="37" t="s">
        <v>2261</v>
      </c>
      <c r="K19" s="37"/>
      <c r="L19" s="37"/>
      <c r="M19" s="37"/>
      <c r="N19" s="37" t="s">
        <v>2262</v>
      </c>
      <c r="O19" s="37"/>
      <c r="P19" s="37"/>
      <c r="Q19" s="37"/>
    </row>
    <row r="20" spans="2:19">
      <c r="B20" s="39">
        <f>Calculations!$N$696</f>
        <v>0</v>
      </c>
      <c r="C20" s="39"/>
      <c r="D20" s="39"/>
      <c r="E20" s="39"/>
      <c r="F20" s="39">
        <f>Calculations!$N$697</f>
        <v>0</v>
      </c>
      <c r="G20" s="39"/>
      <c r="H20" s="39"/>
      <c r="I20" s="39"/>
      <c r="J20" s="40">
        <f>Calculations!$N$698</f>
        <v>0</v>
      </c>
      <c r="K20" s="40"/>
      <c r="L20" s="40"/>
      <c r="M20" s="40"/>
      <c r="N20" s="39">
        <f>Calculations!$N$699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40"/>
      <c r="K21" s="40"/>
      <c r="L21" s="40"/>
      <c r="M21" s="40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"&amp;INDEX(Calculations!$C$692:$C$703,CurMonthNo)&amp;"   vs   "&amp;INDEX(L_Month,CurMonthNo-1)&amp;": "&amp;INDEX(Calculations!$C$692:$C$703,CurMonthNo-1)&amp;"   "&amp;IF(INDEX(Calculations!$C$692:$C$703,CurMonthNo)&gt;=INDEX(Calculations!$C$692:$C$703,CurMonthNo-1),"▲ ","▼ ")&amp;TEXT(IFERROR((INDEX(Calculations!$C$692:$C$703,CurMonthNo)-INDEX(Calculations!$C$692:$C$703,CurMonthNo-1))/INDEX(Calculations!$C$692:$C$703,CurMonthNo-1),0),"+0.0%;-0.0%")))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IF(Calculations!$U$692="","",Calculations!$U$692)</f>
        <v>0</v>
      </c>
      <c r="C62" s="22">
        <f>IFERROR(Calculations!$V$692,"")</f>
        <v>0</v>
      </c>
      <c r="D62" s="22">
        <f>IFERROR(Calculations!$W$692,"")</f>
        <v>0</v>
      </c>
      <c r="E62" s="22">
        <f>IFERROR(Calculations!$X$692,"")</f>
        <v>0</v>
      </c>
      <c r="F62" s="22">
        <f>IFERROR(Calculations!$Y$692,"")</f>
        <v>0</v>
      </c>
      <c r="G62" s="22">
        <f>IFERROR(Calculations!$Z$692,"")</f>
        <v>0</v>
      </c>
      <c r="H62" s="22">
        <f>IFERROR(Calculations!$AA$692,"")</f>
        <v>0</v>
      </c>
      <c r="I62" s="22">
        <f>IFERROR(Calculations!$AB$692,"")</f>
        <v>0</v>
      </c>
      <c r="J62" s="22">
        <f>IFERROR(Calculations!$AC$692,"")</f>
        <v>0</v>
      </c>
      <c r="K62" s="22">
        <f>IFERROR(Calculations!$AD$692,"")</f>
        <v>0</v>
      </c>
      <c r="L62" s="22">
        <f>IFERROR(Calculations!$AE$692,"")</f>
        <v>0</v>
      </c>
      <c r="M62" s="22">
        <f>IFERROR(Calculations!$AF$692,"")</f>
        <v>0</v>
      </c>
      <c r="N62" s="22">
        <f>IFERROR(Calculations!$AG$692,"")</f>
        <v>0</v>
      </c>
      <c r="O62" s="22">
        <f>IFERROR(Calculations!$AH$692,"")</f>
        <v>0</v>
      </c>
    </row>
    <row r="63" spans="2:19">
      <c r="B63" s="13">
        <f>IF(Calculations!$U$693="","",Calculations!$U$693)</f>
        <v>0</v>
      </c>
      <c r="C63" s="22">
        <f>IFERROR(Calculations!$V$693,"")</f>
        <v>0</v>
      </c>
      <c r="D63" s="22">
        <f>IFERROR(Calculations!$W$693,"")</f>
        <v>0</v>
      </c>
      <c r="E63" s="22">
        <f>IFERROR(Calculations!$X$693,"")</f>
        <v>0</v>
      </c>
      <c r="F63" s="22">
        <f>IFERROR(Calculations!$Y$693,"")</f>
        <v>0</v>
      </c>
      <c r="G63" s="22">
        <f>IFERROR(Calculations!$Z$693,"")</f>
        <v>0</v>
      </c>
      <c r="H63" s="22">
        <f>IFERROR(Calculations!$AA$693,"")</f>
        <v>0</v>
      </c>
      <c r="I63" s="22">
        <f>IFERROR(Calculations!$AB$693,"")</f>
        <v>0</v>
      </c>
      <c r="J63" s="22">
        <f>IFERROR(Calculations!$AC$693,"")</f>
        <v>0</v>
      </c>
      <c r="K63" s="22">
        <f>IFERROR(Calculations!$AD$693,"")</f>
        <v>0</v>
      </c>
      <c r="L63" s="22">
        <f>IFERROR(Calculations!$AE$693,"")</f>
        <v>0</v>
      </c>
      <c r="M63" s="22">
        <f>IFERROR(Calculations!$AF$693,"")</f>
        <v>0</v>
      </c>
      <c r="N63" s="22">
        <f>IFERROR(Calculations!$AG$693,"")</f>
        <v>0</v>
      </c>
      <c r="O63" s="22">
        <f>IFERROR(Calculations!$AH$693,"")</f>
        <v>0</v>
      </c>
    </row>
    <row r="64" spans="2:19">
      <c r="B64" s="13">
        <f>IF(Calculations!$U$694="","",Calculations!$U$694)</f>
        <v>0</v>
      </c>
      <c r="C64" s="22">
        <f>IFERROR(Calculations!$V$694,"")</f>
        <v>0</v>
      </c>
      <c r="D64" s="22">
        <f>IFERROR(Calculations!$W$694,"")</f>
        <v>0</v>
      </c>
      <c r="E64" s="22">
        <f>IFERROR(Calculations!$X$694,"")</f>
        <v>0</v>
      </c>
      <c r="F64" s="22">
        <f>IFERROR(Calculations!$Y$694,"")</f>
        <v>0</v>
      </c>
      <c r="G64" s="22">
        <f>IFERROR(Calculations!$Z$694,"")</f>
        <v>0</v>
      </c>
      <c r="H64" s="22">
        <f>IFERROR(Calculations!$AA$694,"")</f>
        <v>0</v>
      </c>
      <c r="I64" s="22">
        <f>IFERROR(Calculations!$AB$694,"")</f>
        <v>0</v>
      </c>
      <c r="J64" s="22">
        <f>IFERROR(Calculations!$AC$694,"")</f>
        <v>0</v>
      </c>
      <c r="K64" s="22">
        <f>IFERROR(Calculations!$AD$694,"")</f>
        <v>0</v>
      </c>
      <c r="L64" s="22">
        <f>IFERROR(Calculations!$AE$694,"")</f>
        <v>0</v>
      </c>
      <c r="M64" s="22">
        <f>IFERROR(Calculations!$AF$694,"")</f>
        <v>0</v>
      </c>
      <c r="N64" s="22">
        <f>IFERROR(Calculations!$AG$694,"")</f>
        <v>0</v>
      </c>
      <c r="O64" s="22">
        <f>IFERROR(Calculations!$AH$694,"")</f>
        <v>0</v>
      </c>
    </row>
    <row r="65" spans="2:19">
      <c r="B65" s="13">
        <f>IF(Calculations!$U$695="","",Calculations!$U$695)</f>
        <v>0</v>
      </c>
      <c r="C65" s="22">
        <f>IFERROR(Calculations!$V$695,"")</f>
        <v>0</v>
      </c>
      <c r="D65" s="22">
        <f>IFERROR(Calculations!$W$695,"")</f>
        <v>0</v>
      </c>
      <c r="E65" s="22">
        <f>IFERROR(Calculations!$X$695,"")</f>
        <v>0</v>
      </c>
      <c r="F65" s="22">
        <f>IFERROR(Calculations!$Y$695,"")</f>
        <v>0</v>
      </c>
      <c r="G65" s="22">
        <f>IFERROR(Calculations!$Z$695,"")</f>
        <v>0</v>
      </c>
      <c r="H65" s="22">
        <f>IFERROR(Calculations!$AA$695,"")</f>
        <v>0</v>
      </c>
      <c r="I65" s="22">
        <f>IFERROR(Calculations!$AB$695,"")</f>
        <v>0</v>
      </c>
      <c r="J65" s="22">
        <f>IFERROR(Calculations!$AC$695,"")</f>
        <v>0</v>
      </c>
      <c r="K65" s="22">
        <f>IFERROR(Calculations!$AD$695,"")</f>
        <v>0</v>
      </c>
      <c r="L65" s="22">
        <f>IFERROR(Calculations!$AE$695,"")</f>
        <v>0</v>
      </c>
      <c r="M65" s="22">
        <f>IFERROR(Calculations!$AF$695,"")</f>
        <v>0</v>
      </c>
      <c r="N65" s="22">
        <f>IFERROR(Calculations!$AG$695,"")</f>
        <v>0</v>
      </c>
      <c r="O65" s="22">
        <f>IFERROR(Calculations!$AH$695,"")</f>
        <v>0</v>
      </c>
    </row>
    <row r="66" spans="2:19">
      <c r="B66" s="13">
        <f>IF(Calculations!$U$696="","",Calculations!$U$696)</f>
        <v>0</v>
      </c>
      <c r="C66" s="22">
        <f>IFERROR(Calculations!$V$696,"")</f>
        <v>0</v>
      </c>
      <c r="D66" s="22">
        <f>IFERROR(Calculations!$W$696,"")</f>
        <v>0</v>
      </c>
      <c r="E66" s="22">
        <f>IFERROR(Calculations!$X$696,"")</f>
        <v>0</v>
      </c>
      <c r="F66" s="22">
        <f>IFERROR(Calculations!$Y$696,"")</f>
        <v>0</v>
      </c>
      <c r="G66" s="22">
        <f>IFERROR(Calculations!$Z$696,"")</f>
        <v>0</v>
      </c>
      <c r="H66" s="22">
        <f>IFERROR(Calculations!$AA$696,"")</f>
        <v>0</v>
      </c>
      <c r="I66" s="22">
        <f>IFERROR(Calculations!$AB$696,"")</f>
        <v>0</v>
      </c>
      <c r="J66" s="22">
        <f>IFERROR(Calculations!$AC$696,"")</f>
        <v>0</v>
      </c>
      <c r="K66" s="22">
        <f>IFERROR(Calculations!$AD$696,"")</f>
        <v>0</v>
      </c>
      <c r="L66" s="22">
        <f>IFERROR(Calculations!$AE$696,"")</f>
        <v>0</v>
      </c>
      <c r="M66" s="22">
        <f>IFERROR(Calculations!$AF$696,"")</f>
        <v>0</v>
      </c>
      <c r="N66" s="22">
        <f>IFERROR(Calculations!$AG$696,"")</f>
        <v>0</v>
      </c>
      <c r="O66" s="22">
        <f>IFERROR(Calculations!$AH$696,"")</f>
        <v>0</v>
      </c>
    </row>
    <row r="67" spans="2:19">
      <c r="B67" s="13">
        <f>IF(Calculations!$U$697="","",Calculations!$U$697)</f>
        <v>0</v>
      </c>
      <c r="C67" s="22">
        <f>IFERROR(Calculations!$V$697,"")</f>
        <v>0</v>
      </c>
      <c r="D67" s="22">
        <f>IFERROR(Calculations!$W$697,"")</f>
        <v>0</v>
      </c>
      <c r="E67" s="22">
        <f>IFERROR(Calculations!$X$697,"")</f>
        <v>0</v>
      </c>
      <c r="F67" s="22">
        <f>IFERROR(Calculations!$Y$697,"")</f>
        <v>0</v>
      </c>
      <c r="G67" s="22">
        <f>IFERROR(Calculations!$Z$697,"")</f>
        <v>0</v>
      </c>
      <c r="H67" s="22">
        <f>IFERROR(Calculations!$AA$697,"")</f>
        <v>0</v>
      </c>
      <c r="I67" s="22">
        <f>IFERROR(Calculations!$AB$697,"")</f>
        <v>0</v>
      </c>
      <c r="J67" s="22">
        <f>IFERROR(Calculations!$AC$697,"")</f>
        <v>0</v>
      </c>
      <c r="K67" s="22">
        <f>IFERROR(Calculations!$AD$697,"")</f>
        <v>0</v>
      </c>
      <c r="L67" s="22">
        <f>IFERROR(Calculations!$AE$697,"")</f>
        <v>0</v>
      </c>
      <c r="M67" s="22">
        <f>IFERROR(Calculations!$AF$697,"")</f>
        <v>0</v>
      </c>
      <c r="N67" s="22">
        <f>IFERROR(Calculations!$AG$697,"")</f>
        <v>0</v>
      </c>
      <c r="O67" s="22">
        <f>IFERROR(Calculations!$AH$697,"")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2263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2264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2265</v>
      </c>
      <c r="C13" s="37"/>
      <c r="D13" s="37"/>
      <c r="E13" s="37"/>
      <c r="F13" s="37" t="s">
        <v>2222</v>
      </c>
      <c r="G13" s="37"/>
      <c r="H13" s="37"/>
      <c r="I13" s="37"/>
      <c r="J13" s="37" t="s">
        <v>2212</v>
      </c>
      <c r="K13" s="37"/>
      <c r="L13" s="37"/>
      <c r="M13" s="37"/>
      <c r="N13" s="37" t="s">
        <v>2266</v>
      </c>
      <c r="O13" s="37"/>
      <c r="P13" s="37"/>
      <c r="Q13" s="37"/>
    </row>
    <row r="14" spans="2:19">
      <c r="B14" s="39">
        <f>Calculations!$N$718</f>
        <v>0</v>
      </c>
      <c r="C14" s="39"/>
      <c r="D14" s="39"/>
      <c r="E14" s="39"/>
      <c r="F14" s="39">
        <f>Calculations!$N$719</f>
        <v>0</v>
      </c>
      <c r="G14" s="39"/>
      <c r="H14" s="39"/>
      <c r="I14" s="39"/>
      <c r="J14" s="39">
        <f>Calculations!$N$720</f>
        <v>0</v>
      </c>
      <c r="K14" s="39"/>
      <c r="L14" s="39"/>
      <c r="M14" s="39"/>
      <c r="N14" s="40">
        <f>Calculations!$N$721</f>
        <v>0</v>
      </c>
      <c r="O14" s="40"/>
      <c r="P14" s="40"/>
      <c r="Q14" s="40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40"/>
      <c r="O15" s="40"/>
      <c r="P15" s="40"/>
      <c r="Q15" s="40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2267</v>
      </c>
      <c r="C19" s="37"/>
      <c r="D19" s="37"/>
      <c r="E19" s="37"/>
      <c r="F19" s="37" t="s">
        <v>2268</v>
      </c>
      <c r="G19" s="37"/>
      <c r="H19" s="37"/>
      <c r="I19" s="37"/>
      <c r="J19" s="37" t="s">
        <v>2269</v>
      </c>
      <c r="K19" s="37"/>
      <c r="L19" s="37"/>
      <c r="M19" s="37"/>
      <c r="N19" s="37" t="s">
        <v>2270</v>
      </c>
      <c r="O19" s="37"/>
      <c r="P19" s="37"/>
      <c r="Q19" s="37"/>
    </row>
    <row r="20" spans="2:19">
      <c r="B20" s="39">
        <f>Calculations!$N$722</f>
        <v>0</v>
      </c>
      <c r="C20" s="39"/>
      <c r="D20" s="39"/>
      <c r="E20" s="39"/>
      <c r="F20" s="39">
        <f>Calculations!$N$723</f>
        <v>0</v>
      </c>
      <c r="G20" s="39"/>
      <c r="H20" s="39"/>
      <c r="I20" s="39"/>
      <c r="J20" s="39">
        <f>Calculations!$N$724</f>
        <v>0</v>
      </c>
      <c r="K20" s="39"/>
      <c r="L20" s="39"/>
      <c r="M20" s="39"/>
      <c r="N20" s="39">
        <f>Calculations!$N$725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"&amp;INDEX(Calculations!$C$718:$C$729,CurMonthNo)&amp;"   vs   "&amp;INDEX(L_Month,CurMonthNo-1)&amp;": "&amp;INDEX(Calculations!$C$718:$C$729,CurMonthNo-1)&amp;"   "&amp;IF(INDEX(Calculations!$C$718:$C$729,CurMonthNo)&gt;=INDEX(Calculations!$C$718:$C$729,CurMonthNo-1),"▲ ","▼ ")&amp;TEXT(IFERROR((INDEX(Calculations!$C$718:$C$729,CurMonthNo)-INDEX(Calculations!$C$718:$C$729,CurMonthNo-1))/INDEX(Calculations!$C$718:$C$729,CurMonthNo-1),0),"+0.0%;-0.0%")))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IF(Calculations!$U$718="","",Calculations!$U$718)</f>
        <v>0</v>
      </c>
      <c r="C62" s="22">
        <f>IFERROR(Calculations!$V$718,"")</f>
        <v>0</v>
      </c>
      <c r="D62" s="22">
        <f>IFERROR(Calculations!$W$718,"")</f>
        <v>0</v>
      </c>
      <c r="E62" s="22">
        <f>IFERROR(Calculations!$X$718,"")</f>
        <v>0</v>
      </c>
      <c r="F62" s="22">
        <f>IFERROR(Calculations!$Y$718,"")</f>
        <v>0</v>
      </c>
      <c r="G62" s="22">
        <f>IFERROR(Calculations!$Z$718,"")</f>
        <v>0</v>
      </c>
      <c r="H62" s="22">
        <f>IFERROR(Calculations!$AA$718,"")</f>
        <v>0</v>
      </c>
      <c r="I62" s="22">
        <f>IFERROR(Calculations!$AB$718,"")</f>
        <v>0</v>
      </c>
      <c r="J62" s="22">
        <f>IFERROR(Calculations!$AC$718,"")</f>
        <v>0</v>
      </c>
      <c r="K62" s="22">
        <f>IFERROR(Calculations!$AD$718,"")</f>
        <v>0</v>
      </c>
      <c r="L62" s="22">
        <f>IFERROR(Calculations!$AE$718,"")</f>
        <v>0</v>
      </c>
      <c r="M62" s="22">
        <f>IFERROR(Calculations!$AF$718,"")</f>
        <v>0</v>
      </c>
      <c r="N62" s="22">
        <f>IFERROR(Calculations!$AG$718,"")</f>
        <v>0</v>
      </c>
      <c r="O62" s="22">
        <f>IFERROR(Calculations!$AH$718,"")</f>
        <v>0</v>
      </c>
    </row>
    <row r="63" spans="2:19">
      <c r="B63" s="13">
        <f>IF(Calculations!$U$719="","",Calculations!$U$719)</f>
        <v>0</v>
      </c>
      <c r="C63" s="22">
        <f>IFERROR(Calculations!$V$719,"")</f>
        <v>0</v>
      </c>
      <c r="D63" s="22">
        <f>IFERROR(Calculations!$W$719,"")</f>
        <v>0</v>
      </c>
      <c r="E63" s="22">
        <f>IFERROR(Calculations!$X$719,"")</f>
        <v>0</v>
      </c>
      <c r="F63" s="22">
        <f>IFERROR(Calculations!$Y$719,"")</f>
        <v>0</v>
      </c>
      <c r="G63" s="22">
        <f>IFERROR(Calculations!$Z$719,"")</f>
        <v>0</v>
      </c>
      <c r="H63" s="22">
        <f>IFERROR(Calculations!$AA$719,"")</f>
        <v>0</v>
      </c>
      <c r="I63" s="22">
        <f>IFERROR(Calculations!$AB$719,"")</f>
        <v>0</v>
      </c>
      <c r="J63" s="22">
        <f>IFERROR(Calculations!$AC$719,"")</f>
        <v>0</v>
      </c>
      <c r="K63" s="22">
        <f>IFERROR(Calculations!$AD$719,"")</f>
        <v>0</v>
      </c>
      <c r="L63" s="22">
        <f>IFERROR(Calculations!$AE$719,"")</f>
        <v>0</v>
      </c>
      <c r="M63" s="22">
        <f>IFERROR(Calculations!$AF$719,"")</f>
        <v>0</v>
      </c>
      <c r="N63" s="22">
        <f>IFERROR(Calculations!$AG$719,"")</f>
        <v>0</v>
      </c>
      <c r="O63" s="22">
        <f>IFERROR(Calculations!$AH$719,"")</f>
        <v>0</v>
      </c>
    </row>
    <row r="64" spans="2:19">
      <c r="B64" s="13">
        <f>IF(Calculations!$U$720="","",Calculations!$U$720)</f>
        <v>0</v>
      </c>
      <c r="C64" s="22">
        <f>IFERROR(Calculations!$V$720,"")</f>
        <v>0</v>
      </c>
      <c r="D64" s="22">
        <f>IFERROR(Calculations!$W$720,"")</f>
        <v>0</v>
      </c>
      <c r="E64" s="22">
        <f>IFERROR(Calculations!$X$720,"")</f>
        <v>0</v>
      </c>
      <c r="F64" s="22">
        <f>IFERROR(Calculations!$Y$720,"")</f>
        <v>0</v>
      </c>
      <c r="G64" s="22">
        <f>IFERROR(Calculations!$Z$720,"")</f>
        <v>0</v>
      </c>
      <c r="H64" s="22">
        <f>IFERROR(Calculations!$AA$720,"")</f>
        <v>0</v>
      </c>
      <c r="I64" s="22">
        <f>IFERROR(Calculations!$AB$720,"")</f>
        <v>0</v>
      </c>
      <c r="J64" s="22">
        <f>IFERROR(Calculations!$AC$720,"")</f>
        <v>0</v>
      </c>
      <c r="K64" s="22">
        <f>IFERROR(Calculations!$AD$720,"")</f>
        <v>0</v>
      </c>
      <c r="L64" s="22">
        <f>IFERROR(Calculations!$AE$720,"")</f>
        <v>0</v>
      </c>
      <c r="M64" s="22">
        <f>IFERROR(Calculations!$AF$720,"")</f>
        <v>0</v>
      </c>
      <c r="N64" s="22">
        <f>IFERROR(Calculations!$AG$720,"")</f>
        <v>0</v>
      </c>
      <c r="O64" s="22">
        <f>IFERROR(Calculations!$AH$720,"")</f>
        <v>0</v>
      </c>
    </row>
    <row r="65" spans="2:19">
      <c r="B65" s="13">
        <f>IF(Calculations!$U$721="","",Calculations!$U$721)</f>
        <v>0</v>
      </c>
      <c r="C65" s="22">
        <f>IFERROR(Calculations!$V$721,"")</f>
        <v>0</v>
      </c>
      <c r="D65" s="22">
        <f>IFERROR(Calculations!$W$721,"")</f>
        <v>0</v>
      </c>
      <c r="E65" s="22">
        <f>IFERROR(Calculations!$X$721,"")</f>
        <v>0</v>
      </c>
      <c r="F65" s="22">
        <f>IFERROR(Calculations!$Y$721,"")</f>
        <v>0</v>
      </c>
      <c r="G65" s="22">
        <f>IFERROR(Calculations!$Z$721,"")</f>
        <v>0</v>
      </c>
      <c r="H65" s="22">
        <f>IFERROR(Calculations!$AA$721,"")</f>
        <v>0</v>
      </c>
      <c r="I65" s="22">
        <f>IFERROR(Calculations!$AB$721,"")</f>
        <v>0</v>
      </c>
      <c r="J65" s="22">
        <f>IFERROR(Calculations!$AC$721,"")</f>
        <v>0</v>
      </c>
      <c r="K65" s="22">
        <f>IFERROR(Calculations!$AD$721,"")</f>
        <v>0</v>
      </c>
      <c r="L65" s="22">
        <f>IFERROR(Calculations!$AE$721,"")</f>
        <v>0</v>
      </c>
      <c r="M65" s="22">
        <f>IFERROR(Calculations!$AF$721,"")</f>
        <v>0</v>
      </c>
      <c r="N65" s="22">
        <f>IFERROR(Calculations!$AG$721,"")</f>
        <v>0</v>
      </c>
      <c r="O65" s="22">
        <f>IFERROR(Calculations!$AH$721,"")</f>
        <v>0</v>
      </c>
    </row>
    <row r="66" spans="2:19">
      <c r="B66" s="13">
        <f>IF(Calculations!$U$722="","",Calculations!$U$722)</f>
        <v>0</v>
      </c>
      <c r="C66" s="22">
        <f>IFERROR(Calculations!$V$722,"")</f>
        <v>0</v>
      </c>
      <c r="D66" s="22">
        <f>IFERROR(Calculations!$W$722,"")</f>
        <v>0</v>
      </c>
      <c r="E66" s="22">
        <f>IFERROR(Calculations!$X$722,"")</f>
        <v>0</v>
      </c>
      <c r="F66" s="22">
        <f>IFERROR(Calculations!$Y$722,"")</f>
        <v>0</v>
      </c>
      <c r="G66" s="22">
        <f>IFERROR(Calculations!$Z$722,"")</f>
        <v>0</v>
      </c>
      <c r="H66" s="22">
        <f>IFERROR(Calculations!$AA$722,"")</f>
        <v>0</v>
      </c>
      <c r="I66" s="22">
        <f>IFERROR(Calculations!$AB$722,"")</f>
        <v>0</v>
      </c>
      <c r="J66" s="22">
        <f>IFERROR(Calculations!$AC$722,"")</f>
        <v>0</v>
      </c>
      <c r="K66" s="22">
        <f>IFERROR(Calculations!$AD$722,"")</f>
        <v>0</v>
      </c>
      <c r="L66" s="22">
        <f>IFERROR(Calculations!$AE$722,"")</f>
        <v>0</v>
      </c>
      <c r="M66" s="22">
        <f>IFERROR(Calculations!$AF$722,"")</f>
        <v>0</v>
      </c>
      <c r="N66" s="22">
        <f>IFERROR(Calculations!$AG$722,"")</f>
        <v>0</v>
      </c>
      <c r="O66" s="22">
        <f>IFERROR(Calculations!$AH$722,"")</f>
        <v>0</v>
      </c>
    </row>
    <row r="67" spans="2:19">
      <c r="B67" s="13">
        <f>IF(Calculations!$U$723="","",Calculations!$U$723)</f>
        <v>0</v>
      </c>
      <c r="C67" s="22">
        <f>IFERROR(Calculations!$V$723,"")</f>
        <v>0</v>
      </c>
      <c r="D67" s="22">
        <f>IFERROR(Calculations!$W$723,"")</f>
        <v>0</v>
      </c>
      <c r="E67" s="22">
        <f>IFERROR(Calculations!$X$723,"")</f>
        <v>0</v>
      </c>
      <c r="F67" s="22">
        <f>IFERROR(Calculations!$Y$723,"")</f>
        <v>0</v>
      </c>
      <c r="G67" s="22">
        <f>IFERROR(Calculations!$Z$723,"")</f>
        <v>0</v>
      </c>
      <c r="H67" s="22">
        <f>IFERROR(Calculations!$AA$723,"")</f>
        <v>0</v>
      </c>
      <c r="I67" s="22">
        <f>IFERROR(Calculations!$AB$723,"")</f>
        <v>0</v>
      </c>
      <c r="J67" s="22">
        <f>IFERROR(Calculations!$AC$723,"")</f>
        <v>0</v>
      </c>
      <c r="K67" s="22">
        <f>IFERROR(Calculations!$AD$723,"")</f>
        <v>0</v>
      </c>
      <c r="L67" s="22">
        <f>IFERROR(Calculations!$AE$723,"")</f>
        <v>0</v>
      </c>
      <c r="M67" s="22">
        <f>IFERROR(Calculations!$AF$723,"")</f>
        <v>0</v>
      </c>
      <c r="N67" s="22">
        <f>IFERROR(Calculations!$AG$723,"")</f>
        <v>0</v>
      </c>
      <c r="O67" s="22">
        <f>IFERROR(Calculations!$AH$723,"")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2271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2272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2273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2224</v>
      </c>
      <c r="O13" s="37"/>
      <c r="P13" s="37"/>
      <c r="Q13" s="37"/>
    </row>
    <row r="14" spans="2:19">
      <c r="B14" s="39">
        <f>Calculations!$N$744</f>
        <v>0</v>
      </c>
      <c r="C14" s="39"/>
      <c r="D14" s="39"/>
      <c r="E14" s="39"/>
      <c r="F14" s="39">
        <f>Calculations!$N$745</f>
        <v>0</v>
      </c>
      <c r="G14" s="39"/>
      <c r="H14" s="39"/>
      <c r="I14" s="39"/>
      <c r="J14" s="39">
        <f>Calculations!$N$746</f>
        <v>0</v>
      </c>
      <c r="K14" s="39"/>
      <c r="L14" s="39"/>
      <c r="M14" s="39"/>
      <c r="N14" s="39">
        <f>Calculations!$N$747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2274</v>
      </c>
      <c r="C19" s="37"/>
      <c r="D19" s="37"/>
      <c r="E19" s="37"/>
      <c r="F19" s="37" t="s">
        <v>2275</v>
      </c>
      <c r="G19" s="37"/>
      <c r="H19" s="37"/>
      <c r="I19" s="37"/>
      <c r="J19" s="37" t="s">
        <v>2276</v>
      </c>
      <c r="K19" s="37"/>
      <c r="L19" s="37"/>
      <c r="M19" s="37"/>
      <c r="N19" s="37" t="s">
        <v>2277</v>
      </c>
      <c r="O19" s="37"/>
      <c r="P19" s="37"/>
      <c r="Q19" s="37"/>
    </row>
    <row r="20" spans="2:19">
      <c r="B20" s="39">
        <f>Calculations!$N$748</f>
        <v>0</v>
      </c>
      <c r="C20" s="39"/>
      <c r="D20" s="39"/>
      <c r="E20" s="39"/>
      <c r="F20" s="39">
        <f>Calculations!$N$749</f>
        <v>0</v>
      </c>
      <c r="G20" s="39"/>
      <c r="H20" s="39"/>
      <c r="I20" s="39"/>
      <c r="J20" s="39">
        <f>Calculations!$N$750</f>
        <v>0</v>
      </c>
      <c r="K20" s="39"/>
      <c r="L20" s="39"/>
      <c r="M20" s="39"/>
      <c r="N20" s="39">
        <f>Calculations!$N$751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"&amp;INDEX(Calculations!$C$744:$C$755,CurMonthNo)&amp;"   vs   "&amp;INDEX(L_Month,CurMonthNo-1)&amp;": "&amp;INDEX(Calculations!$C$744:$C$755,CurMonthNo-1)&amp;"   "&amp;IF(INDEX(Calculations!$C$744:$C$755,CurMonthNo)&gt;=INDEX(Calculations!$C$744:$C$755,CurMonthNo-1),"▲ ","▼ ")&amp;TEXT(IFERROR((INDEX(Calculations!$C$744:$C$755,CurMonthNo)-INDEX(Calculations!$C$744:$C$755,CurMonthNo-1))/INDEX(Calculations!$C$744:$C$755,CurMonthNo-1),0),"+0.0%;-0.0%")))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IFERROR(Calculations!$P$744,"")</f>
        <v>0</v>
      </c>
      <c r="C45" s="22">
        <f>IFERROR(Calculations!$Q$744,"")</f>
        <v>0</v>
      </c>
      <c r="D45" s="25">
        <f>IFERROR(Calculations!$R$744,"")</f>
        <v>0</v>
      </c>
      <c r="E45" s="22">
        <f>IFERROR(Calculations!$S$744,"")</f>
        <v>0</v>
      </c>
    </row>
    <row r="46" spans="2:19">
      <c r="B46" s="13">
        <f>IFERROR(Calculations!$P$745,"")</f>
        <v>0</v>
      </c>
      <c r="C46" s="22">
        <f>IFERROR(Calculations!$Q$745,"")</f>
        <v>0</v>
      </c>
      <c r="D46" s="25">
        <f>IFERROR(Calculations!$R$745,"")</f>
        <v>0</v>
      </c>
      <c r="E46" s="22">
        <f>IFERROR(Calculations!$S$745,"")</f>
        <v>0</v>
      </c>
    </row>
    <row r="47" spans="2:19">
      <c r="B47" s="13">
        <f>IFERROR(Calculations!$P$746,"")</f>
        <v>0</v>
      </c>
      <c r="C47" s="22">
        <f>IFERROR(Calculations!$Q$746,"")</f>
        <v>0</v>
      </c>
      <c r="D47" s="25">
        <f>IFERROR(Calculations!$R$746,"")</f>
        <v>0</v>
      </c>
      <c r="E47" s="22">
        <f>IFERROR(Calculations!$S$746,"")</f>
        <v>0</v>
      </c>
    </row>
    <row r="48" spans="2:19">
      <c r="B48" s="13">
        <f>IFERROR(Calculations!$P$747,"")</f>
        <v>0</v>
      </c>
      <c r="C48" s="22">
        <f>IFERROR(Calculations!$Q$747,"")</f>
        <v>0</v>
      </c>
      <c r="D48" s="25">
        <f>IFERROR(Calculations!$R$747,"")</f>
        <v>0</v>
      </c>
      <c r="E48" s="22">
        <f>IFERROR(Calculations!$S$747,"")</f>
        <v>0</v>
      </c>
    </row>
    <row r="49" spans="2:19">
      <c r="B49" s="13">
        <f>IFERROR(Calculations!$P$748,"")</f>
        <v>0</v>
      </c>
      <c r="C49" s="22">
        <f>IFERROR(Calculations!$Q$748,"")</f>
        <v>0</v>
      </c>
      <c r="D49" s="25">
        <f>IFERROR(Calculations!$R$748,"")</f>
        <v>0</v>
      </c>
      <c r="E49" s="22">
        <f>IFERROR(Calculations!$S$748,"")</f>
        <v>0</v>
      </c>
    </row>
    <row r="50" spans="2:19">
      <c r="B50" s="13">
        <f>IFERROR(Calculations!$P$749,"")</f>
        <v>0</v>
      </c>
      <c r="C50" s="22">
        <f>IFERROR(Calculations!$Q$749,"")</f>
        <v>0</v>
      </c>
      <c r="D50" s="25">
        <f>IFERROR(Calculations!$R$749,"")</f>
        <v>0</v>
      </c>
      <c r="E50" s="22">
        <f>IFERROR(Calculations!$S$749,"")</f>
        <v>0</v>
      </c>
    </row>
    <row r="51" spans="2:19">
      <c r="B51" s="13">
        <f>IFERROR(Calculations!$P$750,"")</f>
        <v>0</v>
      </c>
      <c r="C51" s="22">
        <f>IFERROR(Calculations!$Q$750,"")</f>
        <v>0</v>
      </c>
      <c r="D51" s="25">
        <f>IFERROR(Calculations!$R$750,"")</f>
        <v>0</v>
      </c>
      <c r="E51" s="22">
        <f>IFERROR(Calculations!$S$750,"")</f>
        <v>0</v>
      </c>
    </row>
    <row r="52" spans="2:19">
      <c r="B52" s="13">
        <f>IFERROR(Calculations!$P$751,"")</f>
        <v>0</v>
      </c>
      <c r="C52" s="22">
        <f>IFERROR(Calculations!$Q$751,"")</f>
        <v>0</v>
      </c>
      <c r="D52" s="25">
        <f>IFERROR(Calculations!$R$751,"")</f>
        <v>0</v>
      </c>
      <c r="E52" s="22">
        <f>IFERROR(Calculations!$S$751,"")</f>
        <v>0</v>
      </c>
    </row>
    <row r="53" spans="2:19">
      <c r="B53" s="13">
        <f>IFERROR(Calculations!$P$752,"")</f>
        <v>0</v>
      </c>
      <c r="C53" s="22">
        <f>IFERROR(Calculations!$Q$752,"")</f>
        <v>0</v>
      </c>
      <c r="D53" s="25">
        <f>IFERROR(Calculations!$R$752,"")</f>
        <v>0</v>
      </c>
      <c r="E53" s="22">
        <f>IFERROR(Calculations!$S$752,"")</f>
        <v>0</v>
      </c>
    </row>
    <row r="54" spans="2:19">
      <c r="B54" s="13">
        <f>IFERROR(Calculations!$P$753,"")</f>
        <v>0</v>
      </c>
      <c r="C54" s="22">
        <f>IFERROR(Calculations!$Q$753,"")</f>
        <v>0</v>
      </c>
      <c r="D54" s="25">
        <f>IFERROR(Calculations!$R$753,"")</f>
        <v>0</v>
      </c>
      <c r="E54" s="22">
        <f>IFERROR(Calculations!$S$753,"")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IF(Calculations!$U$744="","",Calculations!$U$744)</f>
        <v>0</v>
      </c>
      <c r="C62" s="22">
        <f>IFERROR(Calculations!$V$744,"")</f>
        <v>0</v>
      </c>
      <c r="D62" s="22">
        <f>IFERROR(Calculations!$W$744,"")</f>
        <v>0</v>
      </c>
      <c r="E62" s="22">
        <f>IFERROR(Calculations!$X$744,"")</f>
        <v>0</v>
      </c>
      <c r="F62" s="22">
        <f>IFERROR(Calculations!$Y$744,"")</f>
        <v>0</v>
      </c>
      <c r="G62" s="22">
        <f>IFERROR(Calculations!$Z$744,"")</f>
        <v>0</v>
      </c>
      <c r="H62" s="22">
        <f>IFERROR(Calculations!$AA$744,"")</f>
        <v>0</v>
      </c>
      <c r="I62" s="22">
        <f>IFERROR(Calculations!$AB$744,"")</f>
        <v>0</v>
      </c>
      <c r="J62" s="22">
        <f>IFERROR(Calculations!$AC$744,"")</f>
        <v>0</v>
      </c>
      <c r="K62" s="22">
        <f>IFERROR(Calculations!$AD$744,"")</f>
        <v>0</v>
      </c>
      <c r="L62" s="22">
        <f>IFERROR(Calculations!$AE$744,"")</f>
        <v>0</v>
      </c>
      <c r="M62" s="22">
        <f>IFERROR(Calculations!$AF$744,"")</f>
        <v>0</v>
      </c>
      <c r="N62" s="22">
        <f>IFERROR(Calculations!$AG$744,"")</f>
        <v>0</v>
      </c>
      <c r="O62" s="22">
        <f>IFERROR(Calculations!$AH$744,"")</f>
        <v>0</v>
      </c>
    </row>
    <row r="63" spans="2:19">
      <c r="B63" s="13">
        <f>IF(Calculations!$U$745="","",Calculations!$U$745)</f>
        <v>0</v>
      </c>
      <c r="C63" s="22">
        <f>IFERROR(Calculations!$V$745,"")</f>
        <v>0</v>
      </c>
      <c r="D63" s="22">
        <f>IFERROR(Calculations!$W$745,"")</f>
        <v>0</v>
      </c>
      <c r="E63" s="22">
        <f>IFERROR(Calculations!$X$745,"")</f>
        <v>0</v>
      </c>
      <c r="F63" s="22">
        <f>IFERROR(Calculations!$Y$745,"")</f>
        <v>0</v>
      </c>
      <c r="G63" s="22">
        <f>IFERROR(Calculations!$Z$745,"")</f>
        <v>0</v>
      </c>
      <c r="H63" s="22">
        <f>IFERROR(Calculations!$AA$745,"")</f>
        <v>0</v>
      </c>
      <c r="I63" s="22">
        <f>IFERROR(Calculations!$AB$745,"")</f>
        <v>0</v>
      </c>
      <c r="J63" s="22">
        <f>IFERROR(Calculations!$AC$745,"")</f>
        <v>0</v>
      </c>
      <c r="K63" s="22">
        <f>IFERROR(Calculations!$AD$745,"")</f>
        <v>0</v>
      </c>
      <c r="L63" s="22">
        <f>IFERROR(Calculations!$AE$745,"")</f>
        <v>0</v>
      </c>
      <c r="M63" s="22">
        <f>IFERROR(Calculations!$AF$745,"")</f>
        <v>0</v>
      </c>
      <c r="N63" s="22">
        <f>IFERROR(Calculations!$AG$745,"")</f>
        <v>0</v>
      </c>
      <c r="O63" s="22">
        <f>IFERROR(Calculations!$AH$745,"")</f>
        <v>0</v>
      </c>
    </row>
    <row r="64" spans="2:19">
      <c r="B64" s="13">
        <f>IF(Calculations!$U$746="","",Calculations!$U$746)</f>
        <v>0</v>
      </c>
      <c r="C64" s="22">
        <f>IFERROR(Calculations!$V$746,"")</f>
        <v>0</v>
      </c>
      <c r="D64" s="22">
        <f>IFERROR(Calculations!$W$746,"")</f>
        <v>0</v>
      </c>
      <c r="E64" s="22">
        <f>IFERROR(Calculations!$X$746,"")</f>
        <v>0</v>
      </c>
      <c r="F64" s="22">
        <f>IFERROR(Calculations!$Y$746,"")</f>
        <v>0</v>
      </c>
      <c r="G64" s="22">
        <f>IFERROR(Calculations!$Z$746,"")</f>
        <v>0</v>
      </c>
      <c r="H64" s="22">
        <f>IFERROR(Calculations!$AA$746,"")</f>
        <v>0</v>
      </c>
      <c r="I64" s="22">
        <f>IFERROR(Calculations!$AB$746,"")</f>
        <v>0</v>
      </c>
      <c r="J64" s="22">
        <f>IFERROR(Calculations!$AC$746,"")</f>
        <v>0</v>
      </c>
      <c r="K64" s="22">
        <f>IFERROR(Calculations!$AD$746,"")</f>
        <v>0</v>
      </c>
      <c r="L64" s="22">
        <f>IFERROR(Calculations!$AE$746,"")</f>
        <v>0</v>
      </c>
      <c r="M64" s="22">
        <f>IFERROR(Calculations!$AF$746,"")</f>
        <v>0</v>
      </c>
      <c r="N64" s="22">
        <f>IFERROR(Calculations!$AG$746,"")</f>
        <v>0</v>
      </c>
      <c r="O64" s="22">
        <f>IFERROR(Calculations!$AH$746,"")</f>
        <v>0</v>
      </c>
    </row>
    <row r="65" spans="2:15">
      <c r="B65" s="13">
        <f>IF(Calculations!$U$747="","",Calculations!$U$747)</f>
        <v>0</v>
      </c>
      <c r="C65" s="22">
        <f>IFERROR(Calculations!$V$747,"")</f>
        <v>0</v>
      </c>
      <c r="D65" s="22">
        <f>IFERROR(Calculations!$W$747,"")</f>
        <v>0</v>
      </c>
      <c r="E65" s="22">
        <f>IFERROR(Calculations!$X$747,"")</f>
        <v>0</v>
      </c>
      <c r="F65" s="22">
        <f>IFERROR(Calculations!$Y$747,"")</f>
        <v>0</v>
      </c>
      <c r="G65" s="22">
        <f>IFERROR(Calculations!$Z$747,"")</f>
        <v>0</v>
      </c>
      <c r="H65" s="22">
        <f>IFERROR(Calculations!$AA$747,"")</f>
        <v>0</v>
      </c>
      <c r="I65" s="22">
        <f>IFERROR(Calculations!$AB$747,"")</f>
        <v>0</v>
      </c>
      <c r="J65" s="22">
        <f>IFERROR(Calculations!$AC$747,"")</f>
        <v>0</v>
      </c>
      <c r="K65" s="22">
        <f>IFERROR(Calculations!$AD$747,"")</f>
        <v>0</v>
      </c>
      <c r="L65" s="22">
        <f>IFERROR(Calculations!$AE$747,"")</f>
        <v>0</v>
      </c>
      <c r="M65" s="22">
        <f>IFERROR(Calculations!$AF$747,"")</f>
        <v>0</v>
      </c>
      <c r="N65" s="22">
        <f>IFERROR(Calculations!$AG$747,"")</f>
        <v>0</v>
      </c>
      <c r="O65" s="22">
        <f>IFERROR(Calculations!$AH$747,"")</f>
        <v>0</v>
      </c>
    </row>
    <row r="66" spans="2:15">
      <c r="B66" s="13">
        <f>IF(Calculations!$U$748="","",Calculations!$U$748)</f>
        <v>0</v>
      </c>
      <c r="C66" s="22">
        <f>IFERROR(Calculations!$V$748,"")</f>
        <v>0</v>
      </c>
      <c r="D66" s="22">
        <f>IFERROR(Calculations!$W$748,"")</f>
        <v>0</v>
      </c>
      <c r="E66" s="22">
        <f>IFERROR(Calculations!$X$748,"")</f>
        <v>0</v>
      </c>
      <c r="F66" s="22">
        <f>IFERROR(Calculations!$Y$748,"")</f>
        <v>0</v>
      </c>
      <c r="G66" s="22">
        <f>IFERROR(Calculations!$Z$748,"")</f>
        <v>0</v>
      </c>
      <c r="H66" s="22">
        <f>IFERROR(Calculations!$AA$748,"")</f>
        <v>0</v>
      </c>
      <c r="I66" s="22">
        <f>IFERROR(Calculations!$AB$748,"")</f>
        <v>0</v>
      </c>
      <c r="J66" s="22">
        <f>IFERROR(Calculations!$AC$748,"")</f>
        <v>0</v>
      </c>
      <c r="K66" s="22">
        <f>IFERROR(Calculations!$AD$748,"")</f>
        <v>0</v>
      </c>
      <c r="L66" s="22">
        <f>IFERROR(Calculations!$AE$748,"")</f>
        <v>0</v>
      </c>
      <c r="M66" s="22">
        <f>IFERROR(Calculations!$AF$748,"")</f>
        <v>0</v>
      </c>
      <c r="N66" s="22">
        <f>IFERROR(Calculations!$AG$748,"")</f>
        <v>0</v>
      </c>
      <c r="O66" s="22">
        <f>IFERROR(Calculations!$AH$748,"")</f>
        <v>0</v>
      </c>
    </row>
    <row r="67" spans="2:15">
      <c r="B67" s="13">
        <f>IF(Calculations!$U$749="","",Calculations!$U$749)</f>
        <v>0</v>
      </c>
      <c r="C67" s="22">
        <f>IFERROR(Calculations!$V$749,"")</f>
        <v>0</v>
      </c>
      <c r="D67" s="22">
        <f>IFERROR(Calculations!$W$749,"")</f>
        <v>0</v>
      </c>
      <c r="E67" s="22">
        <f>IFERROR(Calculations!$X$749,"")</f>
        <v>0</v>
      </c>
      <c r="F67" s="22">
        <f>IFERROR(Calculations!$Y$749,"")</f>
        <v>0</v>
      </c>
      <c r="G67" s="22">
        <f>IFERROR(Calculations!$Z$749,"")</f>
        <v>0</v>
      </c>
      <c r="H67" s="22">
        <f>IFERROR(Calculations!$AA$749,"")</f>
        <v>0</v>
      </c>
      <c r="I67" s="22">
        <f>IFERROR(Calculations!$AB$749,"")</f>
        <v>0</v>
      </c>
      <c r="J67" s="22">
        <f>IFERROR(Calculations!$AC$749,"")</f>
        <v>0</v>
      </c>
      <c r="K67" s="22">
        <f>IFERROR(Calculations!$AD$749,"")</f>
        <v>0</v>
      </c>
      <c r="L67" s="22">
        <f>IFERROR(Calculations!$AE$749,"")</f>
        <v>0</v>
      </c>
      <c r="M67" s="22">
        <f>IFERROR(Calculations!$AF$749,"")</f>
        <v>0</v>
      </c>
      <c r="N67" s="22">
        <f>IFERROR(Calculations!$AG$749,"")</f>
        <v>0</v>
      </c>
      <c r="O67" s="22">
        <f>IFERROR(Calculations!$AH$749,"")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2278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2279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2273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2224</v>
      </c>
      <c r="O13" s="37"/>
      <c r="P13" s="37"/>
      <c r="Q13" s="37"/>
    </row>
    <row r="14" spans="2:19">
      <c r="B14" s="39">
        <f>Calculations!$N$770</f>
        <v>0</v>
      </c>
      <c r="C14" s="39"/>
      <c r="D14" s="39"/>
      <c r="E14" s="39"/>
      <c r="F14" s="39">
        <f>Calculations!$N$771</f>
        <v>0</v>
      </c>
      <c r="G14" s="39"/>
      <c r="H14" s="39"/>
      <c r="I14" s="39"/>
      <c r="J14" s="39">
        <f>Calculations!$N$772</f>
        <v>0</v>
      </c>
      <c r="K14" s="39"/>
      <c r="L14" s="39"/>
      <c r="M14" s="39"/>
      <c r="N14" s="39">
        <f>Calculations!$N$773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2274</v>
      </c>
      <c r="C19" s="37"/>
      <c r="D19" s="37"/>
      <c r="E19" s="37"/>
      <c r="F19" s="37" t="s">
        <v>2275</v>
      </c>
      <c r="G19" s="37"/>
      <c r="H19" s="37"/>
      <c r="I19" s="37"/>
      <c r="J19" s="37" t="s">
        <v>2276</v>
      </c>
      <c r="K19" s="37"/>
      <c r="L19" s="37"/>
      <c r="M19" s="37"/>
      <c r="N19" s="37" t="s">
        <v>2277</v>
      </c>
      <c r="O19" s="37"/>
      <c r="P19" s="37"/>
      <c r="Q19" s="37"/>
    </row>
    <row r="20" spans="2:19">
      <c r="B20" s="39">
        <f>Calculations!$N$774</f>
        <v>0</v>
      </c>
      <c r="C20" s="39"/>
      <c r="D20" s="39"/>
      <c r="E20" s="39"/>
      <c r="F20" s="39">
        <f>Calculations!$N$775</f>
        <v>0</v>
      </c>
      <c r="G20" s="39"/>
      <c r="H20" s="39"/>
      <c r="I20" s="39"/>
      <c r="J20" s="39">
        <f>Calculations!$N$776</f>
        <v>0</v>
      </c>
      <c r="K20" s="39"/>
      <c r="L20" s="39"/>
      <c r="M20" s="39"/>
      <c r="N20" s="39">
        <f>Calculations!$N$777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"&amp;INDEX(Calculations!$C$770:$C$781,CurMonthNo)&amp;"   vs   "&amp;INDEX(L_Month,CurMonthNo-1)&amp;": "&amp;INDEX(Calculations!$C$770:$C$781,CurMonthNo-1)&amp;"   "&amp;IF(INDEX(Calculations!$C$770:$C$781,CurMonthNo)&gt;=INDEX(Calculations!$C$770:$C$781,CurMonthNo-1),"▲ ","▼ ")&amp;TEXT(IFERROR((INDEX(Calculations!$C$770:$C$781,CurMonthNo)-INDEX(Calculations!$C$770:$C$781,CurMonthNo-1))/INDEX(Calculations!$C$770:$C$781,CurMonthNo-1),0),"+0.0%;-0.0%")))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IFERROR(Calculations!$P$770,"")</f>
        <v>0</v>
      </c>
      <c r="C45" s="22">
        <f>IFERROR(Calculations!$Q$770,"")</f>
        <v>0</v>
      </c>
      <c r="D45" s="25">
        <f>IFERROR(Calculations!$R$770,"")</f>
        <v>0</v>
      </c>
      <c r="E45" s="22">
        <f>IFERROR(Calculations!$S$770,"")</f>
        <v>0</v>
      </c>
    </row>
    <row r="46" spans="2:19">
      <c r="B46" s="13">
        <f>IFERROR(Calculations!$P$771,"")</f>
        <v>0</v>
      </c>
      <c r="C46" s="22">
        <f>IFERROR(Calculations!$Q$771,"")</f>
        <v>0</v>
      </c>
      <c r="D46" s="25">
        <f>IFERROR(Calculations!$R$771,"")</f>
        <v>0</v>
      </c>
      <c r="E46" s="22">
        <f>IFERROR(Calculations!$S$771,"")</f>
        <v>0</v>
      </c>
    </row>
    <row r="47" spans="2:19">
      <c r="B47" s="13">
        <f>IFERROR(Calculations!$P$772,"")</f>
        <v>0</v>
      </c>
      <c r="C47" s="22">
        <f>IFERROR(Calculations!$Q$772,"")</f>
        <v>0</v>
      </c>
      <c r="D47" s="25">
        <f>IFERROR(Calculations!$R$772,"")</f>
        <v>0</v>
      </c>
      <c r="E47" s="22">
        <f>IFERROR(Calculations!$S$772,"")</f>
        <v>0</v>
      </c>
    </row>
    <row r="48" spans="2:19">
      <c r="B48" s="13">
        <f>IFERROR(Calculations!$P$773,"")</f>
        <v>0</v>
      </c>
      <c r="C48" s="22">
        <f>IFERROR(Calculations!$Q$773,"")</f>
        <v>0</v>
      </c>
      <c r="D48" s="25">
        <f>IFERROR(Calculations!$R$773,"")</f>
        <v>0</v>
      </c>
      <c r="E48" s="22">
        <f>IFERROR(Calculations!$S$773,"")</f>
        <v>0</v>
      </c>
    </row>
    <row r="49" spans="2:19">
      <c r="B49" s="13">
        <f>IFERROR(Calculations!$P$774,"")</f>
        <v>0</v>
      </c>
      <c r="C49" s="22">
        <f>IFERROR(Calculations!$Q$774,"")</f>
        <v>0</v>
      </c>
      <c r="D49" s="25">
        <f>IFERROR(Calculations!$R$774,"")</f>
        <v>0</v>
      </c>
      <c r="E49" s="22">
        <f>IFERROR(Calculations!$S$774,"")</f>
        <v>0</v>
      </c>
    </row>
    <row r="50" spans="2:19">
      <c r="B50" s="13">
        <f>IFERROR(Calculations!$P$775,"")</f>
        <v>0</v>
      </c>
      <c r="C50" s="22">
        <f>IFERROR(Calculations!$Q$775,"")</f>
        <v>0</v>
      </c>
      <c r="D50" s="25">
        <f>IFERROR(Calculations!$R$775,"")</f>
        <v>0</v>
      </c>
      <c r="E50" s="22">
        <f>IFERROR(Calculations!$S$775,"")</f>
        <v>0</v>
      </c>
    </row>
    <row r="51" spans="2:19">
      <c r="B51" s="13">
        <f>IFERROR(Calculations!$P$776,"")</f>
        <v>0</v>
      </c>
      <c r="C51" s="22">
        <f>IFERROR(Calculations!$Q$776,"")</f>
        <v>0</v>
      </c>
      <c r="D51" s="25">
        <f>IFERROR(Calculations!$R$776,"")</f>
        <v>0</v>
      </c>
      <c r="E51" s="22">
        <f>IFERROR(Calculations!$S$776,"")</f>
        <v>0</v>
      </c>
    </row>
    <row r="52" spans="2:19">
      <c r="B52" s="13">
        <f>IFERROR(Calculations!$P$777,"")</f>
        <v>0</v>
      </c>
      <c r="C52" s="22">
        <f>IFERROR(Calculations!$Q$777,"")</f>
        <v>0</v>
      </c>
      <c r="D52" s="25">
        <f>IFERROR(Calculations!$R$777,"")</f>
        <v>0</v>
      </c>
      <c r="E52" s="22">
        <f>IFERROR(Calculations!$S$777,"")</f>
        <v>0</v>
      </c>
    </row>
    <row r="53" spans="2:19">
      <c r="B53" s="13">
        <f>IFERROR(Calculations!$P$778,"")</f>
        <v>0</v>
      </c>
      <c r="C53" s="22">
        <f>IFERROR(Calculations!$Q$778,"")</f>
        <v>0</v>
      </c>
      <c r="D53" s="25">
        <f>IFERROR(Calculations!$R$778,"")</f>
        <v>0</v>
      </c>
      <c r="E53" s="22">
        <f>IFERROR(Calculations!$S$778,"")</f>
        <v>0</v>
      </c>
    </row>
    <row r="54" spans="2:19">
      <c r="B54" s="13">
        <f>IFERROR(Calculations!$P$779,"")</f>
        <v>0</v>
      </c>
      <c r="C54" s="22">
        <f>IFERROR(Calculations!$Q$779,"")</f>
        <v>0</v>
      </c>
      <c r="D54" s="25">
        <f>IFERROR(Calculations!$R$779,"")</f>
        <v>0</v>
      </c>
      <c r="E54" s="22">
        <f>IFERROR(Calculations!$S$779,"")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IF(Calculations!$U$770="","",Calculations!$U$770)</f>
        <v>0</v>
      </c>
      <c r="C62" s="22">
        <f>IFERROR(Calculations!$V$770,"")</f>
        <v>0</v>
      </c>
      <c r="D62" s="22">
        <f>IFERROR(Calculations!$W$770,"")</f>
        <v>0</v>
      </c>
      <c r="E62" s="22">
        <f>IFERROR(Calculations!$X$770,"")</f>
        <v>0</v>
      </c>
      <c r="F62" s="22">
        <f>IFERROR(Calculations!$Y$770,"")</f>
        <v>0</v>
      </c>
      <c r="G62" s="22">
        <f>IFERROR(Calculations!$Z$770,"")</f>
        <v>0</v>
      </c>
      <c r="H62" s="22">
        <f>IFERROR(Calculations!$AA$770,"")</f>
        <v>0</v>
      </c>
      <c r="I62" s="22">
        <f>IFERROR(Calculations!$AB$770,"")</f>
        <v>0</v>
      </c>
      <c r="J62" s="22">
        <f>IFERROR(Calculations!$AC$770,"")</f>
        <v>0</v>
      </c>
      <c r="K62" s="22">
        <f>IFERROR(Calculations!$AD$770,"")</f>
        <v>0</v>
      </c>
      <c r="L62" s="22">
        <f>IFERROR(Calculations!$AE$770,"")</f>
        <v>0</v>
      </c>
      <c r="M62" s="22">
        <f>IFERROR(Calculations!$AF$770,"")</f>
        <v>0</v>
      </c>
      <c r="N62" s="22">
        <f>IFERROR(Calculations!$AG$770,"")</f>
        <v>0</v>
      </c>
      <c r="O62" s="22">
        <f>IFERROR(Calculations!$AH$770,"")</f>
        <v>0</v>
      </c>
    </row>
    <row r="63" spans="2:19">
      <c r="B63" s="13">
        <f>IF(Calculations!$U$771="","",Calculations!$U$771)</f>
        <v>0</v>
      </c>
      <c r="C63" s="22">
        <f>IFERROR(Calculations!$V$771,"")</f>
        <v>0</v>
      </c>
      <c r="D63" s="22">
        <f>IFERROR(Calculations!$W$771,"")</f>
        <v>0</v>
      </c>
      <c r="E63" s="22">
        <f>IFERROR(Calculations!$X$771,"")</f>
        <v>0</v>
      </c>
      <c r="F63" s="22">
        <f>IFERROR(Calculations!$Y$771,"")</f>
        <v>0</v>
      </c>
      <c r="G63" s="22">
        <f>IFERROR(Calculations!$Z$771,"")</f>
        <v>0</v>
      </c>
      <c r="H63" s="22">
        <f>IFERROR(Calculations!$AA$771,"")</f>
        <v>0</v>
      </c>
      <c r="I63" s="22">
        <f>IFERROR(Calculations!$AB$771,"")</f>
        <v>0</v>
      </c>
      <c r="J63" s="22">
        <f>IFERROR(Calculations!$AC$771,"")</f>
        <v>0</v>
      </c>
      <c r="K63" s="22">
        <f>IFERROR(Calculations!$AD$771,"")</f>
        <v>0</v>
      </c>
      <c r="L63" s="22">
        <f>IFERROR(Calculations!$AE$771,"")</f>
        <v>0</v>
      </c>
      <c r="M63" s="22">
        <f>IFERROR(Calculations!$AF$771,"")</f>
        <v>0</v>
      </c>
      <c r="N63" s="22">
        <f>IFERROR(Calculations!$AG$771,"")</f>
        <v>0</v>
      </c>
      <c r="O63" s="22">
        <f>IFERROR(Calculations!$AH$771,"")</f>
        <v>0</v>
      </c>
    </row>
    <row r="64" spans="2:19">
      <c r="B64" s="13">
        <f>IF(Calculations!$U$772="","",Calculations!$U$772)</f>
        <v>0</v>
      </c>
      <c r="C64" s="22">
        <f>IFERROR(Calculations!$V$772,"")</f>
        <v>0</v>
      </c>
      <c r="D64" s="22">
        <f>IFERROR(Calculations!$W$772,"")</f>
        <v>0</v>
      </c>
      <c r="E64" s="22">
        <f>IFERROR(Calculations!$X$772,"")</f>
        <v>0</v>
      </c>
      <c r="F64" s="22">
        <f>IFERROR(Calculations!$Y$772,"")</f>
        <v>0</v>
      </c>
      <c r="G64" s="22">
        <f>IFERROR(Calculations!$Z$772,"")</f>
        <v>0</v>
      </c>
      <c r="H64" s="22">
        <f>IFERROR(Calculations!$AA$772,"")</f>
        <v>0</v>
      </c>
      <c r="I64" s="22">
        <f>IFERROR(Calculations!$AB$772,"")</f>
        <v>0</v>
      </c>
      <c r="J64" s="22">
        <f>IFERROR(Calculations!$AC$772,"")</f>
        <v>0</v>
      </c>
      <c r="K64" s="22">
        <f>IFERROR(Calculations!$AD$772,"")</f>
        <v>0</v>
      </c>
      <c r="L64" s="22">
        <f>IFERROR(Calculations!$AE$772,"")</f>
        <v>0</v>
      </c>
      <c r="M64" s="22">
        <f>IFERROR(Calculations!$AF$772,"")</f>
        <v>0</v>
      </c>
      <c r="N64" s="22">
        <f>IFERROR(Calculations!$AG$772,"")</f>
        <v>0</v>
      </c>
      <c r="O64" s="22">
        <f>IFERROR(Calculations!$AH$772,"")</f>
        <v>0</v>
      </c>
    </row>
    <row r="65" spans="2:15">
      <c r="B65" s="13">
        <f>IF(Calculations!$U$773="","",Calculations!$U$773)</f>
        <v>0</v>
      </c>
      <c r="C65" s="22">
        <f>IFERROR(Calculations!$V$773,"")</f>
        <v>0</v>
      </c>
      <c r="D65" s="22">
        <f>IFERROR(Calculations!$W$773,"")</f>
        <v>0</v>
      </c>
      <c r="E65" s="22">
        <f>IFERROR(Calculations!$X$773,"")</f>
        <v>0</v>
      </c>
      <c r="F65" s="22">
        <f>IFERROR(Calculations!$Y$773,"")</f>
        <v>0</v>
      </c>
      <c r="G65" s="22">
        <f>IFERROR(Calculations!$Z$773,"")</f>
        <v>0</v>
      </c>
      <c r="H65" s="22">
        <f>IFERROR(Calculations!$AA$773,"")</f>
        <v>0</v>
      </c>
      <c r="I65" s="22">
        <f>IFERROR(Calculations!$AB$773,"")</f>
        <v>0</v>
      </c>
      <c r="J65" s="22">
        <f>IFERROR(Calculations!$AC$773,"")</f>
        <v>0</v>
      </c>
      <c r="K65" s="22">
        <f>IFERROR(Calculations!$AD$773,"")</f>
        <v>0</v>
      </c>
      <c r="L65" s="22">
        <f>IFERROR(Calculations!$AE$773,"")</f>
        <v>0</v>
      </c>
      <c r="M65" s="22">
        <f>IFERROR(Calculations!$AF$773,"")</f>
        <v>0</v>
      </c>
      <c r="N65" s="22">
        <f>IFERROR(Calculations!$AG$773,"")</f>
        <v>0</v>
      </c>
      <c r="O65" s="22">
        <f>IFERROR(Calculations!$AH$773,"")</f>
        <v>0</v>
      </c>
    </row>
    <row r="66" spans="2:15">
      <c r="B66" s="13">
        <f>IF(Calculations!$U$774="","",Calculations!$U$774)</f>
        <v>0</v>
      </c>
      <c r="C66" s="22">
        <f>IFERROR(Calculations!$V$774,"")</f>
        <v>0</v>
      </c>
      <c r="D66" s="22">
        <f>IFERROR(Calculations!$W$774,"")</f>
        <v>0</v>
      </c>
      <c r="E66" s="22">
        <f>IFERROR(Calculations!$X$774,"")</f>
        <v>0</v>
      </c>
      <c r="F66" s="22">
        <f>IFERROR(Calculations!$Y$774,"")</f>
        <v>0</v>
      </c>
      <c r="G66" s="22">
        <f>IFERROR(Calculations!$Z$774,"")</f>
        <v>0</v>
      </c>
      <c r="H66" s="22">
        <f>IFERROR(Calculations!$AA$774,"")</f>
        <v>0</v>
      </c>
      <c r="I66" s="22">
        <f>IFERROR(Calculations!$AB$774,"")</f>
        <v>0</v>
      </c>
      <c r="J66" s="22">
        <f>IFERROR(Calculations!$AC$774,"")</f>
        <v>0</v>
      </c>
      <c r="K66" s="22">
        <f>IFERROR(Calculations!$AD$774,"")</f>
        <v>0</v>
      </c>
      <c r="L66" s="22">
        <f>IFERROR(Calculations!$AE$774,"")</f>
        <v>0</v>
      </c>
      <c r="M66" s="22">
        <f>IFERROR(Calculations!$AF$774,"")</f>
        <v>0</v>
      </c>
      <c r="N66" s="22">
        <f>IFERROR(Calculations!$AG$774,"")</f>
        <v>0</v>
      </c>
      <c r="O66" s="22">
        <f>IFERROR(Calculations!$AH$774,"")</f>
        <v>0</v>
      </c>
    </row>
    <row r="67" spans="2:15">
      <c r="B67" s="13">
        <f>IF(Calculations!$U$775="","",Calculations!$U$775)</f>
        <v>0</v>
      </c>
      <c r="C67" s="22">
        <f>IFERROR(Calculations!$V$775,"")</f>
        <v>0</v>
      </c>
      <c r="D67" s="22">
        <f>IFERROR(Calculations!$W$775,"")</f>
        <v>0</v>
      </c>
      <c r="E67" s="22">
        <f>IFERROR(Calculations!$X$775,"")</f>
        <v>0</v>
      </c>
      <c r="F67" s="22">
        <f>IFERROR(Calculations!$Y$775,"")</f>
        <v>0</v>
      </c>
      <c r="G67" s="22">
        <f>IFERROR(Calculations!$Z$775,"")</f>
        <v>0</v>
      </c>
      <c r="H67" s="22">
        <f>IFERROR(Calculations!$AA$775,"")</f>
        <v>0</v>
      </c>
      <c r="I67" s="22">
        <f>IFERROR(Calculations!$AB$775,"")</f>
        <v>0</v>
      </c>
      <c r="J67" s="22">
        <f>IFERROR(Calculations!$AC$775,"")</f>
        <v>0</v>
      </c>
      <c r="K67" s="22">
        <f>IFERROR(Calculations!$AD$775,"")</f>
        <v>0</v>
      </c>
      <c r="L67" s="22">
        <f>IFERROR(Calculations!$AE$775,"")</f>
        <v>0</v>
      </c>
      <c r="M67" s="22">
        <f>IFERROR(Calculations!$AF$775,"")</f>
        <v>0</v>
      </c>
      <c r="N67" s="22">
        <f>IFERROR(Calculations!$AG$775,"")</f>
        <v>0</v>
      </c>
      <c r="O67" s="22">
        <f>IFERROR(Calculations!$AH$775,"")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2280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2281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2282</v>
      </c>
      <c r="C13" s="37"/>
      <c r="D13" s="37"/>
      <c r="E13" s="37"/>
      <c r="F13" s="37" t="s">
        <v>2222</v>
      </c>
      <c r="G13" s="37"/>
      <c r="H13" s="37"/>
      <c r="I13" s="37"/>
      <c r="J13" s="37" t="s">
        <v>2283</v>
      </c>
      <c r="K13" s="37"/>
      <c r="L13" s="37"/>
      <c r="M13" s="37"/>
      <c r="N13" s="37" t="s">
        <v>2277</v>
      </c>
      <c r="O13" s="37"/>
      <c r="P13" s="37"/>
      <c r="Q13" s="37"/>
    </row>
    <row r="14" spans="2:19">
      <c r="B14" s="39">
        <f>Calculations!$N$796</f>
        <v>0</v>
      </c>
      <c r="C14" s="39"/>
      <c r="D14" s="39"/>
      <c r="E14" s="39"/>
      <c r="F14" s="39">
        <f>Calculations!$N$797</f>
        <v>0</v>
      </c>
      <c r="G14" s="39"/>
      <c r="H14" s="39"/>
      <c r="I14" s="39"/>
      <c r="J14" s="39">
        <f>Calculations!$N$798</f>
        <v>0</v>
      </c>
      <c r="K14" s="39"/>
      <c r="L14" s="39"/>
      <c r="M14" s="39"/>
      <c r="N14" s="39">
        <f>Calculations!$N$799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2249</v>
      </c>
      <c r="C19" s="37"/>
      <c r="D19" s="37"/>
      <c r="E19" s="37"/>
      <c r="F19" s="37" t="s">
        <v>2250</v>
      </c>
      <c r="G19" s="37"/>
      <c r="H19" s="37"/>
      <c r="I19" s="37"/>
      <c r="J19" s="37" t="s">
        <v>2251</v>
      </c>
      <c r="K19" s="37"/>
      <c r="L19" s="37"/>
      <c r="M19" s="37"/>
      <c r="N19" s="37" t="s">
        <v>2201</v>
      </c>
      <c r="O19" s="37"/>
      <c r="P19" s="37"/>
      <c r="Q19" s="37"/>
    </row>
    <row r="20" spans="2:19">
      <c r="B20" s="39">
        <f>Calculations!$N$800</f>
        <v>0</v>
      </c>
      <c r="C20" s="39"/>
      <c r="D20" s="39"/>
      <c r="E20" s="39"/>
      <c r="F20" s="39">
        <f>Calculations!$N$801</f>
        <v>0</v>
      </c>
      <c r="G20" s="39"/>
      <c r="H20" s="39"/>
      <c r="I20" s="39"/>
      <c r="J20" s="40">
        <f>Calculations!$N$802</f>
        <v>0</v>
      </c>
      <c r="K20" s="40"/>
      <c r="L20" s="40"/>
      <c r="M20" s="40"/>
      <c r="N20" s="39">
        <f>Calculations!$N$803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40"/>
      <c r="K21" s="40"/>
      <c r="L21" s="40"/>
      <c r="M21" s="40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"&amp;INDEX(Calculations!$C$796:$C$807,CurMonthNo)&amp;"   vs   "&amp;INDEX(L_Month,CurMonthNo-1)&amp;": "&amp;INDEX(Calculations!$C$796:$C$807,CurMonthNo-1)&amp;"   "&amp;IF(INDEX(Calculations!$C$796:$C$807,CurMonthNo)&gt;=INDEX(Calculations!$C$796:$C$807,CurMonthNo-1),"▲ ","▼ ")&amp;TEXT(IFERROR((INDEX(Calculations!$C$796:$C$807,CurMonthNo)-INDEX(Calculations!$C$796:$C$807,CurMonthNo-1))/INDEX(Calculations!$C$796:$C$807,CurMonthNo-1),0),"+0.0%;-0.0%")))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2015</v>
      </c>
    </row>
    <row r="45" spans="2:19">
      <c r="B45" s="13">
        <f>IFERROR(Calculations!$P$796,"")</f>
        <v>0</v>
      </c>
      <c r="C45" s="22">
        <f>IFERROR(Calculations!$Q$796,"")</f>
        <v>0</v>
      </c>
      <c r="D45" s="25">
        <f>IFERROR(Calculations!$R$796,"")</f>
        <v>0</v>
      </c>
      <c r="E45" s="25">
        <f>IFERROR(Calculations!$S$796,"")</f>
        <v>0</v>
      </c>
    </row>
    <row r="46" spans="2:19">
      <c r="B46" s="13">
        <f>IFERROR(Calculations!$P$797,"")</f>
        <v>0</v>
      </c>
      <c r="C46" s="22">
        <f>IFERROR(Calculations!$Q$797,"")</f>
        <v>0</v>
      </c>
      <c r="D46" s="25">
        <f>IFERROR(Calculations!$R$797,"")</f>
        <v>0</v>
      </c>
      <c r="E46" s="25">
        <f>IFERROR(Calculations!$S$797,"")</f>
        <v>0</v>
      </c>
    </row>
    <row r="47" spans="2:19">
      <c r="B47" s="13">
        <f>IFERROR(Calculations!$P$798,"")</f>
        <v>0</v>
      </c>
      <c r="C47" s="22">
        <f>IFERROR(Calculations!$Q$798,"")</f>
        <v>0</v>
      </c>
      <c r="D47" s="25">
        <f>IFERROR(Calculations!$R$798,"")</f>
        <v>0</v>
      </c>
      <c r="E47" s="25">
        <f>IFERROR(Calculations!$S$798,"")</f>
        <v>0</v>
      </c>
    </row>
    <row r="48" spans="2:19">
      <c r="B48" s="13">
        <f>IFERROR(Calculations!$P$799,"")</f>
        <v>0</v>
      </c>
      <c r="C48" s="22">
        <f>IFERROR(Calculations!$Q$799,"")</f>
        <v>0</v>
      </c>
      <c r="D48" s="25">
        <f>IFERROR(Calculations!$R$799,"")</f>
        <v>0</v>
      </c>
      <c r="E48" s="25">
        <f>IFERROR(Calculations!$S$799,"")</f>
        <v>0</v>
      </c>
    </row>
    <row r="49" spans="2:19">
      <c r="B49" s="13">
        <f>IFERROR(Calculations!$P$800,"")</f>
        <v>0</v>
      </c>
      <c r="C49" s="22">
        <f>IFERROR(Calculations!$Q$800,"")</f>
        <v>0</v>
      </c>
      <c r="D49" s="25">
        <f>IFERROR(Calculations!$R$800,"")</f>
        <v>0</v>
      </c>
      <c r="E49" s="25">
        <f>IFERROR(Calculations!$S$800,"")</f>
        <v>0</v>
      </c>
    </row>
    <row r="50" spans="2:19">
      <c r="B50" s="13">
        <f>IFERROR(Calculations!$P$801,"")</f>
        <v>0</v>
      </c>
      <c r="C50" s="22">
        <f>IFERROR(Calculations!$Q$801,"")</f>
        <v>0</v>
      </c>
      <c r="D50" s="25">
        <f>IFERROR(Calculations!$R$801,"")</f>
        <v>0</v>
      </c>
      <c r="E50" s="25">
        <f>IFERROR(Calculations!$S$801,"")</f>
        <v>0</v>
      </c>
    </row>
    <row r="51" spans="2:19">
      <c r="B51" s="13">
        <f>IFERROR(Calculations!$P$802,"")</f>
        <v>0</v>
      </c>
      <c r="C51" s="22">
        <f>IFERROR(Calculations!$Q$802,"")</f>
        <v>0</v>
      </c>
      <c r="D51" s="25">
        <f>IFERROR(Calculations!$R$802,"")</f>
        <v>0</v>
      </c>
      <c r="E51" s="25">
        <f>IFERROR(Calculations!$S$802,"")</f>
        <v>0</v>
      </c>
    </row>
    <row r="52" spans="2:19">
      <c r="B52" s="13">
        <f>IFERROR(Calculations!$P$803,"")</f>
        <v>0</v>
      </c>
      <c r="C52" s="22">
        <f>IFERROR(Calculations!$Q$803,"")</f>
        <v>0</v>
      </c>
      <c r="D52" s="25">
        <f>IFERROR(Calculations!$R$803,"")</f>
        <v>0</v>
      </c>
      <c r="E52" s="25">
        <f>IFERROR(Calculations!$S$803,"")</f>
        <v>0</v>
      </c>
    </row>
    <row r="53" spans="2:19">
      <c r="B53" s="13">
        <f>IFERROR(Calculations!$P$804,"")</f>
        <v>0</v>
      </c>
      <c r="C53" s="22">
        <f>IFERROR(Calculations!$Q$804,"")</f>
        <v>0</v>
      </c>
      <c r="D53" s="25">
        <f>IFERROR(Calculations!$R$804,"")</f>
        <v>0</v>
      </c>
      <c r="E53" s="25">
        <f>IFERROR(Calculations!$S$804,"")</f>
        <v>0</v>
      </c>
    </row>
    <row r="54" spans="2:19">
      <c r="B54" s="13">
        <f>IFERROR(Calculations!$P$805,"")</f>
        <v>0</v>
      </c>
      <c r="C54" s="22">
        <f>IFERROR(Calculations!$Q$805,"")</f>
        <v>0</v>
      </c>
      <c r="D54" s="25">
        <f>IFERROR(Calculations!$R$805,"")</f>
        <v>0</v>
      </c>
      <c r="E54" s="25">
        <f>IFERROR(Calculations!$S$805,"")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IF(Calculations!$U$796="","",Calculations!$U$796)</f>
        <v>0</v>
      </c>
      <c r="C62" s="22">
        <f>IFERROR(Calculations!$V$796,"")</f>
        <v>0</v>
      </c>
      <c r="D62" s="22">
        <f>IFERROR(Calculations!$W$796,"")</f>
        <v>0</v>
      </c>
      <c r="E62" s="22">
        <f>IFERROR(Calculations!$X$796,"")</f>
        <v>0</v>
      </c>
      <c r="F62" s="22">
        <f>IFERROR(Calculations!$Y$796,"")</f>
        <v>0</v>
      </c>
      <c r="G62" s="22">
        <f>IFERROR(Calculations!$Z$796,"")</f>
        <v>0</v>
      </c>
      <c r="H62" s="22">
        <f>IFERROR(Calculations!$AA$796,"")</f>
        <v>0</v>
      </c>
      <c r="I62" s="22">
        <f>IFERROR(Calculations!$AB$796,"")</f>
        <v>0</v>
      </c>
      <c r="J62" s="22">
        <f>IFERROR(Calculations!$AC$796,"")</f>
        <v>0</v>
      </c>
      <c r="K62" s="22">
        <f>IFERROR(Calculations!$AD$796,"")</f>
        <v>0</v>
      </c>
      <c r="L62" s="22">
        <f>IFERROR(Calculations!$AE$796,"")</f>
        <v>0</v>
      </c>
      <c r="M62" s="22">
        <f>IFERROR(Calculations!$AF$796,"")</f>
        <v>0</v>
      </c>
      <c r="N62" s="22">
        <f>IFERROR(Calculations!$AG$796,"")</f>
        <v>0</v>
      </c>
      <c r="O62" s="22">
        <f>IFERROR(Calculations!$AH$796,"")</f>
        <v>0</v>
      </c>
    </row>
    <row r="63" spans="2:19">
      <c r="B63" s="13">
        <f>IF(Calculations!$U$797="","",Calculations!$U$797)</f>
        <v>0</v>
      </c>
      <c r="C63" s="22">
        <f>IFERROR(Calculations!$V$797,"")</f>
        <v>0</v>
      </c>
      <c r="D63" s="22">
        <f>IFERROR(Calculations!$W$797,"")</f>
        <v>0</v>
      </c>
      <c r="E63" s="22">
        <f>IFERROR(Calculations!$X$797,"")</f>
        <v>0</v>
      </c>
      <c r="F63" s="22">
        <f>IFERROR(Calculations!$Y$797,"")</f>
        <v>0</v>
      </c>
      <c r="G63" s="22">
        <f>IFERROR(Calculations!$Z$797,"")</f>
        <v>0</v>
      </c>
      <c r="H63" s="22">
        <f>IFERROR(Calculations!$AA$797,"")</f>
        <v>0</v>
      </c>
      <c r="I63" s="22">
        <f>IFERROR(Calculations!$AB$797,"")</f>
        <v>0</v>
      </c>
      <c r="J63" s="22">
        <f>IFERROR(Calculations!$AC$797,"")</f>
        <v>0</v>
      </c>
      <c r="K63" s="22">
        <f>IFERROR(Calculations!$AD$797,"")</f>
        <v>0</v>
      </c>
      <c r="L63" s="22">
        <f>IFERROR(Calculations!$AE$797,"")</f>
        <v>0</v>
      </c>
      <c r="M63" s="22">
        <f>IFERROR(Calculations!$AF$797,"")</f>
        <v>0</v>
      </c>
      <c r="N63" s="22">
        <f>IFERROR(Calculations!$AG$797,"")</f>
        <v>0</v>
      </c>
      <c r="O63" s="22">
        <f>IFERROR(Calculations!$AH$797,"")</f>
        <v>0</v>
      </c>
    </row>
    <row r="64" spans="2:19">
      <c r="B64" s="13">
        <f>IF(Calculations!$U$798="","",Calculations!$U$798)</f>
        <v>0</v>
      </c>
      <c r="C64" s="22">
        <f>IFERROR(Calculations!$V$798,"")</f>
        <v>0</v>
      </c>
      <c r="D64" s="22">
        <f>IFERROR(Calculations!$W$798,"")</f>
        <v>0</v>
      </c>
      <c r="E64" s="22">
        <f>IFERROR(Calculations!$X$798,"")</f>
        <v>0</v>
      </c>
      <c r="F64" s="22">
        <f>IFERROR(Calculations!$Y$798,"")</f>
        <v>0</v>
      </c>
      <c r="G64" s="22">
        <f>IFERROR(Calculations!$Z$798,"")</f>
        <v>0</v>
      </c>
      <c r="H64" s="22">
        <f>IFERROR(Calculations!$AA$798,"")</f>
        <v>0</v>
      </c>
      <c r="I64" s="22">
        <f>IFERROR(Calculations!$AB$798,"")</f>
        <v>0</v>
      </c>
      <c r="J64" s="22">
        <f>IFERROR(Calculations!$AC$798,"")</f>
        <v>0</v>
      </c>
      <c r="K64" s="22">
        <f>IFERROR(Calculations!$AD$798,"")</f>
        <v>0</v>
      </c>
      <c r="L64" s="22">
        <f>IFERROR(Calculations!$AE$798,"")</f>
        <v>0</v>
      </c>
      <c r="M64" s="22">
        <f>IFERROR(Calculations!$AF$798,"")</f>
        <v>0</v>
      </c>
      <c r="N64" s="22">
        <f>IFERROR(Calculations!$AG$798,"")</f>
        <v>0</v>
      </c>
      <c r="O64" s="22">
        <f>IFERROR(Calculations!$AH$798,"")</f>
        <v>0</v>
      </c>
    </row>
    <row r="65" spans="2:15">
      <c r="B65" s="13">
        <f>IF(Calculations!$U$799="","",Calculations!$U$799)</f>
        <v>0</v>
      </c>
      <c r="C65" s="22">
        <f>IFERROR(Calculations!$V$799,"")</f>
        <v>0</v>
      </c>
      <c r="D65" s="22">
        <f>IFERROR(Calculations!$W$799,"")</f>
        <v>0</v>
      </c>
      <c r="E65" s="22">
        <f>IFERROR(Calculations!$X$799,"")</f>
        <v>0</v>
      </c>
      <c r="F65" s="22">
        <f>IFERROR(Calculations!$Y$799,"")</f>
        <v>0</v>
      </c>
      <c r="G65" s="22">
        <f>IFERROR(Calculations!$Z$799,"")</f>
        <v>0</v>
      </c>
      <c r="H65" s="22">
        <f>IFERROR(Calculations!$AA$799,"")</f>
        <v>0</v>
      </c>
      <c r="I65" s="22">
        <f>IFERROR(Calculations!$AB$799,"")</f>
        <v>0</v>
      </c>
      <c r="J65" s="22">
        <f>IFERROR(Calculations!$AC$799,"")</f>
        <v>0</v>
      </c>
      <c r="K65" s="22">
        <f>IFERROR(Calculations!$AD$799,"")</f>
        <v>0</v>
      </c>
      <c r="L65" s="22">
        <f>IFERROR(Calculations!$AE$799,"")</f>
        <v>0</v>
      </c>
      <c r="M65" s="22">
        <f>IFERROR(Calculations!$AF$799,"")</f>
        <v>0</v>
      </c>
      <c r="N65" s="22">
        <f>IFERROR(Calculations!$AG$799,"")</f>
        <v>0</v>
      </c>
      <c r="O65" s="22">
        <f>IFERROR(Calculations!$AH$799,"")</f>
        <v>0</v>
      </c>
    </row>
    <row r="66" spans="2:15">
      <c r="B66" s="13">
        <f>IF(Calculations!$U$800="","",Calculations!$U$800)</f>
        <v>0</v>
      </c>
      <c r="C66" s="22">
        <f>IFERROR(Calculations!$V$800,"")</f>
        <v>0</v>
      </c>
      <c r="D66" s="22">
        <f>IFERROR(Calculations!$W$800,"")</f>
        <v>0</v>
      </c>
      <c r="E66" s="22">
        <f>IFERROR(Calculations!$X$800,"")</f>
        <v>0</v>
      </c>
      <c r="F66" s="22">
        <f>IFERROR(Calculations!$Y$800,"")</f>
        <v>0</v>
      </c>
      <c r="G66" s="22">
        <f>IFERROR(Calculations!$Z$800,"")</f>
        <v>0</v>
      </c>
      <c r="H66" s="22">
        <f>IFERROR(Calculations!$AA$800,"")</f>
        <v>0</v>
      </c>
      <c r="I66" s="22">
        <f>IFERROR(Calculations!$AB$800,"")</f>
        <v>0</v>
      </c>
      <c r="J66" s="22">
        <f>IFERROR(Calculations!$AC$800,"")</f>
        <v>0</v>
      </c>
      <c r="K66" s="22">
        <f>IFERROR(Calculations!$AD$800,"")</f>
        <v>0</v>
      </c>
      <c r="L66" s="22">
        <f>IFERROR(Calculations!$AE$800,"")</f>
        <v>0</v>
      </c>
      <c r="M66" s="22">
        <f>IFERROR(Calculations!$AF$800,"")</f>
        <v>0</v>
      </c>
      <c r="N66" s="22">
        <f>IFERROR(Calculations!$AG$800,"")</f>
        <v>0</v>
      </c>
      <c r="O66" s="22">
        <f>IFERROR(Calculations!$AH$800,"")</f>
        <v>0</v>
      </c>
    </row>
    <row r="67" spans="2:15">
      <c r="B67" s="13">
        <f>IF(Calculations!$U$801="","",Calculations!$U$801)</f>
        <v>0</v>
      </c>
      <c r="C67" s="22">
        <f>IFERROR(Calculations!$V$801,"")</f>
        <v>0</v>
      </c>
      <c r="D67" s="22">
        <f>IFERROR(Calculations!$W$801,"")</f>
        <v>0</v>
      </c>
      <c r="E67" s="22">
        <f>IFERROR(Calculations!$X$801,"")</f>
        <v>0</v>
      </c>
      <c r="F67" s="22">
        <f>IFERROR(Calculations!$Y$801,"")</f>
        <v>0</v>
      </c>
      <c r="G67" s="22">
        <f>IFERROR(Calculations!$Z$801,"")</f>
        <v>0</v>
      </c>
      <c r="H67" s="22">
        <f>IFERROR(Calculations!$AA$801,"")</f>
        <v>0</v>
      </c>
      <c r="I67" s="22">
        <f>IFERROR(Calculations!$AB$801,"")</f>
        <v>0</v>
      </c>
      <c r="J67" s="22">
        <f>IFERROR(Calculations!$AC$801,"")</f>
        <v>0</v>
      </c>
      <c r="K67" s="22">
        <f>IFERROR(Calculations!$AD$801,"")</f>
        <v>0</v>
      </c>
      <c r="L67" s="22">
        <f>IFERROR(Calculations!$AE$801,"")</f>
        <v>0</v>
      </c>
      <c r="M67" s="22">
        <f>IFERROR(Calculations!$AF$801,"")</f>
        <v>0</v>
      </c>
      <c r="N67" s="22">
        <f>IFERROR(Calculations!$AG$801,"")</f>
        <v>0</v>
      </c>
      <c r="O67" s="22">
        <f>IFERROR(Calculations!$AH$801,"")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2284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2286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2198</v>
      </c>
      <c r="O13" s="37"/>
      <c r="P13" s="37"/>
      <c r="Q13" s="37"/>
    </row>
    <row r="14" spans="2:19">
      <c r="B14" s="39">
        <f>Calculations!$N$822</f>
        <v>0</v>
      </c>
      <c r="C14" s="39"/>
      <c r="D14" s="39"/>
      <c r="E14" s="39"/>
      <c r="F14" s="39">
        <f>Calculations!$N$823</f>
        <v>0</v>
      </c>
      <c r="G14" s="39"/>
      <c r="H14" s="39"/>
      <c r="I14" s="39"/>
      <c r="J14" s="39">
        <f>Calculations!$N$824</f>
        <v>0</v>
      </c>
      <c r="K14" s="39"/>
      <c r="L14" s="39"/>
      <c r="M14" s="39"/>
      <c r="N14" s="40">
        <f>Calculations!$N$825</f>
        <v>0</v>
      </c>
      <c r="O14" s="40"/>
      <c r="P14" s="40"/>
      <c r="Q14" s="40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40"/>
      <c r="O15" s="40"/>
      <c r="P15" s="40"/>
      <c r="Q15" s="40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2287</v>
      </c>
      <c r="C19" s="37"/>
      <c r="D19" s="37"/>
      <c r="E19" s="37"/>
      <c r="F19" s="37" t="s">
        <v>2288</v>
      </c>
      <c r="G19" s="37"/>
      <c r="H19" s="37"/>
      <c r="I19" s="37"/>
      <c r="J19" s="37" t="s">
        <v>2289</v>
      </c>
      <c r="K19" s="37"/>
      <c r="L19" s="37"/>
      <c r="M19" s="37"/>
      <c r="N19" s="37" t="s">
        <v>2252</v>
      </c>
      <c r="O19" s="37"/>
      <c r="P19" s="37"/>
      <c r="Q19" s="37"/>
    </row>
    <row r="20" spans="2:19">
      <c r="B20" s="39">
        <f>Calculations!$N$826</f>
        <v>0</v>
      </c>
      <c r="C20" s="39"/>
      <c r="D20" s="39"/>
      <c r="E20" s="39"/>
      <c r="F20" s="39">
        <f>Calculations!$N$827</f>
        <v>0</v>
      </c>
      <c r="G20" s="39"/>
      <c r="H20" s="39"/>
      <c r="I20" s="39"/>
      <c r="J20" s="40">
        <f>Calculations!$N$828</f>
        <v>0</v>
      </c>
      <c r="K20" s="40"/>
      <c r="L20" s="40"/>
      <c r="M20" s="40"/>
      <c r="N20" s="39">
        <f>Calculations!$N$829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40"/>
      <c r="K21" s="40"/>
      <c r="L21" s="40"/>
      <c r="M21" s="40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"&amp;INDEX(Calculations!$C$822:$C$833,CurMonthNo)&amp;"   vs   "&amp;INDEX(L_Month,CurMonthNo-1)&amp;": "&amp;INDEX(Calculations!$C$822:$C$833,CurMonthNo-1)&amp;"   "&amp;IF(INDEX(Calculations!$C$822:$C$833,CurMonthNo)&gt;=INDEX(Calculations!$C$822:$C$833,CurMonthNo-1),"▲ ","▼ ")&amp;TEXT(IFERROR((INDEX(Calculations!$C$822:$C$833,CurMonthNo)-INDEX(Calculations!$C$822:$C$833,CurMonthNo-1))/INDEX(Calculations!$C$822:$C$833,CurMonthNo-1),0),"+0.0%;-0.0%")))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IF(Calculations!$U$822="","",Calculations!$U$822)</f>
        <v>0</v>
      </c>
      <c r="C62" s="22">
        <f>IFERROR(Calculations!$V$822,"")</f>
        <v>0</v>
      </c>
      <c r="D62" s="22">
        <f>IFERROR(Calculations!$W$822,"")</f>
        <v>0</v>
      </c>
      <c r="E62" s="22">
        <f>IFERROR(Calculations!$X$822,"")</f>
        <v>0</v>
      </c>
      <c r="F62" s="22">
        <f>IFERROR(Calculations!$Y$822,"")</f>
        <v>0</v>
      </c>
      <c r="G62" s="22">
        <f>IFERROR(Calculations!$Z$822,"")</f>
        <v>0</v>
      </c>
      <c r="H62" s="22">
        <f>IFERROR(Calculations!$AA$822,"")</f>
        <v>0</v>
      </c>
      <c r="I62" s="22">
        <f>IFERROR(Calculations!$AB$822,"")</f>
        <v>0</v>
      </c>
      <c r="J62" s="22">
        <f>IFERROR(Calculations!$AC$822,"")</f>
        <v>0</v>
      </c>
      <c r="K62" s="22">
        <f>IFERROR(Calculations!$AD$822,"")</f>
        <v>0</v>
      </c>
      <c r="L62" s="22">
        <f>IFERROR(Calculations!$AE$822,"")</f>
        <v>0</v>
      </c>
      <c r="M62" s="22">
        <f>IFERROR(Calculations!$AF$822,"")</f>
        <v>0</v>
      </c>
      <c r="N62" s="22">
        <f>IFERROR(Calculations!$AG$822,"")</f>
        <v>0</v>
      </c>
      <c r="O62" s="22">
        <f>IFERROR(Calculations!$AH$822,"")</f>
        <v>0</v>
      </c>
    </row>
    <row r="63" spans="2:19">
      <c r="B63" s="13">
        <f>IF(Calculations!$U$823="","",Calculations!$U$823)</f>
        <v>0</v>
      </c>
      <c r="C63" s="22">
        <f>IFERROR(Calculations!$V$823,"")</f>
        <v>0</v>
      </c>
      <c r="D63" s="22">
        <f>IFERROR(Calculations!$W$823,"")</f>
        <v>0</v>
      </c>
      <c r="E63" s="22">
        <f>IFERROR(Calculations!$X$823,"")</f>
        <v>0</v>
      </c>
      <c r="F63" s="22">
        <f>IFERROR(Calculations!$Y$823,"")</f>
        <v>0</v>
      </c>
      <c r="G63" s="22">
        <f>IFERROR(Calculations!$Z$823,"")</f>
        <v>0</v>
      </c>
      <c r="H63" s="22">
        <f>IFERROR(Calculations!$AA$823,"")</f>
        <v>0</v>
      </c>
      <c r="I63" s="22">
        <f>IFERROR(Calculations!$AB$823,"")</f>
        <v>0</v>
      </c>
      <c r="J63" s="22">
        <f>IFERROR(Calculations!$AC$823,"")</f>
        <v>0</v>
      </c>
      <c r="K63" s="22">
        <f>IFERROR(Calculations!$AD$823,"")</f>
        <v>0</v>
      </c>
      <c r="L63" s="22">
        <f>IFERROR(Calculations!$AE$823,"")</f>
        <v>0</v>
      </c>
      <c r="M63" s="22">
        <f>IFERROR(Calculations!$AF$823,"")</f>
        <v>0</v>
      </c>
      <c r="N63" s="22">
        <f>IFERROR(Calculations!$AG$823,"")</f>
        <v>0</v>
      </c>
      <c r="O63" s="22">
        <f>IFERROR(Calculations!$AH$823,"")</f>
        <v>0</v>
      </c>
    </row>
    <row r="64" spans="2:19">
      <c r="B64" s="13">
        <f>IF(Calculations!$U$824="","",Calculations!$U$824)</f>
        <v>0</v>
      </c>
      <c r="C64" s="22">
        <f>IFERROR(Calculations!$V$824,"")</f>
        <v>0</v>
      </c>
      <c r="D64" s="22">
        <f>IFERROR(Calculations!$W$824,"")</f>
        <v>0</v>
      </c>
      <c r="E64" s="22">
        <f>IFERROR(Calculations!$X$824,"")</f>
        <v>0</v>
      </c>
      <c r="F64" s="22">
        <f>IFERROR(Calculations!$Y$824,"")</f>
        <v>0</v>
      </c>
      <c r="G64" s="22">
        <f>IFERROR(Calculations!$Z$824,"")</f>
        <v>0</v>
      </c>
      <c r="H64" s="22">
        <f>IFERROR(Calculations!$AA$824,"")</f>
        <v>0</v>
      </c>
      <c r="I64" s="22">
        <f>IFERROR(Calculations!$AB$824,"")</f>
        <v>0</v>
      </c>
      <c r="J64" s="22">
        <f>IFERROR(Calculations!$AC$824,"")</f>
        <v>0</v>
      </c>
      <c r="K64" s="22">
        <f>IFERROR(Calculations!$AD$824,"")</f>
        <v>0</v>
      </c>
      <c r="L64" s="22">
        <f>IFERROR(Calculations!$AE$824,"")</f>
        <v>0</v>
      </c>
      <c r="M64" s="22">
        <f>IFERROR(Calculations!$AF$824,"")</f>
        <v>0</v>
      </c>
      <c r="N64" s="22">
        <f>IFERROR(Calculations!$AG$824,"")</f>
        <v>0</v>
      </c>
      <c r="O64" s="22">
        <f>IFERROR(Calculations!$AH$824,"")</f>
        <v>0</v>
      </c>
    </row>
    <row r="65" spans="2:19">
      <c r="B65" s="13">
        <f>IF(Calculations!$U$825="","",Calculations!$U$825)</f>
        <v>0</v>
      </c>
      <c r="C65" s="22">
        <f>IFERROR(Calculations!$V$825,"")</f>
        <v>0</v>
      </c>
      <c r="D65" s="22">
        <f>IFERROR(Calculations!$W$825,"")</f>
        <v>0</v>
      </c>
      <c r="E65" s="22">
        <f>IFERROR(Calculations!$X$825,"")</f>
        <v>0</v>
      </c>
      <c r="F65" s="22">
        <f>IFERROR(Calculations!$Y$825,"")</f>
        <v>0</v>
      </c>
      <c r="G65" s="22">
        <f>IFERROR(Calculations!$Z$825,"")</f>
        <v>0</v>
      </c>
      <c r="H65" s="22">
        <f>IFERROR(Calculations!$AA$825,"")</f>
        <v>0</v>
      </c>
      <c r="I65" s="22">
        <f>IFERROR(Calculations!$AB$825,"")</f>
        <v>0</v>
      </c>
      <c r="J65" s="22">
        <f>IFERROR(Calculations!$AC$825,"")</f>
        <v>0</v>
      </c>
      <c r="K65" s="22">
        <f>IFERROR(Calculations!$AD$825,"")</f>
        <v>0</v>
      </c>
      <c r="L65" s="22">
        <f>IFERROR(Calculations!$AE$825,"")</f>
        <v>0</v>
      </c>
      <c r="M65" s="22">
        <f>IFERROR(Calculations!$AF$825,"")</f>
        <v>0</v>
      </c>
      <c r="N65" s="22">
        <f>IFERROR(Calculations!$AG$825,"")</f>
        <v>0</v>
      </c>
      <c r="O65" s="22">
        <f>IFERROR(Calculations!$AH$825,"")</f>
        <v>0</v>
      </c>
    </row>
    <row r="66" spans="2:19">
      <c r="B66" s="13">
        <f>IF(Calculations!$U$826="","",Calculations!$U$826)</f>
        <v>0</v>
      </c>
      <c r="C66" s="22">
        <f>IFERROR(Calculations!$V$826,"")</f>
        <v>0</v>
      </c>
      <c r="D66" s="22">
        <f>IFERROR(Calculations!$W$826,"")</f>
        <v>0</v>
      </c>
      <c r="E66" s="22">
        <f>IFERROR(Calculations!$X$826,"")</f>
        <v>0</v>
      </c>
      <c r="F66" s="22">
        <f>IFERROR(Calculations!$Y$826,"")</f>
        <v>0</v>
      </c>
      <c r="G66" s="22">
        <f>IFERROR(Calculations!$Z$826,"")</f>
        <v>0</v>
      </c>
      <c r="H66" s="22">
        <f>IFERROR(Calculations!$AA$826,"")</f>
        <v>0</v>
      </c>
      <c r="I66" s="22">
        <f>IFERROR(Calculations!$AB$826,"")</f>
        <v>0</v>
      </c>
      <c r="J66" s="22">
        <f>IFERROR(Calculations!$AC$826,"")</f>
        <v>0</v>
      </c>
      <c r="K66" s="22">
        <f>IFERROR(Calculations!$AD$826,"")</f>
        <v>0</v>
      </c>
      <c r="L66" s="22">
        <f>IFERROR(Calculations!$AE$826,"")</f>
        <v>0</v>
      </c>
      <c r="M66" s="22">
        <f>IFERROR(Calculations!$AF$826,"")</f>
        <v>0</v>
      </c>
      <c r="N66" s="22">
        <f>IFERROR(Calculations!$AG$826,"")</f>
        <v>0</v>
      </c>
      <c r="O66" s="22">
        <f>IFERROR(Calculations!$AH$826,"")</f>
        <v>0</v>
      </c>
    </row>
    <row r="67" spans="2:19">
      <c r="B67" s="13">
        <f>IF(Calculations!$U$827="","",Calculations!$U$827)</f>
        <v>0</v>
      </c>
      <c r="C67" s="22">
        <f>IFERROR(Calculations!$V$827,"")</f>
        <v>0</v>
      </c>
      <c r="D67" s="22">
        <f>IFERROR(Calculations!$W$827,"")</f>
        <v>0</v>
      </c>
      <c r="E67" s="22">
        <f>IFERROR(Calculations!$X$827,"")</f>
        <v>0</v>
      </c>
      <c r="F67" s="22">
        <f>IFERROR(Calculations!$Y$827,"")</f>
        <v>0</v>
      </c>
      <c r="G67" s="22">
        <f>IFERROR(Calculations!$Z$827,"")</f>
        <v>0</v>
      </c>
      <c r="H67" s="22">
        <f>IFERROR(Calculations!$AA$827,"")</f>
        <v>0</v>
      </c>
      <c r="I67" s="22">
        <f>IFERROR(Calculations!$AB$827,"")</f>
        <v>0</v>
      </c>
      <c r="J67" s="22">
        <f>IFERROR(Calculations!$AC$827,"")</f>
        <v>0</v>
      </c>
      <c r="K67" s="22">
        <f>IFERROR(Calculations!$AD$827,"")</f>
        <v>0</v>
      </c>
      <c r="L67" s="22">
        <f>IFERROR(Calculations!$AE$827,"")</f>
        <v>0</v>
      </c>
      <c r="M67" s="22">
        <f>IFERROR(Calculations!$AF$827,"")</f>
        <v>0</v>
      </c>
      <c r="N67" s="22">
        <f>IFERROR(Calculations!$AG$827,"")</f>
        <v>0</v>
      </c>
      <c r="O67" s="22">
        <f>IFERROR(Calculations!$AH$827,"")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2290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2291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2292</v>
      </c>
      <c r="C13" s="37"/>
      <c r="D13" s="37"/>
      <c r="E13" s="37"/>
      <c r="F13" s="37" t="s">
        <v>2222</v>
      </c>
      <c r="G13" s="37"/>
      <c r="H13" s="37"/>
      <c r="I13" s="37"/>
      <c r="J13" s="37" t="s">
        <v>2293</v>
      </c>
      <c r="K13" s="37"/>
      <c r="L13" s="37"/>
      <c r="M13" s="37"/>
      <c r="N13" s="37" t="s">
        <v>2294</v>
      </c>
      <c r="O13" s="37"/>
      <c r="P13" s="37"/>
      <c r="Q13" s="37"/>
    </row>
    <row r="14" spans="2:19">
      <c r="B14" s="39">
        <f>Calculations!$N$848</f>
        <v>0</v>
      </c>
      <c r="C14" s="39"/>
      <c r="D14" s="39"/>
      <c r="E14" s="39"/>
      <c r="F14" s="39">
        <f>Calculations!$N$849</f>
        <v>0</v>
      </c>
      <c r="G14" s="39"/>
      <c r="H14" s="39"/>
      <c r="I14" s="39"/>
      <c r="J14" s="39">
        <f>Calculations!$N$850</f>
        <v>0</v>
      </c>
      <c r="K14" s="39"/>
      <c r="L14" s="39"/>
      <c r="M14" s="39"/>
      <c r="N14" s="39">
        <f>Calculations!$N$851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2295</v>
      </c>
      <c r="C19" s="37"/>
      <c r="D19" s="37"/>
      <c r="E19" s="37"/>
      <c r="F19" s="37" t="s">
        <v>2296</v>
      </c>
      <c r="G19" s="37"/>
      <c r="H19" s="37"/>
      <c r="I19" s="37"/>
      <c r="J19" s="37" t="s">
        <v>2297</v>
      </c>
      <c r="K19" s="37"/>
      <c r="L19" s="37"/>
      <c r="M19" s="37"/>
      <c r="N19" s="37" t="s">
        <v>2298</v>
      </c>
      <c r="O19" s="37"/>
      <c r="P19" s="37"/>
      <c r="Q19" s="37"/>
    </row>
    <row r="20" spans="2:19">
      <c r="B20" s="39">
        <f>Calculations!$N$852</f>
        <v>0</v>
      </c>
      <c r="C20" s="39"/>
      <c r="D20" s="39"/>
      <c r="E20" s="39"/>
      <c r="F20" s="39">
        <f>Calculations!$N$853</f>
        <v>0</v>
      </c>
      <c r="G20" s="39"/>
      <c r="H20" s="39"/>
      <c r="I20" s="39"/>
      <c r="J20" s="39">
        <f>Calculations!$N$854</f>
        <v>0</v>
      </c>
      <c r="K20" s="39"/>
      <c r="L20" s="39"/>
      <c r="M20" s="39"/>
      <c r="N20" s="39">
        <f>Calculations!$N$855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"&amp;INDEX(Calculations!$C$848:$C$859,CurMonthNo)&amp;"   vs   "&amp;INDEX(L_Month,CurMonthNo-1)&amp;": "&amp;INDEX(Calculations!$C$848:$C$859,CurMonthNo-1)&amp;"   "&amp;IF(INDEX(Calculations!$C$848:$C$859,CurMonthNo)&gt;=INDEX(Calculations!$C$848:$C$859,CurMonthNo-1),"▲ ","▼ ")&amp;TEXT(IFERROR((INDEX(Calculations!$C$848:$C$859,CurMonthNo)-INDEX(Calculations!$C$848:$C$859,CurMonthNo-1))/INDEX(Calculations!$C$848:$C$859,CurMonthNo-1),0),"+0.0%;-0.0%")))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IFERROR(Calculations!$P$848,"")</f>
        <v>0</v>
      </c>
      <c r="C45" s="22">
        <f>IFERROR(Calculations!$Q$848,"")</f>
        <v>0</v>
      </c>
      <c r="D45" s="25">
        <f>IFERROR(Calculations!$R$848,"")</f>
        <v>0</v>
      </c>
      <c r="E45" s="22">
        <f>IFERROR(Calculations!$S$848,"")</f>
        <v>0</v>
      </c>
    </row>
    <row r="46" spans="2:19">
      <c r="B46" s="13">
        <f>IFERROR(Calculations!$P$849,"")</f>
        <v>0</v>
      </c>
      <c r="C46" s="22">
        <f>IFERROR(Calculations!$Q$849,"")</f>
        <v>0</v>
      </c>
      <c r="D46" s="25">
        <f>IFERROR(Calculations!$R$849,"")</f>
        <v>0</v>
      </c>
      <c r="E46" s="22">
        <f>IFERROR(Calculations!$S$849,"")</f>
        <v>0</v>
      </c>
    </row>
    <row r="47" spans="2:19">
      <c r="B47" s="13">
        <f>IFERROR(Calculations!$P$850,"")</f>
        <v>0</v>
      </c>
      <c r="C47" s="22">
        <f>IFERROR(Calculations!$Q$850,"")</f>
        <v>0</v>
      </c>
      <c r="D47" s="25">
        <f>IFERROR(Calculations!$R$850,"")</f>
        <v>0</v>
      </c>
      <c r="E47" s="22">
        <f>IFERROR(Calculations!$S$850,"")</f>
        <v>0</v>
      </c>
    </row>
    <row r="48" spans="2:19">
      <c r="B48" s="13">
        <f>IFERROR(Calculations!$P$851,"")</f>
        <v>0</v>
      </c>
      <c r="C48" s="22">
        <f>IFERROR(Calculations!$Q$851,"")</f>
        <v>0</v>
      </c>
      <c r="D48" s="25">
        <f>IFERROR(Calculations!$R$851,"")</f>
        <v>0</v>
      </c>
      <c r="E48" s="22">
        <f>IFERROR(Calculations!$S$851,"")</f>
        <v>0</v>
      </c>
    </row>
    <row r="49" spans="2:19">
      <c r="B49" s="13">
        <f>IFERROR(Calculations!$P$852,"")</f>
        <v>0</v>
      </c>
      <c r="C49" s="22">
        <f>IFERROR(Calculations!$Q$852,"")</f>
        <v>0</v>
      </c>
      <c r="D49" s="25">
        <f>IFERROR(Calculations!$R$852,"")</f>
        <v>0</v>
      </c>
      <c r="E49" s="22">
        <f>IFERROR(Calculations!$S$852,"")</f>
        <v>0</v>
      </c>
    </row>
    <row r="50" spans="2:19">
      <c r="B50" s="13">
        <f>IFERROR(Calculations!$P$853,"")</f>
        <v>0</v>
      </c>
      <c r="C50" s="22">
        <f>IFERROR(Calculations!$Q$853,"")</f>
        <v>0</v>
      </c>
      <c r="D50" s="25">
        <f>IFERROR(Calculations!$R$853,"")</f>
        <v>0</v>
      </c>
      <c r="E50" s="22">
        <f>IFERROR(Calculations!$S$853,"")</f>
        <v>0</v>
      </c>
    </row>
    <row r="51" spans="2:19">
      <c r="B51" s="13">
        <f>IFERROR(Calculations!$P$854,"")</f>
        <v>0</v>
      </c>
      <c r="C51" s="22">
        <f>IFERROR(Calculations!$Q$854,"")</f>
        <v>0</v>
      </c>
      <c r="D51" s="25">
        <f>IFERROR(Calculations!$R$854,"")</f>
        <v>0</v>
      </c>
      <c r="E51" s="22">
        <f>IFERROR(Calculations!$S$854,"")</f>
        <v>0</v>
      </c>
    </row>
    <row r="52" spans="2:19">
      <c r="B52" s="13">
        <f>IFERROR(Calculations!$P$855,"")</f>
        <v>0</v>
      </c>
      <c r="C52" s="22">
        <f>IFERROR(Calculations!$Q$855,"")</f>
        <v>0</v>
      </c>
      <c r="D52" s="25">
        <f>IFERROR(Calculations!$R$855,"")</f>
        <v>0</v>
      </c>
      <c r="E52" s="22">
        <f>IFERROR(Calculations!$S$855,"")</f>
        <v>0</v>
      </c>
    </row>
    <row r="53" spans="2:19">
      <c r="B53" s="13">
        <f>IFERROR(Calculations!$P$856,"")</f>
        <v>0</v>
      </c>
      <c r="C53" s="22">
        <f>IFERROR(Calculations!$Q$856,"")</f>
        <v>0</v>
      </c>
      <c r="D53" s="25">
        <f>IFERROR(Calculations!$R$856,"")</f>
        <v>0</v>
      </c>
      <c r="E53" s="22">
        <f>IFERROR(Calculations!$S$856,"")</f>
        <v>0</v>
      </c>
    </row>
    <row r="54" spans="2:19">
      <c r="B54" s="13">
        <f>IFERROR(Calculations!$P$857,"")</f>
        <v>0</v>
      </c>
      <c r="C54" s="22">
        <f>IFERROR(Calculations!$Q$857,"")</f>
        <v>0</v>
      </c>
      <c r="D54" s="25">
        <f>IFERROR(Calculations!$R$857,"")</f>
        <v>0</v>
      </c>
      <c r="E54" s="22">
        <f>IFERROR(Calculations!$S$857,"")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IF(Calculations!$U$848="","",Calculations!$U$848)</f>
        <v>0</v>
      </c>
      <c r="C62" s="22">
        <f>IFERROR(Calculations!$V$848,"")</f>
        <v>0</v>
      </c>
      <c r="D62" s="22">
        <f>IFERROR(Calculations!$W$848,"")</f>
        <v>0</v>
      </c>
      <c r="E62" s="22">
        <f>IFERROR(Calculations!$X$848,"")</f>
        <v>0</v>
      </c>
      <c r="F62" s="22">
        <f>IFERROR(Calculations!$Y$848,"")</f>
        <v>0</v>
      </c>
      <c r="G62" s="22">
        <f>IFERROR(Calculations!$Z$848,"")</f>
        <v>0</v>
      </c>
      <c r="H62" s="22">
        <f>IFERROR(Calculations!$AA$848,"")</f>
        <v>0</v>
      </c>
      <c r="I62" s="22">
        <f>IFERROR(Calculations!$AB$848,"")</f>
        <v>0</v>
      </c>
      <c r="J62" s="22">
        <f>IFERROR(Calculations!$AC$848,"")</f>
        <v>0</v>
      </c>
      <c r="K62" s="22">
        <f>IFERROR(Calculations!$AD$848,"")</f>
        <v>0</v>
      </c>
      <c r="L62" s="22">
        <f>IFERROR(Calculations!$AE$848,"")</f>
        <v>0</v>
      </c>
      <c r="M62" s="22">
        <f>IFERROR(Calculations!$AF$848,"")</f>
        <v>0</v>
      </c>
      <c r="N62" s="22">
        <f>IFERROR(Calculations!$AG$848,"")</f>
        <v>0</v>
      </c>
      <c r="O62" s="22">
        <f>IFERROR(Calculations!$AH$848,"")</f>
        <v>0</v>
      </c>
    </row>
    <row r="63" spans="2:19">
      <c r="B63" s="13">
        <f>IF(Calculations!$U$849="","",Calculations!$U$849)</f>
        <v>0</v>
      </c>
      <c r="C63" s="22">
        <f>IFERROR(Calculations!$V$849,"")</f>
        <v>0</v>
      </c>
      <c r="D63" s="22">
        <f>IFERROR(Calculations!$W$849,"")</f>
        <v>0</v>
      </c>
      <c r="E63" s="22">
        <f>IFERROR(Calculations!$X$849,"")</f>
        <v>0</v>
      </c>
      <c r="F63" s="22">
        <f>IFERROR(Calculations!$Y$849,"")</f>
        <v>0</v>
      </c>
      <c r="G63" s="22">
        <f>IFERROR(Calculations!$Z$849,"")</f>
        <v>0</v>
      </c>
      <c r="H63" s="22">
        <f>IFERROR(Calculations!$AA$849,"")</f>
        <v>0</v>
      </c>
      <c r="I63" s="22">
        <f>IFERROR(Calculations!$AB$849,"")</f>
        <v>0</v>
      </c>
      <c r="J63" s="22">
        <f>IFERROR(Calculations!$AC$849,"")</f>
        <v>0</v>
      </c>
      <c r="K63" s="22">
        <f>IFERROR(Calculations!$AD$849,"")</f>
        <v>0</v>
      </c>
      <c r="L63" s="22">
        <f>IFERROR(Calculations!$AE$849,"")</f>
        <v>0</v>
      </c>
      <c r="M63" s="22">
        <f>IFERROR(Calculations!$AF$849,"")</f>
        <v>0</v>
      </c>
      <c r="N63" s="22">
        <f>IFERROR(Calculations!$AG$849,"")</f>
        <v>0</v>
      </c>
      <c r="O63" s="22">
        <f>IFERROR(Calculations!$AH$849,"")</f>
        <v>0</v>
      </c>
    </row>
    <row r="64" spans="2:19">
      <c r="B64" s="13">
        <f>IF(Calculations!$U$850="","",Calculations!$U$850)</f>
        <v>0</v>
      </c>
      <c r="C64" s="22">
        <f>IFERROR(Calculations!$V$850,"")</f>
        <v>0</v>
      </c>
      <c r="D64" s="22">
        <f>IFERROR(Calculations!$W$850,"")</f>
        <v>0</v>
      </c>
      <c r="E64" s="22">
        <f>IFERROR(Calculations!$X$850,"")</f>
        <v>0</v>
      </c>
      <c r="F64" s="22">
        <f>IFERROR(Calculations!$Y$850,"")</f>
        <v>0</v>
      </c>
      <c r="G64" s="22">
        <f>IFERROR(Calculations!$Z$850,"")</f>
        <v>0</v>
      </c>
      <c r="H64" s="22">
        <f>IFERROR(Calculations!$AA$850,"")</f>
        <v>0</v>
      </c>
      <c r="I64" s="22">
        <f>IFERROR(Calculations!$AB$850,"")</f>
        <v>0</v>
      </c>
      <c r="J64" s="22">
        <f>IFERROR(Calculations!$AC$850,"")</f>
        <v>0</v>
      </c>
      <c r="K64" s="22">
        <f>IFERROR(Calculations!$AD$850,"")</f>
        <v>0</v>
      </c>
      <c r="L64" s="22">
        <f>IFERROR(Calculations!$AE$850,"")</f>
        <v>0</v>
      </c>
      <c r="M64" s="22">
        <f>IFERROR(Calculations!$AF$850,"")</f>
        <v>0</v>
      </c>
      <c r="N64" s="22">
        <f>IFERROR(Calculations!$AG$850,"")</f>
        <v>0</v>
      </c>
      <c r="O64" s="22">
        <f>IFERROR(Calculations!$AH$850,"")</f>
        <v>0</v>
      </c>
    </row>
    <row r="65" spans="2:15">
      <c r="B65" s="13">
        <f>IF(Calculations!$U$851="","",Calculations!$U$851)</f>
        <v>0</v>
      </c>
      <c r="C65" s="22">
        <f>IFERROR(Calculations!$V$851,"")</f>
        <v>0</v>
      </c>
      <c r="D65" s="22">
        <f>IFERROR(Calculations!$W$851,"")</f>
        <v>0</v>
      </c>
      <c r="E65" s="22">
        <f>IFERROR(Calculations!$X$851,"")</f>
        <v>0</v>
      </c>
      <c r="F65" s="22">
        <f>IFERROR(Calculations!$Y$851,"")</f>
        <v>0</v>
      </c>
      <c r="G65" s="22">
        <f>IFERROR(Calculations!$Z$851,"")</f>
        <v>0</v>
      </c>
      <c r="H65" s="22">
        <f>IFERROR(Calculations!$AA$851,"")</f>
        <v>0</v>
      </c>
      <c r="I65" s="22">
        <f>IFERROR(Calculations!$AB$851,"")</f>
        <v>0</v>
      </c>
      <c r="J65" s="22">
        <f>IFERROR(Calculations!$AC$851,"")</f>
        <v>0</v>
      </c>
      <c r="K65" s="22">
        <f>IFERROR(Calculations!$AD$851,"")</f>
        <v>0</v>
      </c>
      <c r="L65" s="22">
        <f>IFERROR(Calculations!$AE$851,"")</f>
        <v>0</v>
      </c>
      <c r="M65" s="22">
        <f>IFERROR(Calculations!$AF$851,"")</f>
        <v>0</v>
      </c>
      <c r="N65" s="22">
        <f>IFERROR(Calculations!$AG$851,"")</f>
        <v>0</v>
      </c>
      <c r="O65" s="22">
        <f>IFERROR(Calculations!$AH$851,"")</f>
        <v>0</v>
      </c>
    </row>
    <row r="66" spans="2:15">
      <c r="B66" s="13">
        <f>IF(Calculations!$U$852="","",Calculations!$U$852)</f>
        <v>0</v>
      </c>
      <c r="C66" s="22">
        <f>IFERROR(Calculations!$V$852,"")</f>
        <v>0</v>
      </c>
      <c r="D66" s="22">
        <f>IFERROR(Calculations!$W$852,"")</f>
        <v>0</v>
      </c>
      <c r="E66" s="22">
        <f>IFERROR(Calculations!$X$852,"")</f>
        <v>0</v>
      </c>
      <c r="F66" s="22">
        <f>IFERROR(Calculations!$Y$852,"")</f>
        <v>0</v>
      </c>
      <c r="G66" s="22">
        <f>IFERROR(Calculations!$Z$852,"")</f>
        <v>0</v>
      </c>
      <c r="H66" s="22">
        <f>IFERROR(Calculations!$AA$852,"")</f>
        <v>0</v>
      </c>
      <c r="I66" s="22">
        <f>IFERROR(Calculations!$AB$852,"")</f>
        <v>0</v>
      </c>
      <c r="J66" s="22">
        <f>IFERROR(Calculations!$AC$852,"")</f>
        <v>0</v>
      </c>
      <c r="K66" s="22">
        <f>IFERROR(Calculations!$AD$852,"")</f>
        <v>0</v>
      </c>
      <c r="L66" s="22">
        <f>IFERROR(Calculations!$AE$852,"")</f>
        <v>0</v>
      </c>
      <c r="M66" s="22">
        <f>IFERROR(Calculations!$AF$852,"")</f>
        <v>0</v>
      </c>
      <c r="N66" s="22">
        <f>IFERROR(Calculations!$AG$852,"")</f>
        <v>0</v>
      </c>
      <c r="O66" s="22">
        <f>IFERROR(Calculations!$AH$852,"")</f>
        <v>0</v>
      </c>
    </row>
    <row r="67" spans="2:15">
      <c r="B67" s="13">
        <f>IF(Calculations!$U$853="","",Calculations!$U$853)</f>
        <v>0</v>
      </c>
      <c r="C67" s="22">
        <f>IFERROR(Calculations!$V$853,"")</f>
        <v>0</v>
      </c>
      <c r="D67" s="22">
        <f>IFERROR(Calculations!$W$853,"")</f>
        <v>0</v>
      </c>
      <c r="E67" s="22">
        <f>IFERROR(Calculations!$X$853,"")</f>
        <v>0</v>
      </c>
      <c r="F67" s="22">
        <f>IFERROR(Calculations!$Y$853,"")</f>
        <v>0</v>
      </c>
      <c r="G67" s="22">
        <f>IFERROR(Calculations!$Z$853,"")</f>
        <v>0</v>
      </c>
      <c r="H67" s="22">
        <f>IFERROR(Calculations!$AA$853,"")</f>
        <v>0</v>
      </c>
      <c r="I67" s="22">
        <f>IFERROR(Calculations!$AB$853,"")</f>
        <v>0</v>
      </c>
      <c r="J67" s="22">
        <f>IFERROR(Calculations!$AC$853,"")</f>
        <v>0</v>
      </c>
      <c r="K67" s="22">
        <f>IFERROR(Calculations!$AD$853,"")</f>
        <v>0</v>
      </c>
      <c r="L67" s="22">
        <f>IFERROR(Calculations!$AE$853,"")</f>
        <v>0</v>
      </c>
      <c r="M67" s="22">
        <f>IFERROR(Calculations!$AF$853,"")</f>
        <v>0</v>
      </c>
      <c r="N67" s="22">
        <f>IFERROR(Calculations!$AG$853,"")</f>
        <v>0</v>
      </c>
      <c r="O67" s="22">
        <f>IFERROR(Calculations!$AH$853,"")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2299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2300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2301</v>
      </c>
      <c r="C13" s="37"/>
      <c r="D13" s="37"/>
      <c r="E13" s="37"/>
      <c r="F13" s="37" t="s">
        <v>2302</v>
      </c>
      <c r="G13" s="37"/>
      <c r="H13" s="37"/>
      <c r="I13" s="37"/>
      <c r="J13" s="37" t="s">
        <v>2224</v>
      </c>
      <c r="K13" s="37"/>
      <c r="L13" s="37"/>
      <c r="M13" s="37"/>
      <c r="N13" s="37" t="s">
        <v>2303</v>
      </c>
      <c r="O13" s="37"/>
      <c r="P13" s="37"/>
      <c r="Q13" s="37"/>
    </row>
    <row r="14" spans="2:19">
      <c r="B14" s="39">
        <f>Calculations!$N$874</f>
        <v>0</v>
      </c>
      <c r="C14" s="39"/>
      <c r="D14" s="39"/>
      <c r="E14" s="39"/>
      <c r="F14" s="39">
        <f>Calculations!$N$875</f>
        <v>0</v>
      </c>
      <c r="G14" s="39"/>
      <c r="H14" s="39"/>
      <c r="I14" s="39"/>
      <c r="J14" s="39">
        <f>Calculations!$N$876</f>
        <v>0</v>
      </c>
      <c r="K14" s="39"/>
      <c r="L14" s="39"/>
      <c r="M14" s="39"/>
      <c r="N14" s="39">
        <f>Calculations!$N$877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2228</v>
      </c>
      <c r="C19" s="37"/>
      <c r="D19" s="37"/>
      <c r="E19" s="37"/>
      <c r="F19" s="37" t="s">
        <v>2304</v>
      </c>
      <c r="G19" s="37"/>
      <c r="H19" s="37"/>
      <c r="I19" s="37"/>
      <c r="J19" s="37" t="s">
        <v>2305</v>
      </c>
      <c r="K19" s="37"/>
      <c r="L19" s="37"/>
      <c r="M19" s="37"/>
      <c r="N19" s="37" t="s">
        <v>2306</v>
      </c>
      <c r="O19" s="37"/>
      <c r="P19" s="37"/>
      <c r="Q19" s="37"/>
    </row>
    <row r="20" spans="2:19">
      <c r="B20" s="39">
        <f>Calculations!$N$878</f>
        <v>0</v>
      </c>
      <c r="C20" s="39"/>
      <c r="D20" s="39"/>
      <c r="E20" s="39"/>
      <c r="F20" s="39">
        <f>Calculations!$N$879</f>
        <v>0</v>
      </c>
      <c r="G20" s="39"/>
      <c r="H20" s="39"/>
      <c r="I20" s="39"/>
      <c r="J20" s="39">
        <f>Calculations!$N$880</f>
        <v>0</v>
      </c>
      <c r="K20" s="39"/>
      <c r="L20" s="39"/>
      <c r="M20" s="39"/>
      <c r="N20" s="39">
        <f>Calculations!$N$881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"&amp;INDEX(Calculations!$C$874:$C$885,CurMonthNo)&amp;"   vs   "&amp;INDEX(L_Month,CurMonthNo-1)&amp;": "&amp;INDEX(Calculations!$C$874:$C$885,CurMonthNo-1)&amp;"   "&amp;IF(INDEX(Calculations!$C$874:$C$885,CurMonthNo)&gt;=INDEX(Calculations!$C$874:$C$885,CurMonthNo-1),"▲ ","▼ ")&amp;TEXT(IFERROR((INDEX(Calculations!$C$874:$C$885,CurMonthNo)-INDEX(Calculations!$C$874:$C$885,CurMonthNo-1))/INDEX(Calculations!$C$874:$C$885,CurMonthNo-1),0),"+0.0%;-0.0%")))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IFERROR(Calculations!$P$874,"")</f>
        <v>0</v>
      </c>
      <c r="C45" s="22">
        <f>IFERROR(Calculations!$Q$874,"")</f>
        <v>0</v>
      </c>
      <c r="D45" s="25">
        <f>IFERROR(Calculations!$R$874,"")</f>
        <v>0</v>
      </c>
      <c r="E45" s="22">
        <f>IFERROR(Calculations!$S$874,"")</f>
        <v>0</v>
      </c>
    </row>
    <row r="46" spans="2:19">
      <c r="B46" s="13">
        <f>IFERROR(Calculations!$P$875,"")</f>
        <v>0</v>
      </c>
      <c r="C46" s="22">
        <f>IFERROR(Calculations!$Q$875,"")</f>
        <v>0</v>
      </c>
      <c r="D46" s="25">
        <f>IFERROR(Calculations!$R$875,"")</f>
        <v>0</v>
      </c>
      <c r="E46" s="22">
        <f>IFERROR(Calculations!$S$875,"")</f>
        <v>0</v>
      </c>
    </row>
    <row r="47" spans="2:19">
      <c r="B47" s="13">
        <f>IFERROR(Calculations!$P$876,"")</f>
        <v>0</v>
      </c>
      <c r="C47" s="22">
        <f>IFERROR(Calculations!$Q$876,"")</f>
        <v>0</v>
      </c>
      <c r="D47" s="25">
        <f>IFERROR(Calculations!$R$876,"")</f>
        <v>0</v>
      </c>
      <c r="E47" s="22">
        <f>IFERROR(Calculations!$S$876,"")</f>
        <v>0</v>
      </c>
    </row>
    <row r="48" spans="2:19">
      <c r="B48" s="13">
        <f>IFERROR(Calculations!$P$877,"")</f>
        <v>0</v>
      </c>
      <c r="C48" s="22">
        <f>IFERROR(Calculations!$Q$877,"")</f>
        <v>0</v>
      </c>
      <c r="D48" s="25">
        <f>IFERROR(Calculations!$R$877,"")</f>
        <v>0</v>
      </c>
      <c r="E48" s="22">
        <f>IFERROR(Calculations!$S$877,"")</f>
        <v>0</v>
      </c>
    </row>
    <row r="49" spans="2:19">
      <c r="B49" s="13">
        <f>IFERROR(Calculations!$P$878,"")</f>
        <v>0</v>
      </c>
      <c r="C49" s="22">
        <f>IFERROR(Calculations!$Q$878,"")</f>
        <v>0</v>
      </c>
      <c r="D49" s="25">
        <f>IFERROR(Calculations!$R$878,"")</f>
        <v>0</v>
      </c>
      <c r="E49" s="22">
        <f>IFERROR(Calculations!$S$878,"")</f>
        <v>0</v>
      </c>
    </row>
    <row r="50" spans="2:19">
      <c r="B50" s="13">
        <f>IFERROR(Calculations!$P$879,"")</f>
        <v>0</v>
      </c>
      <c r="C50" s="22">
        <f>IFERROR(Calculations!$Q$879,"")</f>
        <v>0</v>
      </c>
      <c r="D50" s="25">
        <f>IFERROR(Calculations!$R$879,"")</f>
        <v>0</v>
      </c>
      <c r="E50" s="22">
        <f>IFERROR(Calculations!$S$879,"")</f>
        <v>0</v>
      </c>
    </row>
    <row r="51" spans="2:19">
      <c r="B51" s="13">
        <f>IFERROR(Calculations!$P$880,"")</f>
        <v>0</v>
      </c>
      <c r="C51" s="22">
        <f>IFERROR(Calculations!$Q$880,"")</f>
        <v>0</v>
      </c>
      <c r="D51" s="25">
        <f>IFERROR(Calculations!$R$880,"")</f>
        <v>0</v>
      </c>
      <c r="E51" s="22">
        <f>IFERROR(Calculations!$S$880,"")</f>
        <v>0</v>
      </c>
    </row>
    <row r="52" spans="2:19">
      <c r="B52" s="13">
        <f>IFERROR(Calculations!$P$881,"")</f>
        <v>0</v>
      </c>
      <c r="C52" s="22">
        <f>IFERROR(Calculations!$Q$881,"")</f>
        <v>0</v>
      </c>
      <c r="D52" s="25">
        <f>IFERROR(Calculations!$R$881,"")</f>
        <v>0</v>
      </c>
      <c r="E52" s="22">
        <f>IFERROR(Calculations!$S$881,"")</f>
        <v>0</v>
      </c>
    </row>
    <row r="53" spans="2:19">
      <c r="B53" s="13">
        <f>IFERROR(Calculations!$P$882,"")</f>
        <v>0</v>
      </c>
      <c r="C53" s="22">
        <f>IFERROR(Calculations!$Q$882,"")</f>
        <v>0</v>
      </c>
      <c r="D53" s="25">
        <f>IFERROR(Calculations!$R$882,"")</f>
        <v>0</v>
      </c>
      <c r="E53" s="22">
        <f>IFERROR(Calculations!$S$882,"")</f>
        <v>0</v>
      </c>
    </row>
    <row r="54" spans="2:19">
      <c r="B54" s="13">
        <f>IFERROR(Calculations!$P$883,"")</f>
        <v>0</v>
      </c>
      <c r="C54" s="22">
        <f>IFERROR(Calculations!$Q$883,"")</f>
        <v>0</v>
      </c>
      <c r="D54" s="25">
        <f>IFERROR(Calculations!$R$883,"")</f>
        <v>0</v>
      </c>
      <c r="E54" s="22">
        <f>IFERROR(Calculations!$S$883,"")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IF(Calculations!$U$874="","",Calculations!$U$874)</f>
        <v>0</v>
      </c>
      <c r="C62" s="22">
        <f>IFERROR(Calculations!$V$874,"")</f>
        <v>0</v>
      </c>
      <c r="D62" s="22">
        <f>IFERROR(Calculations!$W$874,"")</f>
        <v>0</v>
      </c>
      <c r="E62" s="22">
        <f>IFERROR(Calculations!$X$874,"")</f>
        <v>0</v>
      </c>
      <c r="F62" s="22">
        <f>IFERROR(Calculations!$Y$874,"")</f>
        <v>0</v>
      </c>
      <c r="G62" s="22">
        <f>IFERROR(Calculations!$Z$874,"")</f>
        <v>0</v>
      </c>
      <c r="H62" s="22">
        <f>IFERROR(Calculations!$AA$874,"")</f>
        <v>0</v>
      </c>
      <c r="I62" s="22">
        <f>IFERROR(Calculations!$AB$874,"")</f>
        <v>0</v>
      </c>
      <c r="J62" s="22">
        <f>IFERROR(Calculations!$AC$874,"")</f>
        <v>0</v>
      </c>
      <c r="K62" s="22">
        <f>IFERROR(Calculations!$AD$874,"")</f>
        <v>0</v>
      </c>
      <c r="L62" s="22">
        <f>IFERROR(Calculations!$AE$874,"")</f>
        <v>0</v>
      </c>
      <c r="M62" s="22">
        <f>IFERROR(Calculations!$AF$874,"")</f>
        <v>0</v>
      </c>
      <c r="N62" s="22">
        <f>IFERROR(Calculations!$AG$874,"")</f>
        <v>0</v>
      </c>
      <c r="O62" s="22">
        <f>IFERROR(Calculations!$AH$874,"")</f>
        <v>0</v>
      </c>
    </row>
    <row r="63" spans="2:19">
      <c r="B63" s="13">
        <f>IF(Calculations!$U$875="","",Calculations!$U$875)</f>
        <v>0</v>
      </c>
      <c r="C63" s="22">
        <f>IFERROR(Calculations!$V$875,"")</f>
        <v>0</v>
      </c>
      <c r="D63" s="22">
        <f>IFERROR(Calculations!$W$875,"")</f>
        <v>0</v>
      </c>
      <c r="E63" s="22">
        <f>IFERROR(Calculations!$X$875,"")</f>
        <v>0</v>
      </c>
      <c r="F63" s="22">
        <f>IFERROR(Calculations!$Y$875,"")</f>
        <v>0</v>
      </c>
      <c r="G63" s="22">
        <f>IFERROR(Calculations!$Z$875,"")</f>
        <v>0</v>
      </c>
      <c r="H63" s="22">
        <f>IFERROR(Calculations!$AA$875,"")</f>
        <v>0</v>
      </c>
      <c r="I63" s="22">
        <f>IFERROR(Calculations!$AB$875,"")</f>
        <v>0</v>
      </c>
      <c r="J63" s="22">
        <f>IFERROR(Calculations!$AC$875,"")</f>
        <v>0</v>
      </c>
      <c r="K63" s="22">
        <f>IFERROR(Calculations!$AD$875,"")</f>
        <v>0</v>
      </c>
      <c r="L63" s="22">
        <f>IFERROR(Calculations!$AE$875,"")</f>
        <v>0</v>
      </c>
      <c r="M63" s="22">
        <f>IFERROR(Calculations!$AF$875,"")</f>
        <v>0</v>
      </c>
      <c r="N63" s="22">
        <f>IFERROR(Calculations!$AG$875,"")</f>
        <v>0</v>
      </c>
      <c r="O63" s="22">
        <f>IFERROR(Calculations!$AH$875,"")</f>
        <v>0</v>
      </c>
    </row>
    <row r="64" spans="2:19">
      <c r="B64" s="13">
        <f>IF(Calculations!$U$876="","",Calculations!$U$876)</f>
        <v>0</v>
      </c>
      <c r="C64" s="22">
        <f>IFERROR(Calculations!$V$876,"")</f>
        <v>0</v>
      </c>
      <c r="D64" s="22">
        <f>IFERROR(Calculations!$W$876,"")</f>
        <v>0</v>
      </c>
      <c r="E64" s="22">
        <f>IFERROR(Calculations!$X$876,"")</f>
        <v>0</v>
      </c>
      <c r="F64" s="22">
        <f>IFERROR(Calculations!$Y$876,"")</f>
        <v>0</v>
      </c>
      <c r="G64" s="22">
        <f>IFERROR(Calculations!$Z$876,"")</f>
        <v>0</v>
      </c>
      <c r="H64" s="22">
        <f>IFERROR(Calculations!$AA$876,"")</f>
        <v>0</v>
      </c>
      <c r="I64" s="22">
        <f>IFERROR(Calculations!$AB$876,"")</f>
        <v>0</v>
      </c>
      <c r="J64" s="22">
        <f>IFERROR(Calculations!$AC$876,"")</f>
        <v>0</v>
      </c>
      <c r="K64" s="22">
        <f>IFERROR(Calculations!$AD$876,"")</f>
        <v>0</v>
      </c>
      <c r="L64" s="22">
        <f>IFERROR(Calculations!$AE$876,"")</f>
        <v>0</v>
      </c>
      <c r="M64" s="22">
        <f>IFERROR(Calculations!$AF$876,"")</f>
        <v>0</v>
      </c>
      <c r="N64" s="22">
        <f>IFERROR(Calculations!$AG$876,"")</f>
        <v>0</v>
      </c>
      <c r="O64" s="22">
        <f>IFERROR(Calculations!$AH$876,"")</f>
        <v>0</v>
      </c>
    </row>
    <row r="65" spans="2:15">
      <c r="B65" s="13">
        <f>IF(Calculations!$U$877="","",Calculations!$U$877)</f>
        <v>0</v>
      </c>
      <c r="C65" s="22">
        <f>IFERROR(Calculations!$V$877,"")</f>
        <v>0</v>
      </c>
      <c r="D65" s="22">
        <f>IFERROR(Calculations!$W$877,"")</f>
        <v>0</v>
      </c>
      <c r="E65" s="22">
        <f>IFERROR(Calculations!$X$877,"")</f>
        <v>0</v>
      </c>
      <c r="F65" s="22">
        <f>IFERROR(Calculations!$Y$877,"")</f>
        <v>0</v>
      </c>
      <c r="G65" s="22">
        <f>IFERROR(Calculations!$Z$877,"")</f>
        <v>0</v>
      </c>
      <c r="H65" s="22">
        <f>IFERROR(Calculations!$AA$877,"")</f>
        <v>0</v>
      </c>
      <c r="I65" s="22">
        <f>IFERROR(Calculations!$AB$877,"")</f>
        <v>0</v>
      </c>
      <c r="J65" s="22">
        <f>IFERROR(Calculations!$AC$877,"")</f>
        <v>0</v>
      </c>
      <c r="K65" s="22">
        <f>IFERROR(Calculations!$AD$877,"")</f>
        <v>0</v>
      </c>
      <c r="L65" s="22">
        <f>IFERROR(Calculations!$AE$877,"")</f>
        <v>0</v>
      </c>
      <c r="M65" s="22">
        <f>IFERROR(Calculations!$AF$877,"")</f>
        <v>0</v>
      </c>
      <c r="N65" s="22">
        <f>IFERROR(Calculations!$AG$877,"")</f>
        <v>0</v>
      </c>
      <c r="O65" s="22">
        <f>IFERROR(Calculations!$AH$877,"")</f>
        <v>0</v>
      </c>
    </row>
    <row r="66" spans="2:15">
      <c r="B66" s="13">
        <f>IF(Calculations!$U$878="","",Calculations!$U$878)</f>
        <v>0</v>
      </c>
      <c r="C66" s="22">
        <f>IFERROR(Calculations!$V$878,"")</f>
        <v>0</v>
      </c>
      <c r="D66" s="22">
        <f>IFERROR(Calculations!$W$878,"")</f>
        <v>0</v>
      </c>
      <c r="E66" s="22">
        <f>IFERROR(Calculations!$X$878,"")</f>
        <v>0</v>
      </c>
      <c r="F66" s="22">
        <f>IFERROR(Calculations!$Y$878,"")</f>
        <v>0</v>
      </c>
      <c r="G66" s="22">
        <f>IFERROR(Calculations!$Z$878,"")</f>
        <v>0</v>
      </c>
      <c r="H66" s="22">
        <f>IFERROR(Calculations!$AA$878,"")</f>
        <v>0</v>
      </c>
      <c r="I66" s="22">
        <f>IFERROR(Calculations!$AB$878,"")</f>
        <v>0</v>
      </c>
      <c r="J66" s="22">
        <f>IFERROR(Calculations!$AC$878,"")</f>
        <v>0</v>
      </c>
      <c r="K66" s="22">
        <f>IFERROR(Calculations!$AD$878,"")</f>
        <v>0</v>
      </c>
      <c r="L66" s="22">
        <f>IFERROR(Calculations!$AE$878,"")</f>
        <v>0</v>
      </c>
      <c r="M66" s="22">
        <f>IFERROR(Calculations!$AF$878,"")</f>
        <v>0</v>
      </c>
      <c r="N66" s="22">
        <f>IFERROR(Calculations!$AG$878,"")</f>
        <v>0</v>
      </c>
      <c r="O66" s="22">
        <f>IFERROR(Calculations!$AH$878,"")</f>
        <v>0</v>
      </c>
    </row>
    <row r="67" spans="2:15">
      <c r="B67" s="13">
        <f>IF(Calculations!$U$879="","",Calculations!$U$879)</f>
        <v>0</v>
      </c>
      <c r="C67" s="22">
        <f>IFERROR(Calculations!$V$879,"")</f>
        <v>0</v>
      </c>
      <c r="D67" s="22">
        <f>IFERROR(Calculations!$W$879,"")</f>
        <v>0</v>
      </c>
      <c r="E67" s="22">
        <f>IFERROR(Calculations!$X$879,"")</f>
        <v>0</v>
      </c>
      <c r="F67" s="22">
        <f>IFERROR(Calculations!$Y$879,"")</f>
        <v>0</v>
      </c>
      <c r="G67" s="22">
        <f>IFERROR(Calculations!$Z$879,"")</f>
        <v>0</v>
      </c>
      <c r="H67" s="22">
        <f>IFERROR(Calculations!$AA$879,"")</f>
        <v>0</v>
      </c>
      <c r="I67" s="22">
        <f>IFERROR(Calculations!$AB$879,"")</f>
        <v>0</v>
      </c>
      <c r="J67" s="22">
        <f>IFERROR(Calculations!$AC$879,"")</f>
        <v>0</v>
      </c>
      <c r="K67" s="22">
        <f>IFERROR(Calculations!$AD$879,"")</f>
        <v>0</v>
      </c>
      <c r="L67" s="22">
        <f>IFERROR(Calculations!$AE$879,"")</f>
        <v>0</v>
      </c>
      <c r="M67" s="22">
        <f>IFERROR(Calculations!$AF$879,"")</f>
        <v>0</v>
      </c>
      <c r="N67" s="22">
        <f>IFERROR(Calculations!$AG$879,"")</f>
        <v>0</v>
      </c>
      <c r="O67" s="22">
        <f>IFERROR(Calculations!$AH$879,"")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  <pageSetUpPr fitToPage="1"/>
  </sheetPr>
  <dimension ref="A1:S81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2307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2308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2309</v>
      </c>
      <c r="C13" s="37"/>
      <c r="D13" s="37"/>
      <c r="E13" s="37"/>
      <c r="F13" s="37" t="s">
        <v>2310</v>
      </c>
      <c r="G13" s="37"/>
      <c r="H13" s="37"/>
      <c r="I13" s="37"/>
      <c r="J13" s="37" t="s">
        <v>2311</v>
      </c>
      <c r="K13" s="37"/>
      <c r="L13" s="37"/>
      <c r="M13" s="37"/>
      <c r="N13" s="37" t="s">
        <v>2312</v>
      </c>
      <c r="O13" s="37"/>
      <c r="P13" s="37"/>
      <c r="Q13" s="37"/>
    </row>
    <row r="14" spans="2:19">
      <c r="B14" s="39">
        <f>Calculations!$N$900</f>
        <v>0</v>
      </c>
      <c r="C14" s="39"/>
      <c r="D14" s="39"/>
      <c r="E14" s="39"/>
      <c r="F14" s="39">
        <f>Calculations!$N$901</f>
        <v>0</v>
      </c>
      <c r="G14" s="39"/>
      <c r="H14" s="39"/>
      <c r="I14" s="39"/>
      <c r="J14" s="39">
        <f>Calculations!$N$902</f>
        <v>0</v>
      </c>
      <c r="K14" s="39"/>
      <c r="L14" s="39"/>
      <c r="M14" s="39"/>
      <c r="N14" s="39">
        <f>Calculations!$N$903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2238</v>
      </c>
      <c r="C19" s="37"/>
      <c r="D19" s="37"/>
      <c r="E19" s="37"/>
      <c r="F19" s="37" t="s">
        <v>2313</v>
      </c>
      <c r="G19" s="37"/>
      <c r="H19" s="37"/>
      <c r="I19" s="37"/>
      <c r="J19" s="37" t="s">
        <v>2314</v>
      </c>
      <c r="K19" s="37"/>
      <c r="L19" s="37"/>
      <c r="M19" s="37"/>
      <c r="N19" s="37" t="s">
        <v>2315</v>
      </c>
      <c r="O19" s="37"/>
      <c r="P19" s="37"/>
      <c r="Q19" s="37"/>
    </row>
    <row r="20" spans="2:19">
      <c r="B20" s="39">
        <f>Calculations!$N$904</f>
        <v>0</v>
      </c>
      <c r="C20" s="39"/>
      <c r="D20" s="39"/>
      <c r="E20" s="39"/>
      <c r="F20" s="39">
        <f>Calculations!$N$905</f>
        <v>0</v>
      </c>
      <c r="G20" s="39"/>
      <c r="H20" s="39"/>
      <c r="I20" s="39"/>
      <c r="J20" s="39">
        <f>Calculations!$N$906</f>
        <v>0</v>
      </c>
      <c r="K20" s="39"/>
      <c r="L20" s="39"/>
      <c r="M20" s="39"/>
      <c r="N20" s="39">
        <f>Calculations!$N$907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"&amp;INDEX(Calculations!$C$900:$C$911,CurMonthNo)&amp;"   vs   "&amp;INDEX(L_Month,CurMonthNo-1)&amp;": "&amp;INDEX(Calculations!$C$900:$C$911,CurMonthNo-1)&amp;"   "&amp;IF(INDEX(Calculations!$C$900:$C$911,CurMonthNo)&gt;=INDEX(Calculations!$C$900:$C$911,CurMonthNo-1),"▲ ","▼ ")&amp;TEXT(IFERROR((INDEX(Calculations!$C$900:$C$911,CurMonthNo)-INDEX(Calculations!$C$900:$C$911,CurMonthNo-1))/INDEX(Calculations!$C$900:$C$911,CurMonthNo-1),0),"+0.0%;-0.0%")))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1694</v>
      </c>
      <c r="E44" s="12" t="s">
        <v>1694</v>
      </c>
    </row>
    <row r="45" spans="2:19">
      <c r="B45" s="13">
        <f>IFERROR(Calculations!$P$900,"")</f>
        <v>0</v>
      </c>
      <c r="C45" s="22">
        <f>IFERROR(Calculations!$Q$900,"")</f>
        <v>0</v>
      </c>
      <c r="D45" s="22">
        <f>IFERROR(Calculations!$R$900,"")</f>
        <v>0</v>
      </c>
      <c r="E45" s="22">
        <f>IFERROR(Calculations!$S$900,"")</f>
        <v>0</v>
      </c>
    </row>
    <row r="46" spans="2:19">
      <c r="B46" s="13">
        <f>IFERROR(Calculations!$P$901,"")</f>
        <v>0</v>
      </c>
      <c r="C46" s="22">
        <f>IFERROR(Calculations!$Q$901,"")</f>
        <v>0</v>
      </c>
      <c r="D46" s="22">
        <f>IFERROR(Calculations!$R$901,"")</f>
        <v>0</v>
      </c>
      <c r="E46" s="22">
        <f>IFERROR(Calculations!$S$901,"")</f>
        <v>0</v>
      </c>
    </row>
    <row r="47" spans="2:19">
      <c r="B47" s="13">
        <f>IFERROR(Calculations!$P$902,"")</f>
        <v>0</v>
      </c>
      <c r="C47" s="22">
        <f>IFERROR(Calculations!$Q$902,"")</f>
        <v>0</v>
      </c>
      <c r="D47" s="22">
        <f>IFERROR(Calculations!$R$902,"")</f>
        <v>0</v>
      </c>
      <c r="E47" s="22">
        <f>IFERROR(Calculations!$S$902,"")</f>
        <v>0</v>
      </c>
    </row>
    <row r="48" spans="2:19">
      <c r="B48" s="13">
        <f>IFERROR(Calculations!$P$903,"")</f>
        <v>0</v>
      </c>
      <c r="C48" s="22">
        <f>IFERROR(Calculations!$Q$903,"")</f>
        <v>0</v>
      </c>
      <c r="D48" s="22">
        <f>IFERROR(Calculations!$R$903,"")</f>
        <v>0</v>
      </c>
      <c r="E48" s="22">
        <f>IFERROR(Calculations!$S$903,"")</f>
        <v>0</v>
      </c>
    </row>
    <row r="49" spans="2:19">
      <c r="B49" s="13">
        <f>IFERROR(Calculations!$P$904,"")</f>
        <v>0</v>
      </c>
      <c r="C49" s="22">
        <f>IFERROR(Calculations!$Q$904,"")</f>
        <v>0</v>
      </c>
      <c r="D49" s="22">
        <f>IFERROR(Calculations!$R$904,"")</f>
        <v>0</v>
      </c>
      <c r="E49" s="22">
        <f>IFERROR(Calculations!$S$904,"")</f>
        <v>0</v>
      </c>
    </row>
    <row r="50" spans="2:19">
      <c r="B50" s="13">
        <f>IFERROR(Calculations!$P$905,"")</f>
        <v>0</v>
      </c>
      <c r="C50" s="22">
        <f>IFERROR(Calculations!$Q$905,"")</f>
        <v>0</v>
      </c>
      <c r="D50" s="22">
        <f>IFERROR(Calculations!$R$905,"")</f>
        <v>0</v>
      </c>
      <c r="E50" s="22">
        <f>IFERROR(Calculations!$S$905,"")</f>
        <v>0</v>
      </c>
    </row>
    <row r="51" spans="2:19">
      <c r="B51" s="13">
        <f>IFERROR(Calculations!$P$906,"")</f>
        <v>0</v>
      </c>
      <c r="C51" s="22">
        <f>IFERROR(Calculations!$Q$906,"")</f>
        <v>0</v>
      </c>
      <c r="D51" s="22">
        <f>IFERROR(Calculations!$R$906,"")</f>
        <v>0</v>
      </c>
      <c r="E51" s="22">
        <f>IFERROR(Calculations!$S$906,"")</f>
        <v>0</v>
      </c>
    </row>
    <row r="52" spans="2:19">
      <c r="B52" s="13">
        <f>IFERROR(Calculations!$P$907,"")</f>
        <v>0</v>
      </c>
      <c r="C52" s="22">
        <f>IFERROR(Calculations!$Q$907,"")</f>
        <v>0</v>
      </c>
      <c r="D52" s="22">
        <f>IFERROR(Calculations!$R$907,"")</f>
        <v>0</v>
      </c>
      <c r="E52" s="22">
        <f>IFERROR(Calculations!$S$907,"")</f>
        <v>0</v>
      </c>
    </row>
    <row r="53" spans="2:19">
      <c r="B53" s="13">
        <f>IFERROR(Calculations!$P$908,"")</f>
        <v>0</v>
      </c>
      <c r="C53" s="22">
        <f>IFERROR(Calculations!$Q$908,"")</f>
        <v>0</v>
      </c>
      <c r="D53" s="22">
        <f>IFERROR(Calculations!$R$908,"")</f>
        <v>0</v>
      </c>
      <c r="E53" s="22">
        <f>IFERROR(Calculations!$S$908,"")</f>
        <v>0</v>
      </c>
    </row>
    <row r="54" spans="2:19">
      <c r="B54" s="13">
        <f>IFERROR(Calculations!$P$909,"")</f>
        <v>0</v>
      </c>
      <c r="C54" s="22">
        <f>IFERROR(Calculations!$Q$909,"")</f>
        <v>0</v>
      </c>
      <c r="D54" s="22">
        <f>IFERROR(Calculations!$R$909,"")</f>
        <v>0</v>
      </c>
      <c r="E54" s="22">
        <f>IFERROR(Calculations!$S$909,"")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IF(Calculations!$U$900="","",Calculations!$U$900)</f>
        <v>0</v>
      </c>
      <c r="C62" s="22">
        <f>IFERROR(Calculations!$V$900,"")</f>
        <v>0</v>
      </c>
      <c r="D62" s="22">
        <f>IFERROR(Calculations!$W$900,"")</f>
        <v>0</v>
      </c>
      <c r="E62" s="22">
        <f>IFERROR(Calculations!$X$900,"")</f>
        <v>0</v>
      </c>
      <c r="F62" s="22">
        <f>IFERROR(Calculations!$Y$900,"")</f>
        <v>0</v>
      </c>
      <c r="G62" s="22">
        <f>IFERROR(Calculations!$Z$900,"")</f>
        <v>0</v>
      </c>
      <c r="H62" s="22">
        <f>IFERROR(Calculations!$AA$900,"")</f>
        <v>0</v>
      </c>
      <c r="I62" s="22">
        <f>IFERROR(Calculations!$AB$900,"")</f>
        <v>0</v>
      </c>
      <c r="J62" s="22">
        <f>IFERROR(Calculations!$AC$900,"")</f>
        <v>0</v>
      </c>
      <c r="K62" s="22">
        <f>IFERROR(Calculations!$AD$900,"")</f>
        <v>0</v>
      </c>
      <c r="L62" s="22">
        <f>IFERROR(Calculations!$AE$900,"")</f>
        <v>0</v>
      </c>
      <c r="M62" s="22">
        <f>IFERROR(Calculations!$AF$900,"")</f>
        <v>0</v>
      </c>
      <c r="N62" s="22">
        <f>IFERROR(Calculations!$AG$900,"")</f>
        <v>0</v>
      </c>
      <c r="O62" s="22">
        <f>IFERROR(Calculations!$AH$900,"")</f>
        <v>0</v>
      </c>
    </row>
    <row r="63" spans="2:19">
      <c r="B63" s="13">
        <f>IF(Calculations!$U$901="","",Calculations!$U$901)</f>
        <v>0</v>
      </c>
      <c r="C63" s="22">
        <f>IFERROR(Calculations!$V$901,"")</f>
        <v>0</v>
      </c>
      <c r="D63" s="22">
        <f>IFERROR(Calculations!$W$901,"")</f>
        <v>0</v>
      </c>
      <c r="E63" s="22">
        <f>IFERROR(Calculations!$X$901,"")</f>
        <v>0</v>
      </c>
      <c r="F63" s="22">
        <f>IFERROR(Calculations!$Y$901,"")</f>
        <v>0</v>
      </c>
      <c r="G63" s="22">
        <f>IFERROR(Calculations!$Z$901,"")</f>
        <v>0</v>
      </c>
      <c r="H63" s="22">
        <f>IFERROR(Calculations!$AA$901,"")</f>
        <v>0</v>
      </c>
      <c r="I63" s="22">
        <f>IFERROR(Calculations!$AB$901,"")</f>
        <v>0</v>
      </c>
      <c r="J63" s="22">
        <f>IFERROR(Calculations!$AC$901,"")</f>
        <v>0</v>
      </c>
      <c r="K63" s="22">
        <f>IFERROR(Calculations!$AD$901,"")</f>
        <v>0</v>
      </c>
      <c r="L63" s="22">
        <f>IFERROR(Calculations!$AE$901,"")</f>
        <v>0</v>
      </c>
      <c r="M63" s="22">
        <f>IFERROR(Calculations!$AF$901,"")</f>
        <v>0</v>
      </c>
      <c r="N63" s="22">
        <f>IFERROR(Calculations!$AG$901,"")</f>
        <v>0</v>
      </c>
      <c r="O63" s="22">
        <f>IFERROR(Calculations!$AH$901,"")</f>
        <v>0</v>
      </c>
    </row>
    <row r="64" spans="2:19">
      <c r="B64" s="13">
        <f>IF(Calculations!$U$902="","",Calculations!$U$902)</f>
        <v>0</v>
      </c>
      <c r="C64" s="22">
        <f>IFERROR(Calculations!$V$902,"")</f>
        <v>0</v>
      </c>
      <c r="D64" s="22">
        <f>IFERROR(Calculations!$W$902,"")</f>
        <v>0</v>
      </c>
      <c r="E64" s="22">
        <f>IFERROR(Calculations!$X$902,"")</f>
        <v>0</v>
      </c>
      <c r="F64" s="22">
        <f>IFERROR(Calculations!$Y$902,"")</f>
        <v>0</v>
      </c>
      <c r="G64" s="22">
        <f>IFERROR(Calculations!$Z$902,"")</f>
        <v>0</v>
      </c>
      <c r="H64" s="22">
        <f>IFERROR(Calculations!$AA$902,"")</f>
        <v>0</v>
      </c>
      <c r="I64" s="22">
        <f>IFERROR(Calculations!$AB$902,"")</f>
        <v>0</v>
      </c>
      <c r="J64" s="22">
        <f>IFERROR(Calculations!$AC$902,"")</f>
        <v>0</v>
      </c>
      <c r="K64" s="22">
        <f>IFERROR(Calculations!$AD$902,"")</f>
        <v>0</v>
      </c>
      <c r="L64" s="22">
        <f>IFERROR(Calculations!$AE$902,"")</f>
        <v>0</v>
      </c>
      <c r="M64" s="22">
        <f>IFERROR(Calculations!$AF$902,"")</f>
        <v>0</v>
      </c>
      <c r="N64" s="22">
        <f>IFERROR(Calculations!$AG$902,"")</f>
        <v>0</v>
      </c>
      <c r="O64" s="22">
        <f>IFERROR(Calculations!$AH$902,"")</f>
        <v>0</v>
      </c>
    </row>
    <row r="65" spans="2:19">
      <c r="B65" s="13">
        <f>IF(Calculations!$U$903="","",Calculations!$U$903)</f>
        <v>0</v>
      </c>
      <c r="C65" s="22">
        <f>IFERROR(Calculations!$V$903,"")</f>
        <v>0</v>
      </c>
      <c r="D65" s="22">
        <f>IFERROR(Calculations!$W$903,"")</f>
        <v>0</v>
      </c>
      <c r="E65" s="22">
        <f>IFERROR(Calculations!$X$903,"")</f>
        <v>0</v>
      </c>
      <c r="F65" s="22">
        <f>IFERROR(Calculations!$Y$903,"")</f>
        <v>0</v>
      </c>
      <c r="G65" s="22">
        <f>IFERROR(Calculations!$Z$903,"")</f>
        <v>0</v>
      </c>
      <c r="H65" s="22">
        <f>IFERROR(Calculations!$AA$903,"")</f>
        <v>0</v>
      </c>
      <c r="I65" s="22">
        <f>IFERROR(Calculations!$AB$903,"")</f>
        <v>0</v>
      </c>
      <c r="J65" s="22">
        <f>IFERROR(Calculations!$AC$903,"")</f>
        <v>0</v>
      </c>
      <c r="K65" s="22">
        <f>IFERROR(Calculations!$AD$903,"")</f>
        <v>0</v>
      </c>
      <c r="L65" s="22">
        <f>IFERROR(Calculations!$AE$903,"")</f>
        <v>0</v>
      </c>
      <c r="M65" s="22">
        <f>IFERROR(Calculations!$AF$903,"")</f>
        <v>0</v>
      </c>
      <c r="N65" s="22">
        <f>IFERROR(Calculations!$AG$903,"")</f>
        <v>0</v>
      </c>
      <c r="O65" s="22">
        <f>IFERROR(Calculations!$AH$903,"")</f>
        <v>0</v>
      </c>
    </row>
    <row r="66" spans="2:19">
      <c r="B66" s="13">
        <f>IF(Calculations!$U$904="","",Calculations!$U$904)</f>
        <v>0</v>
      </c>
      <c r="C66" s="22">
        <f>IFERROR(Calculations!$V$904,"")</f>
        <v>0</v>
      </c>
      <c r="D66" s="22">
        <f>IFERROR(Calculations!$W$904,"")</f>
        <v>0</v>
      </c>
      <c r="E66" s="22">
        <f>IFERROR(Calculations!$X$904,"")</f>
        <v>0</v>
      </c>
      <c r="F66" s="22">
        <f>IFERROR(Calculations!$Y$904,"")</f>
        <v>0</v>
      </c>
      <c r="G66" s="22">
        <f>IFERROR(Calculations!$Z$904,"")</f>
        <v>0</v>
      </c>
      <c r="H66" s="22">
        <f>IFERROR(Calculations!$AA$904,"")</f>
        <v>0</v>
      </c>
      <c r="I66" s="22">
        <f>IFERROR(Calculations!$AB$904,"")</f>
        <v>0</v>
      </c>
      <c r="J66" s="22">
        <f>IFERROR(Calculations!$AC$904,"")</f>
        <v>0</v>
      </c>
      <c r="K66" s="22">
        <f>IFERROR(Calculations!$AD$904,"")</f>
        <v>0</v>
      </c>
      <c r="L66" s="22">
        <f>IFERROR(Calculations!$AE$904,"")</f>
        <v>0</v>
      </c>
      <c r="M66" s="22">
        <f>IFERROR(Calculations!$AF$904,"")</f>
        <v>0</v>
      </c>
      <c r="N66" s="22">
        <f>IFERROR(Calculations!$AG$904,"")</f>
        <v>0</v>
      </c>
      <c r="O66" s="22">
        <f>IFERROR(Calculations!$AH$904,"")</f>
        <v>0</v>
      </c>
    </row>
    <row r="67" spans="2:19">
      <c r="B67" s="13">
        <f>IF(Calculations!$U$905="","",Calculations!$U$905)</f>
        <v>0</v>
      </c>
      <c r="C67" s="22">
        <f>IFERROR(Calculations!$V$905,"")</f>
        <v>0</v>
      </c>
      <c r="D67" s="22">
        <f>IFERROR(Calculations!$W$905,"")</f>
        <v>0</v>
      </c>
      <c r="E67" s="22">
        <f>IFERROR(Calculations!$X$905,"")</f>
        <v>0</v>
      </c>
      <c r="F67" s="22">
        <f>IFERROR(Calculations!$Y$905,"")</f>
        <v>0</v>
      </c>
      <c r="G67" s="22">
        <f>IFERROR(Calculations!$Z$905,"")</f>
        <v>0</v>
      </c>
      <c r="H67" s="22">
        <f>IFERROR(Calculations!$AA$905,"")</f>
        <v>0</v>
      </c>
      <c r="I67" s="22">
        <f>IFERROR(Calculations!$AB$905,"")</f>
        <v>0</v>
      </c>
      <c r="J67" s="22">
        <f>IFERROR(Calculations!$AC$905,"")</f>
        <v>0</v>
      </c>
      <c r="K67" s="22">
        <f>IFERROR(Calculations!$AD$905,"")</f>
        <v>0</v>
      </c>
      <c r="L67" s="22">
        <f>IFERROR(Calculations!$AE$905,"")</f>
        <v>0</v>
      </c>
      <c r="M67" s="22">
        <f>IFERROR(Calculations!$AF$905,"")</f>
        <v>0</v>
      </c>
      <c r="N67" s="22">
        <f>IFERROR(Calculations!$AG$905,"")</f>
        <v>0</v>
      </c>
      <c r="O67" s="22">
        <f>IFERROR(Calculations!$AH$905,"")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B71" s="12" t="s">
        <v>129</v>
      </c>
      <c r="C71" s="12" t="s">
        <v>2218</v>
      </c>
    </row>
    <row r="72" spans="2:19">
      <c r="B72" s="13">
        <f>INDEX(Calculations!$F$471:$F$475,1)</f>
        <v>0</v>
      </c>
      <c r="C72" s="22">
        <f>INDEX(Calculations!$G$471:$G$475,1)</f>
        <v>0</v>
      </c>
    </row>
    <row r="73" spans="2:19">
      <c r="B73" s="13">
        <f>INDEX(Calculations!$F$471:$F$475,2)</f>
        <v>0</v>
      </c>
      <c r="C73" s="22">
        <f>INDEX(Calculations!$G$471:$G$475,2)</f>
        <v>0</v>
      </c>
    </row>
    <row r="74" spans="2:19">
      <c r="B74" s="13">
        <f>INDEX(Calculations!$F$471:$F$475,3)</f>
        <v>0</v>
      </c>
      <c r="C74" s="22">
        <f>INDEX(Calculations!$G$471:$G$475,3)</f>
        <v>0</v>
      </c>
    </row>
    <row r="75" spans="2:19">
      <c r="B75" s="13">
        <f>INDEX(Calculations!$F$471:$F$475,4)</f>
        <v>0</v>
      </c>
      <c r="C75" s="22">
        <f>INDEX(Calculations!$G$471:$G$475,4)</f>
        <v>0</v>
      </c>
    </row>
    <row r="76" spans="2:19">
      <c r="B76" s="13">
        <f>INDEX(Calculations!$F$471:$F$475,5)</f>
        <v>0</v>
      </c>
      <c r="C76" s="22">
        <f>INDEX(Calculations!$G$471:$G$475,5)</f>
        <v>0</v>
      </c>
    </row>
    <row r="79" spans="2:19">
      <c r="B79" s="68" t="s">
        <v>2316</v>
      </c>
      <c r="C79" s="68"/>
      <c r="D79" s="68"/>
      <c r="E79" s="68"/>
      <c r="F79" s="68"/>
      <c r="G79" s="68"/>
      <c r="H79" s="68"/>
      <c r="I79" s="68"/>
      <c r="J79" s="68"/>
      <c r="K79" s="68"/>
    </row>
    <row r="80" spans="2:19">
      <c r="B80" s="69">
        <f>SUMIFS('Stop Work Authority'!$J$4:$J$100003,'Stop Work Authority'!$D$4:$D$100003,mCrit,'Stop Work Authority'!$F$4:$F$100003,dCrit)*CostPerDowntimeMin</f>
        <v>0</v>
      </c>
      <c r="C80" s="69"/>
      <c r="D80" s="69"/>
      <c r="E80" s="69"/>
      <c r="F80" s="69"/>
      <c r="G80" s="69"/>
      <c r="H80" s="69"/>
      <c r="I80" s="69"/>
      <c r="J80" s="69"/>
      <c r="K80" s="69"/>
    </row>
    <row r="81" spans="2:11">
      <c r="B81" s="69"/>
      <c r="C81" s="69"/>
      <c r="D81" s="69"/>
      <c r="E81" s="69"/>
      <c r="F81" s="69"/>
      <c r="G81" s="69"/>
      <c r="H81" s="69"/>
      <c r="I81" s="69"/>
      <c r="J81" s="69"/>
      <c r="K81" s="69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9:K79"/>
    <mergeCell ref="B80:K81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72:C76">
    <cfRule type="dataBar" priority="2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2317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2318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2319</v>
      </c>
      <c r="C13" s="37"/>
      <c r="D13" s="37"/>
      <c r="E13" s="37"/>
      <c r="F13" s="37" t="s">
        <v>2320</v>
      </c>
      <c r="G13" s="37"/>
      <c r="H13" s="37"/>
      <c r="I13" s="37"/>
      <c r="J13" s="37" t="s">
        <v>2321</v>
      </c>
      <c r="K13" s="37"/>
      <c r="L13" s="37"/>
      <c r="M13" s="37"/>
      <c r="N13" s="37" t="s">
        <v>2227</v>
      </c>
      <c r="O13" s="37"/>
      <c r="P13" s="37"/>
      <c r="Q13" s="37"/>
    </row>
    <row r="14" spans="2:19">
      <c r="B14" s="39">
        <f>Calculations!$N$926</f>
        <v>0</v>
      </c>
      <c r="C14" s="39"/>
      <c r="D14" s="39"/>
      <c r="E14" s="39"/>
      <c r="F14" s="39">
        <f>Calculations!$N$927</f>
        <v>0</v>
      </c>
      <c r="G14" s="39"/>
      <c r="H14" s="39"/>
      <c r="I14" s="39"/>
      <c r="J14" s="39">
        <f>Calculations!$N$928</f>
        <v>0</v>
      </c>
      <c r="K14" s="39"/>
      <c r="L14" s="39"/>
      <c r="M14" s="39"/>
      <c r="N14" s="40">
        <f>Calculations!$N$929</f>
        <v>0</v>
      </c>
      <c r="O14" s="40"/>
      <c r="P14" s="40"/>
      <c r="Q14" s="40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40"/>
      <c r="O15" s="40"/>
      <c r="P15" s="40"/>
      <c r="Q15" s="40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2322</v>
      </c>
      <c r="C19" s="37"/>
      <c r="D19" s="37"/>
      <c r="E19" s="37"/>
      <c r="F19" s="37" t="s">
        <v>2323</v>
      </c>
      <c r="G19" s="37"/>
      <c r="H19" s="37"/>
      <c r="I19" s="37"/>
      <c r="J19" s="37" t="s">
        <v>2324</v>
      </c>
      <c r="K19" s="37"/>
      <c r="L19" s="37"/>
      <c r="M19" s="37"/>
      <c r="N19" s="37" t="s">
        <v>2325</v>
      </c>
      <c r="O19" s="37"/>
      <c r="P19" s="37"/>
      <c r="Q19" s="37"/>
    </row>
    <row r="20" spans="2:19">
      <c r="B20" s="39">
        <f>Calculations!$N$930</f>
        <v>0</v>
      </c>
      <c r="C20" s="39"/>
      <c r="D20" s="39"/>
      <c r="E20" s="39"/>
      <c r="F20" s="39">
        <f>Calculations!$N$931</f>
        <v>0</v>
      </c>
      <c r="G20" s="39"/>
      <c r="H20" s="39"/>
      <c r="I20" s="39"/>
      <c r="J20" s="39">
        <f>Calculations!$N$932</f>
        <v>0</v>
      </c>
      <c r="K20" s="39"/>
      <c r="L20" s="39"/>
      <c r="M20" s="39"/>
      <c r="N20" s="39">
        <f>Calculations!$N$933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"&amp;INDEX(Calculations!$C$926:$C$937,CurMonthNo)&amp;"   vs   "&amp;INDEX(L_Month,CurMonthNo-1)&amp;": "&amp;INDEX(Calculations!$C$926:$C$937,CurMonthNo-1)&amp;"   "&amp;IF(INDEX(Calculations!$C$926:$C$937,CurMonthNo)&gt;=INDEX(Calculations!$C$926:$C$937,CurMonthNo-1),"▲ ","▼ ")&amp;TEXT(IFERROR((INDEX(Calculations!$C$926:$C$937,CurMonthNo)-INDEX(Calculations!$C$926:$C$937,CurMonthNo-1))/INDEX(Calculations!$C$926:$C$937,CurMonthNo-1),0),"+0.0%;-0.0%")))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IFERROR(Calculations!$P$926,"")</f>
        <v>0</v>
      </c>
      <c r="C45" s="22">
        <f>IFERROR(Calculations!$Q$926,"")</f>
        <v>0</v>
      </c>
      <c r="D45" s="25">
        <f>IFERROR(Calculations!$R$926,"")</f>
        <v>0</v>
      </c>
      <c r="E45" s="22">
        <f>IFERROR(Calculations!$S$926,"")</f>
        <v>0</v>
      </c>
    </row>
    <row r="46" spans="2:19">
      <c r="B46" s="13">
        <f>IFERROR(Calculations!$P$927,"")</f>
        <v>0</v>
      </c>
      <c r="C46" s="22">
        <f>IFERROR(Calculations!$Q$927,"")</f>
        <v>0</v>
      </c>
      <c r="D46" s="25">
        <f>IFERROR(Calculations!$R$927,"")</f>
        <v>0</v>
      </c>
      <c r="E46" s="22">
        <f>IFERROR(Calculations!$S$927,"")</f>
        <v>0</v>
      </c>
    </row>
    <row r="47" spans="2:19">
      <c r="B47" s="13">
        <f>IFERROR(Calculations!$P$928,"")</f>
        <v>0</v>
      </c>
      <c r="C47" s="22">
        <f>IFERROR(Calculations!$Q$928,"")</f>
        <v>0</v>
      </c>
      <c r="D47" s="25">
        <f>IFERROR(Calculations!$R$928,"")</f>
        <v>0</v>
      </c>
      <c r="E47" s="22">
        <f>IFERROR(Calculations!$S$928,"")</f>
        <v>0</v>
      </c>
    </row>
    <row r="48" spans="2:19">
      <c r="B48" s="13">
        <f>IFERROR(Calculations!$P$929,"")</f>
        <v>0</v>
      </c>
      <c r="C48" s="22">
        <f>IFERROR(Calculations!$Q$929,"")</f>
        <v>0</v>
      </c>
      <c r="D48" s="25">
        <f>IFERROR(Calculations!$R$929,"")</f>
        <v>0</v>
      </c>
      <c r="E48" s="22">
        <f>IFERROR(Calculations!$S$929,"")</f>
        <v>0</v>
      </c>
    </row>
    <row r="49" spans="2:19">
      <c r="B49" s="13">
        <f>IFERROR(Calculations!$P$930,"")</f>
        <v>0</v>
      </c>
      <c r="C49" s="22">
        <f>IFERROR(Calculations!$Q$930,"")</f>
        <v>0</v>
      </c>
      <c r="D49" s="25">
        <f>IFERROR(Calculations!$R$930,"")</f>
        <v>0</v>
      </c>
      <c r="E49" s="22">
        <f>IFERROR(Calculations!$S$930,"")</f>
        <v>0</v>
      </c>
    </row>
    <row r="50" spans="2:19">
      <c r="B50" s="13">
        <f>IFERROR(Calculations!$P$931,"")</f>
        <v>0</v>
      </c>
      <c r="C50" s="22">
        <f>IFERROR(Calculations!$Q$931,"")</f>
        <v>0</v>
      </c>
      <c r="D50" s="25">
        <f>IFERROR(Calculations!$R$931,"")</f>
        <v>0</v>
      </c>
      <c r="E50" s="22">
        <f>IFERROR(Calculations!$S$931,"")</f>
        <v>0</v>
      </c>
    </row>
    <row r="51" spans="2:19">
      <c r="B51" s="13">
        <f>IFERROR(Calculations!$P$932,"")</f>
        <v>0</v>
      </c>
      <c r="C51" s="22">
        <f>IFERROR(Calculations!$Q$932,"")</f>
        <v>0</v>
      </c>
      <c r="D51" s="25">
        <f>IFERROR(Calculations!$R$932,"")</f>
        <v>0</v>
      </c>
      <c r="E51" s="22">
        <f>IFERROR(Calculations!$S$932,"")</f>
        <v>0</v>
      </c>
    </row>
    <row r="52" spans="2:19">
      <c r="B52" s="13">
        <f>IFERROR(Calculations!$P$933,"")</f>
        <v>0</v>
      </c>
      <c r="C52" s="22">
        <f>IFERROR(Calculations!$Q$933,"")</f>
        <v>0</v>
      </c>
      <c r="D52" s="25">
        <f>IFERROR(Calculations!$R$933,"")</f>
        <v>0</v>
      </c>
      <c r="E52" s="22">
        <f>IFERROR(Calculations!$S$933,"")</f>
        <v>0</v>
      </c>
    </row>
    <row r="53" spans="2:19">
      <c r="B53" s="13">
        <f>IFERROR(Calculations!$P$934,"")</f>
        <v>0</v>
      </c>
      <c r="C53" s="22">
        <f>IFERROR(Calculations!$Q$934,"")</f>
        <v>0</v>
      </c>
      <c r="D53" s="25">
        <f>IFERROR(Calculations!$R$934,"")</f>
        <v>0</v>
      </c>
      <c r="E53" s="22">
        <f>IFERROR(Calculations!$S$934,"")</f>
        <v>0</v>
      </c>
    </row>
    <row r="54" spans="2:19">
      <c r="B54" s="13">
        <f>IFERROR(Calculations!$P$935,"")</f>
        <v>0</v>
      </c>
      <c r="C54" s="22">
        <f>IFERROR(Calculations!$Q$935,"")</f>
        <v>0</v>
      </c>
      <c r="D54" s="25">
        <f>IFERROR(Calculations!$R$935,"")</f>
        <v>0</v>
      </c>
      <c r="E54" s="22">
        <f>IFERROR(Calculations!$S$935,"")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IF(Calculations!$U$926="","",Calculations!$U$926)</f>
        <v>0</v>
      </c>
      <c r="C62" s="22">
        <f>IFERROR(Calculations!$V$926,"")</f>
        <v>0</v>
      </c>
      <c r="D62" s="22">
        <f>IFERROR(Calculations!$W$926,"")</f>
        <v>0</v>
      </c>
      <c r="E62" s="22">
        <f>IFERROR(Calculations!$X$926,"")</f>
        <v>0</v>
      </c>
      <c r="F62" s="22">
        <f>IFERROR(Calculations!$Y$926,"")</f>
        <v>0</v>
      </c>
      <c r="G62" s="22">
        <f>IFERROR(Calculations!$Z$926,"")</f>
        <v>0</v>
      </c>
      <c r="H62" s="22">
        <f>IFERROR(Calculations!$AA$926,"")</f>
        <v>0</v>
      </c>
      <c r="I62" s="22">
        <f>IFERROR(Calculations!$AB$926,"")</f>
        <v>0</v>
      </c>
      <c r="J62" s="22">
        <f>IFERROR(Calculations!$AC$926,"")</f>
        <v>0</v>
      </c>
      <c r="K62" s="22">
        <f>IFERROR(Calculations!$AD$926,"")</f>
        <v>0</v>
      </c>
      <c r="L62" s="22">
        <f>IFERROR(Calculations!$AE$926,"")</f>
        <v>0</v>
      </c>
      <c r="M62" s="22">
        <f>IFERROR(Calculations!$AF$926,"")</f>
        <v>0</v>
      </c>
      <c r="N62" s="22">
        <f>IFERROR(Calculations!$AG$926,"")</f>
        <v>0</v>
      </c>
      <c r="O62" s="22">
        <f>IFERROR(Calculations!$AH$926,"")</f>
        <v>0</v>
      </c>
    </row>
    <row r="63" spans="2:19">
      <c r="B63" s="13">
        <f>IF(Calculations!$U$927="","",Calculations!$U$927)</f>
        <v>0</v>
      </c>
      <c r="C63" s="22">
        <f>IFERROR(Calculations!$V$927,"")</f>
        <v>0</v>
      </c>
      <c r="D63" s="22">
        <f>IFERROR(Calculations!$W$927,"")</f>
        <v>0</v>
      </c>
      <c r="E63" s="22">
        <f>IFERROR(Calculations!$X$927,"")</f>
        <v>0</v>
      </c>
      <c r="F63" s="22">
        <f>IFERROR(Calculations!$Y$927,"")</f>
        <v>0</v>
      </c>
      <c r="G63" s="22">
        <f>IFERROR(Calculations!$Z$927,"")</f>
        <v>0</v>
      </c>
      <c r="H63" s="22">
        <f>IFERROR(Calculations!$AA$927,"")</f>
        <v>0</v>
      </c>
      <c r="I63" s="22">
        <f>IFERROR(Calculations!$AB$927,"")</f>
        <v>0</v>
      </c>
      <c r="J63" s="22">
        <f>IFERROR(Calculations!$AC$927,"")</f>
        <v>0</v>
      </c>
      <c r="K63" s="22">
        <f>IFERROR(Calculations!$AD$927,"")</f>
        <v>0</v>
      </c>
      <c r="L63" s="22">
        <f>IFERROR(Calculations!$AE$927,"")</f>
        <v>0</v>
      </c>
      <c r="M63" s="22">
        <f>IFERROR(Calculations!$AF$927,"")</f>
        <v>0</v>
      </c>
      <c r="N63" s="22">
        <f>IFERROR(Calculations!$AG$927,"")</f>
        <v>0</v>
      </c>
      <c r="O63" s="22">
        <f>IFERROR(Calculations!$AH$927,"")</f>
        <v>0</v>
      </c>
    </row>
    <row r="64" spans="2:19">
      <c r="B64" s="13">
        <f>IF(Calculations!$U$928="","",Calculations!$U$928)</f>
        <v>0</v>
      </c>
      <c r="C64" s="22">
        <f>IFERROR(Calculations!$V$928,"")</f>
        <v>0</v>
      </c>
      <c r="D64" s="22">
        <f>IFERROR(Calculations!$W$928,"")</f>
        <v>0</v>
      </c>
      <c r="E64" s="22">
        <f>IFERROR(Calculations!$X$928,"")</f>
        <v>0</v>
      </c>
      <c r="F64" s="22">
        <f>IFERROR(Calculations!$Y$928,"")</f>
        <v>0</v>
      </c>
      <c r="G64" s="22">
        <f>IFERROR(Calculations!$Z$928,"")</f>
        <v>0</v>
      </c>
      <c r="H64" s="22">
        <f>IFERROR(Calculations!$AA$928,"")</f>
        <v>0</v>
      </c>
      <c r="I64" s="22">
        <f>IFERROR(Calculations!$AB$928,"")</f>
        <v>0</v>
      </c>
      <c r="J64" s="22">
        <f>IFERROR(Calculations!$AC$928,"")</f>
        <v>0</v>
      </c>
      <c r="K64" s="22">
        <f>IFERROR(Calculations!$AD$928,"")</f>
        <v>0</v>
      </c>
      <c r="L64" s="22">
        <f>IFERROR(Calculations!$AE$928,"")</f>
        <v>0</v>
      </c>
      <c r="M64" s="22">
        <f>IFERROR(Calculations!$AF$928,"")</f>
        <v>0</v>
      </c>
      <c r="N64" s="22">
        <f>IFERROR(Calculations!$AG$928,"")</f>
        <v>0</v>
      </c>
      <c r="O64" s="22">
        <f>IFERROR(Calculations!$AH$928,"")</f>
        <v>0</v>
      </c>
    </row>
    <row r="65" spans="2:15">
      <c r="B65" s="13">
        <f>IF(Calculations!$U$929="","",Calculations!$U$929)</f>
        <v>0</v>
      </c>
      <c r="C65" s="22">
        <f>IFERROR(Calculations!$V$929,"")</f>
        <v>0</v>
      </c>
      <c r="D65" s="22">
        <f>IFERROR(Calculations!$W$929,"")</f>
        <v>0</v>
      </c>
      <c r="E65" s="22">
        <f>IFERROR(Calculations!$X$929,"")</f>
        <v>0</v>
      </c>
      <c r="F65" s="22">
        <f>IFERROR(Calculations!$Y$929,"")</f>
        <v>0</v>
      </c>
      <c r="G65" s="22">
        <f>IFERROR(Calculations!$Z$929,"")</f>
        <v>0</v>
      </c>
      <c r="H65" s="22">
        <f>IFERROR(Calculations!$AA$929,"")</f>
        <v>0</v>
      </c>
      <c r="I65" s="22">
        <f>IFERROR(Calculations!$AB$929,"")</f>
        <v>0</v>
      </c>
      <c r="J65" s="22">
        <f>IFERROR(Calculations!$AC$929,"")</f>
        <v>0</v>
      </c>
      <c r="K65" s="22">
        <f>IFERROR(Calculations!$AD$929,"")</f>
        <v>0</v>
      </c>
      <c r="L65" s="22">
        <f>IFERROR(Calculations!$AE$929,"")</f>
        <v>0</v>
      </c>
      <c r="M65" s="22">
        <f>IFERROR(Calculations!$AF$929,"")</f>
        <v>0</v>
      </c>
      <c r="N65" s="22">
        <f>IFERROR(Calculations!$AG$929,"")</f>
        <v>0</v>
      </c>
      <c r="O65" s="22">
        <f>IFERROR(Calculations!$AH$929,"")</f>
        <v>0</v>
      </c>
    </row>
    <row r="66" spans="2:15">
      <c r="B66" s="13">
        <f>IF(Calculations!$U$930="","",Calculations!$U$930)</f>
        <v>0</v>
      </c>
      <c r="C66" s="22">
        <f>IFERROR(Calculations!$V$930,"")</f>
        <v>0</v>
      </c>
      <c r="D66" s="22">
        <f>IFERROR(Calculations!$W$930,"")</f>
        <v>0</v>
      </c>
      <c r="E66" s="22">
        <f>IFERROR(Calculations!$X$930,"")</f>
        <v>0</v>
      </c>
      <c r="F66" s="22">
        <f>IFERROR(Calculations!$Y$930,"")</f>
        <v>0</v>
      </c>
      <c r="G66" s="22">
        <f>IFERROR(Calculations!$Z$930,"")</f>
        <v>0</v>
      </c>
      <c r="H66" s="22">
        <f>IFERROR(Calculations!$AA$930,"")</f>
        <v>0</v>
      </c>
      <c r="I66" s="22">
        <f>IFERROR(Calculations!$AB$930,"")</f>
        <v>0</v>
      </c>
      <c r="J66" s="22">
        <f>IFERROR(Calculations!$AC$930,"")</f>
        <v>0</v>
      </c>
      <c r="K66" s="22">
        <f>IFERROR(Calculations!$AD$930,"")</f>
        <v>0</v>
      </c>
      <c r="L66" s="22">
        <f>IFERROR(Calculations!$AE$930,"")</f>
        <v>0</v>
      </c>
      <c r="M66" s="22">
        <f>IFERROR(Calculations!$AF$930,"")</f>
        <v>0</v>
      </c>
      <c r="N66" s="22">
        <f>IFERROR(Calculations!$AG$930,"")</f>
        <v>0</v>
      </c>
      <c r="O66" s="22">
        <f>IFERROR(Calculations!$AH$930,"")</f>
        <v>0</v>
      </c>
    </row>
    <row r="67" spans="2:15">
      <c r="B67" s="13">
        <f>IF(Calculations!$U$931="","",Calculations!$U$931)</f>
        <v>0</v>
      </c>
      <c r="C67" s="22">
        <f>IFERROR(Calculations!$V$931,"")</f>
        <v>0</v>
      </c>
      <c r="D67" s="22">
        <f>IFERROR(Calculations!$W$931,"")</f>
        <v>0</v>
      </c>
      <c r="E67" s="22">
        <f>IFERROR(Calculations!$X$931,"")</f>
        <v>0</v>
      </c>
      <c r="F67" s="22">
        <f>IFERROR(Calculations!$Y$931,"")</f>
        <v>0</v>
      </c>
      <c r="G67" s="22">
        <f>IFERROR(Calculations!$Z$931,"")</f>
        <v>0</v>
      </c>
      <c r="H67" s="22">
        <f>IFERROR(Calculations!$AA$931,"")</f>
        <v>0</v>
      </c>
      <c r="I67" s="22">
        <f>IFERROR(Calculations!$AB$931,"")</f>
        <v>0</v>
      </c>
      <c r="J67" s="22">
        <f>IFERROR(Calculations!$AC$931,"")</f>
        <v>0</v>
      </c>
      <c r="K67" s="22">
        <f>IFERROR(Calculations!$AD$931,"")</f>
        <v>0</v>
      </c>
      <c r="L67" s="22">
        <f>IFERROR(Calculations!$AE$931,"")</f>
        <v>0</v>
      </c>
      <c r="M67" s="22">
        <f>IFERROR(Calculations!$AF$931,"")</f>
        <v>0</v>
      </c>
      <c r="N67" s="22">
        <f>IFERROR(Calculations!$AG$931,"")</f>
        <v>0</v>
      </c>
      <c r="O67" s="22">
        <f>IFERROR(Calculations!$AH$931,"")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  <pageSetUpPr fitToPage="1"/>
  </sheetPr>
  <dimension ref="A1:S6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2326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2327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2273</v>
      </c>
      <c r="C13" s="37"/>
      <c r="D13" s="37"/>
      <c r="E13" s="37"/>
      <c r="F13" s="37" t="s">
        <v>2328</v>
      </c>
      <c r="G13" s="37"/>
      <c r="H13" s="37"/>
      <c r="I13" s="37"/>
      <c r="J13" s="37" t="s">
        <v>2329</v>
      </c>
      <c r="K13" s="37"/>
      <c r="L13" s="37"/>
      <c r="M13" s="37"/>
      <c r="N13" s="37" t="s">
        <v>2330</v>
      </c>
      <c r="O13" s="37"/>
      <c r="P13" s="37"/>
      <c r="Q13" s="37"/>
    </row>
    <row r="14" spans="2:19">
      <c r="B14" s="39">
        <f>Calculations!$N$952</f>
        <v>0</v>
      </c>
      <c r="C14" s="39"/>
      <c r="D14" s="39"/>
      <c r="E14" s="39"/>
      <c r="F14" s="39">
        <f>Calculations!$N$953</f>
        <v>0</v>
      </c>
      <c r="G14" s="39"/>
      <c r="H14" s="39"/>
      <c r="I14" s="39"/>
      <c r="J14" s="39">
        <f>Calculations!$N$954</f>
        <v>0</v>
      </c>
      <c r="K14" s="39"/>
      <c r="L14" s="39"/>
      <c r="M14" s="39"/>
      <c r="N14" s="39">
        <f>Calculations!$N$955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2331</v>
      </c>
      <c r="C19" s="37"/>
      <c r="D19" s="37"/>
      <c r="E19" s="37"/>
      <c r="F19" s="37" t="s">
        <v>2332</v>
      </c>
      <c r="G19" s="37"/>
      <c r="H19" s="37"/>
      <c r="I19" s="37"/>
      <c r="J19" s="37" t="s">
        <v>2333</v>
      </c>
      <c r="K19" s="37"/>
      <c r="L19" s="37"/>
      <c r="M19" s="37"/>
      <c r="N19" s="37" t="s">
        <v>2334</v>
      </c>
      <c r="O19" s="37"/>
      <c r="P19" s="37"/>
      <c r="Q19" s="37"/>
    </row>
    <row r="20" spans="2:19">
      <c r="B20" s="39">
        <f>Calculations!$N$956</f>
        <v>0</v>
      </c>
      <c r="C20" s="39"/>
      <c r="D20" s="39"/>
      <c r="E20" s="39"/>
      <c r="F20" s="39">
        <f>Calculations!$N$957</f>
        <v>0</v>
      </c>
      <c r="G20" s="39"/>
      <c r="H20" s="39"/>
      <c r="I20" s="39"/>
      <c r="J20" s="40">
        <f>Calculations!$N$958</f>
        <v>0</v>
      </c>
      <c r="K20" s="40"/>
      <c r="L20" s="40"/>
      <c r="M20" s="40"/>
      <c r="N20" s="40">
        <f>Calculations!$N$959</f>
        <v>0</v>
      </c>
      <c r="O20" s="40"/>
      <c r="P20" s="40"/>
      <c r="Q20" s="40"/>
    </row>
    <row r="21" spans="2:19">
      <c r="B21" s="39"/>
      <c r="C21" s="39"/>
      <c r="D21" s="39"/>
      <c r="E21" s="39"/>
      <c r="F21" s="39"/>
      <c r="G21" s="39"/>
      <c r="H21" s="39"/>
      <c r="I21" s="39"/>
      <c r="J21" s="40"/>
      <c r="K21" s="40"/>
      <c r="L21" s="40"/>
      <c r="M21" s="40"/>
      <c r="N21" s="40"/>
      <c r="O21" s="40"/>
      <c r="P21" s="40"/>
      <c r="Q21" s="40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"&amp;INDEX(Calculations!$C$952:$C$963,CurMonthNo)&amp;"   vs   "&amp;INDEX(L_Month,CurMonthNo-1)&amp;": "&amp;INDEX(Calculations!$C$952:$C$963,CurMonthNo-1)&amp;"   "&amp;IF(INDEX(Calculations!$C$952:$C$963,CurMonthNo)&gt;=INDEX(Calculations!$C$952:$C$963,CurMonthNo-1),"▲ ","▼ ")&amp;TEXT(IFERROR((INDEX(Calculations!$C$952:$C$963,CurMonthNo)-INDEX(Calculations!$C$952:$C$963,CurMonthNo-1))/INDEX(Calculations!$C$952:$C$963,CurMonthNo-1),0),"+0.0%;-0.0%")))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1931</v>
      </c>
    </row>
    <row r="45" spans="2:19">
      <c r="B45" s="13">
        <f>IFERROR(Calculations!$P$952,"")</f>
        <v>0</v>
      </c>
      <c r="C45" s="22">
        <f>IFERROR(Calculations!$Q$952,"")</f>
        <v>0</v>
      </c>
      <c r="D45" s="25">
        <f>IFERROR(Calculations!$R$952,"")</f>
        <v>0</v>
      </c>
      <c r="E45" s="25">
        <f>IFERROR(Calculations!$S$952,"")</f>
        <v>0</v>
      </c>
    </row>
    <row r="46" spans="2:19">
      <c r="B46" s="13">
        <f>IFERROR(Calculations!$P$953,"")</f>
        <v>0</v>
      </c>
      <c r="C46" s="22">
        <f>IFERROR(Calculations!$Q$953,"")</f>
        <v>0</v>
      </c>
      <c r="D46" s="25">
        <f>IFERROR(Calculations!$R$953,"")</f>
        <v>0</v>
      </c>
      <c r="E46" s="25">
        <f>IFERROR(Calculations!$S$953,"")</f>
        <v>0</v>
      </c>
    </row>
    <row r="47" spans="2:19">
      <c r="B47" s="13">
        <f>IFERROR(Calculations!$P$954,"")</f>
        <v>0</v>
      </c>
      <c r="C47" s="22">
        <f>IFERROR(Calculations!$Q$954,"")</f>
        <v>0</v>
      </c>
      <c r="D47" s="25">
        <f>IFERROR(Calculations!$R$954,"")</f>
        <v>0</v>
      </c>
      <c r="E47" s="25">
        <f>IFERROR(Calculations!$S$954,"")</f>
        <v>0</v>
      </c>
    </row>
    <row r="48" spans="2:19">
      <c r="B48" s="13">
        <f>IFERROR(Calculations!$P$955,"")</f>
        <v>0</v>
      </c>
      <c r="C48" s="22">
        <f>IFERROR(Calculations!$Q$955,"")</f>
        <v>0</v>
      </c>
      <c r="D48" s="25">
        <f>IFERROR(Calculations!$R$955,"")</f>
        <v>0</v>
      </c>
      <c r="E48" s="25">
        <f>IFERROR(Calculations!$S$955,"")</f>
        <v>0</v>
      </c>
    </row>
    <row r="49" spans="2:19">
      <c r="B49" s="13">
        <f>IFERROR(Calculations!$P$956,"")</f>
        <v>0</v>
      </c>
      <c r="C49" s="22">
        <f>IFERROR(Calculations!$Q$956,"")</f>
        <v>0</v>
      </c>
      <c r="D49" s="25">
        <f>IFERROR(Calculations!$R$956,"")</f>
        <v>0</v>
      </c>
      <c r="E49" s="25">
        <f>IFERROR(Calculations!$S$956,"")</f>
        <v>0</v>
      </c>
    </row>
    <row r="50" spans="2:19">
      <c r="B50" s="13">
        <f>IFERROR(Calculations!$P$957,"")</f>
        <v>0</v>
      </c>
      <c r="C50" s="22">
        <f>IFERROR(Calculations!$Q$957,"")</f>
        <v>0</v>
      </c>
      <c r="D50" s="25">
        <f>IFERROR(Calculations!$R$957,"")</f>
        <v>0</v>
      </c>
      <c r="E50" s="25">
        <f>IFERROR(Calculations!$S$957,"")</f>
        <v>0</v>
      </c>
    </row>
    <row r="51" spans="2:19">
      <c r="B51" s="13">
        <f>IFERROR(Calculations!$P$958,"")</f>
        <v>0</v>
      </c>
      <c r="C51" s="22">
        <f>IFERROR(Calculations!$Q$958,"")</f>
        <v>0</v>
      </c>
      <c r="D51" s="25">
        <f>IFERROR(Calculations!$R$958,"")</f>
        <v>0</v>
      </c>
      <c r="E51" s="25">
        <f>IFERROR(Calculations!$S$958,"")</f>
        <v>0</v>
      </c>
    </row>
    <row r="52" spans="2:19">
      <c r="B52" s="13">
        <f>IFERROR(Calculations!$P$959,"")</f>
        <v>0</v>
      </c>
      <c r="C52" s="22">
        <f>IFERROR(Calculations!$Q$959,"")</f>
        <v>0</v>
      </c>
      <c r="D52" s="25">
        <f>IFERROR(Calculations!$R$959,"")</f>
        <v>0</v>
      </c>
      <c r="E52" s="25">
        <f>IFERROR(Calculations!$S$959,"")</f>
        <v>0</v>
      </c>
    </row>
    <row r="53" spans="2:19">
      <c r="B53" s="13">
        <f>IFERROR(Calculations!$P$960,"")</f>
        <v>0</v>
      </c>
      <c r="C53" s="22">
        <f>IFERROR(Calculations!$Q$960,"")</f>
        <v>0</v>
      </c>
      <c r="D53" s="25">
        <f>IFERROR(Calculations!$R$960,"")</f>
        <v>0</v>
      </c>
      <c r="E53" s="25">
        <f>IFERROR(Calculations!$S$960,"")</f>
        <v>0</v>
      </c>
    </row>
    <row r="54" spans="2:19">
      <c r="B54" s="13">
        <f>IFERROR(Calculations!$P$961,"")</f>
        <v>0</v>
      </c>
      <c r="C54" s="22">
        <f>IFERROR(Calculations!$Q$961,"")</f>
        <v>0</v>
      </c>
      <c r="D54" s="25">
        <f>IFERROR(Calculations!$R$961,"")</f>
        <v>0</v>
      </c>
      <c r="E54" s="25">
        <f>IFERROR(Calculations!$S$961,"")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IF(Calculations!$U$952="","",Calculations!$U$952)</f>
        <v>0</v>
      </c>
      <c r="C62" s="22">
        <f>IFERROR(Calculations!$V$952,"")</f>
        <v>0</v>
      </c>
      <c r="D62" s="22">
        <f>IFERROR(Calculations!$W$952,"")</f>
        <v>0</v>
      </c>
      <c r="E62" s="22">
        <f>IFERROR(Calculations!$X$952,"")</f>
        <v>0</v>
      </c>
      <c r="F62" s="22">
        <f>IFERROR(Calculations!$Y$952,"")</f>
        <v>0</v>
      </c>
      <c r="G62" s="22">
        <f>IFERROR(Calculations!$Z$952,"")</f>
        <v>0</v>
      </c>
      <c r="H62" s="22">
        <f>IFERROR(Calculations!$AA$952,"")</f>
        <v>0</v>
      </c>
      <c r="I62" s="22">
        <f>IFERROR(Calculations!$AB$952,"")</f>
        <v>0</v>
      </c>
      <c r="J62" s="22">
        <f>IFERROR(Calculations!$AC$952,"")</f>
        <v>0</v>
      </c>
      <c r="K62" s="22">
        <f>IFERROR(Calculations!$AD$952,"")</f>
        <v>0</v>
      </c>
      <c r="L62" s="22">
        <f>IFERROR(Calculations!$AE$952,"")</f>
        <v>0</v>
      </c>
      <c r="M62" s="22">
        <f>IFERROR(Calculations!$AF$952,"")</f>
        <v>0</v>
      </c>
      <c r="N62" s="22">
        <f>IFERROR(Calculations!$AG$952,"")</f>
        <v>0</v>
      </c>
      <c r="O62" s="22">
        <f>IFERROR(Calculations!$AH$952,"")</f>
        <v>0</v>
      </c>
    </row>
    <row r="63" spans="2:19">
      <c r="B63" s="13">
        <f>IF(Calculations!$U$953="","",Calculations!$U$953)</f>
        <v>0</v>
      </c>
      <c r="C63" s="22">
        <f>IFERROR(Calculations!$V$953,"")</f>
        <v>0</v>
      </c>
      <c r="D63" s="22">
        <f>IFERROR(Calculations!$W$953,"")</f>
        <v>0</v>
      </c>
      <c r="E63" s="22">
        <f>IFERROR(Calculations!$X$953,"")</f>
        <v>0</v>
      </c>
      <c r="F63" s="22">
        <f>IFERROR(Calculations!$Y$953,"")</f>
        <v>0</v>
      </c>
      <c r="G63" s="22">
        <f>IFERROR(Calculations!$Z$953,"")</f>
        <v>0</v>
      </c>
      <c r="H63" s="22">
        <f>IFERROR(Calculations!$AA$953,"")</f>
        <v>0</v>
      </c>
      <c r="I63" s="22">
        <f>IFERROR(Calculations!$AB$953,"")</f>
        <v>0</v>
      </c>
      <c r="J63" s="22">
        <f>IFERROR(Calculations!$AC$953,"")</f>
        <v>0</v>
      </c>
      <c r="K63" s="22">
        <f>IFERROR(Calculations!$AD$953,"")</f>
        <v>0</v>
      </c>
      <c r="L63" s="22">
        <f>IFERROR(Calculations!$AE$953,"")</f>
        <v>0</v>
      </c>
      <c r="M63" s="22">
        <f>IFERROR(Calculations!$AF$953,"")</f>
        <v>0</v>
      </c>
      <c r="N63" s="22">
        <f>IFERROR(Calculations!$AG$953,"")</f>
        <v>0</v>
      </c>
      <c r="O63" s="22">
        <f>IFERROR(Calculations!$AH$953,"")</f>
        <v>0</v>
      </c>
    </row>
    <row r="64" spans="2:19">
      <c r="B64" s="13">
        <f>IF(Calculations!$U$954="","",Calculations!$U$954)</f>
        <v>0</v>
      </c>
      <c r="C64" s="22">
        <f>IFERROR(Calculations!$V$954,"")</f>
        <v>0</v>
      </c>
      <c r="D64" s="22">
        <f>IFERROR(Calculations!$W$954,"")</f>
        <v>0</v>
      </c>
      <c r="E64" s="22">
        <f>IFERROR(Calculations!$X$954,"")</f>
        <v>0</v>
      </c>
      <c r="F64" s="22">
        <f>IFERROR(Calculations!$Y$954,"")</f>
        <v>0</v>
      </c>
      <c r="G64" s="22">
        <f>IFERROR(Calculations!$Z$954,"")</f>
        <v>0</v>
      </c>
      <c r="H64" s="22">
        <f>IFERROR(Calculations!$AA$954,"")</f>
        <v>0</v>
      </c>
      <c r="I64" s="22">
        <f>IFERROR(Calculations!$AB$954,"")</f>
        <v>0</v>
      </c>
      <c r="J64" s="22">
        <f>IFERROR(Calculations!$AC$954,"")</f>
        <v>0</v>
      </c>
      <c r="K64" s="22">
        <f>IFERROR(Calculations!$AD$954,"")</f>
        <v>0</v>
      </c>
      <c r="L64" s="22">
        <f>IFERROR(Calculations!$AE$954,"")</f>
        <v>0</v>
      </c>
      <c r="M64" s="22">
        <f>IFERROR(Calculations!$AF$954,"")</f>
        <v>0</v>
      </c>
      <c r="N64" s="22">
        <f>IFERROR(Calculations!$AG$954,"")</f>
        <v>0</v>
      </c>
      <c r="O64" s="22">
        <f>IFERROR(Calculations!$AH$954,"")</f>
        <v>0</v>
      </c>
    </row>
    <row r="65" spans="2:15">
      <c r="B65" s="13">
        <f>IF(Calculations!$U$955="","",Calculations!$U$955)</f>
        <v>0</v>
      </c>
      <c r="C65" s="22">
        <f>IFERROR(Calculations!$V$955,"")</f>
        <v>0</v>
      </c>
      <c r="D65" s="22">
        <f>IFERROR(Calculations!$W$955,"")</f>
        <v>0</v>
      </c>
      <c r="E65" s="22">
        <f>IFERROR(Calculations!$X$955,"")</f>
        <v>0</v>
      </c>
      <c r="F65" s="22">
        <f>IFERROR(Calculations!$Y$955,"")</f>
        <v>0</v>
      </c>
      <c r="G65" s="22">
        <f>IFERROR(Calculations!$Z$955,"")</f>
        <v>0</v>
      </c>
      <c r="H65" s="22">
        <f>IFERROR(Calculations!$AA$955,"")</f>
        <v>0</v>
      </c>
      <c r="I65" s="22">
        <f>IFERROR(Calculations!$AB$955,"")</f>
        <v>0</v>
      </c>
      <c r="J65" s="22">
        <f>IFERROR(Calculations!$AC$955,"")</f>
        <v>0</v>
      </c>
      <c r="K65" s="22">
        <f>IFERROR(Calculations!$AD$955,"")</f>
        <v>0</v>
      </c>
      <c r="L65" s="22">
        <f>IFERROR(Calculations!$AE$955,"")</f>
        <v>0</v>
      </c>
      <c r="M65" s="22">
        <f>IFERROR(Calculations!$AF$955,"")</f>
        <v>0</v>
      </c>
      <c r="N65" s="22">
        <f>IFERROR(Calculations!$AG$955,"")</f>
        <v>0</v>
      </c>
      <c r="O65" s="22">
        <f>IFERROR(Calculations!$AH$955,"")</f>
        <v>0</v>
      </c>
    </row>
    <row r="66" spans="2:15">
      <c r="B66" s="13">
        <f>IF(Calculations!$U$956="","",Calculations!$U$956)</f>
        <v>0</v>
      </c>
      <c r="C66" s="22">
        <f>IFERROR(Calculations!$V$956,"")</f>
        <v>0</v>
      </c>
      <c r="D66" s="22">
        <f>IFERROR(Calculations!$W$956,"")</f>
        <v>0</v>
      </c>
      <c r="E66" s="22">
        <f>IFERROR(Calculations!$X$956,"")</f>
        <v>0</v>
      </c>
      <c r="F66" s="22">
        <f>IFERROR(Calculations!$Y$956,"")</f>
        <v>0</v>
      </c>
      <c r="G66" s="22">
        <f>IFERROR(Calculations!$Z$956,"")</f>
        <v>0</v>
      </c>
      <c r="H66" s="22">
        <f>IFERROR(Calculations!$AA$956,"")</f>
        <v>0</v>
      </c>
      <c r="I66" s="22">
        <f>IFERROR(Calculations!$AB$956,"")</f>
        <v>0</v>
      </c>
      <c r="J66" s="22">
        <f>IFERROR(Calculations!$AC$956,"")</f>
        <v>0</v>
      </c>
      <c r="K66" s="22">
        <f>IFERROR(Calculations!$AD$956,"")</f>
        <v>0</v>
      </c>
      <c r="L66" s="22">
        <f>IFERROR(Calculations!$AE$956,"")</f>
        <v>0</v>
      </c>
      <c r="M66" s="22">
        <f>IFERROR(Calculations!$AF$956,"")</f>
        <v>0</v>
      </c>
      <c r="N66" s="22">
        <f>IFERROR(Calculations!$AG$956,"")</f>
        <v>0</v>
      </c>
      <c r="O66" s="22">
        <f>IFERROR(Calculations!$AH$956,"")</f>
        <v>0</v>
      </c>
    </row>
    <row r="67" spans="2:15">
      <c r="B67" s="13">
        <f>IF(Calculations!$U$957="","",Calculations!$U$957)</f>
        <v>0</v>
      </c>
      <c r="C67" s="22">
        <f>IFERROR(Calculations!$V$957,"")</f>
        <v>0</v>
      </c>
      <c r="D67" s="22">
        <f>IFERROR(Calculations!$W$957,"")</f>
        <v>0</v>
      </c>
      <c r="E67" s="22">
        <f>IFERROR(Calculations!$X$957,"")</f>
        <v>0</v>
      </c>
      <c r="F67" s="22">
        <f>IFERROR(Calculations!$Y$957,"")</f>
        <v>0</v>
      </c>
      <c r="G67" s="22">
        <f>IFERROR(Calculations!$Z$957,"")</f>
        <v>0</v>
      </c>
      <c r="H67" s="22">
        <f>IFERROR(Calculations!$AA$957,"")</f>
        <v>0</v>
      </c>
      <c r="I67" s="22">
        <f>IFERROR(Calculations!$AB$957,"")</f>
        <v>0</v>
      </c>
      <c r="J67" s="22">
        <f>IFERROR(Calculations!$AC$957,"")</f>
        <v>0</v>
      </c>
      <c r="K67" s="22">
        <f>IFERROR(Calculations!$AD$957,"")</f>
        <v>0</v>
      </c>
      <c r="L67" s="22">
        <f>IFERROR(Calculations!$AE$957,"")</f>
        <v>0</v>
      </c>
      <c r="M67" s="22">
        <f>IFERROR(Calculations!$AF$957,"")</f>
        <v>0</v>
      </c>
      <c r="N67" s="22">
        <f>IFERROR(Calculations!$AG$957,"")</f>
        <v>0</v>
      </c>
      <c r="O67" s="22">
        <f>IFERROR(Calculations!$AH$957,"")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  <pageSetUpPr fitToPage="1"/>
  </sheetPr>
  <dimension ref="A1:S70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2335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2336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2337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2232</v>
      </c>
      <c r="O13" s="37"/>
      <c r="P13" s="37"/>
      <c r="Q13" s="37"/>
    </row>
    <row r="14" spans="2:19">
      <c r="B14" s="39">
        <f>Calculations!$N$978</f>
        <v>0</v>
      </c>
      <c r="C14" s="39"/>
      <c r="D14" s="39"/>
      <c r="E14" s="39"/>
      <c r="F14" s="39">
        <f>Calculations!$N$979</f>
        <v>0</v>
      </c>
      <c r="G14" s="39"/>
      <c r="H14" s="39"/>
      <c r="I14" s="39"/>
      <c r="J14" s="39">
        <f>Calculations!$N$980</f>
        <v>0</v>
      </c>
      <c r="K14" s="39"/>
      <c r="L14" s="39"/>
      <c r="M14" s="39"/>
      <c r="N14" s="39">
        <f>Calculations!$N$981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2235</v>
      </c>
      <c r="C19" s="37"/>
      <c r="D19" s="37"/>
      <c r="E19" s="37"/>
      <c r="F19" s="37" t="s">
        <v>2262</v>
      </c>
      <c r="G19" s="37"/>
      <c r="H19" s="37"/>
      <c r="I19" s="37"/>
      <c r="J19" s="37" t="s">
        <v>2338</v>
      </c>
      <c r="K19" s="37"/>
      <c r="L19" s="37"/>
      <c r="M19" s="37"/>
      <c r="N19" s="37" t="s">
        <v>2339</v>
      </c>
      <c r="O19" s="37"/>
      <c r="P19" s="37"/>
      <c r="Q19" s="37"/>
    </row>
    <row r="20" spans="2:19">
      <c r="B20" s="40">
        <f>Calculations!$N$982</f>
        <v>0</v>
      </c>
      <c r="C20" s="40"/>
      <c r="D20" s="40"/>
      <c r="E20" s="40"/>
      <c r="F20" s="39">
        <f>Calculations!$N$983</f>
        <v>0</v>
      </c>
      <c r="G20" s="39"/>
      <c r="H20" s="39"/>
      <c r="I20" s="39"/>
      <c r="J20" s="39">
        <f>Calculations!$N$984</f>
        <v>0</v>
      </c>
      <c r="K20" s="39"/>
      <c r="L20" s="39"/>
      <c r="M20" s="39"/>
      <c r="N20" s="39">
        <f>Calculations!$N$985</f>
        <v>0</v>
      </c>
      <c r="O20" s="39"/>
      <c r="P20" s="39"/>
      <c r="Q20" s="39"/>
    </row>
    <row r="21" spans="2:19">
      <c r="B21" s="40"/>
      <c r="C21" s="40"/>
      <c r="D21" s="40"/>
      <c r="E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"&amp;INDEX(Calculations!$C$978:$C$989,CurMonthNo)&amp;"   vs   "&amp;INDEX(L_Month,CurMonthNo-1)&amp;": "&amp;INDEX(Calculations!$C$978:$C$989,CurMonthNo-1)&amp;"   "&amp;IF(INDEX(Calculations!$C$978:$C$989,CurMonthNo)&gt;=INDEX(Calculations!$C$978:$C$989,CurMonthNo-1),"▲ ","▼ ")&amp;TEXT(IFERROR((INDEX(Calculations!$C$978:$C$989,CurMonthNo)-INDEX(Calculations!$C$978:$C$989,CurMonthNo-1))/INDEX(Calculations!$C$978:$C$989,CurMonthNo-1),0),"+0.0%;-0.0%")))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IFERROR(Calculations!$P$978,"")</f>
        <v>0</v>
      </c>
      <c r="C45" s="22">
        <f>IFERROR(Calculations!$Q$978,"")</f>
        <v>0</v>
      </c>
      <c r="D45" s="25">
        <f>IFERROR(Calculations!$R$978,"")</f>
        <v>0</v>
      </c>
      <c r="E45" s="22">
        <f>IFERROR(Calculations!$S$978,"")</f>
        <v>0</v>
      </c>
    </row>
    <row r="46" spans="2:19">
      <c r="B46" s="13">
        <f>IFERROR(Calculations!$P$979,"")</f>
        <v>0</v>
      </c>
      <c r="C46" s="22">
        <f>IFERROR(Calculations!$Q$979,"")</f>
        <v>0</v>
      </c>
      <c r="D46" s="25">
        <f>IFERROR(Calculations!$R$979,"")</f>
        <v>0</v>
      </c>
      <c r="E46" s="22">
        <f>IFERROR(Calculations!$S$979,"")</f>
        <v>0</v>
      </c>
    </row>
    <row r="47" spans="2:19">
      <c r="B47" s="13">
        <f>IFERROR(Calculations!$P$980,"")</f>
        <v>0</v>
      </c>
      <c r="C47" s="22">
        <f>IFERROR(Calculations!$Q$980,"")</f>
        <v>0</v>
      </c>
      <c r="D47" s="25">
        <f>IFERROR(Calculations!$R$980,"")</f>
        <v>0</v>
      </c>
      <c r="E47" s="22">
        <f>IFERROR(Calculations!$S$980,"")</f>
        <v>0</v>
      </c>
    </row>
    <row r="48" spans="2:19">
      <c r="B48" s="13">
        <f>IFERROR(Calculations!$P$981,"")</f>
        <v>0</v>
      </c>
      <c r="C48" s="22">
        <f>IFERROR(Calculations!$Q$981,"")</f>
        <v>0</v>
      </c>
      <c r="D48" s="25">
        <f>IFERROR(Calculations!$R$981,"")</f>
        <v>0</v>
      </c>
      <c r="E48" s="22">
        <f>IFERROR(Calculations!$S$981,"")</f>
        <v>0</v>
      </c>
    </row>
    <row r="49" spans="2:19">
      <c r="B49" s="13">
        <f>IFERROR(Calculations!$P$982,"")</f>
        <v>0</v>
      </c>
      <c r="C49" s="22">
        <f>IFERROR(Calculations!$Q$982,"")</f>
        <v>0</v>
      </c>
      <c r="D49" s="25">
        <f>IFERROR(Calculations!$R$982,"")</f>
        <v>0</v>
      </c>
      <c r="E49" s="22">
        <f>IFERROR(Calculations!$S$982,"")</f>
        <v>0</v>
      </c>
    </row>
    <row r="50" spans="2:19">
      <c r="B50" s="13">
        <f>IFERROR(Calculations!$P$983,"")</f>
        <v>0</v>
      </c>
      <c r="C50" s="22">
        <f>IFERROR(Calculations!$Q$983,"")</f>
        <v>0</v>
      </c>
      <c r="D50" s="25">
        <f>IFERROR(Calculations!$R$983,"")</f>
        <v>0</v>
      </c>
      <c r="E50" s="22">
        <f>IFERROR(Calculations!$S$983,"")</f>
        <v>0</v>
      </c>
    </row>
    <row r="51" spans="2:19">
      <c r="B51" s="13">
        <f>IFERROR(Calculations!$P$984,"")</f>
        <v>0</v>
      </c>
      <c r="C51" s="22">
        <f>IFERROR(Calculations!$Q$984,"")</f>
        <v>0</v>
      </c>
      <c r="D51" s="25">
        <f>IFERROR(Calculations!$R$984,"")</f>
        <v>0</v>
      </c>
      <c r="E51" s="22">
        <f>IFERROR(Calculations!$S$984,"")</f>
        <v>0</v>
      </c>
    </row>
    <row r="52" spans="2:19">
      <c r="B52" s="13">
        <f>IFERROR(Calculations!$P$985,"")</f>
        <v>0</v>
      </c>
      <c r="C52" s="22">
        <f>IFERROR(Calculations!$Q$985,"")</f>
        <v>0</v>
      </c>
      <c r="D52" s="25">
        <f>IFERROR(Calculations!$R$985,"")</f>
        <v>0</v>
      </c>
      <c r="E52" s="22">
        <f>IFERROR(Calculations!$S$985,"")</f>
        <v>0</v>
      </c>
    </row>
    <row r="53" spans="2:19">
      <c r="B53" s="13">
        <f>IFERROR(Calculations!$P$986,"")</f>
        <v>0</v>
      </c>
      <c r="C53" s="22">
        <f>IFERROR(Calculations!$Q$986,"")</f>
        <v>0</v>
      </c>
      <c r="D53" s="25">
        <f>IFERROR(Calculations!$R$986,"")</f>
        <v>0</v>
      </c>
      <c r="E53" s="22">
        <f>IFERROR(Calculations!$S$986,"")</f>
        <v>0</v>
      </c>
    </row>
    <row r="54" spans="2:19">
      <c r="B54" s="13">
        <f>IFERROR(Calculations!$P$987,"")</f>
        <v>0</v>
      </c>
      <c r="C54" s="22">
        <f>IFERROR(Calculations!$Q$987,"")</f>
        <v>0</v>
      </c>
      <c r="D54" s="25">
        <f>IFERROR(Calculations!$R$987,"")</f>
        <v>0</v>
      </c>
      <c r="E54" s="22">
        <f>IFERROR(Calculations!$S$987,"")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IF(Calculations!$U$978="","",Calculations!$U$978)</f>
        <v>0</v>
      </c>
      <c r="C62" s="22">
        <f>IFERROR(Calculations!$V$978,"")</f>
        <v>0</v>
      </c>
      <c r="D62" s="22">
        <f>IFERROR(Calculations!$W$978,"")</f>
        <v>0</v>
      </c>
      <c r="E62" s="22">
        <f>IFERROR(Calculations!$X$978,"")</f>
        <v>0</v>
      </c>
      <c r="F62" s="22">
        <f>IFERROR(Calculations!$Y$978,"")</f>
        <v>0</v>
      </c>
      <c r="G62" s="22">
        <f>IFERROR(Calculations!$Z$978,"")</f>
        <v>0</v>
      </c>
      <c r="H62" s="22">
        <f>IFERROR(Calculations!$AA$978,"")</f>
        <v>0</v>
      </c>
      <c r="I62" s="22">
        <f>IFERROR(Calculations!$AB$978,"")</f>
        <v>0</v>
      </c>
      <c r="J62" s="22">
        <f>IFERROR(Calculations!$AC$978,"")</f>
        <v>0</v>
      </c>
      <c r="K62" s="22">
        <f>IFERROR(Calculations!$AD$978,"")</f>
        <v>0</v>
      </c>
      <c r="L62" s="22">
        <f>IFERROR(Calculations!$AE$978,"")</f>
        <v>0</v>
      </c>
      <c r="M62" s="22">
        <f>IFERROR(Calculations!$AF$978,"")</f>
        <v>0</v>
      </c>
      <c r="N62" s="22">
        <f>IFERROR(Calculations!$AG$978,"")</f>
        <v>0</v>
      </c>
      <c r="O62" s="22">
        <f>IFERROR(Calculations!$AH$978,"")</f>
        <v>0</v>
      </c>
    </row>
    <row r="63" spans="2:19">
      <c r="B63" s="13">
        <f>IF(Calculations!$U$979="","",Calculations!$U$979)</f>
        <v>0</v>
      </c>
      <c r="C63" s="22">
        <f>IFERROR(Calculations!$V$979,"")</f>
        <v>0</v>
      </c>
      <c r="D63" s="22">
        <f>IFERROR(Calculations!$W$979,"")</f>
        <v>0</v>
      </c>
      <c r="E63" s="22">
        <f>IFERROR(Calculations!$X$979,"")</f>
        <v>0</v>
      </c>
      <c r="F63" s="22">
        <f>IFERROR(Calculations!$Y$979,"")</f>
        <v>0</v>
      </c>
      <c r="G63" s="22">
        <f>IFERROR(Calculations!$Z$979,"")</f>
        <v>0</v>
      </c>
      <c r="H63" s="22">
        <f>IFERROR(Calculations!$AA$979,"")</f>
        <v>0</v>
      </c>
      <c r="I63" s="22">
        <f>IFERROR(Calculations!$AB$979,"")</f>
        <v>0</v>
      </c>
      <c r="J63" s="22">
        <f>IFERROR(Calculations!$AC$979,"")</f>
        <v>0</v>
      </c>
      <c r="K63" s="22">
        <f>IFERROR(Calculations!$AD$979,"")</f>
        <v>0</v>
      </c>
      <c r="L63" s="22">
        <f>IFERROR(Calculations!$AE$979,"")</f>
        <v>0</v>
      </c>
      <c r="M63" s="22">
        <f>IFERROR(Calculations!$AF$979,"")</f>
        <v>0</v>
      </c>
      <c r="N63" s="22">
        <f>IFERROR(Calculations!$AG$979,"")</f>
        <v>0</v>
      </c>
      <c r="O63" s="22">
        <f>IFERROR(Calculations!$AH$979,"")</f>
        <v>0</v>
      </c>
    </row>
    <row r="64" spans="2:19">
      <c r="B64" s="13">
        <f>IF(Calculations!$U$980="","",Calculations!$U$980)</f>
        <v>0</v>
      </c>
      <c r="C64" s="22">
        <f>IFERROR(Calculations!$V$980,"")</f>
        <v>0</v>
      </c>
      <c r="D64" s="22">
        <f>IFERROR(Calculations!$W$980,"")</f>
        <v>0</v>
      </c>
      <c r="E64" s="22">
        <f>IFERROR(Calculations!$X$980,"")</f>
        <v>0</v>
      </c>
      <c r="F64" s="22">
        <f>IFERROR(Calculations!$Y$980,"")</f>
        <v>0</v>
      </c>
      <c r="G64" s="22">
        <f>IFERROR(Calculations!$Z$980,"")</f>
        <v>0</v>
      </c>
      <c r="H64" s="22">
        <f>IFERROR(Calculations!$AA$980,"")</f>
        <v>0</v>
      </c>
      <c r="I64" s="22">
        <f>IFERROR(Calculations!$AB$980,"")</f>
        <v>0</v>
      </c>
      <c r="J64" s="22">
        <f>IFERROR(Calculations!$AC$980,"")</f>
        <v>0</v>
      </c>
      <c r="K64" s="22">
        <f>IFERROR(Calculations!$AD$980,"")</f>
        <v>0</v>
      </c>
      <c r="L64" s="22">
        <f>IFERROR(Calculations!$AE$980,"")</f>
        <v>0</v>
      </c>
      <c r="M64" s="22">
        <f>IFERROR(Calculations!$AF$980,"")</f>
        <v>0</v>
      </c>
      <c r="N64" s="22">
        <f>IFERROR(Calculations!$AG$980,"")</f>
        <v>0</v>
      </c>
      <c r="O64" s="22">
        <f>IFERROR(Calculations!$AH$980,"")</f>
        <v>0</v>
      </c>
    </row>
    <row r="65" spans="2:19">
      <c r="B65" s="13">
        <f>IF(Calculations!$U$981="","",Calculations!$U$981)</f>
        <v>0</v>
      </c>
      <c r="C65" s="22">
        <f>IFERROR(Calculations!$V$981,"")</f>
        <v>0</v>
      </c>
      <c r="D65" s="22">
        <f>IFERROR(Calculations!$W$981,"")</f>
        <v>0</v>
      </c>
      <c r="E65" s="22">
        <f>IFERROR(Calculations!$X$981,"")</f>
        <v>0</v>
      </c>
      <c r="F65" s="22">
        <f>IFERROR(Calculations!$Y$981,"")</f>
        <v>0</v>
      </c>
      <c r="G65" s="22">
        <f>IFERROR(Calculations!$Z$981,"")</f>
        <v>0</v>
      </c>
      <c r="H65" s="22">
        <f>IFERROR(Calculations!$AA$981,"")</f>
        <v>0</v>
      </c>
      <c r="I65" s="22">
        <f>IFERROR(Calculations!$AB$981,"")</f>
        <v>0</v>
      </c>
      <c r="J65" s="22">
        <f>IFERROR(Calculations!$AC$981,"")</f>
        <v>0</v>
      </c>
      <c r="K65" s="22">
        <f>IFERROR(Calculations!$AD$981,"")</f>
        <v>0</v>
      </c>
      <c r="L65" s="22">
        <f>IFERROR(Calculations!$AE$981,"")</f>
        <v>0</v>
      </c>
      <c r="M65" s="22">
        <f>IFERROR(Calculations!$AF$981,"")</f>
        <v>0</v>
      </c>
      <c r="N65" s="22">
        <f>IFERROR(Calculations!$AG$981,"")</f>
        <v>0</v>
      </c>
      <c r="O65" s="22">
        <f>IFERROR(Calculations!$AH$981,"")</f>
        <v>0</v>
      </c>
    </row>
    <row r="66" spans="2:19">
      <c r="B66" s="13">
        <f>IF(Calculations!$U$982="","",Calculations!$U$982)</f>
        <v>0</v>
      </c>
      <c r="C66" s="22">
        <f>IFERROR(Calculations!$V$982,"")</f>
        <v>0</v>
      </c>
      <c r="D66" s="22">
        <f>IFERROR(Calculations!$W$982,"")</f>
        <v>0</v>
      </c>
      <c r="E66" s="22">
        <f>IFERROR(Calculations!$X$982,"")</f>
        <v>0</v>
      </c>
      <c r="F66" s="22">
        <f>IFERROR(Calculations!$Y$982,"")</f>
        <v>0</v>
      </c>
      <c r="G66" s="22">
        <f>IFERROR(Calculations!$Z$982,"")</f>
        <v>0</v>
      </c>
      <c r="H66" s="22">
        <f>IFERROR(Calculations!$AA$982,"")</f>
        <v>0</v>
      </c>
      <c r="I66" s="22">
        <f>IFERROR(Calculations!$AB$982,"")</f>
        <v>0</v>
      </c>
      <c r="J66" s="22">
        <f>IFERROR(Calculations!$AC$982,"")</f>
        <v>0</v>
      </c>
      <c r="K66" s="22">
        <f>IFERROR(Calculations!$AD$982,"")</f>
        <v>0</v>
      </c>
      <c r="L66" s="22">
        <f>IFERROR(Calculations!$AE$982,"")</f>
        <v>0</v>
      </c>
      <c r="M66" s="22">
        <f>IFERROR(Calculations!$AF$982,"")</f>
        <v>0</v>
      </c>
      <c r="N66" s="22">
        <f>IFERROR(Calculations!$AG$982,"")</f>
        <v>0</v>
      </c>
      <c r="O66" s="22">
        <f>IFERROR(Calculations!$AH$982,"")</f>
        <v>0</v>
      </c>
    </row>
    <row r="67" spans="2:19">
      <c r="B67" s="13">
        <f>IF(Calculations!$U$983="","",Calculations!$U$983)</f>
        <v>0</v>
      </c>
      <c r="C67" s="22">
        <f>IFERROR(Calculations!$V$983,"")</f>
        <v>0</v>
      </c>
      <c r="D67" s="22">
        <f>IFERROR(Calculations!$W$983,"")</f>
        <v>0</v>
      </c>
      <c r="E67" s="22">
        <f>IFERROR(Calculations!$X$983,"")</f>
        <v>0</v>
      </c>
      <c r="F67" s="22">
        <f>IFERROR(Calculations!$Y$983,"")</f>
        <v>0</v>
      </c>
      <c r="G67" s="22">
        <f>IFERROR(Calculations!$Z$983,"")</f>
        <v>0</v>
      </c>
      <c r="H67" s="22">
        <f>IFERROR(Calculations!$AA$983,"")</f>
        <v>0</v>
      </c>
      <c r="I67" s="22">
        <f>IFERROR(Calculations!$AB$983,"")</f>
        <v>0</v>
      </c>
      <c r="J67" s="22">
        <f>IFERROR(Calculations!$AC$983,"")</f>
        <v>0</v>
      </c>
      <c r="K67" s="22">
        <f>IFERROR(Calculations!$AD$983,"")</f>
        <v>0</v>
      </c>
      <c r="L67" s="22">
        <f>IFERROR(Calculations!$AE$983,"")</f>
        <v>0</v>
      </c>
      <c r="M67" s="22">
        <f>IFERROR(Calculations!$AF$983,"")</f>
        <v>0</v>
      </c>
      <c r="N67" s="22">
        <f>IFERROR(Calculations!$AG$983,"")</f>
        <v>0</v>
      </c>
      <c r="O67" s="22">
        <f>IFERROR(Calculations!$AH$983,"")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2340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2341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2342</v>
      </c>
      <c r="C13" s="37"/>
      <c r="D13" s="37"/>
      <c r="E13" s="37"/>
      <c r="F13" s="37" t="s">
        <v>2258</v>
      </c>
      <c r="G13" s="37"/>
      <c r="H13" s="37"/>
      <c r="I13" s="37"/>
      <c r="J13" s="37" t="s">
        <v>2343</v>
      </c>
      <c r="K13" s="37"/>
      <c r="L13" s="37"/>
      <c r="M13" s="37"/>
      <c r="N13" s="37" t="s">
        <v>2232</v>
      </c>
      <c r="O13" s="37"/>
      <c r="P13" s="37"/>
      <c r="Q13" s="37"/>
    </row>
    <row r="14" spans="2:19">
      <c r="B14" s="39">
        <f>Calculations!$N$1004</f>
        <v>0</v>
      </c>
      <c r="C14" s="39"/>
      <c r="D14" s="39"/>
      <c r="E14" s="39"/>
      <c r="F14" s="39">
        <f>Calculations!$N$1005</f>
        <v>0</v>
      </c>
      <c r="G14" s="39"/>
      <c r="H14" s="39"/>
      <c r="I14" s="39"/>
      <c r="J14" s="39">
        <f>Calculations!$N$1006</f>
        <v>0</v>
      </c>
      <c r="K14" s="39"/>
      <c r="L14" s="39"/>
      <c r="M14" s="39"/>
      <c r="N14" s="39">
        <f>Calculations!$N$1007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2344</v>
      </c>
      <c r="C19" s="37"/>
      <c r="D19" s="37"/>
      <c r="E19" s="37"/>
      <c r="F19" s="37" t="s">
        <v>2345</v>
      </c>
      <c r="G19" s="37"/>
      <c r="H19" s="37"/>
      <c r="I19" s="37"/>
      <c r="J19" s="37" t="s">
        <v>2346</v>
      </c>
      <c r="K19" s="37"/>
      <c r="L19" s="37"/>
      <c r="M19" s="37"/>
      <c r="N19" s="37" t="s">
        <v>2277</v>
      </c>
      <c r="O19" s="37"/>
      <c r="P19" s="37"/>
      <c r="Q19" s="37"/>
    </row>
    <row r="20" spans="2:19">
      <c r="B20" s="40">
        <f>Calculations!$N$1008</f>
        <v>0</v>
      </c>
      <c r="C20" s="40"/>
      <c r="D20" s="40"/>
      <c r="E20" s="40"/>
      <c r="F20" s="39">
        <f>Calculations!$N$1009</f>
        <v>0</v>
      </c>
      <c r="G20" s="39"/>
      <c r="H20" s="39"/>
      <c r="I20" s="39"/>
      <c r="J20" s="39">
        <f>Calculations!$N$1010</f>
        <v>0</v>
      </c>
      <c r="K20" s="39"/>
      <c r="L20" s="39"/>
      <c r="M20" s="39"/>
      <c r="N20" s="39">
        <f>Calculations!$N$1011</f>
        <v>0</v>
      </c>
      <c r="O20" s="39"/>
      <c r="P20" s="39"/>
      <c r="Q20" s="39"/>
    </row>
    <row r="21" spans="2:19">
      <c r="B21" s="40"/>
      <c r="C21" s="40"/>
      <c r="D21" s="40"/>
      <c r="E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"&amp;INDEX(Calculations!$C$1004:$C$1015,CurMonthNo)&amp;"   vs   "&amp;INDEX(L_Month,CurMonthNo-1)&amp;": "&amp;INDEX(Calculations!$C$1004:$C$1015,CurMonthNo-1)&amp;"   "&amp;IF(INDEX(Calculations!$C$1004:$C$1015,CurMonthNo)&gt;=INDEX(Calculations!$C$1004:$C$1015,CurMonthNo-1),"▲ ","▼ ")&amp;TEXT(IFERROR((INDEX(Calculations!$C$1004:$C$1015,CurMonthNo)-INDEX(Calculations!$C$1004:$C$1015,CurMonthNo-1))/INDEX(Calculations!$C$1004:$C$1015,CurMonthNo-1),0),"+0.0%;-0.0%")))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IFERROR(Calculations!$P$1004,"")</f>
        <v>0</v>
      </c>
      <c r="C45" s="22">
        <f>IFERROR(Calculations!$Q$1004,"")</f>
        <v>0</v>
      </c>
      <c r="D45" s="25">
        <f>IFERROR(Calculations!$R$1004,"")</f>
        <v>0</v>
      </c>
      <c r="E45" s="22">
        <f>IFERROR(Calculations!$S$1004,"")</f>
        <v>0</v>
      </c>
    </row>
    <row r="46" spans="2:19">
      <c r="B46" s="13">
        <f>IFERROR(Calculations!$P$1005,"")</f>
        <v>0</v>
      </c>
      <c r="C46" s="22">
        <f>IFERROR(Calculations!$Q$1005,"")</f>
        <v>0</v>
      </c>
      <c r="D46" s="25">
        <f>IFERROR(Calculations!$R$1005,"")</f>
        <v>0</v>
      </c>
      <c r="E46" s="22">
        <f>IFERROR(Calculations!$S$1005,"")</f>
        <v>0</v>
      </c>
    </row>
    <row r="47" spans="2:19">
      <c r="B47" s="13">
        <f>IFERROR(Calculations!$P$1006,"")</f>
        <v>0</v>
      </c>
      <c r="C47" s="22">
        <f>IFERROR(Calculations!$Q$1006,"")</f>
        <v>0</v>
      </c>
      <c r="D47" s="25">
        <f>IFERROR(Calculations!$R$1006,"")</f>
        <v>0</v>
      </c>
      <c r="E47" s="22">
        <f>IFERROR(Calculations!$S$1006,"")</f>
        <v>0</v>
      </c>
    </row>
    <row r="48" spans="2:19">
      <c r="B48" s="13">
        <f>IFERROR(Calculations!$P$1007,"")</f>
        <v>0</v>
      </c>
      <c r="C48" s="22">
        <f>IFERROR(Calculations!$Q$1007,"")</f>
        <v>0</v>
      </c>
      <c r="D48" s="25">
        <f>IFERROR(Calculations!$R$1007,"")</f>
        <v>0</v>
      </c>
      <c r="E48" s="22">
        <f>IFERROR(Calculations!$S$1007,"")</f>
        <v>0</v>
      </c>
    </row>
    <row r="49" spans="2:19">
      <c r="B49" s="13">
        <f>IFERROR(Calculations!$P$1008,"")</f>
        <v>0</v>
      </c>
      <c r="C49" s="22">
        <f>IFERROR(Calculations!$Q$1008,"")</f>
        <v>0</v>
      </c>
      <c r="D49" s="25">
        <f>IFERROR(Calculations!$R$1008,"")</f>
        <v>0</v>
      </c>
      <c r="E49" s="22">
        <f>IFERROR(Calculations!$S$1008,"")</f>
        <v>0</v>
      </c>
    </row>
    <row r="50" spans="2:19">
      <c r="B50" s="13">
        <f>IFERROR(Calculations!$P$1009,"")</f>
        <v>0</v>
      </c>
      <c r="C50" s="22">
        <f>IFERROR(Calculations!$Q$1009,"")</f>
        <v>0</v>
      </c>
      <c r="D50" s="25">
        <f>IFERROR(Calculations!$R$1009,"")</f>
        <v>0</v>
      </c>
      <c r="E50" s="22">
        <f>IFERROR(Calculations!$S$1009,"")</f>
        <v>0</v>
      </c>
    </row>
    <row r="51" spans="2:19">
      <c r="B51" s="13">
        <f>IFERROR(Calculations!$P$1010,"")</f>
        <v>0</v>
      </c>
      <c r="C51" s="22">
        <f>IFERROR(Calculations!$Q$1010,"")</f>
        <v>0</v>
      </c>
      <c r="D51" s="25">
        <f>IFERROR(Calculations!$R$1010,"")</f>
        <v>0</v>
      </c>
      <c r="E51" s="22">
        <f>IFERROR(Calculations!$S$1010,"")</f>
        <v>0</v>
      </c>
    </row>
    <row r="52" spans="2:19">
      <c r="B52" s="13">
        <f>IFERROR(Calculations!$P$1011,"")</f>
        <v>0</v>
      </c>
      <c r="C52" s="22">
        <f>IFERROR(Calculations!$Q$1011,"")</f>
        <v>0</v>
      </c>
      <c r="D52" s="25">
        <f>IFERROR(Calculations!$R$1011,"")</f>
        <v>0</v>
      </c>
      <c r="E52" s="22">
        <f>IFERROR(Calculations!$S$1011,"")</f>
        <v>0</v>
      </c>
    </row>
    <row r="53" spans="2:19">
      <c r="B53" s="13">
        <f>IFERROR(Calculations!$P$1012,"")</f>
        <v>0</v>
      </c>
      <c r="C53" s="22">
        <f>IFERROR(Calculations!$Q$1012,"")</f>
        <v>0</v>
      </c>
      <c r="D53" s="25">
        <f>IFERROR(Calculations!$R$1012,"")</f>
        <v>0</v>
      </c>
      <c r="E53" s="22">
        <f>IFERROR(Calculations!$S$1012,"")</f>
        <v>0</v>
      </c>
    </row>
    <row r="54" spans="2:19">
      <c r="B54" s="13">
        <f>IFERROR(Calculations!$P$1013,"")</f>
        <v>0</v>
      </c>
      <c r="C54" s="22">
        <f>IFERROR(Calculations!$Q$1013,"")</f>
        <v>0</v>
      </c>
      <c r="D54" s="25">
        <f>IFERROR(Calculations!$R$1013,"")</f>
        <v>0</v>
      </c>
      <c r="E54" s="22">
        <f>IFERROR(Calculations!$S$1013,"")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IF(Calculations!$U$1004="","",Calculations!$U$1004)</f>
        <v>0</v>
      </c>
      <c r="C62" s="22">
        <f>IFERROR(Calculations!$V$1004,"")</f>
        <v>0</v>
      </c>
      <c r="D62" s="22">
        <f>IFERROR(Calculations!$W$1004,"")</f>
        <v>0</v>
      </c>
      <c r="E62" s="22">
        <f>IFERROR(Calculations!$X$1004,"")</f>
        <v>0</v>
      </c>
      <c r="F62" s="22">
        <f>IFERROR(Calculations!$Y$1004,"")</f>
        <v>0</v>
      </c>
      <c r="G62" s="22">
        <f>IFERROR(Calculations!$Z$1004,"")</f>
        <v>0</v>
      </c>
      <c r="H62" s="22">
        <f>IFERROR(Calculations!$AA$1004,"")</f>
        <v>0</v>
      </c>
      <c r="I62" s="22">
        <f>IFERROR(Calculations!$AB$1004,"")</f>
        <v>0</v>
      </c>
      <c r="J62" s="22">
        <f>IFERROR(Calculations!$AC$1004,"")</f>
        <v>0</v>
      </c>
      <c r="K62" s="22">
        <f>IFERROR(Calculations!$AD$1004,"")</f>
        <v>0</v>
      </c>
      <c r="L62" s="22">
        <f>IFERROR(Calculations!$AE$1004,"")</f>
        <v>0</v>
      </c>
      <c r="M62" s="22">
        <f>IFERROR(Calculations!$AF$1004,"")</f>
        <v>0</v>
      </c>
      <c r="N62" s="22">
        <f>IFERROR(Calculations!$AG$1004,"")</f>
        <v>0</v>
      </c>
      <c r="O62" s="22">
        <f>IFERROR(Calculations!$AH$1004,"")</f>
        <v>0</v>
      </c>
    </row>
    <row r="63" spans="2:19">
      <c r="B63" s="13">
        <f>IF(Calculations!$U$1005="","",Calculations!$U$1005)</f>
        <v>0</v>
      </c>
      <c r="C63" s="22">
        <f>IFERROR(Calculations!$V$1005,"")</f>
        <v>0</v>
      </c>
      <c r="D63" s="22">
        <f>IFERROR(Calculations!$W$1005,"")</f>
        <v>0</v>
      </c>
      <c r="E63" s="22">
        <f>IFERROR(Calculations!$X$1005,"")</f>
        <v>0</v>
      </c>
      <c r="F63" s="22">
        <f>IFERROR(Calculations!$Y$1005,"")</f>
        <v>0</v>
      </c>
      <c r="G63" s="22">
        <f>IFERROR(Calculations!$Z$1005,"")</f>
        <v>0</v>
      </c>
      <c r="H63" s="22">
        <f>IFERROR(Calculations!$AA$1005,"")</f>
        <v>0</v>
      </c>
      <c r="I63" s="22">
        <f>IFERROR(Calculations!$AB$1005,"")</f>
        <v>0</v>
      </c>
      <c r="J63" s="22">
        <f>IFERROR(Calculations!$AC$1005,"")</f>
        <v>0</v>
      </c>
      <c r="K63" s="22">
        <f>IFERROR(Calculations!$AD$1005,"")</f>
        <v>0</v>
      </c>
      <c r="L63" s="22">
        <f>IFERROR(Calculations!$AE$1005,"")</f>
        <v>0</v>
      </c>
      <c r="M63" s="22">
        <f>IFERROR(Calculations!$AF$1005,"")</f>
        <v>0</v>
      </c>
      <c r="N63" s="22">
        <f>IFERROR(Calculations!$AG$1005,"")</f>
        <v>0</v>
      </c>
      <c r="O63" s="22">
        <f>IFERROR(Calculations!$AH$1005,"")</f>
        <v>0</v>
      </c>
    </row>
    <row r="64" spans="2:19">
      <c r="B64" s="13">
        <f>IF(Calculations!$U$1006="","",Calculations!$U$1006)</f>
        <v>0</v>
      </c>
      <c r="C64" s="22">
        <f>IFERROR(Calculations!$V$1006,"")</f>
        <v>0</v>
      </c>
      <c r="D64" s="22">
        <f>IFERROR(Calculations!$W$1006,"")</f>
        <v>0</v>
      </c>
      <c r="E64" s="22">
        <f>IFERROR(Calculations!$X$1006,"")</f>
        <v>0</v>
      </c>
      <c r="F64" s="22">
        <f>IFERROR(Calculations!$Y$1006,"")</f>
        <v>0</v>
      </c>
      <c r="G64" s="22">
        <f>IFERROR(Calculations!$Z$1006,"")</f>
        <v>0</v>
      </c>
      <c r="H64" s="22">
        <f>IFERROR(Calculations!$AA$1006,"")</f>
        <v>0</v>
      </c>
      <c r="I64" s="22">
        <f>IFERROR(Calculations!$AB$1006,"")</f>
        <v>0</v>
      </c>
      <c r="J64" s="22">
        <f>IFERROR(Calculations!$AC$1006,"")</f>
        <v>0</v>
      </c>
      <c r="K64" s="22">
        <f>IFERROR(Calculations!$AD$1006,"")</f>
        <v>0</v>
      </c>
      <c r="L64" s="22">
        <f>IFERROR(Calculations!$AE$1006,"")</f>
        <v>0</v>
      </c>
      <c r="M64" s="22">
        <f>IFERROR(Calculations!$AF$1006,"")</f>
        <v>0</v>
      </c>
      <c r="N64" s="22">
        <f>IFERROR(Calculations!$AG$1006,"")</f>
        <v>0</v>
      </c>
      <c r="O64" s="22">
        <f>IFERROR(Calculations!$AH$1006,"")</f>
        <v>0</v>
      </c>
    </row>
    <row r="65" spans="2:19">
      <c r="B65" s="13">
        <f>IF(Calculations!$U$1007="","",Calculations!$U$1007)</f>
        <v>0</v>
      </c>
      <c r="C65" s="22">
        <f>IFERROR(Calculations!$V$1007,"")</f>
        <v>0</v>
      </c>
      <c r="D65" s="22">
        <f>IFERROR(Calculations!$W$1007,"")</f>
        <v>0</v>
      </c>
      <c r="E65" s="22">
        <f>IFERROR(Calculations!$X$1007,"")</f>
        <v>0</v>
      </c>
      <c r="F65" s="22">
        <f>IFERROR(Calculations!$Y$1007,"")</f>
        <v>0</v>
      </c>
      <c r="G65" s="22">
        <f>IFERROR(Calculations!$Z$1007,"")</f>
        <v>0</v>
      </c>
      <c r="H65" s="22">
        <f>IFERROR(Calculations!$AA$1007,"")</f>
        <v>0</v>
      </c>
      <c r="I65" s="22">
        <f>IFERROR(Calculations!$AB$1007,"")</f>
        <v>0</v>
      </c>
      <c r="J65" s="22">
        <f>IFERROR(Calculations!$AC$1007,"")</f>
        <v>0</v>
      </c>
      <c r="K65" s="22">
        <f>IFERROR(Calculations!$AD$1007,"")</f>
        <v>0</v>
      </c>
      <c r="L65" s="22">
        <f>IFERROR(Calculations!$AE$1007,"")</f>
        <v>0</v>
      </c>
      <c r="M65" s="22">
        <f>IFERROR(Calculations!$AF$1007,"")</f>
        <v>0</v>
      </c>
      <c r="N65" s="22">
        <f>IFERROR(Calculations!$AG$1007,"")</f>
        <v>0</v>
      </c>
      <c r="O65" s="22">
        <f>IFERROR(Calculations!$AH$1007,"")</f>
        <v>0</v>
      </c>
    </row>
    <row r="66" spans="2:19">
      <c r="B66" s="13">
        <f>IF(Calculations!$U$1008="","",Calculations!$U$1008)</f>
        <v>0</v>
      </c>
      <c r="C66" s="22">
        <f>IFERROR(Calculations!$V$1008,"")</f>
        <v>0</v>
      </c>
      <c r="D66" s="22">
        <f>IFERROR(Calculations!$W$1008,"")</f>
        <v>0</v>
      </c>
      <c r="E66" s="22">
        <f>IFERROR(Calculations!$X$1008,"")</f>
        <v>0</v>
      </c>
      <c r="F66" s="22">
        <f>IFERROR(Calculations!$Y$1008,"")</f>
        <v>0</v>
      </c>
      <c r="G66" s="22">
        <f>IFERROR(Calculations!$Z$1008,"")</f>
        <v>0</v>
      </c>
      <c r="H66" s="22">
        <f>IFERROR(Calculations!$AA$1008,"")</f>
        <v>0</v>
      </c>
      <c r="I66" s="22">
        <f>IFERROR(Calculations!$AB$1008,"")</f>
        <v>0</v>
      </c>
      <c r="J66" s="22">
        <f>IFERROR(Calculations!$AC$1008,"")</f>
        <v>0</v>
      </c>
      <c r="K66" s="22">
        <f>IFERROR(Calculations!$AD$1008,"")</f>
        <v>0</v>
      </c>
      <c r="L66" s="22">
        <f>IFERROR(Calculations!$AE$1008,"")</f>
        <v>0</v>
      </c>
      <c r="M66" s="22">
        <f>IFERROR(Calculations!$AF$1008,"")</f>
        <v>0</v>
      </c>
      <c r="N66" s="22">
        <f>IFERROR(Calculations!$AG$1008,"")</f>
        <v>0</v>
      </c>
      <c r="O66" s="22">
        <f>IFERROR(Calculations!$AH$1008,"")</f>
        <v>0</v>
      </c>
    </row>
    <row r="67" spans="2:19">
      <c r="B67" s="13">
        <f>IF(Calculations!$U$1009="","",Calculations!$U$1009)</f>
        <v>0</v>
      </c>
      <c r="C67" s="22">
        <f>IFERROR(Calculations!$V$1009,"")</f>
        <v>0</v>
      </c>
      <c r="D67" s="22">
        <f>IFERROR(Calculations!$W$1009,"")</f>
        <v>0</v>
      </c>
      <c r="E67" s="22">
        <f>IFERROR(Calculations!$X$1009,"")</f>
        <v>0</v>
      </c>
      <c r="F67" s="22">
        <f>IFERROR(Calculations!$Y$1009,"")</f>
        <v>0</v>
      </c>
      <c r="G67" s="22">
        <f>IFERROR(Calculations!$Z$1009,"")</f>
        <v>0</v>
      </c>
      <c r="H67" s="22">
        <f>IFERROR(Calculations!$AA$1009,"")</f>
        <v>0</v>
      </c>
      <c r="I67" s="22">
        <f>IFERROR(Calculations!$AB$1009,"")</f>
        <v>0</v>
      </c>
      <c r="J67" s="22">
        <f>IFERROR(Calculations!$AC$1009,"")</f>
        <v>0</v>
      </c>
      <c r="K67" s="22">
        <f>IFERROR(Calculations!$AD$1009,"")</f>
        <v>0</v>
      </c>
      <c r="L67" s="22">
        <f>IFERROR(Calculations!$AE$1009,"")</f>
        <v>0</v>
      </c>
      <c r="M67" s="22">
        <f>IFERROR(Calculations!$AF$1009,"")</f>
        <v>0</v>
      </c>
      <c r="N67" s="22">
        <f>IFERROR(Calculations!$AG$1009,"")</f>
        <v>0</v>
      </c>
      <c r="O67" s="22">
        <f>IFERROR(Calculations!$AH$1009,"")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H71" s="12" t="s">
        <v>129</v>
      </c>
      <c r="I71" s="12" t="s">
        <v>2218</v>
      </c>
    </row>
    <row r="72" spans="2:19">
      <c r="H72" s="13">
        <f>INDEX(Calculations!$F$459:$F$463,1)</f>
        <v>0</v>
      </c>
      <c r="I72" s="22">
        <f>INDEX(Calculations!$G$459:$G$463,1)</f>
        <v>0</v>
      </c>
    </row>
    <row r="73" spans="2:19">
      <c r="H73" s="13">
        <f>INDEX(Calculations!$F$459:$F$463,2)</f>
        <v>0</v>
      </c>
      <c r="I73" s="22">
        <f>INDEX(Calculations!$G$459:$G$463,2)</f>
        <v>0</v>
      </c>
    </row>
    <row r="74" spans="2:19">
      <c r="H74" s="13">
        <f>INDEX(Calculations!$F$459:$F$463,3)</f>
        <v>0</v>
      </c>
      <c r="I74" s="22">
        <f>INDEX(Calculations!$G$459:$G$463,3)</f>
        <v>0</v>
      </c>
    </row>
    <row r="75" spans="2:19">
      <c r="H75" s="13">
        <f>INDEX(Calculations!$F$459:$F$463,4)</f>
        <v>0</v>
      </c>
      <c r="I75" s="22">
        <f>INDEX(Calculations!$G$459:$G$463,4)</f>
        <v>0</v>
      </c>
    </row>
    <row r="76" spans="2:19">
      <c r="H76" s="13">
        <f>INDEX(Calculations!$F$459:$F$463,5)</f>
        <v>0</v>
      </c>
      <c r="I76" s="22">
        <f>INDEX(Calculations!$G$459:$G$463,5)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7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2347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2348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2349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2232</v>
      </c>
      <c r="O13" s="37"/>
      <c r="P13" s="37"/>
      <c r="Q13" s="37"/>
    </row>
    <row r="14" spans="2:19">
      <c r="B14" s="39">
        <f>Calculations!$N$1030</f>
        <v>0</v>
      </c>
      <c r="C14" s="39"/>
      <c r="D14" s="39"/>
      <c r="E14" s="39"/>
      <c r="F14" s="39">
        <f>Calculations!$N$1031</f>
        <v>0</v>
      </c>
      <c r="G14" s="39"/>
      <c r="H14" s="39"/>
      <c r="I14" s="39"/>
      <c r="J14" s="39">
        <f>Calculations!$N$1032</f>
        <v>0</v>
      </c>
      <c r="K14" s="39"/>
      <c r="L14" s="39"/>
      <c r="M14" s="39"/>
      <c r="N14" s="39">
        <f>Calculations!$N$1033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2213</v>
      </c>
      <c r="C19" s="37"/>
      <c r="D19" s="37"/>
      <c r="E19" s="37"/>
      <c r="F19" s="37" t="s">
        <v>2214</v>
      </c>
      <c r="G19" s="37"/>
      <c r="H19" s="37"/>
      <c r="I19" s="37"/>
      <c r="J19" s="37" t="s">
        <v>2215</v>
      </c>
      <c r="K19" s="37"/>
      <c r="L19" s="37"/>
      <c r="M19" s="37"/>
      <c r="N19" s="37" t="s">
        <v>2344</v>
      </c>
      <c r="O19" s="37"/>
      <c r="P19" s="37"/>
      <c r="Q19" s="37"/>
    </row>
    <row r="20" spans="2:19">
      <c r="B20" s="39">
        <f>Calculations!$N$1034</f>
        <v>0</v>
      </c>
      <c r="C20" s="39"/>
      <c r="D20" s="39"/>
      <c r="E20" s="39"/>
      <c r="F20" s="39">
        <f>Calculations!$N$1035</f>
        <v>0</v>
      </c>
      <c r="G20" s="39"/>
      <c r="H20" s="39"/>
      <c r="I20" s="39"/>
      <c r="J20" s="39">
        <f>Calculations!$N$1036</f>
        <v>0</v>
      </c>
      <c r="K20" s="39"/>
      <c r="L20" s="39"/>
      <c r="M20" s="39"/>
      <c r="N20" s="40">
        <f>Calculations!$N$1037</f>
        <v>0</v>
      </c>
      <c r="O20" s="40"/>
      <c r="P20" s="40"/>
      <c r="Q20" s="40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40"/>
      <c r="O21" s="40"/>
      <c r="P21" s="40"/>
      <c r="Q21" s="40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"&amp;INDEX(Calculations!$C$1030:$C$1041,CurMonthNo)&amp;"   vs   "&amp;INDEX(L_Month,CurMonthNo-1)&amp;": "&amp;INDEX(Calculations!$C$1030:$C$1041,CurMonthNo-1)&amp;"   "&amp;IF(INDEX(Calculations!$C$1030:$C$1041,CurMonthNo)&gt;=INDEX(Calculations!$C$1030:$C$1041,CurMonthNo-1),"▲ ","▼ ")&amp;TEXT(IFERROR((INDEX(Calculations!$C$1030:$C$1041,CurMonthNo)-INDEX(Calculations!$C$1030:$C$1041,CurMonthNo-1))/INDEX(Calculations!$C$1030:$C$1041,CurMonthNo-1),0),"+0.0%;-0.0%")))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IFERROR(Calculations!$P$1030,"")</f>
        <v>0</v>
      </c>
      <c r="C45" s="22">
        <f>IFERROR(Calculations!$Q$1030,"")</f>
        <v>0</v>
      </c>
      <c r="D45" s="25">
        <f>IFERROR(Calculations!$R$1030,"")</f>
        <v>0</v>
      </c>
      <c r="E45" s="22">
        <f>IFERROR(Calculations!$S$1030,"")</f>
        <v>0</v>
      </c>
    </row>
    <row r="46" spans="2:19">
      <c r="B46" s="13">
        <f>IFERROR(Calculations!$P$1031,"")</f>
        <v>0</v>
      </c>
      <c r="C46" s="22">
        <f>IFERROR(Calculations!$Q$1031,"")</f>
        <v>0</v>
      </c>
      <c r="D46" s="25">
        <f>IFERROR(Calculations!$R$1031,"")</f>
        <v>0</v>
      </c>
      <c r="E46" s="22">
        <f>IFERROR(Calculations!$S$1031,"")</f>
        <v>0</v>
      </c>
    </row>
    <row r="47" spans="2:19">
      <c r="B47" s="13">
        <f>IFERROR(Calculations!$P$1032,"")</f>
        <v>0</v>
      </c>
      <c r="C47" s="22">
        <f>IFERROR(Calculations!$Q$1032,"")</f>
        <v>0</v>
      </c>
      <c r="D47" s="25">
        <f>IFERROR(Calculations!$R$1032,"")</f>
        <v>0</v>
      </c>
      <c r="E47" s="22">
        <f>IFERROR(Calculations!$S$1032,"")</f>
        <v>0</v>
      </c>
    </row>
    <row r="48" spans="2:19">
      <c r="B48" s="13">
        <f>IFERROR(Calculations!$P$1033,"")</f>
        <v>0</v>
      </c>
      <c r="C48" s="22">
        <f>IFERROR(Calculations!$Q$1033,"")</f>
        <v>0</v>
      </c>
      <c r="D48" s="25">
        <f>IFERROR(Calculations!$R$1033,"")</f>
        <v>0</v>
      </c>
      <c r="E48" s="22">
        <f>IFERROR(Calculations!$S$1033,"")</f>
        <v>0</v>
      </c>
    </row>
    <row r="49" spans="2:19">
      <c r="B49" s="13">
        <f>IFERROR(Calculations!$P$1034,"")</f>
        <v>0</v>
      </c>
      <c r="C49" s="22">
        <f>IFERROR(Calculations!$Q$1034,"")</f>
        <v>0</v>
      </c>
      <c r="D49" s="25">
        <f>IFERROR(Calculations!$R$1034,"")</f>
        <v>0</v>
      </c>
      <c r="E49" s="22">
        <f>IFERROR(Calculations!$S$1034,"")</f>
        <v>0</v>
      </c>
    </row>
    <row r="50" spans="2:19">
      <c r="B50" s="13">
        <f>IFERROR(Calculations!$P$1035,"")</f>
        <v>0</v>
      </c>
      <c r="C50" s="22">
        <f>IFERROR(Calculations!$Q$1035,"")</f>
        <v>0</v>
      </c>
      <c r="D50" s="25">
        <f>IFERROR(Calculations!$R$1035,"")</f>
        <v>0</v>
      </c>
      <c r="E50" s="22">
        <f>IFERROR(Calculations!$S$1035,"")</f>
        <v>0</v>
      </c>
    </row>
    <row r="51" spans="2:19">
      <c r="B51" s="13">
        <f>IFERROR(Calculations!$P$1036,"")</f>
        <v>0</v>
      </c>
      <c r="C51" s="22">
        <f>IFERROR(Calculations!$Q$1036,"")</f>
        <v>0</v>
      </c>
      <c r="D51" s="25">
        <f>IFERROR(Calculations!$R$1036,"")</f>
        <v>0</v>
      </c>
      <c r="E51" s="22">
        <f>IFERROR(Calculations!$S$1036,"")</f>
        <v>0</v>
      </c>
    </row>
    <row r="52" spans="2:19">
      <c r="B52" s="13">
        <f>IFERROR(Calculations!$P$1037,"")</f>
        <v>0</v>
      </c>
      <c r="C52" s="22">
        <f>IFERROR(Calculations!$Q$1037,"")</f>
        <v>0</v>
      </c>
      <c r="D52" s="25">
        <f>IFERROR(Calculations!$R$1037,"")</f>
        <v>0</v>
      </c>
      <c r="E52" s="22">
        <f>IFERROR(Calculations!$S$1037,"")</f>
        <v>0</v>
      </c>
    </row>
    <row r="53" spans="2:19">
      <c r="B53" s="13">
        <f>IFERROR(Calculations!$P$1038,"")</f>
        <v>0</v>
      </c>
      <c r="C53" s="22">
        <f>IFERROR(Calculations!$Q$1038,"")</f>
        <v>0</v>
      </c>
      <c r="D53" s="25">
        <f>IFERROR(Calculations!$R$1038,"")</f>
        <v>0</v>
      </c>
      <c r="E53" s="22">
        <f>IFERROR(Calculations!$S$1038,"")</f>
        <v>0</v>
      </c>
    </row>
    <row r="54" spans="2:19">
      <c r="B54" s="13">
        <f>IFERROR(Calculations!$P$1039,"")</f>
        <v>0</v>
      </c>
      <c r="C54" s="22">
        <f>IFERROR(Calculations!$Q$1039,"")</f>
        <v>0</v>
      </c>
      <c r="D54" s="25">
        <f>IFERROR(Calculations!$R$1039,"")</f>
        <v>0</v>
      </c>
      <c r="E54" s="22">
        <f>IFERROR(Calculations!$S$1039,"")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IF(Calculations!$U$1030="","",Calculations!$U$1030)</f>
        <v>0</v>
      </c>
      <c r="C62" s="22">
        <f>IFERROR(Calculations!$V$1030,"")</f>
        <v>0</v>
      </c>
      <c r="D62" s="22">
        <f>IFERROR(Calculations!$W$1030,"")</f>
        <v>0</v>
      </c>
      <c r="E62" s="22">
        <f>IFERROR(Calculations!$X$1030,"")</f>
        <v>0</v>
      </c>
      <c r="F62" s="22">
        <f>IFERROR(Calculations!$Y$1030,"")</f>
        <v>0</v>
      </c>
      <c r="G62" s="22">
        <f>IFERROR(Calculations!$Z$1030,"")</f>
        <v>0</v>
      </c>
      <c r="H62" s="22">
        <f>IFERROR(Calculations!$AA$1030,"")</f>
        <v>0</v>
      </c>
      <c r="I62" s="22">
        <f>IFERROR(Calculations!$AB$1030,"")</f>
        <v>0</v>
      </c>
      <c r="J62" s="22">
        <f>IFERROR(Calculations!$AC$1030,"")</f>
        <v>0</v>
      </c>
      <c r="K62" s="22">
        <f>IFERROR(Calculations!$AD$1030,"")</f>
        <v>0</v>
      </c>
      <c r="L62" s="22">
        <f>IFERROR(Calculations!$AE$1030,"")</f>
        <v>0</v>
      </c>
      <c r="M62" s="22">
        <f>IFERROR(Calculations!$AF$1030,"")</f>
        <v>0</v>
      </c>
      <c r="N62" s="22">
        <f>IFERROR(Calculations!$AG$1030,"")</f>
        <v>0</v>
      </c>
      <c r="O62" s="22">
        <f>IFERROR(Calculations!$AH$1030,"")</f>
        <v>0</v>
      </c>
    </row>
    <row r="63" spans="2:19">
      <c r="B63" s="13">
        <f>IF(Calculations!$U$1031="","",Calculations!$U$1031)</f>
        <v>0</v>
      </c>
      <c r="C63" s="22">
        <f>IFERROR(Calculations!$V$1031,"")</f>
        <v>0</v>
      </c>
      <c r="D63" s="22">
        <f>IFERROR(Calculations!$W$1031,"")</f>
        <v>0</v>
      </c>
      <c r="E63" s="22">
        <f>IFERROR(Calculations!$X$1031,"")</f>
        <v>0</v>
      </c>
      <c r="F63" s="22">
        <f>IFERROR(Calculations!$Y$1031,"")</f>
        <v>0</v>
      </c>
      <c r="G63" s="22">
        <f>IFERROR(Calculations!$Z$1031,"")</f>
        <v>0</v>
      </c>
      <c r="H63" s="22">
        <f>IFERROR(Calculations!$AA$1031,"")</f>
        <v>0</v>
      </c>
      <c r="I63" s="22">
        <f>IFERROR(Calculations!$AB$1031,"")</f>
        <v>0</v>
      </c>
      <c r="J63" s="22">
        <f>IFERROR(Calculations!$AC$1031,"")</f>
        <v>0</v>
      </c>
      <c r="K63" s="22">
        <f>IFERROR(Calculations!$AD$1031,"")</f>
        <v>0</v>
      </c>
      <c r="L63" s="22">
        <f>IFERROR(Calculations!$AE$1031,"")</f>
        <v>0</v>
      </c>
      <c r="M63" s="22">
        <f>IFERROR(Calculations!$AF$1031,"")</f>
        <v>0</v>
      </c>
      <c r="N63" s="22">
        <f>IFERROR(Calculations!$AG$1031,"")</f>
        <v>0</v>
      </c>
      <c r="O63" s="22">
        <f>IFERROR(Calculations!$AH$1031,"")</f>
        <v>0</v>
      </c>
    </row>
    <row r="64" spans="2:19">
      <c r="B64" s="13">
        <f>IF(Calculations!$U$1032="","",Calculations!$U$1032)</f>
        <v>0</v>
      </c>
      <c r="C64" s="22">
        <f>IFERROR(Calculations!$V$1032,"")</f>
        <v>0</v>
      </c>
      <c r="D64" s="22">
        <f>IFERROR(Calculations!$W$1032,"")</f>
        <v>0</v>
      </c>
      <c r="E64" s="22">
        <f>IFERROR(Calculations!$X$1032,"")</f>
        <v>0</v>
      </c>
      <c r="F64" s="22">
        <f>IFERROR(Calculations!$Y$1032,"")</f>
        <v>0</v>
      </c>
      <c r="G64" s="22">
        <f>IFERROR(Calculations!$Z$1032,"")</f>
        <v>0</v>
      </c>
      <c r="H64" s="22">
        <f>IFERROR(Calculations!$AA$1032,"")</f>
        <v>0</v>
      </c>
      <c r="I64" s="22">
        <f>IFERROR(Calculations!$AB$1032,"")</f>
        <v>0</v>
      </c>
      <c r="J64" s="22">
        <f>IFERROR(Calculations!$AC$1032,"")</f>
        <v>0</v>
      </c>
      <c r="K64" s="22">
        <f>IFERROR(Calculations!$AD$1032,"")</f>
        <v>0</v>
      </c>
      <c r="L64" s="22">
        <f>IFERROR(Calculations!$AE$1032,"")</f>
        <v>0</v>
      </c>
      <c r="M64" s="22">
        <f>IFERROR(Calculations!$AF$1032,"")</f>
        <v>0</v>
      </c>
      <c r="N64" s="22">
        <f>IFERROR(Calculations!$AG$1032,"")</f>
        <v>0</v>
      </c>
      <c r="O64" s="22">
        <f>IFERROR(Calculations!$AH$1032,"")</f>
        <v>0</v>
      </c>
    </row>
    <row r="65" spans="2:19">
      <c r="B65" s="13">
        <f>IF(Calculations!$U$1033="","",Calculations!$U$1033)</f>
        <v>0</v>
      </c>
      <c r="C65" s="22">
        <f>IFERROR(Calculations!$V$1033,"")</f>
        <v>0</v>
      </c>
      <c r="D65" s="22">
        <f>IFERROR(Calculations!$W$1033,"")</f>
        <v>0</v>
      </c>
      <c r="E65" s="22">
        <f>IFERROR(Calculations!$X$1033,"")</f>
        <v>0</v>
      </c>
      <c r="F65" s="22">
        <f>IFERROR(Calculations!$Y$1033,"")</f>
        <v>0</v>
      </c>
      <c r="G65" s="22">
        <f>IFERROR(Calculations!$Z$1033,"")</f>
        <v>0</v>
      </c>
      <c r="H65" s="22">
        <f>IFERROR(Calculations!$AA$1033,"")</f>
        <v>0</v>
      </c>
      <c r="I65" s="22">
        <f>IFERROR(Calculations!$AB$1033,"")</f>
        <v>0</v>
      </c>
      <c r="J65" s="22">
        <f>IFERROR(Calculations!$AC$1033,"")</f>
        <v>0</v>
      </c>
      <c r="K65" s="22">
        <f>IFERROR(Calculations!$AD$1033,"")</f>
        <v>0</v>
      </c>
      <c r="L65" s="22">
        <f>IFERROR(Calculations!$AE$1033,"")</f>
        <v>0</v>
      </c>
      <c r="M65" s="22">
        <f>IFERROR(Calculations!$AF$1033,"")</f>
        <v>0</v>
      </c>
      <c r="N65" s="22">
        <f>IFERROR(Calculations!$AG$1033,"")</f>
        <v>0</v>
      </c>
      <c r="O65" s="22">
        <f>IFERROR(Calculations!$AH$1033,"")</f>
        <v>0</v>
      </c>
    </row>
    <row r="66" spans="2:19">
      <c r="B66" s="13">
        <f>IF(Calculations!$U$1034="","",Calculations!$U$1034)</f>
        <v>0</v>
      </c>
      <c r="C66" s="22">
        <f>IFERROR(Calculations!$V$1034,"")</f>
        <v>0</v>
      </c>
      <c r="D66" s="22">
        <f>IFERROR(Calculations!$W$1034,"")</f>
        <v>0</v>
      </c>
      <c r="E66" s="22">
        <f>IFERROR(Calculations!$X$1034,"")</f>
        <v>0</v>
      </c>
      <c r="F66" s="22">
        <f>IFERROR(Calculations!$Y$1034,"")</f>
        <v>0</v>
      </c>
      <c r="G66" s="22">
        <f>IFERROR(Calculations!$Z$1034,"")</f>
        <v>0</v>
      </c>
      <c r="H66" s="22">
        <f>IFERROR(Calculations!$AA$1034,"")</f>
        <v>0</v>
      </c>
      <c r="I66" s="22">
        <f>IFERROR(Calculations!$AB$1034,"")</f>
        <v>0</v>
      </c>
      <c r="J66" s="22">
        <f>IFERROR(Calculations!$AC$1034,"")</f>
        <v>0</v>
      </c>
      <c r="K66" s="22">
        <f>IFERROR(Calculations!$AD$1034,"")</f>
        <v>0</v>
      </c>
      <c r="L66" s="22">
        <f>IFERROR(Calculations!$AE$1034,"")</f>
        <v>0</v>
      </c>
      <c r="M66" s="22">
        <f>IFERROR(Calculations!$AF$1034,"")</f>
        <v>0</v>
      </c>
      <c r="N66" s="22">
        <f>IFERROR(Calculations!$AG$1034,"")</f>
        <v>0</v>
      </c>
      <c r="O66" s="22">
        <f>IFERROR(Calculations!$AH$1034,"")</f>
        <v>0</v>
      </c>
    </row>
    <row r="67" spans="2:19">
      <c r="B67" s="13">
        <f>IF(Calculations!$U$1035="","",Calculations!$U$1035)</f>
        <v>0</v>
      </c>
      <c r="C67" s="22">
        <f>IFERROR(Calculations!$V$1035,"")</f>
        <v>0</v>
      </c>
      <c r="D67" s="22">
        <f>IFERROR(Calculations!$W$1035,"")</f>
        <v>0</v>
      </c>
      <c r="E67" s="22">
        <f>IFERROR(Calculations!$X$1035,"")</f>
        <v>0</v>
      </c>
      <c r="F67" s="22">
        <f>IFERROR(Calculations!$Y$1035,"")</f>
        <v>0</v>
      </c>
      <c r="G67" s="22">
        <f>IFERROR(Calculations!$Z$1035,"")</f>
        <v>0</v>
      </c>
      <c r="H67" s="22">
        <f>IFERROR(Calculations!$AA$1035,"")</f>
        <v>0</v>
      </c>
      <c r="I67" s="22">
        <f>IFERROR(Calculations!$AB$1035,"")</f>
        <v>0</v>
      </c>
      <c r="J67" s="22">
        <f>IFERROR(Calculations!$AC$1035,"")</f>
        <v>0</v>
      </c>
      <c r="K67" s="22">
        <f>IFERROR(Calculations!$AD$1035,"")</f>
        <v>0</v>
      </c>
      <c r="L67" s="22">
        <f>IFERROR(Calculations!$AE$1035,"")</f>
        <v>0</v>
      </c>
      <c r="M67" s="22">
        <f>IFERROR(Calculations!$AF$1035,"")</f>
        <v>0</v>
      </c>
      <c r="N67" s="22">
        <f>IFERROR(Calculations!$AG$1035,"")</f>
        <v>0</v>
      </c>
      <c r="O67" s="22">
        <f>IFERROR(Calculations!$AH$1035,"")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H71" s="12" t="s">
        <v>129</v>
      </c>
      <c r="I71" s="12" t="s">
        <v>2218</v>
      </c>
    </row>
    <row r="72" spans="2:19">
      <c r="H72" s="13">
        <f>INDEX(Calculations!$F$435:$F$439,1)</f>
        <v>0</v>
      </c>
      <c r="I72" s="22">
        <f>INDEX(Calculations!$G$435:$G$439,1)</f>
        <v>0</v>
      </c>
    </row>
    <row r="73" spans="2:19">
      <c r="H73" s="13">
        <f>INDEX(Calculations!$F$435:$F$439,2)</f>
        <v>0</v>
      </c>
      <c r="I73" s="22">
        <f>INDEX(Calculations!$G$435:$G$439,2)</f>
        <v>0</v>
      </c>
    </row>
    <row r="74" spans="2:19">
      <c r="H74" s="13">
        <f>INDEX(Calculations!$F$435:$F$439,3)</f>
        <v>0</v>
      </c>
      <c r="I74" s="22">
        <f>INDEX(Calculations!$G$435:$G$439,3)</f>
        <v>0</v>
      </c>
    </row>
    <row r="75" spans="2:19">
      <c r="H75" s="13">
        <f>INDEX(Calculations!$F$435:$F$439,4)</f>
        <v>0</v>
      </c>
      <c r="I75" s="22">
        <f>INDEX(Calculations!$G$435:$G$439,4)</f>
        <v>0</v>
      </c>
    </row>
    <row r="76" spans="2:19">
      <c r="H76" s="13">
        <f>INDEX(Calculations!$F$435:$F$439,5)</f>
        <v>0</v>
      </c>
      <c r="I76" s="22">
        <f>INDEX(Calculations!$G$435:$G$439,5)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8">
    <tabColor rgb="FF0B6EA8"/>
    <pageSetUpPr fitToPage="1"/>
  </sheetPr>
  <dimension ref="A1:S76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2350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2351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2349</v>
      </c>
      <c r="C13" s="37"/>
      <c r="D13" s="37"/>
      <c r="E13" s="37"/>
      <c r="F13" s="37" t="s">
        <v>2222</v>
      </c>
      <c r="G13" s="37"/>
      <c r="H13" s="37"/>
      <c r="I13" s="37"/>
      <c r="J13" s="37" t="s">
        <v>2223</v>
      </c>
      <c r="K13" s="37"/>
      <c r="L13" s="37"/>
      <c r="M13" s="37"/>
      <c r="N13" s="37" t="s">
        <v>2232</v>
      </c>
      <c r="O13" s="37"/>
      <c r="P13" s="37"/>
      <c r="Q13" s="37"/>
    </row>
    <row r="14" spans="2:19">
      <c r="B14" s="39">
        <f>Calculations!$N$1056</f>
        <v>0</v>
      </c>
      <c r="C14" s="39"/>
      <c r="D14" s="39"/>
      <c r="E14" s="39"/>
      <c r="F14" s="39">
        <f>Calculations!$N$1057</f>
        <v>0</v>
      </c>
      <c r="G14" s="39"/>
      <c r="H14" s="39"/>
      <c r="I14" s="39"/>
      <c r="J14" s="39">
        <f>Calculations!$N$1058</f>
        <v>0</v>
      </c>
      <c r="K14" s="39"/>
      <c r="L14" s="39"/>
      <c r="M14" s="39"/>
      <c r="N14" s="39">
        <f>Calculations!$N$1059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2213</v>
      </c>
      <c r="C19" s="37"/>
      <c r="D19" s="37"/>
      <c r="E19" s="37"/>
      <c r="F19" s="37" t="s">
        <v>2214</v>
      </c>
      <c r="G19" s="37"/>
      <c r="H19" s="37"/>
      <c r="I19" s="37"/>
      <c r="J19" s="37" t="s">
        <v>2215</v>
      </c>
      <c r="K19" s="37"/>
      <c r="L19" s="37"/>
      <c r="M19" s="37"/>
      <c r="N19" s="37" t="s">
        <v>2344</v>
      </c>
      <c r="O19" s="37"/>
      <c r="P19" s="37"/>
      <c r="Q19" s="37"/>
    </row>
    <row r="20" spans="2:19">
      <c r="B20" s="39">
        <f>Calculations!$N$1060</f>
        <v>0</v>
      </c>
      <c r="C20" s="39"/>
      <c r="D20" s="39"/>
      <c r="E20" s="39"/>
      <c r="F20" s="39">
        <f>Calculations!$N$1061</f>
        <v>0</v>
      </c>
      <c r="G20" s="39"/>
      <c r="H20" s="39"/>
      <c r="I20" s="39"/>
      <c r="J20" s="39">
        <f>Calculations!$N$1062</f>
        <v>0</v>
      </c>
      <c r="K20" s="39"/>
      <c r="L20" s="39"/>
      <c r="M20" s="39"/>
      <c r="N20" s="40">
        <f>Calculations!$N$1063</f>
        <v>0</v>
      </c>
      <c r="O20" s="40"/>
      <c r="P20" s="40"/>
      <c r="Q20" s="40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40"/>
      <c r="O21" s="40"/>
      <c r="P21" s="40"/>
      <c r="Q21" s="40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"&amp;INDEX(Calculations!$C$1056:$C$1067,CurMonthNo)&amp;"   vs   "&amp;INDEX(L_Month,CurMonthNo-1)&amp;": "&amp;INDEX(Calculations!$C$1056:$C$1067,CurMonthNo-1)&amp;"   "&amp;IF(INDEX(Calculations!$C$1056:$C$1067,CurMonthNo)&gt;=INDEX(Calculations!$C$1056:$C$1067,CurMonthNo-1),"▲ ","▼ ")&amp;TEXT(IFERROR((INDEX(Calculations!$C$1056:$C$1067,CurMonthNo)-INDEX(Calculations!$C$1056:$C$1067,CurMonthNo-1))/INDEX(Calculations!$C$1056:$C$1067,CurMonthNo-1),0),"+0.0%;-0.0%")))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IFERROR(Calculations!$P$1056,"")</f>
        <v>0</v>
      </c>
      <c r="C45" s="22">
        <f>IFERROR(Calculations!$Q$1056,"")</f>
        <v>0</v>
      </c>
      <c r="D45" s="25">
        <f>IFERROR(Calculations!$R$1056,"")</f>
        <v>0</v>
      </c>
      <c r="E45" s="22">
        <f>IFERROR(Calculations!$S$1056,"")</f>
        <v>0</v>
      </c>
    </row>
    <row r="46" spans="2:19">
      <c r="B46" s="13">
        <f>IFERROR(Calculations!$P$1057,"")</f>
        <v>0</v>
      </c>
      <c r="C46" s="22">
        <f>IFERROR(Calculations!$Q$1057,"")</f>
        <v>0</v>
      </c>
      <c r="D46" s="25">
        <f>IFERROR(Calculations!$R$1057,"")</f>
        <v>0</v>
      </c>
      <c r="E46" s="22">
        <f>IFERROR(Calculations!$S$1057,"")</f>
        <v>0</v>
      </c>
    </row>
    <row r="47" spans="2:19">
      <c r="B47" s="13">
        <f>IFERROR(Calculations!$P$1058,"")</f>
        <v>0</v>
      </c>
      <c r="C47" s="22">
        <f>IFERROR(Calculations!$Q$1058,"")</f>
        <v>0</v>
      </c>
      <c r="D47" s="25">
        <f>IFERROR(Calculations!$R$1058,"")</f>
        <v>0</v>
      </c>
      <c r="E47" s="22">
        <f>IFERROR(Calculations!$S$1058,"")</f>
        <v>0</v>
      </c>
    </row>
    <row r="48" spans="2:19">
      <c r="B48" s="13">
        <f>IFERROR(Calculations!$P$1059,"")</f>
        <v>0</v>
      </c>
      <c r="C48" s="22">
        <f>IFERROR(Calculations!$Q$1059,"")</f>
        <v>0</v>
      </c>
      <c r="D48" s="25">
        <f>IFERROR(Calculations!$R$1059,"")</f>
        <v>0</v>
      </c>
      <c r="E48" s="22">
        <f>IFERROR(Calculations!$S$1059,"")</f>
        <v>0</v>
      </c>
    </row>
    <row r="49" spans="2:19">
      <c r="B49" s="13">
        <f>IFERROR(Calculations!$P$1060,"")</f>
        <v>0</v>
      </c>
      <c r="C49" s="22">
        <f>IFERROR(Calculations!$Q$1060,"")</f>
        <v>0</v>
      </c>
      <c r="D49" s="25">
        <f>IFERROR(Calculations!$R$1060,"")</f>
        <v>0</v>
      </c>
      <c r="E49" s="22">
        <f>IFERROR(Calculations!$S$1060,"")</f>
        <v>0</v>
      </c>
    </row>
    <row r="50" spans="2:19">
      <c r="B50" s="13">
        <f>IFERROR(Calculations!$P$1061,"")</f>
        <v>0</v>
      </c>
      <c r="C50" s="22">
        <f>IFERROR(Calculations!$Q$1061,"")</f>
        <v>0</v>
      </c>
      <c r="D50" s="25">
        <f>IFERROR(Calculations!$R$1061,"")</f>
        <v>0</v>
      </c>
      <c r="E50" s="22">
        <f>IFERROR(Calculations!$S$1061,"")</f>
        <v>0</v>
      </c>
    </row>
    <row r="51" spans="2:19">
      <c r="B51" s="13">
        <f>IFERROR(Calculations!$P$1062,"")</f>
        <v>0</v>
      </c>
      <c r="C51" s="22">
        <f>IFERROR(Calculations!$Q$1062,"")</f>
        <v>0</v>
      </c>
      <c r="D51" s="25">
        <f>IFERROR(Calculations!$R$1062,"")</f>
        <v>0</v>
      </c>
      <c r="E51" s="22">
        <f>IFERROR(Calculations!$S$1062,"")</f>
        <v>0</v>
      </c>
    </row>
    <row r="52" spans="2:19">
      <c r="B52" s="13">
        <f>IFERROR(Calculations!$P$1063,"")</f>
        <v>0</v>
      </c>
      <c r="C52" s="22">
        <f>IFERROR(Calculations!$Q$1063,"")</f>
        <v>0</v>
      </c>
      <c r="D52" s="25">
        <f>IFERROR(Calculations!$R$1063,"")</f>
        <v>0</v>
      </c>
      <c r="E52" s="22">
        <f>IFERROR(Calculations!$S$1063,"")</f>
        <v>0</v>
      </c>
    </row>
    <row r="53" spans="2:19">
      <c r="B53" s="13">
        <f>IFERROR(Calculations!$P$1064,"")</f>
        <v>0</v>
      </c>
      <c r="C53" s="22">
        <f>IFERROR(Calculations!$Q$1064,"")</f>
        <v>0</v>
      </c>
      <c r="D53" s="25">
        <f>IFERROR(Calculations!$R$1064,"")</f>
        <v>0</v>
      </c>
      <c r="E53" s="22">
        <f>IFERROR(Calculations!$S$1064,"")</f>
        <v>0</v>
      </c>
    </row>
    <row r="54" spans="2:19">
      <c r="B54" s="13">
        <f>IFERROR(Calculations!$P$1065,"")</f>
        <v>0</v>
      </c>
      <c r="C54" s="22">
        <f>IFERROR(Calculations!$Q$1065,"")</f>
        <v>0</v>
      </c>
      <c r="D54" s="25">
        <f>IFERROR(Calculations!$R$1065,"")</f>
        <v>0</v>
      </c>
      <c r="E54" s="22">
        <f>IFERROR(Calculations!$S$1065,"")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IF(Calculations!$U$1056="","",Calculations!$U$1056)</f>
        <v>0</v>
      </c>
      <c r="C62" s="22">
        <f>IFERROR(Calculations!$V$1056,"")</f>
        <v>0</v>
      </c>
      <c r="D62" s="22">
        <f>IFERROR(Calculations!$W$1056,"")</f>
        <v>0</v>
      </c>
      <c r="E62" s="22">
        <f>IFERROR(Calculations!$X$1056,"")</f>
        <v>0</v>
      </c>
      <c r="F62" s="22">
        <f>IFERROR(Calculations!$Y$1056,"")</f>
        <v>0</v>
      </c>
      <c r="G62" s="22">
        <f>IFERROR(Calculations!$Z$1056,"")</f>
        <v>0</v>
      </c>
      <c r="H62" s="22">
        <f>IFERROR(Calculations!$AA$1056,"")</f>
        <v>0</v>
      </c>
      <c r="I62" s="22">
        <f>IFERROR(Calculations!$AB$1056,"")</f>
        <v>0</v>
      </c>
      <c r="J62" s="22">
        <f>IFERROR(Calculations!$AC$1056,"")</f>
        <v>0</v>
      </c>
      <c r="K62" s="22">
        <f>IFERROR(Calculations!$AD$1056,"")</f>
        <v>0</v>
      </c>
      <c r="L62" s="22">
        <f>IFERROR(Calculations!$AE$1056,"")</f>
        <v>0</v>
      </c>
      <c r="M62" s="22">
        <f>IFERROR(Calculations!$AF$1056,"")</f>
        <v>0</v>
      </c>
      <c r="N62" s="22">
        <f>IFERROR(Calculations!$AG$1056,"")</f>
        <v>0</v>
      </c>
      <c r="O62" s="22">
        <f>IFERROR(Calculations!$AH$1056,"")</f>
        <v>0</v>
      </c>
    </row>
    <row r="63" spans="2:19">
      <c r="B63" s="13">
        <f>IF(Calculations!$U$1057="","",Calculations!$U$1057)</f>
        <v>0</v>
      </c>
      <c r="C63" s="22">
        <f>IFERROR(Calculations!$V$1057,"")</f>
        <v>0</v>
      </c>
      <c r="D63" s="22">
        <f>IFERROR(Calculations!$W$1057,"")</f>
        <v>0</v>
      </c>
      <c r="E63" s="22">
        <f>IFERROR(Calculations!$X$1057,"")</f>
        <v>0</v>
      </c>
      <c r="F63" s="22">
        <f>IFERROR(Calculations!$Y$1057,"")</f>
        <v>0</v>
      </c>
      <c r="G63" s="22">
        <f>IFERROR(Calculations!$Z$1057,"")</f>
        <v>0</v>
      </c>
      <c r="H63" s="22">
        <f>IFERROR(Calculations!$AA$1057,"")</f>
        <v>0</v>
      </c>
      <c r="I63" s="22">
        <f>IFERROR(Calculations!$AB$1057,"")</f>
        <v>0</v>
      </c>
      <c r="J63" s="22">
        <f>IFERROR(Calculations!$AC$1057,"")</f>
        <v>0</v>
      </c>
      <c r="K63" s="22">
        <f>IFERROR(Calculations!$AD$1057,"")</f>
        <v>0</v>
      </c>
      <c r="L63" s="22">
        <f>IFERROR(Calculations!$AE$1057,"")</f>
        <v>0</v>
      </c>
      <c r="M63" s="22">
        <f>IFERROR(Calculations!$AF$1057,"")</f>
        <v>0</v>
      </c>
      <c r="N63" s="22">
        <f>IFERROR(Calculations!$AG$1057,"")</f>
        <v>0</v>
      </c>
      <c r="O63" s="22">
        <f>IFERROR(Calculations!$AH$1057,"")</f>
        <v>0</v>
      </c>
    </row>
    <row r="64" spans="2:19">
      <c r="B64" s="13">
        <f>IF(Calculations!$U$1058="","",Calculations!$U$1058)</f>
        <v>0</v>
      </c>
      <c r="C64" s="22">
        <f>IFERROR(Calculations!$V$1058,"")</f>
        <v>0</v>
      </c>
      <c r="D64" s="22">
        <f>IFERROR(Calculations!$W$1058,"")</f>
        <v>0</v>
      </c>
      <c r="E64" s="22">
        <f>IFERROR(Calculations!$X$1058,"")</f>
        <v>0</v>
      </c>
      <c r="F64" s="22">
        <f>IFERROR(Calculations!$Y$1058,"")</f>
        <v>0</v>
      </c>
      <c r="G64" s="22">
        <f>IFERROR(Calculations!$Z$1058,"")</f>
        <v>0</v>
      </c>
      <c r="H64" s="22">
        <f>IFERROR(Calculations!$AA$1058,"")</f>
        <v>0</v>
      </c>
      <c r="I64" s="22">
        <f>IFERROR(Calculations!$AB$1058,"")</f>
        <v>0</v>
      </c>
      <c r="J64" s="22">
        <f>IFERROR(Calculations!$AC$1058,"")</f>
        <v>0</v>
      </c>
      <c r="K64" s="22">
        <f>IFERROR(Calculations!$AD$1058,"")</f>
        <v>0</v>
      </c>
      <c r="L64" s="22">
        <f>IFERROR(Calculations!$AE$1058,"")</f>
        <v>0</v>
      </c>
      <c r="M64" s="22">
        <f>IFERROR(Calculations!$AF$1058,"")</f>
        <v>0</v>
      </c>
      <c r="N64" s="22">
        <f>IFERROR(Calculations!$AG$1058,"")</f>
        <v>0</v>
      </c>
      <c r="O64" s="22">
        <f>IFERROR(Calculations!$AH$1058,"")</f>
        <v>0</v>
      </c>
    </row>
    <row r="65" spans="2:19">
      <c r="B65" s="13">
        <f>IF(Calculations!$U$1059="","",Calculations!$U$1059)</f>
        <v>0</v>
      </c>
      <c r="C65" s="22">
        <f>IFERROR(Calculations!$V$1059,"")</f>
        <v>0</v>
      </c>
      <c r="D65" s="22">
        <f>IFERROR(Calculations!$W$1059,"")</f>
        <v>0</v>
      </c>
      <c r="E65" s="22">
        <f>IFERROR(Calculations!$X$1059,"")</f>
        <v>0</v>
      </c>
      <c r="F65" s="22">
        <f>IFERROR(Calculations!$Y$1059,"")</f>
        <v>0</v>
      </c>
      <c r="G65" s="22">
        <f>IFERROR(Calculations!$Z$1059,"")</f>
        <v>0</v>
      </c>
      <c r="H65" s="22">
        <f>IFERROR(Calculations!$AA$1059,"")</f>
        <v>0</v>
      </c>
      <c r="I65" s="22">
        <f>IFERROR(Calculations!$AB$1059,"")</f>
        <v>0</v>
      </c>
      <c r="J65" s="22">
        <f>IFERROR(Calculations!$AC$1059,"")</f>
        <v>0</v>
      </c>
      <c r="K65" s="22">
        <f>IFERROR(Calculations!$AD$1059,"")</f>
        <v>0</v>
      </c>
      <c r="L65" s="22">
        <f>IFERROR(Calculations!$AE$1059,"")</f>
        <v>0</v>
      </c>
      <c r="M65" s="22">
        <f>IFERROR(Calculations!$AF$1059,"")</f>
        <v>0</v>
      </c>
      <c r="N65" s="22">
        <f>IFERROR(Calculations!$AG$1059,"")</f>
        <v>0</v>
      </c>
      <c r="O65" s="22">
        <f>IFERROR(Calculations!$AH$1059,"")</f>
        <v>0</v>
      </c>
    </row>
    <row r="66" spans="2:19">
      <c r="B66" s="13">
        <f>IF(Calculations!$U$1060="","",Calculations!$U$1060)</f>
        <v>0</v>
      </c>
      <c r="C66" s="22">
        <f>IFERROR(Calculations!$V$1060,"")</f>
        <v>0</v>
      </c>
      <c r="D66" s="22">
        <f>IFERROR(Calculations!$W$1060,"")</f>
        <v>0</v>
      </c>
      <c r="E66" s="22">
        <f>IFERROR(Calculations!$X$1060,"")</f>
        <v>0</v>
      </c>
      <c r="F66" s="22">
        <f>IFERROR(Calculations!$Y$1060,"")</f>
        <v>0</v>
      </c>
      <c r="G66" s="22">
        <f>IFERROR(Calculations!$Z$1060,"")</f>
        <v>0</v>
      </c>
      <c r="H66" s="22">
        <f>IFERROR(Calculations!$AA$1060,"")</f>
        <v>0</v>
      </c>
      <c r="I66" s="22">
        <f>IFERROR(Calculations!$AB$1060,"")</f>
        <v>0</v>
      </c>
      <c r="J66" s="22">
        <f>IFERROR(Calculations!$AC$1060,"")</f>
        <v>0</v>
      </c>
      <c r="K66" s="22">
        <f>IFERROR(Calculations!$AD$1060,"")</f>
        <v>0</v>
      </c>
      <c r="L66" s="22">
        <f>IFERROR(Calculations!$AE$1060,"")</f>
        <v>0</v>
      </c>
      <c r="M66" s="22">
        <f>IFERROR(Calculations!$AF$1060,"")</f>
        <v>0</v>
      </c>
      <c r="N66" s="22">
        <f>IFERROR(Calculations!$AG$1060,"")</f>
        <v>0</v>
      </c>
      <c r="O66" s="22">
        <f>IFERROR(Calculations!$AH$1060,"")</f>
        <v>0</v>
      </c>
    </row>
    <row r="67" spans="2:19">
      <c r="B67" s="13">
        <f>IF(Calculations!$U$1061="","",Calculations!$U$1061)</f>
        <v>0</v>
      </c>
      <c r="C67" s="22">
        <f>IFERROR(Calculations!$V$1061,"")</f>
        <v>0</v>
      </c>
      <c r="D67" s="22">
        <f>IFERROR(Calculations!$W$1061,"")</f>
        <v>0</v>
      </c>
      <c r="E67" s="22">
        <f>IFERROR(Calculations!$X$1061,"")</f>
        <v>0</v>
      </c>
      <c r="F67" s="22">
        <f>IFERROR(Calculations!$Y$1061,"")</f>
        <v>0</v>
      </c>
      <c r="G67" s="22">
        <f>IFERROR(Calculations!$Z$1061,"")</f>
        <v>0</v>
      </c>
      <c r="H67" s="22">
        <f>IFERROR(Calculations!$AA$1061,"")</f>
        <v>0</v>
      </c>
      <c r="I67" s="22">
        <f>IFERROR(Calculations!$AB$1061,"")</f>
        <v>0</v>
      </c>
      <c r="J67" s="22">
        <f>IFERROR(Calculations!$AC$1061,"")</f>
        <v>0</v>
      </c>
      <c r="K67" s="22">
        <f>IFERROR(Calculations!$AD$1061,"")</f>
        <v>0</v>
      </c>
      <c r="L67" s="22">
        <f>IFERROR(Calculations!$AE$1061,"")</f>
        <v>0</v>
      </c>
      <c r="M67" s="22">
        <f>IFERROR(Calculations!$AF$1061,"")</f>
        <v>0</v>
      </c>
      <c r="N67" s="22">
        <f>IFERROR(Calculations!$AG$1061,"")</f>
        <v>0</v>
      </c>
      <c r="O67" s="22">
        <f>IFERROR(Calculations!$AH$1061,"")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H71" s="12" t="s">
        <v>129</v>
      </c>
      <c r="I71" s="12" t="s">
        <v>2218</v>
      </c>
    </row>
    <row r="72" spans="2:19">
      <c r="H72" s="13">
        <f>INDEX(Calculations!$F$447:$F$451,1)</f>
        <v>0</v>
      </c>
      <c r="I72" s="22">
        <f>INDEX(Calculations!$G$447:$G$451,1)</f>
        <v>0</v>
      </c>
    </row>
    <row r="73" spans="2:19">
      <c r="H73" s="13">
        <f>INDEX(Calculations!$F$447:$F$451,2)</f>
        <v>0</v>
      </c>
      <c r="I73" s="22">
        <f>INDEX(Calculations!$G$447:$G$451,2)</f>
        <v>0</v>
      </c>
    </row>
    <row r="74" spans="2:19">
      <c r="H74" s="13">
        <f>INDEX(Calculations!$F$447:$F$451,3)</f>
        <v>0</v>
      </c>
      <c r="I74" s="22">
        <f>INDEX(Calculations!$G$447:$G$451,3)</f>
        <v>0</v>
      </c>
    </row>
    <row r="75" spans="2:19">
      <c r="H75" s="13">
        <f>INDEX(Calculations!$F$447:$F$451,4)</f>
        <v>0</v>
      </c>
      <c r="I75" s="22">
        <f>INDEX(Calculations!$G$447:$G$451,4)</f>
        <v>0</v>
      </c>
    </row>
    <row r="76" spans="2:19">
      <c r="H76" s="13">
        <f>INDEX(Calculations!$F$447:$F$451,5)</f>
        <v>0</v>
      </c>
      <c r="I76" s="22">
        <f>INDEX(Calculations!$G$447:$G$451,5)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9">
    <tabColor rgb="FF0B6EA8"/>
    <pageSetUpPr fitToPage="1"/>
  </sheetPr>
  <dimension ref="A1:S73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9" t="s">
        <v>2352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 t="s">
        <v>2107</v>
      </c>
      <c r="O2" s="50"/>
      <c r="P2" s="50"/>
      <c r="Q2" s="50"/>
      <c r="R2" s="50"/>
      <c r="S2" s="50"/>
    </row>
    <row r="3" spans="2:19"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0"/>
      <c r="O3" s="50"/>
      <c r="P3" s="50"/>
      <c r="Q3" s="50"/>
      <c r="R3" s="50"/>
      <c r="S3" s="50"/>
    </row>
    <row r="4" spans="2:19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50"/>
      <c r="O4" s="50"/>
      <c r="P4" s="50"/>
      <c r="Q4" s="50"/>
      <c r="R4" s="50"/>
      <c r="S4" s="50"/>
    </row>
    <row r="5" spans="2:19">
      <c r="B5" s="51" t="s">
        <v>2353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0"/>
      <c r="O5" s="50"/>
      <c r="P5" s="50"/>
      <c r="Q5" s="50"/>
      <c r="R5" s="50"/>
      <c r="S5" s="50"/>
    </row>
    <row r="6" spans="2:19" ht="3" customHeight="1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</row>
    <row r="7" spans="2:19">
      <c r="O7" s="32" t="s">
        <v>2066</v>
      </c>
      <c r="Q7" s="33">
        <f>LastRefresh</f>
        <v>0</v>
      </c>
    </row>
    <row r="9" spans="2:19">
      <c r="B9" s="52" t="s">
        <v>2108</v>
      </c>
      <c r="C9" s="52" t="s">
        <v>2109</v>
      </c>
      <c r="D9" s="52" t="s">
        <v>2110</v>
      </c>
      <c r="E9" s="52"/>
      <c r="F9" s="52" t="s">
        <v>2192</v>
      </c>
      <c r="G9" s="52"/>
      <c r="H9" s="52"/>
    </row>
    <row r="11" spans="2:19">
      <c r="B11" s="11" t="s">
        <v>2193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2:19" ht="4" customHeight="1">
      <c r="B12" s="64"/>
      <c r="C12" s="64"/>
      <c r="D12" s="64"/>
      <c r="E12" s="64"/>
      <c r="F12" s="36"/>
      <c r="G12" s="36"/>
      <c r="H12" s="36"/>
      <c r="I12" s="36"/>
      <c r="J12" s="35"/>
      <c r="K12" s="35"/>
      <c r="L12" s="35"/>
      <c r="M12" s="35"/>
      <c r="N12" s="34"/>
      <c r="O12" s="34"/>
      <c r="P12" s="34"/>
      <c r="Q12" s="34"/>
    </row>
    <row r="13" spans="2:19">
      <c r="B13" s="37" t="s">
        <v>2194</v>
      </c>
      <c r="C13" s="37"/>
      <c r="D13" s="37"/>
      <c r="E13" s="37"/>
      <c r="F13" s="37" t="s">
        <v>2343</v>
      </c>
      <c r="G13" s="37"/>
      <c r="H13" s="37"/>
      <c r="I13" s="37"/>
      <c r="J13" s="37" t="s">
        <v>2258</v>
      </c>
      <c r="K13" s="37"/>
      <c r="L13" s="37"/>
      <c r="M13" s="37"/>
      <c r="N13" s="37" t="s">
        <v>2232</v>
      </c>
      <c r="O13" s="37"/>
      <c r="P13" s="37"/>
      <c r="Q13" s="37"/>
    </row>
    <row r="14" spans="2:19">
      <c r="B14" s="39">
        <f>Calculations!$N$1082</f>
        <v>0</v>
      </c>
      <c r="C14" s="39"/>
      <c r="D14" s="39"/>
      <c r="E14" s="39"/>
      <c r="F14" s="39">
        <f>Calculations!$N$1083</f>
        <v>0</v>
      </c>
      <c r="G14" s="39"/>
      <c r="H14" s="39"/>
      <c r="I14" s="39"/>
      <c r="J14" s="39">
        <f>Calculations!$N$1084</f>
        <v>0</v>
      </c>
      <c r="K14" s="39"/>
      <c r="L14" s="39"/>
      <c r="M14" s="39"/>
      <c r="N14" s="39">
        <f>Calculations!$N$1085</f>
        <v>0</v>
      </c>
      <c r="O14" s="39"/>
      <c r="P14" s="39"/>
      <c r="Q14" s="39"/>
    </row>
    <row r="15" spans="2:19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2:19">
      <c r="B16" s="41" t="s">
        <v>2195</v>
      </c>
      <c r="C16" s="41"/>
      <c r="D16" s="41"/>
      <c r="E16" s="41"/>
      <c r="F16" s="41" t="s">
        <v>2195</v>
      </c>
      <c r="G16" s="41"/>
      <c r="H16" s="41"/>
      <c r="I16" s="41"/>
      <c r="J16" s="41" t="s">
        <v>2195</v>
      </c>
      <c r="K16" s="41"/>
      <c r="L16" s="41"/>
      <c r="M16" s="41"/>
      <c r="N16" s="41" t="s">
        <v>2195</v>
      </c>
      <c r="O16" s="41"/>
      <c r="P16" s="41"/>
      <c r="Q16" s="41"/>
    </row>
    <row r="18" spans="2:19" ht="4" customHeight="1">
      <c r="B18" s="64"/>
      <c r="C18" s="64"/>
      <c r="D18" s="64"/>
      <c r="E18" s="64"/>
      <c r="F18" s="36"/>
      <c r="G18" s="36"/>
      <c r="H18" s="36"/>
      <c r="I18" s="36"/>
      <c r="J18" s="35"/>
      <c r="K18" s="35"/>
      <c r="L18" s="35"/>
      <c r="M18" s="35"/>
      <c r="N18" s="34"/>
      <c r="O18" s="34"/>
      <c r="P18" s="34"/>
      <c r="Q18" s="34"/>
    </row>
    <row r="19" spans="2:19">
      <c r="B19" s="37" t="s">
        <v>2117</v>
      </c>
      <c r="C19" s="37"/>
      <c r="D19" s="37"/>
      <c r="E19" s="37"/>
      <c r="F19" s="37" t="s">
        <v>2115</v>
      </c>
      <c r="G19" s="37"/>
      <c r="H19" s="37"/>
      <c r="I19" s="37"/>
      <c r="J19" s="37" t="s">
        <v>2354</v>
      </c>
      <c r="K19" s="37"/>
      <c r="L19" s="37"/>
      <c r="M19" s="37"/>
      <c r="N19" s="37" t="s">
        <v>2355</v>
      </c>
      <c r="O19" s="37"/>
      <c r="P19" s="37"/>
      <c r="Q19" s="37"/>
    </row>
    <row r="20" spans="2:19">
      <c r="B20" s="39">
        <f>Calculations!$N$1086</f>
        <v>0</v>
      </c>
      <c r="C20" s="39"/>
      <c r="D20" s="39"/>
      <c r="E20" s="39"/>
      <c r="F20" s="39">
        <f>Calculations!$N$1087</f>
        <v>0</v>
      </c>
      <c r="G20" s="39"/>
      <c r="H20" s="39"/>
      <c r="I20" s="39"/>
      <c r="J20" s="39">
        <f>Calculations!$N$1088</f>
        <v>0</v>
      </c>
      <c r="K20" s="39"/>
      <c r="L20" s="39"/>
      <c r="M20" s="39"/>
      <c r="N20" s="39">
        <f>Calculations!$N$1089</f>
        <v>0</v>
      </c>
      <c r="O20" s="39"/>
      <c r="P20" s="39"/>
      <c r="Q20" s="39"/>
    </row>
    <row r="21" spans="2:19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9">
      <c r="B22" s="41" t="s">
        <v>2195</v>
      </c>
      <c r="C22" s="41"/>
      <c r="D22" s="41"/>
      <c r="E22" s="41"/>
      <c r="F22" s="41" t="s">
        <v>2195</v>
      </c>
      <c r="G22" s="41"/>
      <c r="H22" s="41"/>
      <c r="I22" s="41"/>
      <c r="J22" s="41" t="s">
        <v>2195</v>
      </c>
      <c r="K22" s="41"/>
      <c r="L22" s="41"/>
      <c r="M22" s="41"/>
      <c r="N22" s="41" t="s">
        <v>2195</v>
      </c>
      <c r="O22" s="41"/>
      <c r="P22" s="41"/>
      <c r="Q22" s="41"/>
    </row>
    <row r="24" spans="2:19">
      <c r="B24" s="65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"&amp;INDEX(Calculations!$C$1082:$C$1093,CurMonthNo)&amp;"   vs   "&amp;INDEX(L_Month,CurMonthNo-1)&amp;": "&amp;INDEX(Calculations!$C$1082:$C$1093,CurMonthNo-1)&amp;"   "&amp;IF(INDEX(Calculations!$C$1082:$C$1093,CurMonthNo)&gt;=INDEX(Calculations!$C$1082:$C$1093,CurMonthNo-1),"▲ ","▼ ")&amp;TEXT(IFERROR((INDEX(Calculations!$C$1082:$C$1093,CurMonthNo)-INDEX(Calculations!$C$1082:$C$1093,CurMonthNo-1))/INDEX(Calculations!$C$1082:$C$1093,CurMonthNo-1),0),"+0.0%;-0.0%")))</f>
        <v>0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6" spans="2:19">
      <c r="B26" s="11" t="s">
        <v>2203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43" spans="2:19">
      <c r="B43" s="11" t="s">
        <v>2205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2:19">
      <c r="B44" s="12" t="s">
        <v>129</v>
      </c>
      <c r="C44" s="12" t="s">
        <v>1887</v>
      </c>
      <c r="D44" s="12" t="s">
        <v>1979</v>
      </c>
      <c r="E44" s="12" t="s">
        <v>1694</v>
      </c>
    </row>
    <row r="45" spans="2:19">
      <c r="B45" s="13">
        <f>IFERROR(Calculations!$P$1082,"")</f>
        <v>0</v>
      </c>
      <c r="C45" s="22">
        <f>IFERROR(Calculations!$Q$1082,"")</f>
        <v>0</v>
      </c>
      <c r="D45" s="25">
        <f>IFERROR(Calculations!$R$1082,"")</f>
        <v>0</v>
      </c>
      <c r="E45" s="22">
        <f>IFERROR(Calculations!$S$1082,"")</f>
        <v>0</v>
      </c>
    </row>
    <row r="46" spans="2:19">
      <c r="B46" s="13">
        <f>IFERROR(Calculations!$P$1083,"")</f>
        <v>0</v>
      </c>
      <c r="C46" s="22">
        <f>IFERROR(Calculations!$Q$1083,"")</f>
        <v>0</v>
      </c>
      <c r="D46" s="25">
        <f>IFERROR(Calculations!$R$1083,"")</f>
        <v>0</v>
      </c>
      <c r="E46" s="22">
        <f>IFERROR(Calculations!$S$1083,"")</f>
        <v>0</v>
      </c>
    </row>
    <row r="47" spans="2:19">
      <c r="B47" s="13">
        <f>IFERROR(Calculations!$P$1084,"")</f>
        <v>0</v>
      </c>
      <c r="C47" s="22">
        <f>IFERROR(Calculations!$Q$1084,"")</f>
        <v>0</v>
      </c>
      <c r="D47" s="25">
        <f>IFERROR(Calculations!$R$1084,"")</f>
        <v>0</v>
      </c>
      <c r="E47" s="22">
        <f>IFERROR(Calculations!$S$1084,"")</f>
        <v>0</v>
      </c>
    </row>
    <row r="48" spans="2:19">
      <c r="B48" s="13">
        <f>IFERROR(Calculations!$P$1085,"")</f>
        <v>0</v>
      </c>
      <c r="C48" s="22">
        <f>IFERROR(Calculations!$Q$1085,"")</f>
        <v>0</v>
      </c>
      <c r="D48" s="25">
        <f>IFERROR(Calculations!$R$1085,"")</f>
        <v>0</v>
      </c>
      <c r="E48" s="22">
        <f>IFERROR(Calculations!$S$1085,"")</f>
        <v>0</v>
      </c>
    </row>
    <row r="49" spans="2:19">
      <c r="B49" s="13">
        <f>IFERROR(Calculations!$P$1086,"")</f>
        <v>0</v>
      </c>
      <c r="C49" s="22">
        <f>IFERROR(Calculations!$Q$1086,"")</f>
        <v>0</v>
      </c>
      <c r="D49" s="25">
        <f>IFERROR(Calculations!$R$1086,"")</f>
        <v>0</v>
      </c>
      <c r="E49" s="22">
        <f>IFERROR(Calculations!$S$1086,"")</f>
        <v>0</v>
      </c>
    </row>
    <row r="50" spans="2:19">
      <c r="B50" s="13">
        <f>IFERROR(Calculations!$P$1087,"")</f>
        <v>0</v>
      </c>
      <c r="C50" s="22">
        <f>IFERROR(Calculations!$Q$1087,"")</f>
        <v>0</v>
      </c>
      <c r="D50" s="25">
        <f>IFERROR(Calculations!$R$1087,"")</f>
        <v>0</v>
      </c>
      <c r="E50" s="22">
        <f>IFERROR(Calculations!$S$1087,"")</f>
        <v>0</v>
      </c>
    </row>
    <row r="51" spans="2:19">
      <c r="B51" s="13">
        <f>IFERROR(Calculations!$P$1088,"")</f>
        <v>0</v>
      </c>
      <c r="C51" s="22">
        <f>IFERROR(Calculations!$Q$1088,"")</f>
        <v>0</v>
      </c>
      <c r="D51" s="25">
        <f>IFERROR(Calculations!$R$1088,"")</f>
        <v>0</v>
      </c>
      <c r="E51" s="22">
        <f>IFERROR(Calculations!$S$1088,"")</f>
        <v>0</v>
      </c>
    </row>
    <row r="52" spans="2:19">
      <c r="B52" s="13">
        <f>IFERROR(Calculations!$P$1089,"")</f>
        <v>0</v>
      </c>
      <c r="C52" s="22">
        <f>IFERROR(Calculations!$Q$1089,"")</f>
        <v>0</v>
      </c>
      <c r="D52" s="25">
        <f>IFERROR(Calculations!$R$1089,"")</f>
        <v>0</v>
      </c>
      <c r="E52" s="22">
        <f>IFERROR(Calculations!$S$1089,"")</f>
        <v>0</v>
      </c>
    </row>
    <row r="53" spans="2:19">
      <c r="B53" s="13">
        <f>IFERROR(Calculations!$P$1090,"")</f>
        <v>0</v>
      </c>
      <c r="C53" s="22">
        <f>IFERROR(Calculations!$Q$1090,"")</f>
        <v>0</v>
      </c>
      <c r="D53" s="25">
        <f>IFERROR(Calculations!$R$1090,"")</f>
        <v>0</v>
      </c>
      <c r="E53" s="22">
        <f>IFERROR(Calculations!$S$1090,"")</f>
        <v>0</v>
      </c>
    </row>
    <row r="54" spans="2:19">
      <c r="B54" s="13">
        <f>IFERROR(Calculations!$P$1091,"")</f>
        <v>0</v>
      </c>
      <c r="C54" s="22">
        <f>IFERROR(Calculations!$Q$1091,"")</f>
        <v>0</v>
      </c>
      <c r="D54" s="25">
        <f>IFERROR(Calculations!$R$1091,"")</f>
        <v>0</v>
      </c>
      <c r="E54" s="22">
        <f>IFERROR(Calculations!$S$1091,"")</f>
        <v>0</v>
      </c>
    </row>
    <row r="60" spans="2:19">
      <c r="B60" s="11" t="s">
        <v>2206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2:19">
      <c r="B61" s="12" t="s">
        <v>1970</v>
      </c>
      <c r="C61" s="12" t="s">
        <v>3</v>
      </c>
      <c r="D61" s="12" t="s">
        <v>19</v>
      </c>
      <c r="E61" s="12" t="s">
        <v>44</v>
      </c>
      <c r="F61" s="12" t="s">
        <v>53</v>
      </c>
      <c r="G61" s="12" t="s">
        <v>60</v>
      </c>
      <c r="H61" s="12" t="s">
        <v>73</v>
      </c>
      <c r="I61" s="12" t="s">
        <v>76</v>
      </c>
      <c r="J61" s="12" t="s">
        <v>86</v>
      </c>
      <c r="K61" s="12" t="s">
        <v>102</v>
      </c>
      <c r="L61" s="12" t="s">
        <v>106</v>
      </c>
      <c r="M61" s="12" t="s">
        <v>111</v>
      </c>
      <c r="N61" s="12" t="s">
        <v>122</v>
      </c>
      <c r="O61" s="12" t="s">
        <v>1971</v>
      </c>
    </row>
    <row r="62" spans="2:19">
      <c r="B62" s="13">
        <f>IF(Calculations!$U$1082="","",Calculations!$U$1082)</f>
        <v>0</v>
      </c>
      <c r="C62" s="22">
        <f>IFERROR(Calculations!$V$1082,"")</f>
        <v>0</v>
      </c>
      <c r="D62" s="22">
        <f>IFERROR(Calculations!$W$1082,"")</f>
        <v>0</v>
      </c>
      <c r="E62" s="22">
        <f>IFERROR(Calculations!$X$1082,"")</f>
        <v>0</v>
      </c>
      <c r="F62" s="22">
        <f>IFERROR(Calculations!$Y$1082,"")</f>
        <v>0</v>
      </c>
      <c r="G62" s="22">
        <f>IFERROR(Calculations!$Z$1082,"")</f>
        <v>0</v>
      </c>
      <c r="H62" s="22">
        <f>IFERROR(Calculations!$AA$1082,"")</f>
        <v>0</v>
      </c>
      <c r="I62" s="22">
        <f>IFERROR(Calculations!$AB$1082,"")</f>
        <v>0</v>
      </c>
      <c r="J62" s="22">
        <f>IFERROR(Calculations!$AC$1082,"")</f>
        <v>0</v>
      </c>
      <c r="K62" s="22">
        <f>IFERROR(Calculations!$AD$1082,"")</f>
        <v>0</v>
      </c>
      <c r="L62" s="22">
        <f>IFERROR(Calculations!$AE$1082,"")</f>
        <v>0</v>
      </c>
      <c r="M62" s="22">
        <f>IFERROR(Calculations!$AF$1082,"")</f>
        <v>0</v>
      </c>
      <c r="N62" s="22">
        <f>IFERROR(Calculations!$AG$1082,"")</f>
        <v>0</v>
      </c>
      <c r="O62" s="22">
        <f>IFERROR(Calculations!$AH$1082,"")</f>
        <v>0</v>
      </c>
    </row>
    <row r="63" spans="2:19">
      <c r="B63" s="13">
        <f>IF(Calculations!$U$1083="","",Calculations!$U$1083)</f>
        <v>0</v>
      </c>
      <c r="C63" s="22">
        <f>IFERROR(Calculations!$V$1083,"")</f>
        <v>0</v>
      </c>
      <c r="D63" s="22">
        <f>IFERROR(Calculations!$W$1083,"")</f>
        <v>0</v>
      </c>
      <c r="E63" s="22">
        <f>IFERROR(Calculations!$X$1083,"")</f>
        <v>0</v>
      </c>
      <c r="F63" s="22">
        <f>IFERROR(Calculations!$Y$1083,"")</f>
        <v>0</v>
      </c>
      <c r="G63" s="22">
        <f>IFERROR(Calculations!$Z$1083,"")</f>
        <v>0</v>
      </c>
      <c r="H63" s="22">
        <f>IFERROR(Calculations!$AA$1083,"")</f>
        <v>0</v>
      </c>
      <c r="I63" s="22">
        <f>IFERROR(Calculations!$AB$1083,"")</f>
        <v>0</v>
      </c>
      <c r="J63" s="22">
        <f>IFERROR(Calculations!$AC$1083,"")</f>
        <v>0</v>
      </c>
      <c r="K63" s="22">
        <f>IFERROR(Calculations!$AD$1083,"")</f>
        <v>0</v>
      </c>
      <c r="L63" s="22">
        <f>IFERROR(Calculations!$AE$1083,"")</f>
        <v>0</v>
      </c>
      <c r="M63" s="22">
        <f>IFERROR(Calculations!$AF$1083,"")</f>
        <v>0</v>
      </c>
      <c r="N63" s="22">
        <f>IFERROR(Calculations!$AG$1083,"")</f>
        <v>0</v>
      </c>
      <c r="O63" s="22">
        <f>IFERROR(Calculations!$AH$1083,"")</f>
        <v>0</v>
      </c>
    </row>
    <row r="64" spans="2:19">
      <c r="B64" s="13">
        <f>IF(Calculations!$U$1084="","",Calculations!$U$1084)</f>
        <v>0</v>
      </c>
      <c r="C64" s="22">
        <f>IFERROR(Calculations!$V$1084,"")</f>
        <v>0</v>
      </c>
      <c r="D64" s="22">
        <f>IFERROR(Calculations!$W$1084,"")</f>
        <v>0</v>
      </c>
      <c r="E64" s="22">
        <f>IFERROR(Calculations!$X$1084,"")</f>
        <v>0</v>
      </c>
      <c r="F64" s="22">
        <f>IFERROR(Calculations!$Y$1084,"")</f>
        <v>0</v>
      </c>
      <c r="G64" s="22">
        <f>IFERROR(Calculations!$Z$1084,"")</f>
        <v>0</v>
      </c>
      <c r="H64" s="22">
        <f>IFERROR(Calculations!$AA$1084,"")</f>
        <v>0</v>
      </c>
      <c r="I64" s="22">
        <f>IFERROR(Calculations!$AB$1084,"")</f>
        <v>0</v>
      </c>
      <c r="J64" s="22">
        <f>IFERROR(Calculations!$AC$1084,"")</f>
        <v>0</v>
      </c>
      <c r="K64" s="22">
        <f>IFERROR(Calculations!$AD$1084,"")</f>
        <v>0</v>
      </c>
      <c r="L64" s="22">
        <f>IFERROR(Calculations!$AE$1084,"")</f>
        <v>0</v>
      </c>
      <c r="M64" s="22">
        <f>IFERROR(Calculations!$AF$1084,"")</f>
        <v>0</v>
      </c>
      <c r="N64" s="22">
        <f>IFERROR(Calculations!$AG$1084,"")</f>
        <v>0</v>
      </c>
      <c r="O64" s="22">
        <f>IFERROR(Calculations!$AH$1084,"")</f>
        <v>0</v>
      </c>
    </row>
    <row r="65" spans="2:19">
      <c r="B65" s="13">
        <f>IF(Calculations!$U$1085="","",Calculations!$U$1085)</f>
        <v>0</v>
      </c>
      <c r="C65" s="22">
        <f>IFERROR(Calculations!$V$1085,"")</f>
        <v>0</v>
      </c>
      <c r="D65" s="22">
        <f>IFERROR(Calculations!$W$1085,"")</f>
        <v>0</v>
      </c>
      <c r="E65" s="22">
        <f>IFERROR(Calculations!$X$1085,"")</f>
        <v>0</v>
      </c>
      <c r="F65" s="22">
        <f>IFERROR(Calculations!$Y$1085,"")</f>
        <v>0</v>
      </c>
      <c r="G65" s="22">
        <f>IFERROR(Calculations!$Z$1085,"")</f>
        <v>0</v>
      </c>
      <c r="H65" s="22">
        <f>IFERROR(Calculations!$AA$1085,"")</f>
        <v>0</v>
      </c>
      <c r="I65" s="22">
        <f>IFERROR(Calculations!$AB$1085,"")</f>
        <v>0</v>
      </c>
      <c r="J65" s="22">
        <f>IFERROR(Calculations!$AC$1085,"")</f>
        <v>0</v>
      </c>
      <c r="K65" s="22">
        <f>IFERROR(Calculations!$AD$1085,"")</f>
        <v>0</v>
      </c>
      <c r="L65" s="22">
        <f>IFERROR(Calculations!$AE$1085,"")</f>
        <v>0</v>
      </c>
      <c r="M65" s="22">
        <f>IFERROR(Calculations!$AF$1085,"")</f>
        <v>0</v>
      </c>
      <c r="N65" s="22">
        <f>IFERROR(Calculations!$AG$1085,"")</f>
        <v>0</v>
      </c>
      <c r="O65" s="22">
        <f>IFERROR(Calculations!$AH$1085,"")</f>
        <v>0</v>
      </c>
    </row>
    <row r="66" spans="2:19">
      <c r="B66" s="13">
        <f>IF(Calculations!$U$1086="","",Calculations!$U$1086)</f>
        <v>0</v>
      </c>
      <c r="C66" s="22">
        <f>IFERROR(Calculations!$V$1086,"")</f>
        <v>0</v>
      </c>
      <c r="D66" s="22">
        <f>IFERROR(Calculations!$W$1086,"")</f>
        <v>0</v>
      </c>
      <c r="E66" s="22">
        <f>IFERROR(Calculations!$X$1086,"")</f>
        <v>0</v>
      </c>
      <c r="F66" s="22">
        <f>IFERROR(Calculations!$Y$1086,"")</f>
        <v>0</v>
      </c>
      <c r="G66" s="22">
        <f>IFERROR(Calculations!$Z$1086,"")</f>
        <v>0</v>
      </c>
      <c r="H66" s="22">
        <f>IFERROR(Calculations!$AA$1086,"")</f>
        <v>0</v>
      </c>
      <c r="I66" s="22">
        <f>IFERROR(Calculations!$AB$1086,"")</f>
        <v>0</v>
      </c>
      <c r="J66" s="22">
        <f>IFERROR(Calculations!$AC$1086,"")</f>
        <v>0</v>
      </c>
      <c r="K66" s="22">
        <f>IFERROR(Calculations!$AD$1086,"")</f>
        <v>0</v>
      </c>
      <c r="L66" s="22">
        <f>IFERROR(Calculations!$AE$1086,"")</f>
        <v>0</v>
      </c>
      <c r="M66" s="22">
        <f>IFERROR(Calculations!$AF$1086,"")</f>
        <v>0</v>
      </c>
      <c r="N66" s="22">
        <f>IFERROR(Calculations!$AG$1086,"")</f>
        <v>0</v>
      </c>
      <c r="O66" s="22">
        <f>IFERROR(Calculations!$AH$1086,"")</f>
        <v>0</v>
      </c>
    </row>
    <row r="67" spans="2:19">
      <c r="B67" s="13">
        <f>IF(Calculations!$U$1087="","",Calculations!$U$1087)</f>
        <v>0</v>
      </c>
      <c r="C67" s="22">
        <f>IFERROR(Calculations!$V$1087,"")</f>
        <v>0</v>
      </c>
      <c r="D67" s="22">
        <f>IFERROR(Calculations!$W$1087,"")</f>
        <v>0</v>
      </c>
      <c r="E67" s="22">
        <f>IFERROR(Calculations!$X$1087,"")</f>
        <v>0</v>
      </c>
      <c r="F67" s="22">
        <f>IFERROR(Calculations!$Y$1087,"")</f>
        <v>0</v>
      </c>
      <c r="G67" s="22">
        <f>IFERROR(Calculations!$Z$1087,"")</f>
        <v>0</v>
      </c>
      <c r="H67" s="22">
        <f>IFERROR(Calculations!$AA$1087,"")</f>
        <v>0</v>
      </c>
      <c r="I67" s="22">
        <f>IFERROR(Calculations!$AB$1087,"")</f>
        <v>0</v>
      </c>
      <c r="J67" s="22">
        <f>IFERROR(Calculations!$AC$1087,"")</f>
        <v>0</v>
      </c>
      <c r="K67" s="22">
        <f>IFERROR(Calculations!$AD$1087,"")</f>
        <v>0</v>
      </c>
      <c r="L67" s="22">
        <f>IFERROR(Calculations!$AE$1087,"")</f>
        <v>0</v>
      </c>
      <c r="M67" s="22">
        <f>IFERROR(Calculations!$AF$1087,"")</f>
        <v>0</v>
      </c>
      <c r="N67" s="22">
        <f>IFERROR(Calculations!$AG$1087,"")</f>
        <v>0</v>
      </c>
      <c r="O67" s="22">
        <f>IFERROR(Calculations!$AH$1087,"")</f>
        <v>0</v>
      </c>
    </row>
    <row r="70" spans="2:19">
      <c r="B70" s="11" t="s">
        <v>2207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2:19">
      <c r="B71" s="68" t="s">
        <v>2356</v>
      </c>
      <c r="C71" s="68"/>
      <c r="D71" s="68"/>
      <c r="E71" s="68"/>
      <c r="F71" s="68"/>
      <c r="G71" s="68"/>
      <c r="H71" s="68"/>
      <c r="I71" s="68"/>
      <c r="J71" s="68"/>
      <c r="K71" s="68"/>
    </row>
    <row r="72" spans="2:19">
      <c r="B72" s="69">
        <f>SUMIFS('Incident'!$V$4:$V$100003,'Incident'!$D$4:$D$100003,mCrit,'Incident'!$H$4:$H$100003,dCrit)*CostPerLostDay</f>
        <v>0</v>
      </c>
      <c r="C72" s="69"/>
      <c r="D72" s="69"/>
      <c r="E72" s="69"/>
      <c r="F72" s="69"/>
      <c r="G72" s="69"/>
      <c r="H72" s="69"/>
      <c r="I72" s="69"/>
      <c r="J72" s="69"/>
      <c r="K72" s="69"/>
    </row>
    <row r="73" spans="2:19">
      <c r="B73" s="69"/>
      <c r="C73" s="69"/>
      <c r="D73" s="69"/>
      <c r="E73" s="69"/>
      <c r="F73" s="69"/>
      <c r="G73" s="69"/>
      <c r="H73" s="69"/>
      <c r="I73" s="69"/>
      <c r="J73" s="69"/>
      <c r="K73" s="69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1:K71"/>
    <mergeCell ref="B72:K73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207</vt:i4>
      </vt:variant>
    </vt:vector>
  </HeadingPairs>
  <TitlesOfParts>
    <vt:vector size="266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Data Quality</vt:lpstr>
      <vt:lpstr>Investigation Log</vt:lpstr>
      <vt:lpstr>Change Log</vt:lpstr>
      <vt:lpstr>Calculations</vt:lpstr>
      <vt:lpstr>Cover Page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BenchLTIFR</vt:lpstr>
      <vt:lpstr>BenchTRIR</vt:lpstr>
      <vt:lpstr>CAClosure</vt:lpstr>
      <vt:lpstr>CertValidityDays</vt:lpstr>
      <vt:lpstr>CostPerDowntimeMin</vt:lpstr>
      <vt:lpstr>CostPerLostDay</vt:lpstr>
      <vt:lpstr>CurMonthNo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'Investigation Log'!Print_Titles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PYCA</vt:lpstr>
      <vt:lpstr>PYLTIFR</vt:lpstr>
      <vt:lpstr>PYObs</vt:lpstr>
      <vt:lpstr>PYTotalInc</vt:lpstr>
      <vt:lpstr>PYTrain</vt:lpstr>
      <vt:lpstr>PYTRIR</vt:lpstr>
      <vt:lpstr>Recordable</vt:lpstr>
      <vt:lpstr>ReportYear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2026-07-12T15:47:47Z</dcterms:created>
  <dcterms:modified xsi:type="dcterms:W3CDTF">2026-07-12T15:47:47Z</dcterms:modified>
</cp:coreProperties>
</file>