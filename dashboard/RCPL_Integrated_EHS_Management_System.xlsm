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Cover Page" sheetId="29" r:id="rId29"/>
    <sheet name="Home" sheetId="30" r:id="rId30"/>
    <sheet name="Executive Dashboard" sheetId="31" r:id="rId31"/>
    <sheet name="Leadership Review" sheetId="32" r:id="rId32"/>
    <sheet name="Dash · Toolbox Talks" sheetId="33" r:id="rId33"/>
    <sheet name="Dash · JSA Risk Assessment" sheetId="34" r:id="rId34"/>
    <sheet name="Dash · Training" sheetId="35" r:id="rId35"/>
    <sheet name="Dash · HSE Observations" sheetId="36" r:id="rId36"/>
    <sheet name="Dash · Workplace Inspections" sheetId="37" r:id="rId37"/>
    <sheet name="Dash · Equipment Inspections" sheetId="38" r:id="rId38"/>
    <sheet name="Dash · Safety Walkthroughs" sheetId="39" r:id="rId39"/>
    <sheet name="Dash · Safety Meetings" sheetId="40" r:id="rId40"/>
    <sheet name="Dash · Safety Bulletins" sheetId="41" r:id="rId41"/>
    <sheet name="Dash · Emergency Drills" sheetId="42" r:id="rId42"/>
    <sheet name="Dash · Internal Audits" sheetId="43" r:id="rId43"/>
    <sheet name="Dash · External Audits" sheetId="44" r:id="rId44"/>
    <sheet name="Dash · Management Visits" sheetId="45" r:id="rId45"/>
    <sheet name="Dash · Management Reviews" sheetId="46" r:id="rId46"/>
    <sheet name="Dash · Disciplinary Actions" sheetId="47" r:id="rId47"/>
    <sheet name="Dash · Safety Awards" sheetId="48" r:id="rId48"/>
    <sheet name="Dash · Stop Work Authority" sheetId="49" r:id="rId49"/>
    <sheet name="Dash · Alcohol Tests" sheetId="50" r:id="rId50"/>
    <sheet name="Dash · PTW Audits" sheetId="51" r:id="rId51"/>
    <sheet name="Dash · Corrective Actions" sheetId="52" r:id="rId52"/>
    <sheet name="Dash · NC Management" sheetId="53" r:id="rId53"/>
    <sheet name="Dash · Unsafe Acts" sheetId="54" r:id="rId54"/>
    <sheet name="Dash · Unsafe Conditions" sheetId="55" r:id="rId55"/>
    <sheet name="Dash · Incident" sheetId="56" r:id="rId56"/>
  </sheets>
  <definedNames>
    <definedName name="AmberBand">Settings!$C$40</definedName>
    <definedName name="CAClosure">Calculations!$CP$57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Calculations!$CS$23</definedName>
    <definedName name="gdAlcoholTests">Calculations!$CS$53</definedName>
    <definedName name="gdBulletinReach">Calculations!$CS$40</definedName>
    <definedName name="gdCAClosure">Calculations!$CS$57</definedName>
    <definedName name="gdCorrectiveActions">Calculations!$CS$56</definedName>
    <definedName name="gdDisciplinary">Calculations!$CS$20</definedName>
    <definedName name="gdDrillParticipation">Calculations!$CS$42</definedName>
    <definedName name="gdEmergencyDrills">Calculations!$CS$41</definedName>
    <definedName name="gdEquipmentCriticalFindings">Calculations!$CS$35</definedName>
    <definedName name="gdEquipmentInspections">Calculations!$CS$34</definedName>
    <definedName name="gdExternalAuditNCs">Calculations!$CS$46</definedName>
    <definedName name="gdExternalAudits">Calculations!$CS$45</definedName>
    <definedName name="gdFirstAid">Calculations!$CS$18</definedName>
    <definedName name="gdHSEObservations">Calculations!$CS$30</definedName>
    <definedName name="gdInternalAuditNCs">Calculations!$CS$44</definedName>
    <definedName name="gdInternalAudits">Calculations!$CS$43</definedName>
    <definedName name="gdJSAApproved">Calculations!$CS$27</definedName>
    <definedName name="gdJSAAssessments">Calculations!$CS$26</definedName>
    <definedName name="gdLostDays">Calculations!$CS$19</definedName>
    <definedName name="gdLTIFatality">Calculations!$CS$16</definedName>
    <definedName name="gdLTIFR">Calculations!$CS$13</definedName>
    <definedName name="gdManagementReviews">Calculations!$CS$49</definedName>
    <definedName name="gdManagementVisits">Calculations!$CS$47</definedName>
    <definedName name="gdMeetingsCloseout">Calculations!$CS$38</definedName>
    <definedName name="gdMgmtReviewAttendance">Calculations!$CS$50</definedName>
    <definedName name="gdMgmtVisitCloseout">Calculations!$CS$48</definedName>
    <definedName name="gdNCClosure">Calculations!$CS$22</definedName>
    <definedName name="gdNearMiss">Calculations!$CS$17</definedName>
    <definedName name="gdObsClosure">Calculations!$CS$31</definedName>
    <definedName name="gdOpenNCs">Calculations!$CS$21</definedName>
    <definedName name="gdPTWAudits">Calculations!$CS$54</definedName>
    <definedName name="gdPTWCompliance">Calculations!$CS$55</definedName>
    <definedName name="gdRecordable">Calculations!$CS$15</definedName>
    <definedName name="gdSafetyAwards">Calculations!$CS$51</definedName>
    <definedName name="gdSafetyBulletins">Calculations!$CS$39</definedName>
    <definedName name="gdSafetyMeetings">Calculations!$CS$37</definedName>
    <definedName name="gdSafetyWalkthroughs">Calculations!$CS$36</definedName>
    <definedName name="gdStopWorkAuthority">Calculations!$CS$52</definedName>
    <definedName name="gdToolboxAvgAttendance">Calculations!$CS$25</definedName>
    <definedName name="gdToolboxTalks">Calculations!$CS$24</definedName>
    <definedName name="gdTotalIncidents">Calculations!$CS$14</definedName>
    <definedName name="gdTrainingCompliance">Calculations!$CS$29</definedName>
    <definedName name="gdTrainings">Calculations!$CS$28</definedName>
    <definedName name="gdTRIR">Calculations!$CS$12</definedName>
    <definedName name="gdUnsafeActClosure">Calculations!$CS$59</definedName>
    <definedName name="gdUnsafeActsReported">Calculations!$CS$58</definedName>
    <definedName name="gdUnsafeConditionClosure">Calculations!$CS$61</definedName>
    <definedName name="gdUnsafeConditionsReported">Calculations!$CS$60</definedName>
    <definedName name="gdWorkplaceInspClosure">Calculations!$CS$33</definedName>
    <definedName name="gdWorkplaceInspections">Calculations!$CS$32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Calculations!$CP$19</definedName>
    <definedName name="LTIfat">Calculations!$CP$16</definedName>
    <definedName name="LTIFR">Calculations!$CP$13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Calculations!$CP$17</definedName>
    <definedName name="ObsClosure">Calculations!$CP$31</definedName>
    <definedName name="_xlnm.Print_Area" localSheetId="28">'Cover Page'!$A$1:$M$32</definedName>
    <definedName name="_xlnm.Print_Area" localSheetId="49">'Dash · Alcohol Tests'!$A$1:$S$68</definedName>
    <definedName name="_xlnm.Print_Area" localSheetId="51">'Dash · Corrective Actions'!$A$1:$S$68</definedName>
    <definedName name="_xlnm.Print_Area" localSheetId="46">'Dash · Disciplinary Actions'!$A$1:$S$68</definedName>
    <definedName name="_xlnm.Print_Area" localSheetId="41">'Dash · Emergency Drills'!$A$1:$S$68</definedName>
    <definedName name="_xlnm.Print_Area" localSheetId="37">'Dash · Equipment Inspections'!$A$1:$S$68</definedName>
    <definedName name="_xlnm.Print_Area" localSheetId="43">'Dash · External Audits'!$A$1:$S$68</definedName>
    <definedName name="_xlnm.Print_Area" localSheetId="35">'Dash · HSE Observations'!$A$1:$S$68</definedName>
    <definedName name="_xlnm.Print_Area" localSheetId="55">'Dash · Incident'!$A$1:$S$68</definedName>
    <definedName name="_xlnm.Print_Area" localSheetId="42">'Dash · Internal Audits'!$A$1:$S$68</definedName>
    <definedName name="_xlnm.Print_Area" localSheetId="33">'Dash · JSA Risk Assessment'!$A$1:$S$68</definedName>
    <definedName name="_xlnm.Print_Area" localSheetId="45">'Dash · Management Reviews'!$A$1:$S$68</definedName>
    <definedName name="_xlnm.Print_Area" localSheetId="44">'Dash · Management Visits'!$A$1:$S$68</definedName>
    <definedName name="_xlnm.Print_Area" localSheetId="52">'Dash · NC Management'!$A$1:$S$68</definedName>
    <definedName name="_xlnm.Print_Area" localSheetId="50">'Dash · PTW Audits'!$A$1:$S$62</definedName>
    <definedName name="_xlnm.Print_Area" localSheetId="47">'Dash · Safety Awards'!$A$1:$S$68</definedName>
    <definedName name="_xlnm.Print_Area" localSheetId="40">'Dash · Safety Bulletins'!$A$1:$S$68</definedName>
    <definedName name="_xlnm.Print_Area" localSheetId="39">'Dash · Safety Meetings'!$A$1:$S$62</definedName>
    <definedName name="_xlnm.Print_Area" localSheetId="38">'Dash · Safety Walkthroughs'!$A$1:$S$68</definedName>
    <definedName name="_xlnm.Print_Area" localSheetId="48">'Dash · Stop Work Authority'!$A$1:$S$62</definedName>
    <definedName name="_xlnm.Print_Area" localSheetId="32">'Dash · Toolbox Talks'!$A$1:$S$74</definedName>
    <definedName name="_xlnm.Print_Area" localSheetId="34">'Dash · Training'!$A$1:$S$68</definedName>
    <definedName name="_xlnm.Print_Area" localSheetId="53">'Dash · Unsafe Acts'!$A$1:$S$68</definedName>
    <definedName name="_xlnm.Print_Area" localSheetId="54">'Dash · Unsafe Conditions'!$A$1:$S$68</definedName>
    <definedName name="_xlnm.Print_Area" localSheetId="36">'Dash · Workplace Inspections'!$A$1:$S$68</definedName>
    <definedName name="_xlnm.Print_Area" localSheetId="30">'Executive Dashboard'!$A$1:$S$191</definedName>
    <definedName name="_xlnm.Print_Area" localSheetId="29">Home!$A$1:$M$39</definedName>
    <definedName name="_xlnm.Print_Area" localSheetId="31">'Leadership Review'!$A$1:$S$49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Calculations!$CP$55</definedName>
    <definedName name="Recordable">Calculations!$CP$15</definedName>
    <definedName name="rgAlcoholPositive">Calculations!$CU$23</definedName>
    <definedName name="rgAlcoholTests">Calculations!$CU$53</definedName>
    <definedName name="rgBulletinReach">Calculations!$CU$40</definedName>
    <definedName name="rgCAClosure">Calculations!$CU$57</definedName>
    <definedName name="rgCorrectiveActions">Calculations!$CU$56</definedName>
    <definedName name="rgDisciplinary">Calculations!$CU$20</definedName>
    <definedName name="rgDrillParticipation">Calculations!$CU$42</definedName>
    <definedName name="rgEmergencyDrills">Calculations!$CU$41</definedName>
    <definedName name="rgEquipmentCriticalFindings">Calculations!$CU$35</definedName>
    <definedName name="rgEquipmentInspections">Calculations!$CU$34</definedName>
    <definedName name="rgExternalAuditNCs">Calculations!$CU$46</definedName>
    <definedName name="rgExternalAudits">Calculations!$CU$45</definedName>
    <definedName name="rgFirstAid">Calculations!$CU$18</definedName>
    <definedName name="rgHSEObservations">Calculations!$CU$30</definedName>
    <definedName name="rgInternalAuditNCs">Calculations!$CU$44</definedName>
    <definedName name="rgInternalAudits">Calculations!$CU$43</definedName>
    <definedName name="rgJSAApproved">Calculations!$CU$27</definedName>
    <definedName name="rgJSAAssessments">Calculations!$CU$26</definedName>
    <definedName name="rgLostDays">Calculations!$CU$19</definedName>
    <definedName name="rgLTIFatality">Calculations!$CU$16</definedName>
    <definedName name="rgLTIFR">Calculations!$CU$13</definedName>
    <definedName name="rgManagementReviews">Calculations!$CU$49</definedName>
    <definedName name="rgManagementVisits">Calculations!$CU$47</definedName>
    <definedName name="rgMeetingsCloseout">Calculations!$CU$38</definedName>
    <definedName name="rgMgmtReviewAttendance">Calculations!$CU$50</definedName>
    <definedName name="rgMgmtVisitCloseout">Calculations!$CU$48</definedName>
    <definedName name="rgNCClosure">Calculations!$CU$22</definedName>
    <definedName name="rgNearMiss">Calculations!$CU$17</definedName>
    <definedName name="rgObsClosure">Calculations!$CU$31</definedName>
    <definedName name="rgOpenNCs">Calculations!$CU$21</definedName>
    <definedName name="rgPTWAudits">Calculations!$CU$54</definedName>
    <definedName name="rgPTWCompliance">Calculations!$CU$55</definedName>
    <definedName name="rgRecordable">Calculations!$CU$15</definedName>
    <definedName name="rgSafetyAwards">Calculations!$CU$51</definedName>
    <definedName name="rgSafetyBulletins">Calculations!$CU$39</definedName>
    <definedName name="rgSafetyMeetings">Calculations!$CU$37</definedName>
    <definedName name="rgSafetyWalkthroughs">Calculations!$CU$36</definedName>
    <definedName name="rgStopWorkAuthority">Calculations!$CU$52</definedName>
    <definedName name="rgToolboxAvgAttendance">Calculations!$CU$25</definedName>
    <definedName name="rgToolboxTalks">Calculations!$CU$24</definedName>
    <definedName name="rgTotalIncidents">Calculations!$CU$14</definedName>
    <definedName name="rgTrainingCompliance">Calculations!$CU$29</definedName>
    <definedName name="rgTrainings">Calculations!$CU$28</definedName>
    <definedName name="rgTRIR">Calculations!$CU$12</definedName>
    <definedName name="rgUnsafeActClosure">Calculations!$CU$59</definedName>
    <definedName name="rgUnsafeActsReported">Calculations!$CU$58</definedName>
    <definedName name="rgUnsafeConditionClosure">Calculations!$CU$61</definedName>
    <definedName name="rgUnsafeConditionsReported">Calculations!$CU$60</definedName>
    <definedName name="rgWorkplaceInspClosure">Calculations!$CU$33</definedName>
    <definedName name="rgWorkplaceInspections">Calculations!$CU$32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Calculations!$CP$14</definedName>
    <definedName name="TrainCompliance">Calculations!$CP$29</definedName>
    <definedName name="TRIR">Calculations!$CP$12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<sst xmlns="http://schemas.openxmlformats.org/spreadsheetml/2006/main" count="15218" uniqueCount="2137">
  <si>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</si>
  <si>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</si>
  <si>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</si>
  <si>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</si>
  <si>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</si>
  <si>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</si>
  <si>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</si>
  <si>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</si>
  <si>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</si>
  <si>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</si>
  <si>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</si>
  <si>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</si>
  <si>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</si>
  <si>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</si>
  <si>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</si>
  <si>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</si>
  <si>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</si>
  <si>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</si>
  <si>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</si>
  <si>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</si>
  <si>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</si>
  <si>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</si>
  <si>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</si>
  <si>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</si>
  <si>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</si>
  <si>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</si>
  <si>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</si>
  <si>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</si>
  <si>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</si>
  <si>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</si>
  <si>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</si>
  <si>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</si>
  <si>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</si>
  <si>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</si>
  <si>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</si>
  <si>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</si>
  <si>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</si>
  <si>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</si>
  <si>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</si>
  <si>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</si>
  <si>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</si>
  <si>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</si>
  <si>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</si>
  <si>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</si>
  <si>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</si>
  <si>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</si>
  <si>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</si>
  <si>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</si>
  <si>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</si>
  <si>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</si>
  <si>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</si>
  <si>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</si>
  <si>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</si>
  <si>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</si>
  <si>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</si>
  <si>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</si>
  <si>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</si>
  <si>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</si>
  <si>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</si>
  <si>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</si>
  <si>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</si>
  <si>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</si>
  <si>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</si>
  <si>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</si>
  <si>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</si>
  <si>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</si>
  <si>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</si>
  <si>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</si>
  <si>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</si>
  <si>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</si>
  <si>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</si>
  <si>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</si>
  <si>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</si>
  <si>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</si>
  <si>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</si>
  <si>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</si>
  <si>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</si>
  <si>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</si>
  <si>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</si>
  <si>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</si>
  <si>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</si>
  <si>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</si>
  <si>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</si>
  <si>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</si>
  <si>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</si>
  <si>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</si>
  <si>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</si>
  <si>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</si>
  <si>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</si>
  <si>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</si>
  <si>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</si>
  <si>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</si>
  <si>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</si>
  <si>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</si>
  <si>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</si>
  <si>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</si>
  <si>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</si>
  <si>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</si>
  <si>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</si>
  <si>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</si>
  <si>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</si>
  <si>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</si>
  <si>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</si>
  <si>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</si>
  <si>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</si>
  <si>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</si>
  <si>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</si>
  <si>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</si>
  <si>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</si>
  <si>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</si>
  <si>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</si>
  <si>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</si>
  <si>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</si>
  <si>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</si>
  <si>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</si>
  <si>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</si>
  <si>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</si>
  <si>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</si>
  <si>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</si>
  <si>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</si>
  <si>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</si>
  <si>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</si>
  <si>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</si>
  <si>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</si>
  <si>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</si>
  <si>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</si>
  <si>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</si>
  <si>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</si>
  <si>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</si>
  <si>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</si>
  <si>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</si>
  <si>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</si>
  <si>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</si>
  <si>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</si>
  <si>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</si>
  <si>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</si>
  <si>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</si>
  <si>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</si>
  <si>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</si>
  <si>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</si>
  <si>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</si>
  <si>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JSA-1003</t>
  </si>
  <si>
    <t>Medium</t>
  </si>
  <si>
    <t>HIRA</t>
  </si>
  <si>
    <t>Pending Review</t>
  </si>
  <si>
    <t>Non-Compliant</t>
  </si>
  <si>
    <t>JSA-1013</t>
  </si>
  <si>
    <t>Rejected</t>
  </si>
  <si>
    <t>Partially Compliant</t>
  </si>
  <si>
    <t>JSA-1018</t>
  </si>
  <si>
    <t>HAZOP</t>
  </si>
  <si>
    <t>JSA-1001</t>
  </si>
  <si>
    <t>Approved</t>
  </si>
  <si>
    <t>JSA-1016</t>
  </si>
  <si>
    <t>Low</t>
  </si>
  <si>
    <t>Revision Required</t>
  </si>
  <si>
    <t>JSA-1019</t>
  </si>
  <si>
    <t>Bow Tie</t>
  </si>
  <si>
    <t>JSA-1023</t>
  </si>
  <si>
    <t>High</t>
  </si>
  <si>
    <t>Task RA</t>
  </si>
  <si>
    <t>JSA-1030</t>
  </si>
  <si>
    <t>Critical</t>
  </si>
  <si>
    <t>What-If</t>
  </si>
  <si>
    <t>JSA-1037</t>
  </si>
  <si>
    <t>Compliant</t>
  </si>
  <si>
    <t>JSA-1002</t>
  </si>
  <si>
    <t>JSA-1005</t>
  </si>
  <si>
    <t>JSA-1020</t>
  </si>
  <si>
    <t>JSA</t>
  </si>
  <si>
    <t>JSA-1027</t>
  </si>
  <si>
    <t>JSA-1041</t>
  </si>
  <si>
    <t>JSA-1033</t>
  </si>
  <si>
    <t>JSA-1012</t>
  </si>
  <si>
    <t>JSA-1029</t>
  </si>
  <si>
    <t>JSA-1009</t>
  </si>
  <si>
    <t>JSA-1017</t>
  </si>
  <si>
    <t>JSA-1025</t>
  </si>
  <si>
    <t>JSA-1038</t>
  </si>
  <si>
    <t>JSA-1006</t>
  </si>
  <si>
    <t>JSA-1031</t>
  </si>
  <si>
    <t>JSA-1046</t>
  </si>
  <si>
    <t>JSA-1032</t>
  </si>
  <si>
    <t>JSA-1034</t>
  </si>
  <si>
    <t>JSA-1045</t>
  </si>
  <si>
    <t>JSA-1007</t>
  </si>
  <si>
    <t>JSA-1011</t>
  </si>
  <si>
    <t>JSA-1024</t>
  </si>
  <si>
    <t>JSA-1040</t>
  </si>
  <si>
    <t>JSA-1004</t>
  </si>
  <si>
    <t>JSA-1008</t>
  </si>
  <si>
    <t>JSA-1010</t>
  </si>
  <si>
    <t>JSA-1014</t>
  </si>
  <si>
    <t>JSA-1015</t>
  </si>
  <si>
    <t>JSA-1021</t>
  </si>
  <si>
    <t>JSA-1043</t>
  </si>
  <si>
    <t>JSA-1044</t>
  </si>
  <si>
    <t>JSA-1047</t>
  </si>
  <si>
    <t>JSA-1022</t>
  </si>
  <si>
    <t>JSA-1026</t>
  </si>
  <si>
    <t>JSA-1028</t>
  </si>
  <si>
    <t>JSA-1035</t>
  </si>
  <si>
    <t>JSA-1036</t>
  </si>
  <si>
    <t>JSA-1039</t>
  </si>
  <si>
    <t>JSA-1042</t>
  </si>
  <si>
    <t>JSA-1048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</si>
  <si>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</si>
  <si>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</si>
  <si>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</si>
  <si>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</si>
  <si>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</si>
  <si>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</si>
  <si>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</si>
  <si>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</si>
  <si>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</si>
  <si>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</si>
  <si>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</si>
  <si>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</si>
  <si>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</si>
  <si>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</si>
  <si>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</si>
  <si>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</si>
  <si>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</si>
  <si>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</si>
  <si>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</si>
  <si>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</si>
  <si>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</si>
  <si>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</si>
  <si>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</si>
  <si>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</si>
  <si>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</si>
  <si>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TRN-1004</t>
  </si>
  <si>
    <t>TRN-1007</t>
  </si>
  <si>
    <t>Refresher</t>
  </si>
  <si>
    <t>TRN-1016</t>
  </si>
  <si>
    <t>Scheduled</t>
  </si>
  <si>
    <t>TRN-1024</t>
  </si>
  <si>
    <t>Induction</t>
  </si>
  <si>
    <t>Overdue</t>
  </si>
  <si>
    <t>TRN-1041</t>
  </si>
  <si>
    <t>External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</si>
  <si>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</si>
  <si>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</si>
  <si>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</si>
  <si>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</si>
  <si>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</si>
  <si>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</si>
  <si>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</si>
  <si>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</si>
  <si>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</si>
  <si>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</si>
  <si>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</si>
  <si>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</si>
  <si>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</si>
  <si>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In Progress</t>
  </si>
  <si>
    <t>TRN-1023</t>
  </si>
  <si>
    <t>TRN-1030</t>
  </si>
  <si>
    <t>TRN-1036</t>
  </si>
  <si>
    <t>TRN-1017</t>
  </si>
  <si>
    <t>TRN-1021</t>
  </si>
  <si>
    <t>TRN-1028</t>
  </si>
  <si>
    <t>TRN-1043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</si>
  <si>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</si>
  <si>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</si>
  <si>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</si>
  <si>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</si>
  <si>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</si>
  <si>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</si>
  <si>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</si>
  <si>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</si>
  <si>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</si>
  <si>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</si>
  <si>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TRN-1002</t>
  </si>
  <si>
    <t>TRN-1001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</si>
  <si>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</si>
  <si>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</si>
  <si>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</si>
  <si>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</si>
  <si>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</si>
  <si>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</si>
  <si>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</si>
  <si>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</si>
  <si>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</si>
  <si>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</si>
  <si>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</si>
  <si>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</si>
  <si>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</si>
  <si>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</si>
  <si>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</si>
  <si>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</si>
  <si>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</si>
  <si>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</si>
  <si>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Safe Act</t>
  </si>
  <si>
    <t>Closed</t>
  </si>
  <si>
    <t>Verbal Warning</t>
  </si>
  <si>
    <t>OBS-1016</t>
  </si>
  <si>
    <t>Unsafe Condition</t>
  </si>
  <si>
    <t>Open</t>
  </si>
  <si>
    <t>Written Warning</t>
  </si>
  <si>
    <t>OBS-1018</t>
  </si>
  <si>
    <t>Unsafe Act</t>
  </si>
  <si>
    <t>OBS-1021</t>
  </si>
  <si>
    <t>Safe Condition</t>
  </si>
  <si>
    <t>Fine</t>
  </si>
  <si>
    <t>OBS-1023</t>
  </si>
  <si>
    <t>OBS-1032</t>
  </si>
  <si>
    <t>OBS-1039</t>
  </si>
  <si>
    <t>OBS-1043</t>
  </si>
  <si>
    <t>OBS-1046</t>
  </si>
  <si>
    <t>OBS-1002</t>
  </si>
  <si>
    <t>Suspension</t>
  </si>
  <si>
    <t>OBS-1011</t>
  </si>
  <si>
    <t>OBS-1013</t>
  </si>
  <si>
    <t>Retraining</t>
  </si>
  <si>
    <t>OBS-1031</t>
  </si>
  <si>
    <t>OBS-1007</t>
  </si>
  <si>
    <t>OBS-1024</t>
  </si>
  <si>
    <t>OBS-1001</t>
  </si>
  <si>
    <t>OBS-1010</t>
  </si>
  <si>
    <t>OBS-1028</t>
  </si>
  <si>
    <t>OBS-1038</t>
  </si>
  <si>
    <t>OBS-1048</t>
  </si>
  <si>
    <t>OBS-1012</t>
  </si>
  <si>
    <t>OBS-1020</t>
  </si>
  <si>
    <t>OBS-1033</t>
  </si>
  <si>
    <t>OBS-1041</t>
  </si>
  <si>
    <t>OBS-1026</t>
  </si>
  <si>
    <t>OBS-1030</t>
  </si>
  <si>
    <t>OBS-1034</t>
  </si>
  <si>
    <t>OBS-1003</t>
  </si>
  <si>
    <t>OBS-1025</t>
  </si>
  <si>
    <t>OBS-1036</t>
  </si>
  <si>
    <t>OBS-1040</t>
  </si>
  <si>
    <t>OBS-1042</t>
  </si>
  <si>
    <t>OBS-1022</t>
  </si>
  <si>
    <t>OBS-1035</t>
  </si>
  <si>
    <t>OBS-1014</t>
  </si>
  <si>
    <t>OBS-1044</t>
  </si>
  <si>
    <t>OBS-1009</t>
  </si>
  <si>
    <t>OBS-1017</t>
  </si>
  <si>
    <t>OBS-1019</t>
  </si>
  <si>
    <t>OBS-1027</t>
  </si>
  <si>
    <t>OBS-1045</t>
  </si>
  <si>
    <t>OBS-1006</t>
  </si>
  <si>
    <t>OBS-1004</t>
  </si>
  <si>
    <t>OBS-1005</t>
  </si>
  <si>
    <t>OBS-1015</t>
  </si>
  <si>
    <t>OBS-1029</t>
  </si>
  <si>
    <t>OBS-1037</t>
  </si>
  <si>
    <t>OBS-1047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</si>
  <si>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</si>
  <si>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</si>
  <si>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</si>
  <si>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</si>
  <si>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</si>
  <si>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</si>
  <si>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</si>
  <si>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</si>
  <si>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</si>
  <si>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</si>
  <si>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</si>
  <si>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</si>
  <si>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</si>
  <si>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</si>
  <si>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</si>
  <si>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</si>
  <si>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</si>
  <si>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</si>
  <si>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</si>
  <si>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</si>
  <si>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WPI-1001</t>
  </si>
  <si>
    <t>WPI-1034</t>
  </si>
  <si>
    <t>WPI-1044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</si>
  <si>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</si>
  <si>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</si>
  <si>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</si>
  <si>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</si>
  <si>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</si>
  <si>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</si>
  <si>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</si>
  <si>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</si>
  <si>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</si>
  <si>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</si>
  <si>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</si>
  <si>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</si>
  <si>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</si>
  <si>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</si>
  <si>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</si>
  <si>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</si>
  <si>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</si>
  <si>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</si>
  <si>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</si>
  <si>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</si>
  <si>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</si>
  <si>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</si>
  <si>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</si>
  <si>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</si>
  <si>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</si>
  <si>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WPI-1002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</si>
  <si>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</si>
  <si>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</si>
  <si>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</si>
  <si>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</si>
  <si>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</si>
  <si>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</si>
  <si>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</si>
  <si>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</si>
  <si>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</si>
  <si>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</si>
  <si>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</si>
  <si>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</si>
  <si>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</si>
  <si>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</si>
  <si>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</si>
  <si>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</si>
  <si>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</si>
  <si>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</si>
  <si>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</si>
  <si>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</si>
  <si>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</si>
  <si>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</si>
  <si>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</si>
  <si>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</si>
  <si>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</si>
  <si>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</si>
  <si>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</si>
  <si>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</si>
  <si>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</si>
  <si>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</si>
  <si>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</si>
  <si>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</si>
  <si>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</si>
  <si>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</si>
  <si>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</si>
  <si>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</si>
  <si>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</si>
  <si>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</si>
  <si>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</si>
  <si>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</si>
  <si>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</si>
  <si>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</si>
  <si>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</si>
  <si>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</si>
  <si>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</si>
  <si>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</si>
  <si>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</si>
  <si>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</si>
  <si>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</si>
  <si>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</si>
  <si>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</si>
  <si>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</si>
  <si>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</si>
  <si>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</si>
  <si>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</si>
  <si>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</si>
  <si>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</si>
  <si>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</si>
  <si>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</si>
  <si>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</si>
  <si>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</si>
  <si>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</si>
  <si>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</si>
  <si>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</si>
  <si>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</si>
  <si>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</si>
  <si>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</si>
  <si>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</si>
  <si>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</si>
  <si>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</si>
  <si>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</si>
  <si>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</si>
  <si>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</si>
  <si>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</si>
  <si>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</si>
  <si>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</si>
  <si>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</si>
  <si>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</si>
  <si>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</si>
  <si>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</si>
  <si>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</si>
  <si>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</si>
  <si>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</si>
  <si>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</si>
  <si>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</si>
  <si>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</si>
  <si>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</si>
  <si>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</si>
  <si>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</si>
  <si>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</si>
  <si>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</si>
  <si>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</si>
  <si>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</si>
  <si>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</si>
  <si>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</si>
  <si>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</si>
  <si>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</si>
  <si>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</si>
  <si>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</si>
  <si>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</si>
  <si>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</si>
  <si>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</si>
  <si>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</si>
  <si>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</si>
  <si>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</si>
  <si>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</si>
  <si>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</si>
  <si>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</si>
  <si>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</si>
  <si>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</si>
  <si>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</si>
  <si>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</si>
  <si>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</si>
  <si>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</si>
  <si>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</si>
  <si>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</si>
  <si>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</si>
  <si>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</si>
  <si>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</si>
  <si>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</si>
  <si>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</si>
  <si>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</si>
  <si>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</si>
  <si>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</si>
  <si>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</si>
  <si>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</si>
  <si>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</si>
  <si>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</si>
  <si>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</si>
  <si>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</si>
  <si>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</si>
  <si>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</si>
  <si>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</si>
  <si>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</si>
  <si>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</si>
  <si>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</si>
  <si>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</si>
  <si>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</si>
  <si>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</si>
  <si>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</si>
  <si>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</si>
  <si>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</si>
  <si>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</si>
  <si>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</si>
  <si>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</si>
  <si>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</si>
  <si>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</si>
  <si>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</si>
  <si>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</si>
  <si>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</si>
  <si>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</si>
  <si>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</si>
  <si>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</si>
  <si>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</si>
  <si>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</si>
  <si>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</si>
  <si>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</si>
  <si>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</si>
  <si>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</si>
  <si>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</si>
  <si>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</si>
  <si>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</si>
  <si>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</si>
  <si>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</si>
  <si>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</si>
  <si>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</si>
  <si>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</si>
  <si>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</si>
  <si>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</si>
  <si>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</si>
  <si>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</si>
  <si>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</si>
  <si>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</si>
  <si>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</si>
  <si>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</si>
  <si>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</si>
  <si>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</si>
  <si>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</si>
  <si>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</si>
  <si>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</si>
  <si>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</si>
  <si>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</si>
  <si>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</si>
  <si>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</si>
  <si>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</si>
  <si>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</si>
  <si>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</si>
  <si>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SB-1038</t>
  </si>
  <si>
    <t>SB-1041</t>
  </si>
  <si>
    <t>Safety Alert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</si>
  <si>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</si>
  <si>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</si>
  <si>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</si>
  <si>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</si>
  <si>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</si>
  <si>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</si>
  <si>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</si>
  <si>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</si>
  <si>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</si>
  <si>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</si>
  <si>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</si>
  <si>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</si>
  <si>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</si>
  <si>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</si>
  <si>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</si>
  <si>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</si>
  <si>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</si>
  <si>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</si>
  <si>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</si>
  <si>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</si>
  <si>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</si>
  <si>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</si>
  <si>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</si>
  <si>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</si>
  <si>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</si>
  <si>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</si>
  <si>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</si>
  <si>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</si>
  <si>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</si>
  <si>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</si>
  <si>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</si>
  <si>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</si>
  <si>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</si>
  <si>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</si>
  <si>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</si>
  <si>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</si>
  <si>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</si>
  <si>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</si>
  <si>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</si>
  <si>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</si>
  <si>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</si>
  <si>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</si>
  <si>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</si>
  <si>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</si>
  <si>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</si>
  <si>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</si>
  <si>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</si>
  <si>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</si>
  <si>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</si>
  <si>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</si>
  <si>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</si>
  <si>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</si>
  <si>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</si>
  <si>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</si>
  <si>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</si>
  <si>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</si>
  <si>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</si>
  <si>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</si>
  <si>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</si>
  <si>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</si>
  <si>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</si>
  <si>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</si>
  <si>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</si>
  <si>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</si>
  <si>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</si>
  <si>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</si>
  <si>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</si>
  <si>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</si>
  <si>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</si>
  <si>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</si>
  <si>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</si>
  <si>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</si>
  <si>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</si>
  <si>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</si>
  <si>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</si>
  <si>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</si>
  <si>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</si>
  <si>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</si>
  <si>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</si>
  <si>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</si>
  <si>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</si>
  <si>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</si>
  <si>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</si>
  <si>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</si>
  <si>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</si>
  <si>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</si>
  <si>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</si>
  <si>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</si>
  <si>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</si>
  <si>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</si>
  <si>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</si>
  <si>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</si>
  <si>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</si>
  <si>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</si>
  <si>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</si>
  <si>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</si>
  <si>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</si>
  <si>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</si>
  <si>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</si>
  <si>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</si>
  <si>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</si>
  <si>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</si>
  <si>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</si>
  <si>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</si>
  <si>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</si>
  <si>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</si>
  <si>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</si>
  <si>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</si>
  <si>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</si>
  <si>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</si>
  <si>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</si>
  <si>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</si>
  <si>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</si>
  <si>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</si>
  <si>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</si>
  <si>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</si>
  <si>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</si>
  <si>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</si>
  <si>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</si>
  <si>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</si>
  <si>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</si>
  <si>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</si>
  <si>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</si>
  <si>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</si>
  <si>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</si>
  <si>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</si>
  <si>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</si>
  <si>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</si>
  <si>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</si>
  <si>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</si>
  <si>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</si>
  <si>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</si>
  <si>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</si>
  <si>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</si>
  <si>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</si>
  <si>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</si>
  <si>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</si>
  <si>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</si>
  <si>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</si>
  <si>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</si>
  <si>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</si>
  <si>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</si>
  <si>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</si>
  <si>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</si>
  <si>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</si>
  <si>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</si>
  <si>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</si>
  <si>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</si>
  <si>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</si>
  <si>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</si>
  <si>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</si>
  <si>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</si>
  <si>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</si>
  <si>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</si>
  <si>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</si>
  <si>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</si>
  <si>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</si>
  <si>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</si>
  <si>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</si>
  <si>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</si>
  <si>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</si>
  <si>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</si>
  <si>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</si>
  <si>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</si>
  <si>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</si>
  <si>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</si>
  <si>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</si>
  <si>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</si>
  <si>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</si>
  <si>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</si>
  <si>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</si>
  <si>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</si>
  <si>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</si>
  <si>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</si>
  <si>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</si>
  <si>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</si>
  <si>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</si>
  <si>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</si>
  <si>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</si>
  <si>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</si>
  <si>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</si>
  <si>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</si>
  <si>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</si>
  <si>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</si>
  <si>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</si>
  <si>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</si>
  <si>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</si>
  <si>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</si>
  <si>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</si>
  <si>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</si>
  <si>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</si>
  <si>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</si>
  <si>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</si>
  <si>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</si>
  <si>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</si>
  <si>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</si>
  <si>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</si>
  <si>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</si>
  <si>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</si>
  <si>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</si>
  <si>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</si>
  <si>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</si>
  <si>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</si>
  <si>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</si>
  <si>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</si>
  <si>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</si>
  <si>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</si>
  <si>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</si>
  <si>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</si>
  <si>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</si>
  <si>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</si>
  <si>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</si>
  <si>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</si>
  <si>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</si>
  <si>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</si>
  <si>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</si>
  <si>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</si>
  <si>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</si>
  <si>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</si>
  <si>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</si>
  <si>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</si>
  <si>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</si>
  <si>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</si>
  <si>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</si>
  <si>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</si>
  <si>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</si>
  <si>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</si>
  <si>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</si>
  <si>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</si>
  <si>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</si>
  <si>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</si>
  <si>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</si>
  <si>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</si>
  <si>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</si>
  <si>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</si>
  <si>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</si>
  <si>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</si>
  <si>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</si>
  <si>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</si>
  <si>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</si>
  <si>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</si>
  <si>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</si>
  <si>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</si>
  <si>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</si>
  <si>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</si>
  <si>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</si>
  <si>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</si>
  <si>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</si>
  <si>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</si>
  <si>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</si>
  <si>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</si>
  <si>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</si>
  <si>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</si>
  <si>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</si>
  <si>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</si>
  <si>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</si>
  <si>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</si>
  <si>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</si>
  <si>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</si>
  <si>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</si>
  <si>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</si>
  <si>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</si>
  <si>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</si>
  <si>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</si>
  <si>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</si>
  <si>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</si>
  <si>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</si>
  <si>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</si>
  <si>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</si>
  <si>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</si>
  <si>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</si>
  <si>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</si>
  <si>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</si>
  <si>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</si>
  <si>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</si>
  <si>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</si>
  <si>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</si>
  <si>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</si>
  <si>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</si>
  <si>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</si>
  <si>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</si>
  <si>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</si>
  <si>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</si>
  <si>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</si>
  <si>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</si>
  <si>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</si>
  <si>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</si>
  <si>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</si>
  <si>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</si>
  <si>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</si>
  <si>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</si>
  <si>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</si>
  <si>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</si>
  <si>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</si>
  <si>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</si>
  <si>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</si>
  <si>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</si>
  <si>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</si>
  <si>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</si>
  <si>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</si>
  <si>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</si>
  <si>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</si>
  <si>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</si>
  <si>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</si>
  <si>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</si>
  <si>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</si>
  <si>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</si>
  <si>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</si>
  <si>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</si>
  <si>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</si>
  <si>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</si>
  <si>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</si>
  <si>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</si>
  <si>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</si>
  <si>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</si>
  <si>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</si>
  <si>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</si>
  <si>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</si>
  <si>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</si>
  <si>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</si>
  <si>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</si>
  <si>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</si>
  <si>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</si>
  <si>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</si>
  <si>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</si>
  <si>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</si>
  <si>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</si>
  <si>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</si>
  <si>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</si>
  <si>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</si>
  <si>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</si>
  <si>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</si>
  <si>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</si>
  <si>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</si>
  <si>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</si>
  <si>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</si>
  <si>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</si>
  <si>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</si>
  <si>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</si>
  <si>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</si>
  <si>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</si>
  <si>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</si>
  <si>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</si>
  <si>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</si>
  <si>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</si>
  <si>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</si>
  <si>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</si>
  <si>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</si>
  <si>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DA-1006</t>
  </si>
  <si>
    <t>Permit Violation</t>
  </si>
  <si>
    <t>1st Offense</t>
  </si>
  <si>
    <t>DA-1009</t>
  </si>
  <si>
    <t>DA-1044</t>
  </si>
  <si>
    <t>PPE Violation</t>
  </si>
  <si>
    <t>DA-1004</t>
  </si>
  <si>
    <t>2nd Offense</t>
  </si>
  <si>
    <t>DA-1029</t>
  </si>
  <si>
    <t>Reckless Behavior</t>
  </si>
  <si>
    <t>3rd Offense</t>
  </si>
  <si>
    <t>DA-1002</t>
  </si>
  <si>
    <t>DA-1025</t>
  </si>
  <si>
    <t>DA-1032</t>
  </si>
  <si>
    <t>Safety Rule Breach</t>
  </si>
  <si>
    <t>DA-1010</t>
  </si>
  <si>
    <t>DA-1013</t>
  </si>
  <si>
    <t>Substance Abuse</t>
  </si>
  <si>
    <t>DA-1014</t>
  </si>
  <si>
    <t>DA-1022</t>
  </si>
  <si>
    <t>DA-1034</t>
  </si>
  <si>
    <t>Unauthorized Work</t>
  </si>
  <si>
    <t>DA-1037</t>
  </si>
  <si>
    <t>DA-1041</t>
  </si>
  <si>
    <t>DA-1043</t>
  </si>
  <si>
    <t>DA-1011</t>
  </si>
  <si>
    <t>DA-1012</t>
  </si>
  <si>
    <t>DA-1031</t>
  </si>
  <si>
    <t>DA-1047</t>
  </si>
  <si>
    <t>DA-1017</t>
  </si>
  <si>
    <t>DA-1021</t>
  </si>
  <si>
    <t>DA-1030</t>
  </si>
  <si>
    <t>DA-1003</t>
  </si>
  <si>
    <t>DA-1018</t>
  </si>
  <si>
    <t>DA-1023</t>
  </si>
  <si>
    <t>DA-1039</t>
  </si>
  <si>
    <t>DA-1045</t>
  </si>
  <si>
    <t>DA-1048</t>
  </si>
  <si>
    <t>DA-1019</t>
  </si>
  <si>
    <t>DA-1026</t>
  </si>
  <si>
    <t>DA-1028</t>
  </si>
  <si>
    <t>DA-1035</t>
  </si>
  <si>
    <t>DA-1038</t>
  </si>
  <si>
    <t>DA-1040</t>
  </si>
  <si>
    <t>DA-1001</t>
  </si>
  <si>
    <t>DA-1005</t>
  </si>
  <si>
    <t>DA-1007</t>
  </si>
  <si>
    <t>DA-1008</t>
  </si>
  <si>
    <t>DA-1020</t>
  </si>
  <si>
    <t>DA-1027</t>
  </si>
  <si>
    <t>DA-1042</t>
  </si>
  <si>
    <t>DA-1015</t>
  </si>
  <si>
    <t>DA-1033</t>
  </si>
  <si>
    <t>DA-1036</t>
  </si>
  <si>
    <t>DA-1046</t>
  </si>
  <si>
    <t>DA-1016</t>
  </si>
  <si>
    <t>DA-1024</t>
  </si>
  <si>
    <t>Case No.</t>
  </si>
  <si>
    <t>Violation Type</t>
  </si>
  <si>
    <t>Employee Name</t>
  </si>
  <si>
    <t>Offense Level</t>
  </si>
  <si>
    <t>🏆  SAFETY AWARDS — DATA ENTRY</t>
  </si>
  <si>
    <t>AW-1004</t>
  </si>
  <si>
    <t>Safety Innovation</t>
  </si>
  <si>
    <t>Gift Voucher</t>
  </si>
  <si>
    <t>AW-1021</t>
  </si>
  <si>
    <t>Zero Incident Award</t>
  </si>
  <si>
    <t>Trophy</t>
  </si>
  <si>
    <t>AW-1034</t>
  </si>
  <si>
    <t>Safe Worker of Month</t>
  </si>
  <si>
    <t>Cash Bonus</t>
  </si>
  <si>
    <t>AW-1008</t>
  </si>
  <si>
    <t>HSE Champion</t>
  </si>
  <si>
    <t>Recognition Letter</t>
  </si>
  <si>
    <t>AW-1014</t>
  </si>
  <si>
    <t>AW-1018</t>
  </si>
  <si>
    <t>AW-1024</t>
  </si>
  <si>
    <t>AW-1041</t>
  </si>
  <si>
    <t>Best Department</t>
  </si>
  <si>
    <t>AW-1020</t>
  </si>
  <si>
    <t>AW-1026</t>
  </si>
  <si>
    <t>AW-1028</t>
  </si>
  <si>
    <t>Best Safety Suggestion</t>
  </si>
  <si>
    <t>AW-1001</t>
  </si>
  <si>
    <t>AW-1013</t>
  </si>
  <si>
    <t>Certificate</t>
  </si>
  <si>
    <t>AW-1016</t>
  </si>
  <si>
    <t>AW-1019</t>
  </si>
  <si>
    <t>AW-1022</t>
  </si>
  <si>
    <t>AW-1035</t>
  </si>
  <si>
    <t>AW-1044</t>
  </si>
  <si>
    <t>AW-1003</t>
  </si>
  <si>
    <t>AW-1005</t>
  </si>
  <si>
    <t>AW-1038</t>
  </si>
  <si>
    <t>AW-1042</t>
  </si>
  <si>
    <t>AW-1006</t>
  </si>
  <si>
    <t>AW-1010</t>
  </si>
  <si>
    <t>AW-1017</t>
  </si>
  <si>
    <t>AW-1029</t>
  </si>
  <si>
    <t>AW-1032</t>
  </si>
  <si>
    <t>AW-1047</t>
  </si>
  <si>
    <t>AW-1007</t>
  </si>
  <si>
    <t>AW-1025</t>
  </si>
  <si>
    <t>AW-1027</t>
  </si>
  <si>
    <t>AW-1015</t>
  </si>
  <si>
    <t>AW-1040</t>
  </si>
  <si>
    <t>AW-1045</t>
  </si>
  <si>
    <t>AW-1048</t>
  </si>
  <si>
    <t>AW-1009</t>
  </si>
  <si>
    <t>AW-1039</t>
  </si>
  <si>
    <t>AW-1002</t>
  </si>
  <si>
    <t>AW-1030</t>
  </si>
  <si>
    <t>AW-1031</t>
  </si>
  <si>
    <t>AW-1033</t>
  </si>
  <si>
    <t>AW-1036</t>
  </si>
  <si>
    <t>AW-1037</t>
  </si>
  <si>
    <t>AW-1046</t>
  </si>
  <si>
    <t>AW-1011</t>
  </si>
  <si>
    <t>AW-1012</t>
  </si>
  <si>
    <t>AW-1023</t>
  </si>
  <si>
    <t>AW-1043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</si>
  <si>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</si>
  <si>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</si>
  <si>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</si>
  <si>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</si>
  <si>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</si>
  <si>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</si>
  <si>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SWA-1001</t>
  </si>
  <si>
    <t>Under Investigation</t>
  </si>
  <si>
    <t>SWA-1015</t>
  </si>
  <si>
    <t>Permanent Fix Applied</t>
  </si>
  <si>
    <t>SWA-1024</t>
  </si>
  <si>
    <t>SWA-1029</t>
  </si>
  <si>
    <t>Resolved</t>
  </si>
  <si>
    <t>SWA-1037</t>
  </si>
  <si>
    <t>SWA-1047</t>
  </si>
  <si>
    <t>SWA-1013</t>
  </si>
  <si>
    <t>SWA-1018</t>
  </si>
  <si>
    <t>SWA-1026</t>
  </si>
  <si>
    <t>SWA-1027</t>
  </si>
  <si>
    <t>SWA-1007</t>
  </si>
  <si>
    <t>SWA-1032</t>
  </si>
  <si>
    <t>SWA-1039</t>
  </si>
  <si>
    <t>SWA-1044</t>
  </si>
  <si>
    <t>SWA-1046</t>
  </si>
  <si>
    <t>SWA-1002</t>
  </si>
  <si>
    <t>SWA-1023</t>
  </si>
  <si>
    <t>SWA-1017</t>
  </si>
  <si>
    <t>SWA-1038</t>
  </si>
  <si>
    <t>SWA-1040</t>
  </si>
  <si>
    <t>SWA-1048</t>
  </si>
  <si>
    <t>SWA-1004</t>
  </si>
  <si>
    <t>SWA-1008</t>
  </si>
  <si>
    <t>SWA-1010</t>
  </si>
  <si>
    <t>SWA-1011</t>
  </si>
  <si>
    <t>SWA-1012</t>
  </si>
  <si>
    <t>SWA-1020</t>
  </si>
  <si>
    <t>SWA-1022</t>
  </si>
  <si>
    <t>SWA-1034</t>
  </si>
  <si>
    <t>SWA-1035</t>
  </si>
  <si>
    <t>SWA-1036</t>
  </si>
  <si>
    <t>SWA-1014</t>
  </si>
  <si>
    <t>SWA-1019</t>
  </si>
  <si>
    <t>SWA-1031</t>
  </si>
  <si>
    <t>SWA-1041</t>
  </si>
  <si>
    <t>SWA-1016</t>
  </si>
  <si>
    <t>SWA-1042</t>
  </si>
  <si>
    <t>SWA-1043</t>
  </si>
  <si>
    <t>SWA-1009</t>
  </si>
  <si>
    <t>SWA-1033</t>
  </si>
  <si>
    <t>SWA-1003</t>
  </si>
  <si>
    <t>SWA-1006</t>
  </si>
  <si>
    <t>SWA-1021</t>
  </si>
  <si>
    <t>SWA-1045</t>
  </si>
  <si>
    <t>SWA-1005</t>
  </si>
  <si>
    <t>SWA-1025</t>
  </si>
  <si>
    <t>SWA-1028</t>
  </si>
  <si>
    <t>SWA-1030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</si>
  <si>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</si>
  <si>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</si>
  <si>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</si>
  <si>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</si>
  <si>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</si>
  <si>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</si>
  <si>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</si>
  <si>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</si>
  <si>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</si>
  <si>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</si>
  <si>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Reasonable Suspicion</t>
  </si>
  <si>
    <t>Negative</t>
  </si>
  <si>
    <t>AT-1013</t>
  </si>
  <si>
    <t>Positive</t>
  </si>
  <si>
    <t>AT-1026</t>
  </si>
  <si>
    <t>Random</t>
  </si>
  <si>
    <t>AT-1003</t>
  </si>
  <si>
    <t>AT-1012</t>
  </si>
  <si>
    <t>Post-Incident</t>
  </si>
  <si>
    <t>AT-1014</t>
  </si>
  <si>
    <t>Pre-Shift</t>
  </si>
  <si>
    <t>AT-1040</t>
  </si>
  <si>
    <t>AT-1015</t>
  </si>
  <si>
    <t>AT-1018</t>
  </si>
  <si>
    <t>AT-1020</t>
  </si>
  <si>
    <t>AT-1007</t>
  </si>
  <si>
    <t>AT-1038</t>
  </si>
  <si>
    <t>AT-1044</t>
  </si>
  <si>
    <t>AT-1005</t>
  </si>
  <si>
    <t>AT-1010</t>
  </si>
  <si>
    <t>AT-1025</t>
  </si>
  <si>
    <t>AT-1027</t>
  </si>
  <si>
    <t>AT-1036</t>
  </si>
  <si>
    <t>AT-1039</t>
  </si>
  <si>
    <t>AT-1019</t>
  </si>
  <si>
    <t>AT-1037</t>
  </si>
  <si>
    <t>AT-1001</t>
  </si>
  <si>
    <t>AT-1009</t>
  </si>
  <si>
    <t>AT-1016</t>
  </si>
  <si>
    <t>AT-1030</t>
  </si>
  <si>
    <t>AT-1031</t>
  </si>
  <si>
    <t>AT-1048</t>
  </si>
  <si>
    <t>AT-1017</t>
  </si>
  <si>
    <t>AT-1028</t>
  </si>
  <si>
    <t>AT-1042</t>
  </si>
  <si>
    <t>AT-1008</t>
  </si>
  <si>
    <t>AT-1033</t>
  </si>
  <si>
    <t>AT-1046</t>
  </si>
  <si>
    <t>AT-1006</t>
  </si>
  <si>
    <t>AT-1011</t>
  </si>
  <si>
    <t>AT-1032</t>
  </si>
  <si>
    <t>AT-1034</t>
  </si>
  <si>
    <t>AT-1035</t>
  </si>
  <si>
    <t>AT-1041</t>
  </si>
  <si>
    <t>AT-1004</t>
  </si>
  <si>
    <t>AT-1029</t>
  </si>
  <si>
    <t>AT-1043</t>
  </si>
  <si>
    <t>AT-1045</t>
  </si>
  <si>
    <t>AT-1047</t>
  </si>
  <si>
    <t>AT-1021</t>
  </si>
  <si>
    <t>AT-1022</t>
  </si>
  <si>
    <t>AT-1023</t>
  </si>
  <si>
    <t>AT-1024</t>
  </si>
  <si>
    <t>Test ID</t>
  </si>
  <si>
    <t>Employee Tested</t>
  </si>
  <si>
    <t>Test Type</t>
  </si>
  <si>
    <t>Result</t>
  </si>
  <si>
    <t>Tested By</t>
  </si>
  <si>
    <t>📝  PTW AUDITS — DATA ENTRY</t>
  </si>
  <si>
    <t>PTA-1004</t>
  </si>
  <si>
    <t>Cold Work</t>
  </si>
  <si>
    <t>PTA-1029</t>
  </si>
  <si>
    <t>Lifting</t>
  </si>
  <si>
    <t>PTA-1044</t>
  </si>
  <si>
    <t>PTA-1026</t>
  </si>
  <si>
    <t>PTA-1031</t>
  </si>
  <si>
    <t>PTA-1048</t>
  </si>
  <si>
    <t>PTA-1019</t>
  </si>
  <si>
    <t>PTA-1034</t>
  </si>
  <si>
    <t>PTA-1001</t>
  </si>
  <si>
    <t>PTA-1002</t>
  </si>
  <si>
    <t>Working at Height</t>
  </si>
  <si>
    <t>PTA-1008</t>
  </si>
  <si>
    <t>PTA-1009</t>
  </si>
  <si>
    <t>PTA-1012</t>
  </si>
  <si>
    <t>PTA-1018</t>
  </si>
  <si>
    <t>PTA-1032</t>
  </si>
  <si>
    <t>Electrical</t>
  </si>
  <si>
    <t>PTA-1045</t>
  </si>
  <si>
    <t>PTA-1013</t>
  </si>
  <si>
    <t>Excavation</t>
  </si>
  <si>
    <t>PTA-1021</t>
  </si>
  <si>
    <t>PTA-1023</t>
  </si>
  <si>
    <t>PTA-1024</t>
  </si>
  <si>
    <t>PTA-1036</t>
  </si>
  <si>
    <t>PTA-1047</t>
  </si>
  <si>
    <t>PTA-1014</t>
  </si>
  <si>
    <t>PTA-1028</t>
  </si>
  <si>
    <t>PTA-1030</t>
  </si>
  <si>
    <t>PTA-1039</t>
  </si>
  <si>
    <t>PTA-1006</t>
  </si>
  <si>
    <t>PTA-1016</t>
  </si>
  <si>
    <t>PTA-1020</t>
  </si>
  <si>
    <t>PTA-1037</t>
  </si>
  <si>
    <t>PTA-1007</t>
  </si>
  <si>
    <t>PTA-1027</t>
  </si>
  <si>
    <t>PTA-1046</t>
  </si>
  <si>
    <t>PTA-1042</t>
  </si>
  <si>
    <t>PTA-1043</t>
  </si>
  <si>
    <t>PTA-1010</t>
  </si>
  <si>
    <t>PTA-1011</t>
  </si>
  <si>
    <t>PTA-1025</t>
  </si>
  <si>
    <t>PTA-1038</t>
  </si>
  <si>
    <t>PTA-1040</t>
  </si>
  <si>
    <t>PTA-1041</t>
  </si>
  <si>
    <t>PTA-1017</t>
  </si>
  <si>
    <t>PTA-1022</t>
  </si>
  <si>
    <t>PTA-1003</t>
  </si>
  <si>
    <t>PTA-1005</t>
  </si>
  <si>
    <t>PTA-1015</t>
  </si>
  <si>
    <t>PTA-1033</t>
  </si>
  <si>
    <t>PTA-1035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</si>
  <si>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</si>
  <si>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</si>
  <si>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</si>
  <si>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</si>
  <si>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</si>
  <si>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</si>
  <si>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</si>
  <si>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</si>
  <si>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CA-1013</t>
  </si>
  <si>
    <t>Observation</t>
  </si>
  <si>
    <t>CA-1015</t>
  </si>
  <si>
    <t>Drill Finding</t>
  </si>
  <si>
    <t>CA-1024</t>
  </si>
  <si>
    <t>Management Review</t>
  </si>
  <si>
    <t>CA-1030</t>
  </si>
  <si>
    <t>Audit Finding</t>
  </si>
  <si>
    <t>CA-1035</t>
  </si>
  <si>
    <t>Inspection Finding</t>
  </si>
  <si>
    <t>CA-1020</t>
  </si>
  <si>
    <t>CA-1039</t>
  </si>
  <si>
    <t>Incident Follow-up</t>
  </si>
  <si>
    <t>CA-1003</t>
  </si>
  <si>
    <t>CA-1012</t>
  </si>
  <si>
    <t>CA-1034</t>
  </si>
  <si>
    <t>CA-1038</t>
  </si>
  <si>
    <t>CA-1041</t>
  </si>
  <si>
    <t>CA-1042</t>
  </si>
  <si>
    <t>CA-1007</t>
  </si>
  <si>
    <t>CA-1011</t>
  </si>
  <si>
    <t>CA-1018</t>
  </si>
  <si>
    <t>CA-1044</t>
  </si>
  <si>
    <t>CA-1004</t>
  </si>
  <si>
    <t>CA-1005</t>
  </si>
  <si>
    <t>CA-1010</t>
  </si>
  <si>
    <t>CA-1021</t>
  </si>
  <si>
    <t>CA-1048</t>
  </si>
  <si>
    <t>CA-1002</t>
  </si>
  <si>
    <t>CA-1025</t>
  </si>
  <si>
    <t>CA-1027</t>
  </si>
  <si>
    <t>CA-1040</t>
  </si>
  <si>
    <t>CA-1006</t>
  </si>
  <si>
    <t>CA-1009</t>
  </si>
  <si>
    <t>CA-1022</t>
  </si>
  <si>
    <t>CA-1036</t>
  </si>
  <si>
    <t>CA-1047</t>
  </si>
  <si>
    <t>CA-1001</t>
  </si>
  <si>
    <t>CA-1043</t>
  </si>
  <si>
    <t>CA-1008</t>
  </si>
  <si>
    <t>CA-1014</t>
  </si>
  <si>
    <t>CA-1023</t>
  </si>
  <si>
    <t>CA-1026</t>
  </si>
  <si>
    <t>CA-1033</t>
  </si>
  <si>
    <t>CA-1031</t>
  </si>
  <si>
    <t>CA-1032</t>
  </si>
  <si>
    <t>CA-1037</t>
  </si>
  <si>
    <t>CA-1045</t>
  </si>
  <si>
    <t>CA-1017</t>
  </si>
  <si>
    <t>CA-1029</t>
  </si>
  <si>
    <t>CA-1016</t>
  </si>
  <si>
    <t>CA-1019</t>
  </si>
  <si>
    <t>CA-1028</t>
  </si>
  <si>
    <t>CA-1046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</si>
  <si>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</si>
  <si>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</si>
  <si>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</si>
  <si>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</si>
  <si>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</si>
  <si>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</si>
  <si>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</si>
  <si>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</si>
  <si>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NC-1022</t>
  </si>
  <si>
    <t>NC-1039</t>
  </si>
  <si>
    <t>NC-1041</t>
  </si>
  <si>
    <t>PPE Not Used</t>
  </si>
  <si>
    <t>NC-1003</t>
  </si>
  <si>
    <t>Poor Housekeeping</t>
  </si>
  <si>
    <t>NC-1007</t>
  </si>
  <si>
    <t>NC-1014</t>
  </si>
  <si>
    <t>Inadequate Procedure</t>
  </si>
  <si>
    <t>NC-1029</t>
  </si>
  <si>
    <t>NC-1027</t>
  </si>
  <si>
    <t>Human Error</t>
  </si>
  <si>
    <t>NC-1030</t>
  </si>
  <si>
    <t>NC-1043</t>
  </si>
  <si>
    <t>NC-1005</t>
  </si>
  <si>
    <t>NC-1012</t>
  </si>
  <si>
    <t>NC-1018</t>
  </si>
  <si>
    <t>NC-1020</t>
  </si>
  <si>
    <t>NC-1034</t>
  </si>
  <si>
    <t>NC-1038</t>
  </si>
  <si>
    <t>NC-1046</t>
  </si>
  <si>
    <t>NC-1011</t>
  </si>
  <si>
    <t>NC-1031</t>
  </si>
  <si>
    <t>Equipment Failure</t>
  </si>
  <si>
    <t>NC-1004</t>
  </si>
  <si>
    <t>NC-1010</t>
  </si>
  <si>
    <t>NC-1019</t>
  </si>
  <si>
    <t>NC-1036</t>
  </si>
  <si>
    <t>NC-1040</t>
  </si>
  <si>
    <t>NC-1017</t>
  </si>
  <si>
    <t>Lack of Training</t>
  </si>
  <si>
    <t>NC-1026</t>
  </si>
  <si>
    <t>NC-1047</t>
  </si>
  <si>
    <t>NC-1048</t>
  </si>
  <si>
    <t>NC-1002</t>
  </si>
  <si>
    <t>NC-1013</t>
  </si>
  <si>
    <t>NC-1016</t>
  </si>
  <si>
    <t>NC-1035</t>
  </si>
  <si>
    <t>NC-1042</t>
  </si>
  <si>
    <t>NC-1008</t>
  </si>
  <si>
    <t>NC-1023</t>
  </si>
  <si>
    <t>NC-1033</t>
  </si>
  <si>
    <t>NC-1037</t>
  </si>
  <si>
    <t>NC-1045</t>
  </si>
  <si>
    <t>NC-1006</t>
  </si>
  <si>
    <t>NC-1021</t>
  </si>
  <si>
    <t>NC-1024</t>
  </si>
  <si>
    <t>NC-1032</t>
  </si>
  <si>
    <t>NC-1009</t>
  </si>
  <si>
    <t>NC-1015</t>
  </si>
  <si>
    <t>NC-1044</t>
  </si>
  <si>
    <t>NC-1001</t>
  </si>
  <si>
    <t>NC-1025</t>
  </si>
  <si>
    <t>NC-1028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</si>
  <si>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</si>
  <si>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</si>
  <si>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</si>
  <si>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</si>
  <si>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</si>
  <si>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</si>
  <si>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UA-1011</t>
  </si>
  <si>
    <t>Operating Without Authorization</t>
  </si>
  <si>
    <t>UA-1014</t>
  </si>
  <si>
    <t>Improper Lifting Technique</t>
  </si>
  <si>
    <t>UA-1025</t>
  </si>
  <si>
    <t>Wrong Tool for the Job</t>
  </si>
  <si>
    <t>UA-1037</t>
  </si>
  <si>
    <t>UA-1001</t>
  </si>
  <si>
    <t>Horseplay</t>
  </si>
  <si>
    <t>UA-1022</t>
  </si>
  <si>
    <t>Not Using PPE</t>
  </si>
  <si>
    <t>UA-1036</t>
  </si>
  <si>
    <t>Bypassing Safety Device</t>
  </si>
  <si>
    <t>UA-1047</t>
  </si>
  <si>
    <t>Using Defective Equipment</t>
  </si>
  <si>
    <t>UA-1004</t>
  </si>
  <si>
    <t>UA-1016</t>
  </si>
  <si>
    <t>Working Without Permit</t>
  </si>
  <si>
    <t>UA-1018</t>
  </si>
  <si>
    <t>UA-1027</t>
  </si>
  <si>
    <t>UA-1028</t>
  </si>
  <si>
    <t>UA-1046</t>
  </si>
  <si>
    <t>UA-1002</t>
  </si>
  <si>
    <t>UA-1006</t>
  </si>
  <si>
    <t>UA-1009</t>
  </si>
  <si>
    <t>UA-1015</t>
  </si>
  <si>
    <t>UA-1024</t>
  </si>
  <si>
    <t>UA-1038</t>
  </si>
  <si>
    <t>LOTO Not Followed</t>
  </si>
  <si>
    <t>UA-1023</t>
  </si>
  <si>
    <t>UA-1040</t>
  </si>
  <si>
    <t>UA-1003</t>
  </si>
  <si>
    <t>UA-1013</t>
  </si>
  <si>
    <t>UA-1039</t>
  </si>
  <si>
    <t>UA-1021</t>
  </si>
  <si>
    <t>UA-1026</t>
  </si>
  <si>
    <t>UA-1034</t>
  </si>
  <si>
    <t>UA-1035</t>
  </si>
  <si>
    <t>UA-1007</t>
  </si>
  <si>
    <t>UA-1020</t>
  </si>
  <si>
    <t>UA-1030</t>
  </si>
  <si>
    <t>UA-1043</t>
  </si>
  <si>
    <t>UA-1005</t>
  </si>
  <si>
    <t>UA-1010</t>
  </si>
  <si>
    <t>Vehicle/Forklift Overspeeding</t>
  </si>
  <si>
    <t>UA-1012</t>
  </si>
  <si>
    <t>UA-1017</t>
  </si>
  <si>
    <t>UA-1032</t>
  </si>
  <si>
    <t>UA-1045</t>
  </si>
  <si>
    <t>UA-1048</t>
  </si>
  <si>
    <t>UA-1033</t>
  </si>
  <si>
    <t>UA-1044</t>
  </si>
  <si>
    <t>UA-1019</t>
  </si>
  <si>
    <t>UA-1029</t>
  </si>
  <si>
    <t>UA-1042</t>
  </si>
  <si>
    <t>UA-1008</t>
  </si>
  <si>
    <t>UA-1031</t>
  </si>
  <si>
    <t>UA-1041</t>
  </si>
  <si>
    <t>Report No.</t>
  </si>
  <si>
    <t>Reported By</t>
  </si>
  <si>
    <t>Immediate Action</t>
  </si>
  <si>
    <t>⛔  UNSAFE CONDITIONS — DATA ENTRY</t>
  </si>
  <si>
    <t>UC-1018</t>
  </si>
  <si>
    <t>Chemical Leak</t>
  </si>
  <si>
    <t>UC-1042</t>
  </si>
  <si>
    <t>Inadequate Lighting</t>
  </si>
  <si>
    <t>UC-1003</t>
  </si>
  <si>
    <t>Exposed Wiring</t>
  </si>
  <si>
    <t>UC-1034</t>
  </si>
  <si>
    <t>UC-1043</t>
  </si>
  <si>
    <t>Missing Signage</t>
  </si>
  <si>
    <t>UC-1045</t>
  </si>
  <si>
    <t>Slippery Floor</t>
  </si>
  <si>
    <t>UC-1009</t>
  </si>
  <si>
    <t>UC-1010</t>
  </si>
  <si>
    <t>UC-1019</t>
  </si>
  <si>
    <t>UC-1020</t>
  </si>
  <si>
    <t>UC-1005</t>
  </si>
  <si>
    <t>Blocked Walkway/Aisle</t>
  </si>
  <si>
    <t>UC-1007</t>
  </si>
  <si>
    <t>Faulty Ladder/Scaffold</t>
  </si>
  <si>
    <t>UC-1023</t>
  </si>
  <si>
    <t>Damaged Machine Guard</t>
  </si>
  <si>
    <t>UC-1026</t>
  </si>
  <si>
    <t>UC-1031</t>
  </si>
  <si>
    <t>Blocked Fire Exit</t>
  </si>
  <si>
    <t>UC-1024</t>
  </si>
  <si>
    <t>UC-1025</t>
  </si>
  <si>
    <t>UC-1028</t>
  </si>
  <si>
    <t>UC-1036</t>
  </si>
  <si>
    <t>UC-1004</t>
  </si>
  <si>
    <t>UC-1032</t>
  </si>
  <si>
    <t>UC-1039</t>
  </si>
  <si>
    <t>UC-1011</t>
  </si>
  <si>
    <t>UC-1012</t>
  </si>
  <si>
    <t>UC-1013</t>
  </si>
  <si>
    <t>UC-1021</t>
  </si>
  <si>
    <t>UC-1030</t>
  </si>
  <si>
    <t>UC-1037</t>
  </si>
  <si>
    <t>UC-1044</t>
  </si>
  <si>
    <t>UC-1017</t>
  </si>
  <si>
    <t>UC-1033</t>
  </si>
  <si>
    <t>UC-1035</t>
  </si>
  <si>
    <t>UC-1041</t>
  </si>
  <si>
    <t>UC-1048</t>
  </si>
  <si>
    <t>UC-1006</t>
  </si>
  <si>
    <t>UC-1022</t>
  </si>
  <si>
    <t>UC-1047</t>
  </si>
  <si>
    <t>UC-1002</t>
  </si>
  <si>
    <t>UC-1014</t>
  </si>
  <si>
    <t>UC-1029</t>
  </si>
  <si>
    <t>UC-1038</t>
  </si>
  <si>
    <t>UC-1040</t>
  </si>
  <si>
    <t>UC-1046</t>
  </si>
  <si>
    <t>UC-1008</t>
  </si>
  <si>
    <t>UC-1015</t>
  </si>
  <si>
    <t>UC-1001</t>
  </si>
  <si>
    <t>UC-1016</t>
  </si>
  <si>
    <t>UC-1027</t>
  </si>
  <si>
    <t>🔥  INCIDENT — DATA ENTRY</t>
  </si>
  <si>
    <t>INC-1003</t>
  </si>
  <si>
    <t>W4</t>
  </si>
  <si>
    <t>Q1</t>
  </si>
  <si>
    <t>FY2026-2027</t>
  </si>
  <si>
    <t>PET Line</t>
  </si>
  <si>
    <t>Shift C</t>
  </si>
  <si>
    <t>Vehicle</t>
  </si>
  <si>
    <t>Near Miss</t>
  </si>
  <si>
    <t>Employee</t>
  </si>
  <si>
    <t>Multiple</t>
  </si>
  <si>
    <t>INC-1023</t>
  </si>
  <si>
    <t>W1</t>
  </si>
  <si>
    <t>Line 3</t>
  </si>
  <si>
    <t>Environmental</t>
  </si>
  <si>
    <t>Visitor</t>
  </si>
  <si>
    <t>Foot/Leg</t>
  </si>
  <si>
    <t>INC-1024</t>
  </si>
  <si>
    <t>W3</t>
  </si>
  <si>
    <t>Line 4</t>
  </si>
  <si>
    <t>Injury/Illness</t>
  </si>
  <si>
    <t>First Aid</t>
  </si>
  <si>
    <t>Third Party</t>
  </si>
  <si>
    <t>INC-1009</t>
  </si>
  <si>
    <t>INC-1011</t>
  </si>
  <si>
    <t>Can Line</t>
  </si>
  <si>
    <t>Fire</t>
  </si>
  <si>
    <t>Torso</t>
  </si>
  <si>
    <t>INC-1013</t>
  </si>
  <si>
    <t>Property Damage</t>
  </si>
  <si>
    <t>INC-1017</t>
  </si>
  <si>
    <t>INC-1043</t>
  </si>
  <si>
    <t>W2</t>
  </si>
  <si>
    <t>Line 1</t>
  </si>
  <si>
    <t>Shift B</t>
  </si>
  <si>
    <t>Hand/Finger</t>
  </si>
  <si>
    <t>INC-1006</t>
  </si>
  <si>
    <t>Arm</t>
  </si>
  <si>
    <t>INC-1025</t>
  </si>
  <si>
    <t>INC-1030</t>
  </si>
  <si>
    <t>INC-1048</t>
  </si>
  <si>
    <t>INC-1020</t>
  </si>
  <si>
    <t>Q2</t>
  </si>
  <si>
    <t>Shift A</t>
  </si>
  <si>
    <t>INC-1027</t>
  </si>
  <si>
    <t>Medical Treatment</t>
  </si>
  <si>
    <t>INC-1039</t>
  </si>
  <si>
    <t>INC-1042</t>
  </si>
  <si>
    <t>Back</t>
  </si>
  <si>
    <t>INC-1007</t>
  </si>
  <si>
    <t>Restricted Work</t>
  </si>
  <si>
    <t>INC-1012</t>
  </si>
  <si>
    <t>Eye</t>
  </si>
  <si>
    <t>INC-1021</t>
  </si>
  <si>
    <t>INC-1029</t>
  </si>
  <si>
    <t>Line 2</t>
  </si>
  <si>
    <t>INC-1033</t>
  </si>
  <si>
    <t>INC-1035</t>
  </si>
  <si>
    <t>Fatality</t>
  </si>
  <si>
    <t>INC-1036</t>
  </si>
  <si>
    <t>INC-1038</t>
  </si>
  <si>
    <t>INC-1040</t>
  </si>
  <si>
    <t>INC-1044</t>
  </si>
  <si>
    <t>INC-1045</t>
  </si>
  <si>
    <t>INC-1002</t>
  </si>
  <si>
    <t>INC-1018</t>
  </si>
  <si>
    <t>INC-1026</t>
  </si>
  <si>
    <t>INC-1008</t>
  </si>
  <si>
    <t>Q3</t>
  </si>
  <si>
    <t>INC-1046</t>
  </si>
  <si>
    <t>INC-1005</t>
  </si>
  <si>
    <t>INC-1010</t>
  </si>
  <si>
    <t>INC-1037</t>
  </si>
  <si>
    <t>INC-1041</t>
  </si>
  <si>
    <t>INC-1004</t>
  </si>
  <si>
    <t>Head</t>
  </si>
  <si>
    <t>INC-1028</t>
  </si>
  <si>
    <t>INC-1031</t>
  </si>
  <si>
    <t>INC-1001</t>
  </si>
  <si>
    <t>Q4</t>
  </si>
  <si>
    <t>INC-1016</t>
  </si>
  <si>
    <t>INC-1014</t>
  </si>
  <si>
    <t>INC-1015</t>
  </si>
  <si>
    <t>INC-1019</t>
  </si>
  <si>
    <t>INC-1032</t>
  </si>
  <si>
    <t>INC-1034</t>
  </si>
  <si>
    <t>INC-1022</t>
  </si>
  <si>
    <t>Lost Time Injury</t>
  </si>
  <si>
    <t>INC-1047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</si>
  <si>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</si>
  <si>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</si>
  <si>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</si>
  <si>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</si>
  <si>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</si>
  <si>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</si>
  <si>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</si>
  <si>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</si>
  <si>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</si>
  <si>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</si>
  <si>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</si>
  <si>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</si>
  <si>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</si>
  <si>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</si>
  <si>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</si>
  <si>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</si>
  <si>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</si>
  <si>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</si>
  <si>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</si>
  <si>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</si>
  <si>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</si>
  <si>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</si>
  <si>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</si>
  <si>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</si>
  <si>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</si>
  <si>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</si>
  <si>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</si>
  <si>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</si>
  <si>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</si>
  <si>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</si>
  <si>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</si>
  <si>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</si>
  <si>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</si>
  <si>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</si>
  <si>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</si>
  <si>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</si>
  <si>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</si>
  <si>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</si>
  <si>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</si>
  <si>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</si>
  <si>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</si>
  <si>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</si>
  <si>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</si>
  <si>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</si>
  <si>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</si>
  <si>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</si>
  <si>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</si>
  <si>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</si>
  <si>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</si>
  <si>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</si>
  <si>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</si>
  <si>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</si>
  <si>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</si>
  <si>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</si>
  <si>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</si>
  <si>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</si>
  <si>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</si>
  <si>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</si>
  <si>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</si>
  <si>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</si>
  <si>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</si>
  <si>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</si>
  <si>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</si>
  <si>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</si>
  <si>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</si>
  <si>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</si>
  <si>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</si>
  <si>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</si>
  <si>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</si>
  <si>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</si>
  <si>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</si>
  <si>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</si>
  <si>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</si>
  <si>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</si>
  <si>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</si>
  <si>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</si>
  <si>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</si>
  <si>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</si>
  <si>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</si>
  <si>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</si>
  <si>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</si>
  <si>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</si>
  <si>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</si>
  <si>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</si>
  <si>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</si>
  <si>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</si>
  <si>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</si>
  <si>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</si>
  <si>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</si>
  <si>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</si>
  <si>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</si>
  <si>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</si>
  <si>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</si>
  <si>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</si>
  <si>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</si>
  <si>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</si>
  <si>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</si>
  <si>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</si>
  <si>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</si>
  <si>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</si>
  <si>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</si>
  <si>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</si>
  <si>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</si>
  <si>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</si>
  <si>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</si>
  <si>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</si>
  <si>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</si>
  <si>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</si>
  <si>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</si>
  <si>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</si>
  <si>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</si>
  <si>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</si>
  <si>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</si>
  <si>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</si>
  <si>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</si>
  <si>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</si>
  <si>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</si>
  <si>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</si>
  <si>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</si>
  <si>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</si>
  <si>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</si>
  <si>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</si>
  <si>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</si>
  <si>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</si>
  <si>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</si>
  <si>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</si>
  <si>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</si>
  <si>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</si>
  <si>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</si>
  <si>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</si>
  <si>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</si>
  <si>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</si>
  <si>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</si>
  <si>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</si>
  <si>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</si>
  <si>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</si>
  <si>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</si>
  <si>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</si>
  <si>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</si>
  <si>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</si>
  <si>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</si>
  <si>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</si>
  <si>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</si>
  <si>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</si>
  <si>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</si>
  <si>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</si>
  <si>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</si>
  <si>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</si>
  <si>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</si>
  <si>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</si>
  <si>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</si>
  <si>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</si>
  <si>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</si>
  <si>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</si>
  <si>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</si>
  <si>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</si>
  <si>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hseobs_safe</t>
  </si>
  <si>
    <t>hseobs_atrisk</t>
  </si>
  <si>
    <t>drill_resp_actual</t>
  </si>
  <si>
    <t>drill_resp_target</t>
  </si>
  <si>
    <t>iaudit_major</t>
  </si>
  <si>
    <t>eaudit_major</t>
  </si>
  <si>
    <t>mgmtreview_decisions</t>
  </si>
  <si>
    <t>mgmtreview_actions</t>
  </si>
  <si>
    <t>swa_downtime</t>
  </si>
  <si>
    <t>training_hours</t>
  </si>
  <si>
    <t>wpinsp_nc</t>
  </si>
  <si>
    <t>ca_ontime</t>
  </si>
  <si>
    <t>ca_delayed</t>
  </si>
  <si>
    <t>jsa_critical</t>
  </si>
  <si>
    <t>jsa_high</t>
  </si>
  <si>
    <t>jsa_medium</t>
  </si>
  <si>
    <t>jsa_low</t>
  </si>
  <si>
    <t>trir_m</t>
  </si>
  <si>
    <t>ltifr_m</t>
  </si>
  <si>
    <t>alcohol_rate_m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</si>
  <si>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</si>
  <si>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</si>
  <si>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</si>
  <si>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</si>
  <si>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</si>
  <si>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</si>
  <si>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</si>
  <si>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</si>
  <si>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</si>
  <si>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</si>
  <si>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</si>
  <si>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</si>
  <si>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Toolbox Talks</t>
  </si>
  <si>
    <t>Leading</t>
  </si>
  <si>
    <t>Toolbox Avg Attendance</t>
  </si>
  <si>
    <t>JSA Assessments</t>
  </si>
  <si>
    <t>JSA % Approved</t>
  </si>
  <si>
    <t>Trainings</t>
  </si>
  <si>
    <t>Training Compliance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</si>
  <si>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</si>
  <si>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</si>
  <si>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</si>
  <si>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</si>
  <si>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</si>
  <si>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</si>
  <si>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</si>
  <si>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</si>
  <si>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</si>
  <si>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</si>
  <si>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</si>
  <si>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</si>
  <si>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</si>
  <si>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</si>
  <si>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</si>
  <si>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</si>
  <si>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</si>
  <si>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</si>
  <si>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</si>
  <si>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</si>
  <si>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</si>
  <si>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</si>
  <si>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</si>
  <si>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</si>
  <si>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</si>
  <si>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</si>
  <si>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</si>
  <si>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</si>
  <si>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</si>
  <si>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</si>
  <si>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</si>
  <si>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</si>
  <si>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</si>
  <si>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Training</t>
  </si>
  <si>
    <t>PTW Audit</t>
  </si>
  <si>
    <t>Inspection</t>
  </si>
  <si>
    <t>Statutory</t>
  </si>
  <si>
    <t>Incident Pyramid (period)</t>
  </si>
  <si>
    <t>Count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</si>
  <si>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</si>
  <si>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</si>
  <si>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</si>
  <si>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</si>
  <si>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</si>
  <si>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</si>
  <si>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</si>
  <si>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</si>
  <si>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</si>
  <si>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</si>
  <si>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</si>
  <si>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</si>
  <si>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</si>
  <si>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</si>
  <si>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</si>
  <si>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</si>
  <si>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</si>
  <si>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</si>
  <si>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</si>
  <si>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</si>
  <si>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</si>
  <si>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</si>
  <si>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</si>
  <si>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</si>
  <si>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</si>
  <si>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</si>
  <si>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</si>
  <si>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</si>
  <si>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</si>
  <si>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</si>
  <si>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</si>
  <si>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</si>
  <si>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</si>
  <si>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</si>
  <si>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</si>
  <si>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</si>
  <si>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</si>
  <si>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</si>
  <si>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Actual</t>
  </si>
  <si>
    <t>Target</t>
  </si>
  <si>
    <t>Workplace Insp.</t>
  </si>
  <si>
    <t>NC Mgmt</t>
  </si>
  <si>
    <t>Avg Reach %</t>
  </si>
  <si>
    <t>Permit Type</t>
  </si>
  <si>
    <t>Avg Compliance %</t>
  </si>
  <si>
    <t>Pass Rate %</t>
  </si>
  <si>
    <t>Avg Downtime (min)</t>
  </si>
  <si>
    <t>Top 10 NC Root Cause</t>
  </si>
  <si>
    <t>Inspection Area</t>
  </si>
  <si>
    <t>Sorted Area</t>
  </si>
  <si>
    <t>Sorted NCs</t>
  </si>
  <si>
    <t>Ageing Bucket (open)</t>
  </si>
  <si>
    <t>0-7 days</t>
  </si>
  <si>
    <t>8-15 days</t>
  </si>
  <si>
    <t>16-30 days</t>
  </si>
  <si>
    <t>31+ days</t>
  </si>
  <si>
    <t>Topic \ Dept</t>
  </si>
  <si>
    <t>▸ Toolbox Talks</t>
  </si>
  <si>
    <t>Value</t>
  </si>
  <si>
    <t>Total Records</t>
  </si>
  <si>
    <t>Avg Attendance %</t>
  </si>
  <si>
    <t>Total Duration (min)</t>
  </si>
  <si>
    <t>Action Required = Yes</t>
  </si>
  <si>
    <t>Records</t>
  </si>
  <si>
    <t>Metric</t>
  </si>
  <si>
    <t>YTD</t>
  </si>
  <si>
    <t>▸ JSA Risk Assessment</t>
  </si>
  <si>
    <t>Closed / Completed</t>
  </si>
  <si>
    <t>Open / Pending</t>
  </si>
  <si>
    <t>High/Critical Risk</t>
  </si>
  <si>
    <t>Closed %</t>
  </si>
  <si>
    <t>Closed/Completed %</t>
  </si>
  <si>
    <t>▸ Training</t>
  </si>
  <si>
    <t>Total Duration (hrs)</t>
  </si>
  <si>
    <t>Certificates Issued</t>
  </si>
  <si>
    <t>Assessment Pass</t>
  </si>
  <si>
    <t>▸ HSE Observations</t>
  </si>
  <si>
    <t>Critical/High Risk</t>
  </si>
  <si>
    <t>▸ Workplace Inspections</t>
  </si>
  <si>
    <t>Avg Checkpoints</t>
  </si>
  <si>
    <t>▸ Equipment Inspections</t>
  </si>
  <si>
    <t>▸ Safety Walkthroughs</t>
  </si>
  <si>
    <t>▸ Safety Meetings</t>
  </si>
  <si>
    <t>Avg Close-out %</t>
  </si>
  <si>
    <t>▸ Safety Bulletins</t>
  </si>
  <si>
    <t>Critical/High Priority</t>
  </si>
  <si>
    <t>▸ Emergency Drills</t>
  </si>
  <si>
    <t>Avg Participation %</t>
  </si>
  <si>
    <t>Avg Response (min)</t>
  </si>
  <si>
    <t>Excellent/Good Rating</t>
  </si>
  <si>
    <t>▸ Internal Audits</t>
  </si>
  <si>
    <t>Avg Checklist Items</t>
  </si>
  <si>
    <t>▸ External Audits</t>
  </si>
  <si>
    <t>▸ Management Visits</t>
  </si>
  <si>
    <t>▸ Management Reviews</t>
  </si>
  <si>
    <t>▸ Disciplinary Actions</t>
  </si>
  <si>
    <t>Suspension/Termination</t>
  </si>
  <si>
    <t>▸ Safety Awards</t>
  </si>
  <si>
    <t>Presented</t>
  </si>
  <si>
    <t>▸ Stop Work Authority</t>
  </si>
  <si>
    <t>Critical/High Severity</t>
  </si>
  <si>
    <t>Investigated</t>
  </si>
  <si>
    <t>▸ Alcohol Tests</t>
  </si>
  <si>
    <t>Positive Results</t>
  </si>
  <si>
    <t>▸ PTW Audits</t>
  </si>
  <si>
    <t>▸ Corrective Actions</t>
  </si>
  <si>
    <t>On-Time</t>
  </si>
  <si>
    <t>▸ NC Management</t>
  </si>
  <si>
    <t>▸ Unsafe Acts</t>
  </si>
  <si>
    <t>▸ Unsafe Conditions</t>
  </si>
  <si>
    <t>▸ Incident</t>
  </si>
  <si>
    <t>Total Lost Days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</si>
  <si>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</si>
  <si>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</si>
  <si>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</si>
  <si>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</si>
  <si>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</si>
  <si>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</si>
  <si>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</si>
  <si>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</si>
  <si>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</si>
  <si>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</si>
  <si>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</si>
  <si>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</si>
  <si>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</si>
  <si>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</si>
  <si>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</si>
  <si>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</si>
  <si>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</si>
  <si>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Register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</si>
  <si>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</si>
  <si>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</si>
  <si>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</si>
  <si>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</si>
  <si>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</si>
  <si>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</si>
  <si>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</si>
  <si>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</si>
  <si>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</si>
  <si>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</si>
  <si>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</si>
  <si>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</si>
  <si>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</si>
  <si>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</si>
  <si>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</si>
  <si>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</si>
  <si>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</si>
  <si>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</si>
  <si>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</si>
  <si>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</si>
  <si>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</si>
  <si>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</si>
  <si>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</si>
  <si>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</si>
  <si>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</si>
  <si>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</si>
  <si>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</si>
  <si>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</si>
  <si>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</si>
  <si>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</si>
  <si>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Fully dynamic: every KPI, chart and RAG status recalculates automatically from the 24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</si>
  <si>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</si>
  <si>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</si>
  <si>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</si>
  <si>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</si>
  <si>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</si>
  <si>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</si>
  <si>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</si>
  <si>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Period</t>
  </si>
  <si>
    <t>Register Month</t>
  </si>
  <si>
    <t>Period drives the KPI wall vs prior. Register Month drives cross-tracker analytics &amp; all 24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</si>
  <si>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</si>
  <si>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</si>
  <si>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</si>
  <si>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</si>
  <si>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</si>
  <si>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</si>
  <si>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</si>
  <si>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</si>
  <si>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</si>
  <si>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</si>
  <si>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</si>
  <si>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</si>
  <si>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</si>
  <si>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</si>
  <si>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</si>
  <si>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</si>
  <si>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</si>
  <si>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</si>
  <si>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</si>
  <si>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</si>
  <si>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</si>
  <si>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</si>
  <si>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</si>
  <si>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</si>
  <si>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</si>
  <si>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</si>
  <si>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</si>
  <si>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</si>
  <si>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</si>
  <si>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</si>
  <si>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</si>
  <si>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</si>
  <si>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</si>
  <si>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</si>
  <si>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</si>
  <si>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</si>
  <si>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</si>
  <si>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</si>
  <si>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</si>
  <si>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</si>
  <si>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</si>
  <si>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</si>
  <si>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</si>
  <si>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</si>
  <si>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</si>
  <si>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</si>
  <si>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</si>
  <si>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</si>
  <si>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</si>
  <si>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</si>
  <si>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</si>
  <si>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</si>
  <si>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</si>
  <si>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</si>
  <si>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</si>
  <si>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</si>
  <si>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</si>
  <si>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</si>
  <si>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</si>
  <si>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</si>
  <si>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</si>
  <si>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</si>
  <si>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</si>
  <si>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</si>
  <si>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</si>
  <si>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</si>
  <si>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</si>
  <si>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 RECORDS</t>
  </si>
  <si>
    <t>live · auto-calculated</t>
  </si>
  <si>
    <t>AVG ATTENDANCE %</t>
  </si>
  <si>
    <t>TOTAL DURATION (MIN)</t>
  </si>
  <si>
    <t>ACTION REQUIRED = YES</t>
  </si>
  <si>
    <t>MONTHLY VOLUME &amp; SIGNATURE ANALYSIS</t>
  </si>
  <si>
    <t>TOPIC × DEPARTMENT COVERAGE  ·  darker = more sessions delivered</t>
  </si>
  <si>
    <t>DEPARTMENT PERFORMANCE</t>
  </si>
  <si>
    <t>MONTHLY PERFORMANCE MATRIX</t>
  </si>
  <si>
    <t>⚠️  JSA RISK ASSESSMENT PERFORMANCE</t>
  </si>
  <si>
    <t>Live data from the JSA Risk Assessment register  ·  filtered by Register Month &amp; Department</t>
  </si>
  <si>
    <t>CLOSED / COMPLETED</t>
  </si>
  <si>
    <t>OPEN / PENDING</t>
  </si>
  <si>
    <t>HAZARDS IDENTIFIED</t>
  </si>
  <si>
    <t>HIGH/CRITICAL RISK</t>
  </si>
  <si>
    <t>🎓  TRAINING PERFORMANCE</t>
  </si>
  <si>
    <t>Live data from the Training register  ·  filtered by Register Month &amp; Department</t>
  </si>
  <si>
    <t>OVERDUE</t>
  </si>
  <si>
    <t>TOTAL DURATION (HRS)</t>
  </si>
  <si>
    <t>CERTIFICATES ISSUED</t>
  </si>
  <si>
    <t>ASSESSMENT PASS</t>
  </si>
  <si>
    <t>👁️  HSE OBSERVATIONS PERFORMANCE</t>
  </si>
  <si>
    <t>Live data from the HSE Observations register  ·  filtered by Register Month &amp; Department</t>
  </si>
  <si>
    <t>CRITICAL/HIGH RISK</t>
  </si>
  <si>
    <t>🔍  WORKPLACE INSPECTIONS PERFORMANCE</t>
  </si>
  <si>
    <t>Live data from the Workplace Inspections register  ·  filtered by Register Month &amp; Department</t>
  </si>
  <si>
    <t>NON-CONFORMANCES</t>
  </si>
  <si>
    <t>CRITICAL FINDINGS</t>
  </si>
  <si>
    <t>AVG CHECKPOINTS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</si>
  <si>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</si>
  <si>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</si>
  <si>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</si>
  <si>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</si>
  <si>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</si>
  <si>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</si>
  <si>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AVG CLOSE-OUT %</t>
  </si>
  <si>
    <t>ACTIONS RAISED</t>
  </si>
  <si>
    <t>📢  SAFETY BULLETINS PERFORMANCE</t>
  </si>
  <si>
    <t>Live data from the Safety Bulletins register  ·  filtered by Register Month &amp; Department</t>
  </si>
  <si>
    <t>AVG REACH %</t>
  </si>
  <si>
    <t>CRITICAL/HIGH PRIORITY</t>
  </si>
  <si>
    <t>🚨  EMERGENCY DRILLS PERFORMANCE</t>
  </si>
  <si>
    <t>Live data from the Emergency Drills register  ·  filtered by Register Month &amp; Department</t>
  </si>
  <si>
    <t>AVG PARTICIPATION %</t>
  </si>
  <si>
    <t>AVG RESPONSE (MIN)</t>
  </si>
  <si>
    <t>EXCELLENT/GOOD RATING</t>
  </si>
  <si>
    <t>📋  INTERNAL AUDITS PERFORMANCE</t>
  </si>
  <si>
    <t>Live data from the Internal Audits register  ·  filtered by Register Month &amp; Department</t>
  </si>
  <si>
    <t>MINOR NC</t>
  </si>
  <si>
    <t>MAJOR NC</t>
  </si>
  <si>
    <t>AVG CHECKLIST ITEMS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</si>
  <si>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</si>
  <si>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</si>
  <si>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</si>
  <si>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</si>
  <si>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🧭  MANAGEMENT REVIEWS PERFORMANCE</t>
  </si>
  <si>
    <t>Live data from the Management Reviews register  ·  filtered by Register Month &amp; Department</t>
  </si>
  <si>
    <t>DECISIONS MADE</t>
  </si>
  <si>
    <t>ACTIONS ASSIGNED</t>
  </si>
  <si>
    <t>⚖️  DISCIPLINARY ACTIONS PERFORMANCE</t>
  </si>
  <si>
    <t>Live data from the Disciplinary Actions register  ·  filtered by Register Month &amp; Department</t>
  </si>
  <si>
    <t>3RD OFFENSE</t>
  </si>
  <si>
    <t>SUSPENSION/TERMINATION</t>
  </si>
  <si>
    <t>🏆  SAFETY AWARDS PERFORMANCE</t>
  </si>
  <si>
    <t>Live data from the Safety Awards register  ·  filtered by Register Month &amp; Department</t>
  </si>
  <si>
    <t>PRESENTED</t>
  </si>
  <si>
    <t>✋  STOP WORK AUTHORITY PERFORMANCE</t>
  </si>
  <si>
    <t>Live data from the Stop Work Authority register  ·  filtered by Register Month &amp; Department</t>
  </si>
  <si>
    <t>AVG DOWNTIME (MIN)</t>
  </si>
  <si>
    <t>CRITICAL/HIGH SEVERITY</t>
  </si>
  <si>
    <t>INVESTIGATED</t>
  </si>
  <si>
    <t>🧪  ALCOHOL TESTS PERFORMANCE</t>
  </si>
  <si>
    <t>Live data from the Alcohol Tests register  ·  filtered by Register Month &amp; Department</t>
  </si>
  <si>
    <t>POSITIVE RESULTS</t>
  </si>
  <si>
    <t>📝  PTW AUDITS PERFORMANCE</t>
  </si>
  <si>
    <t>Live data from the PTW Audits register  ·  filtered by Register Month &amp; Department</t>
  </si>
  <si>
    <t>AVG COMPLIANCE %</t>
  </si>
  <si>
    <t>DEVIATIONS FOUND</t>
  </si>
  <si>
    <t>🔧  CORRECTIVE ACTIONS PERFORMANCE</t>
  </si>
  <si>
    <t>Live data from the Corrective Actions register  ·  filtered by Register Month &amp; Department</t>
  </si>
  <si>
    <t>ON-TIME</t>
  </si>
  <si>
    <t>🚩  NC MANAGEMENT PERFORMANCE</t>
  </si>
  <si>
    <t>Live data from the NC Management register  ·  filtered by Register Month &amp; Department</t>
  </si>
  <si>
    <t>🚫  UNSAFE ACTS PERFORMANCE</t>
  </si>
  <si>
    <t>Live data from the Unsafe Acts register  ·  filtered by Register Month &amp; Department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</si>
  <si>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</si>
  <si>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</si>
  <si>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</si>
  <si>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</si>
  <si>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TOTAL LOST DAYS</t>
  </si>
</sst>
</file>

<file path=xl/styles.xml><?xml version="1.0" encoding="utf-8"?>
<styleSheet xmlns="http://schemas.openxmlformats.org/spreadsheetml/2006/main">
  <numFmts count="7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</numFmts>
  <fonts count="35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9"/>
      <color theme="1"/>
      <name val="Segoe UI"/>
      <family val="2"/>
    </font>
    <font>
      <b/>
      <sz val="32"/>
      <color rgb="FFFFFFFF"/>
      <name val="Segoe UI"/>
      <family val="2"/>
    </font>
    <font>
      <sz val="13"/>
      <color rgb="FFCFE0F0"/>
      <name val="Segoe UI"/>
      <family val="2"/>
    </font>
    <font>
      <b/>
      <sz val="9"/>
      <color rgb="FF0F3D6E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13"/>
      <color rgb="FFFFFFFF"/>
      <name val="Segoe UI"/>
      <family val="2"/>
    </font>
    <font>
      <b/>
      <sz val="9.5"/>
      <color rgb="FF1F2937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13"/>
      <color rgb="FF0F3D6E"/>
      <name val="Segoe UI"/>
      <family val="2"/>
    </font>
    <font>
      <b/>
      <sz val="10"/>
      <color rgb="FF15A34A"/>
      <name val="Segoe UI"/>
      <family val="2"/>
    </font>
    <font>
      <b/>
      <sz val="10"/>
      <color theme="1"/>
      <name val="Segoe UI"/>
      <family val="2"/>
    </font>
    <font>
      <b/>
      <sz val="10"/>
      <color rgb="FFDC2626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748B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0" fontId="1" fillId="0" borderId="4" xfId="0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3" fillId="0" borderId="3" xfId="0" applyNumberFormat="1" applyFont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0" fillId="8" borderId="0" xfId="0" applyFill="1"/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left"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17" fillId="12" borderId="6" xfId="0" applyFont="1" applyFill="1" applyBorder="1" applyAlignment="1">
      <alignment horizontal="left" vertical="center"/>
    </xf>
    <xf numFmtId="170" fontId="18" fillId="12" borderId="6" xfId="0" applyNumberFormat="1" applyFont="1" applyFill="1" applyBorder="1" applyAlignment="1">
      <alignment horizontal="left" vertical="center"/>
    </xf>
    <xf numFmtId="166" fontId="18" fillId="12" borderId="6" xfId="0" applyNumberFormat="1" applyFont="1" applyFill="1" applyBorder="1" applyAlignment="1">
      <alignment horizontal="left" vertical="center"/>
    </xf>
    <xf numFmtId="164" fontId="18" fillId="12" borderId="6" xfId="0" applyNumberFormat="1" applyFont="1" applyFill="1" applyBorder="1" applyAlignment="1">
      <alignment horizontal="left" vertical="center"/>
    </xf>
    <xf numFmtId="0" fontId="19" fillId="12" borderId="7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8" borderId="8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left" vertical="center"/>
    </xf>
    <xf numFmtId="0" fontId="24" fillId="5" borderId="3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12" borderId="8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left" vertical="center" indent="1"/>
    </xf>
    <xf numFmtId="0" fontId="0" fillId="13" borderId="0" xfId="0" applyFill="1"/>
    <xf numFmtId="0" fontId="30" fillId="12" borderId="7" xfId="0" applyFont="1" applyFill="1" applyBorder="1" applyAlignment="1">
      <alignment horizontal="left" vertical="center"/>
    </xf>
    <xf numFmtId="0" fontId="29" fillId="11" borderId="0" xfId="0" applyFont="1" applyFill="1" applyAlignment="1">
      <alignment horizontal="left" vertical="center" indent="1"/>
    </xf>
    <xf numFmtId="164" fontId="31" fillId="0" borderId="0" xfId="0" applyNumberFormat="1" applyFont="1" applyAlignment="1">
      <alignment horizontal="center" vertical="center"/>
    </xf>
    <xf numFmtId="0" fontId="32" fillId="0" borderId="4" xfId="0" applyFont="1" applyBorder="1" applyAlignment="1">
      <alignment horizontal="left" vertical="center"/>
    </xf>
    <xf numFmtId="168" fontId="33" fillId="0" borderId="4" xfId="0" applyNumberFormat="1" applyFont="1" applyBorder="1" applyAlignment="1">
      <alignment horizontal="center" vertical="center"/>
    </xf>
    <xf numFmtId="0" fontId="34" fillId="0" borderId="4" xfId="0" applyFont="1" applyBorder="1" applyAlignment="1">
      <alignment horizontal="left" vertical="center"/>
    </xf>
    <xf numFmtId="0" fontId="0" fillId="6" borderId="0" xfId="0" applyFill="1"/>
  </cellXfs>
  <cellStyles count="1">
    <cellStyle name="Normal" xfId="0" builtinId="0"/>
  </cellStyles>
  <dxfs count="4"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theme" Target="theme/theme1.xml"/><Relationship Id="rId58" Type="http://schemas.openxmlformats.org/officeDocument/2006/relationships/styles" Target="styles.xml"/><Relationship Id="rId59" Type="http://schemas.openxmlformats.org/officeDocument/2006/relationships/sharedStrings" Target="sharedStrings.xml"/><Relationship Id="rId6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Calculations!$CI$12:$CI$23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1"/>
          <c:order val="1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Calculations!$CJ$12:$CJ$23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Calculations!$E$879:$E$884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Calculations!$F$879:$F$884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Calculations!$CO$65:$CQ$65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Calculations!$CO$66:$CQ$66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Calculations!$CO$67:$CQ$67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Calculations!$CO$68:$CQ$68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Calculations!$CO$69:$CQ$69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Calculations!$CO$70:$CQ$70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Calculations!$CW$20:$CW$28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Calculations!$CX$20:$CX$28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Calculations!$CW$31:$CW$38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Calculations!$CX$31:$CX$38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Calculations!$CW$11:$CW$17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Calculations!$CX$11:$CX$17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Calculations!$CW$11:$CW$17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Calculations!$CX$11:$CX$17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Calculations!$CZ$11:$CZ$22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Calculations!$DA$11:$DA$22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Calculations!$CW$20:$CW$28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Calculations!$CX$20:$CX$28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Calculations!$B$281:$B$292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Calculations!$C$281:$C$292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60001"/>
        <c:axId val="50260002"/>
      </c:barChart>
      <c:catAx>
        <c:axId val="502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Effectiveness Rating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Calculations!$G$281:$G$285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Calculations!$H$281:$H$285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Calculations!$P$281:$P$290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Calculations!$Q$281:$Q$290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280001"/>
        <c:axId val="50280002"/>
      </c:barChart>
      <c:catAx>
        <c:axId val="502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80002"/>
        <c:crosses val="autoZero"/>
        <c:auto val="1"/>
        <c:lblAlgn val="ctr"/>
        <c:lblOffset val="100"/>
      </c:catAx>
      <c:valAx>
        <c:axId val="50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Calculations!$B$307:$B$318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Calculations!$C$307:$C$318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90001"/>
        <c:axId val="50290002"/>
      </c:bar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Risk Level Mix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Critical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Calculations!$CE$12:$CE$23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High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Calculations!$CF$12:$CF$23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Medium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Calculations!$CG$12:$CG$23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Low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Calculations!$CH$12:$CH$23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Approval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Calculations!$J$307:$J$310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Calculations!$K$307:$K$310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10001"/>
        <c:axId val="50310002"/>
      </c:barChart>
      <c:catAx>
        <c:axId val="503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Calculations!$P$307:$P$316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Calculations!$Q$307:$Q$316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Calculations!$J$307:$J$310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Calculations!$K$307:$K$310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Calculations!$B$333:$B$344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Calculations!$C$333:$C$344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40001"/>
        <c:axId val="50340002"/>
      </c:bar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Training Hours</a:t>
            </a:r>
          </a:p>
        </c:rich>
      </c:tx>
      <c:layout/>
    </c:title>
    <c:plotArea>
      <c:layout/>
      <c:lineChart>
        <c:grouping val="stacked"/>
        <c:ser>
          <c:idx val="0"/>
          <c:order val="0"/>
          <c:tx>
            <c:v>Cumulative Hours</c:v>
          </c:tx>
          <c:spPr>
            <a:solidFill>
              <a:srgbClr val="E8F1FA"/>
            </a:solidFill>
            <a:ln w="28575">
              <a:solidFill>
                <a:srgbClr val="0B6EA8"/>
              </a:solidFill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Calculations!$CA$12:$CA$23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350001"/>
        <c:axId val="50350002"/>
      </c:line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Pass Rate %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Calculations!$B$224:$B$229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Calculations!$C$224:$C$229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Calculations!$P$333:$P$342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Calculations!$Q$333:$Q$342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70001"/>
        <c:axId val="50370002"/>
      </c:barChart>
      <c:catAx>
        <c:axId val="503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Calculations!$J$333:$J$336</c:f>
              <c:strCache>
                <c:ptCount val="4"/>
                <c:pt idx="0">
                  <c:v>Completed</c:v>
                </c:pt>
                <c:pt idx="1">
                  <c:v>Scheduled</c:v>
                </c:pt>
                <c:pt idx="2">
                  <c:v>Overdue</c:v>
                </c:pt>
                <c:pt idx="3">
                  <c:v>In Progress</c:v>
                </c:pt>
              </c:strCache>
            </c:strRef>
          </c:cat>
          <c:val>
            <c:numRef>
              <c:f>Calculations!$K$333:$K$336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Calculations!$B$359:$B$370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Calculations!$C$359:$C$370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90001"/>
        <c:axId val="50390002"/>
      </c:barChart>
      <c:catAx>
        <c:axId val="503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90002"/>
        <c:crosses val="autoZero"/>
        <c:auto val="1"/>
        <c:lblAlgn val="ctr"/>
        <c:lblOffset val="100"/>
      </c:catAx>
      <c:valAx>
        <c:axId val="503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 vs At-Risk Observations (BBS)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Safe</c:v>
          </c:tx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At-Risk</c:v>
          </c:tx>
          <c:spPr>
            <a:ln w="28575">
              <a:solidFill>
                <a:srgbClr val="DC2626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00001"/>
        <c:axId val="50400002"/>
      </c:line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Calculations!$G$359:$G$364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Calculations!$H$359:$H$364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Calculations!$P$359:$P$368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Calculations!$Q$359:$Q$368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20001"/>
        <c:axId val="50420002"/>
      </c:barChart>
      <c:catAx>
        <c:axId val="504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Calculations!$J$359:$J$362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Calculations!$K$359:$K$362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Calculations!$B$385:$B$396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Calculations!$C$385:$C$396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40001"/>
        <c:axId val="50440002"/>
      </c:barChart>
      <c:catAx>
        <c:axId val="504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Non-Conformances by Area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Calculations!$E$248:$E$255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Calculations!$F$248:$F$255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450001"/>
        <c:axId val="50450002"/>
      </c:barChart>
      <c:catAx>
        <c:axId val="504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NCs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Calculations!$CB$12:$CB$23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60001"/>
        <c:axId val="50460002"/>
      </c:barChart>
      <c:catAx>
        <c:axId val="504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Calculations!$P$385:$P$394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Calculations!$Q$385:$Q$394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70001"/>
        <c:axId val="50470002"/>
      </c:barChart>
      <c:catAx>
        <c:axId val="504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70002"/>
        <c:crosses val="autoZero"/>
        <c:auto val="1"/>
        <c:lblAlgn val="ctr"/>
        <c:lblOffset val="100"/>
      </c:catAx>
      <c:valAx>
        <c:axId val="504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Calculations!$B$411:$B$422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Calculations!$C$411:$C$422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80001"/>
        <c:axId val="50480002"/>
      </c:barChart>
      <c:catAx>
        <c:axId val="504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Critical Findings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Critical Findings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Calculations!$AO$12:$AO$23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90001"/>
        <c:axId val="50490002"/>
      </c:barChart>
      <c:catAx>
        <c:axId val="504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Calculations!$P$411:$P$420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Calculations!$Q$411:$Q$420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Calculations!$B$437:$B$448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Calculations!$C$437:$C$448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10001"/>
        <c:axId val="50510002"/>
      </c:barChart>
      <c:catAx>
        <c:axId val="505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10002"/>
        <c:crosses val="autoZero"/>
        <c:auto val="1"/>
        <c:lblAlgn val="ctr"/>
        <c:lblOffset val="100"/>
      </c:catAx>
      <c:valAx>
        <c:axId val="505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Walkthrough Frequency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Calculations!$AP$12:$AP$23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520001"/>
        <c:axId val="50520002"/>
      </c:lineChart>
      <c:catAx>
        <c:axId val="505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Calculations!$P$437:$P$446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Calculations!$Q$437:$Q$446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30001"/>
        <c:axId val="50530002"/>
      </c:barChart>
      <c:catAx>
        <c:axId val="505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Calculations!$B$463:$B$474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Calculations!$C$463:$C$474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40001"/>
        <c:axId val="50540002"/>
      </c:barChart>
      <c:catAx>
        <c:axId val="505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Action Items: Raised vs Closed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Raised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Calculations!$AQ$12:$AQ$23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ln w="28575">
              <a:solidFill>
                <a:srgbClr val="15A34A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Calculations!$AR$12:$AR$23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550001"/>
        <c:axId val="50550002"/>
      </c:lineChart>
      <c:catAx>
        <c:axId val="505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50002"/>
        <c:crosses val="autoZero"/>
        <c:auto val="1"/>
        <c:lblAlgn val="ctr"/>
        <c:lblOffset val="100"/>
      </c:catAx>
      <c:valAx>
        <c:axId val="505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Calculations!$P$463:$P$472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Calculations!$Q$463:$Q$472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60001"/>
        <c:axId val="50560002"/>
      </c:barChart>
      <c:catAx>
        <c:axId val="505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Calculations!$B$489:$B$500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Calculations!$C$489:$C$500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Reach % by Distribution Method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Calculations!$B$209:$B$212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Calculations!$C$209:$C$212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Bulletin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Calculations!$E$489:$E$494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Calculations!$F$489:$F$494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Calculations!$J$489:$J$492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Calculations!$K$489:$K$492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Calculations!$B$515:$B$526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Calculations!$C$515:$C$526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10001"/>
        <c:axId val="50610002"/>
      </c:bar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Emergency Response Time: Actual vs Target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Actual (min)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Calculations!$BT$12:$BT$23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Target (min)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Calculations!$BU$12:$BU$23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20001"/>
        <c:axId val="50620002"/>
      </c:lineChart>
      <c:catAx>
        <c:axId val="506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Drill Type Coverage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Calculations!$E$515:$E$520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Calculations!$F$515:$F$520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30001"/>
        <c:axId val="50630002"/>
      </c:barChart>
      <c:catAx>
        <c:axId val="506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Calculations!$J$515:$J$518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Calculations!$K$515:$K$518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Calculations!$B$541:$B$552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Calculations!$C$541:$C$552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60001"/>
        <c:axId val="50660002"/>
      </c:barChart>
      <c:catAx>
        <c:axId val="506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70001"/>
        <c:axId val="50670002"/>
      </c:lineChart>
      <c:catAx>
        <c:axId val="506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Calculations!$P$541:$P$550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Calculations!$Q$541:$Q$550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80001"/>
        <c:axId val="50680002"/>
      </c:barChart>
      <c:catAx>
        <c:axId val="506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80002"/>
        <c:crosses val="autoZero"/>
        <c:auto val="1"/>
        <c:lblAlgn val="ctr"/>
        <c:lblOffset val="100"/>
      </c:catAx>
      <c:valAx>
        <c:axId val="506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Calculations!$B$567:$B$578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Calculations!$C$567:$C$578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90001"/>
        <c:axId val="50690002"/>
      </c:bar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00001"/>
        <c:axId val="50700002"/>
      </c:barChart>
      <c:catAx>
        <c:axId val="507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10001"/>
        <c:axId val="50710002"/>
      </c:lineChart>
      <c:catAx>
        <c:axId val="507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Calculations!$P$567:$P$576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Calculations!$Q$567:$Q$576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20001"/>
        <c:axId val="50720002"/>
      </c:barChart>
      <c:catAx>
        <c:axId val="507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Calculations!$B$593:$B$604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Calculations!$C$593:$C$604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30001"/>
        <c:axId val="50730002"/>
      </c:bar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Visits by Department (leadership equity)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Calculations!$P$593:$P$602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Calculations!$Q$593:$Q$602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Calculations!$P$593:$P$602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Calculations!$Q$593:$Q$602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50001"/>
        <c:axId val="50750002"/>
      </c:barChart>
      <c:catAx>
        <c:axId val="507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50002"/>
        <c:crosses val="autoZero"/>
        <c:auto val="1"/>
        <c:lblAlgn val="ctr"/>
        <c:lblOffset val="100"/>
      </c:catAx>
      <c:valAx>
        <c:axId val="507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Calculations!$B$619:$B$630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Calculations!$C$619:$C$630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60001"/>
        <c:axId val="50760002"/>
      </c:barChart>
      <c:catAx>
        <c:axId val="507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Decisions vs Actions Assigned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Decisions Made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Actions Assigned</c:v>
          </c:tx>
          <c:spPr>
            <a:ln w="28575">
              <a:solidFill>
                <a:srgbClr val="F59E0B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Calculations!$BY$12:$BY$23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70001"/>
        <c:axId val="50770002"/>
      </c:line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Calculations!$J$619:$J$622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Calculations!$K$619:$K$622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Calculations!$B$645:$B$656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Calculations!$C$645:$C$656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90001"/>
        <c:axId val="50790002"/>
      </c:barChart>
      <c:catAx>
        <c:axId val="507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90002"/>
        <c:crosses val="autoZero"/>
        <c:auto val="1"/>
        <c:lblAlgn val="ctr"/>
        <c:lblOffset val="100"/>
      </c:catAx>
      <c:valAx>
        <c:axId val="507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Violation Type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Calculations!$E$645:$E$650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Calculations!$F$645:$F$650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800001"/>
        <c:axId val="50800002"/>
      </c:barChart>
      <c:catAx>
        <c:axId val="508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Offense Level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Calculations!$G$645:$G$647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Calculations!$H$645:$H$647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Calculations!$P$645:$P$654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Calculations!$Q$645:$Q$654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20001"/>
        <c:axId val="50820002"/>
      </c:barChart>
      <c:catAx>
        <c:axId val="508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20002"/>
        <c:crosses val="autoZero"/>
        <c:auto val="1"/>
        <c:lblAlgn val="ctr"/>
        <c:lblOffset val="100"/>
      </c:catAx>
      <c:valAx>
        <c:axId val="508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Calculations!$J$645:$J$648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Calculations!$K$645:$K$648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Calculations!$B$671:$B$682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Calculations!$C$671:$C$682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40001"/>
        <c:axId val="50840002"/>
      </c:bar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Recognition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Calculations!$P$671:$P$680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Calculations!$Q$671:$Q$680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50001"/>
        <c:axId val="50850002"/>
      </c:barChart>
      <c:catAx>
        <c:axId val="508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Award 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Calculations!$E$671:$E$676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Calculations!$F$671:$F$676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Calculations!$P$671:$P$680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Calculations!$Q$671:$Q$680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70001"/>
        <c:axId val="50870002"/>
      </c:barChart>
      <c:catAx>
        <c:axId val="508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Calculations!$J$671:$J$674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Calculations!$K$671:$K$674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Calculations!$B$697:$B$708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Calculations!$C$697:$C$708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90001"/>
        <c:axId val="50890002"/>
      </c:bar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Stop-Work Downtime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Downtime (min)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Calculations!$BZ$12:$BZ$23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00001"/>
        <c:axId val="50900002"/>
      </c:barChart>
      <c:catAx>
        <c:axId val="509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Avg Downtime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Calculations!$B$232:$B$235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Calculations!$C$232:$C$235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10001"/>
        <c:axId val="50910002"/>
      </c:barChart>
      <c:catAx>
        <c:axId val="509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10002"/>
        <c:crosses val="autoZero"/>
        <c:auto val="1"/>
        <c:lblAlgn val="ctr"/>
        <c:lblOffset val="100"/>
      </c:catAx>
      <c:valAx>
        <c:axId val="509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Calculations!$P$697:$P$706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Calculations!$Q$697:$Q$706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Calculations!$B$723:$B$734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Calculations!$C$723:$C$734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30001"/>
        <c:axId val="50930002"/>
      </c:barChart>
      <c:catAx>
        <c:axId val="509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30002"/>
        <c:crosses val="autoZero"/>
        <c:auto val="1"/>
        <c:lblAlgn val="ctr"/>
        <c:lblOffset val="100"/>
      </c:catAx>
      <c:valAx>
        <c:axId val="509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Positive Test Rate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Calculations!$CK$12:$CK$23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940001"/>
        <c:axId val="50940002"/>
      </c:lineChart>
      <c:catAx>
        <c:axId val="509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Calculations!$P$723:$P$732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Calculations!$Q$723:$Q$732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Calculations!$J$723:$J$726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Calculations!$K$723:$K$726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Calculations!$B$749:$B$760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Calculations!$C$749:$C$760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70001"/>
        <c:axId val="50970002"/>
      </c:barChart>
      <c:catAx>
        <c:axId val="509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% by Permit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Calculations!$B$215:$B$221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Calculations!$C$215:$C$221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980001"/>
        <c:axId val="50980002"/>
      </c:barChart>
      <c:catAx>
        <c:axId val="509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80002"/>
        <c:crosses val="autoZero"/>
        <c:auto val="1"/>
        <c:lblAlgn val="ctr"/>
        <c:lblOffset val="100"/>
      </c:catAx>
      <c:valAx>
        <c:axId val="509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Calculations!$P$749:$P$758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Calculations!$Q$749:$Q$758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90001"/>
        <c:axId val="50990002"/>
      </c:barChart>
      <c:catAx>
        <c:axId val="509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Calculations!$B$775:$B$786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Calculations!$C$775:$C$786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00001"/>
        <c:axId val="51000002"/>
      </c:barChart>
      <c:catAx>
        <c:axId val="510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00002"/>
        <c:crosses val="autoZero"/>
        <c:auto val="1"/>
        <c:lblAlgn val="ctr"/>
        <c:lblOffset val="100"/>
      </c:catAx>
      <c:valAx>
        <c:axId val="510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On-Time vs Delayed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On-Time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Calculations!$CC$12:$CC$23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Delayed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Calculations!$CD$12:$CD$23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1010001"/>
        <c:axId val="51010002"/>
      </c:barChart>
      <c:catAx>
        <c:axId val="51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CAPA Source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Calculations!$E$775:$E$780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Calculations!$F$775:$F$780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020001"/>
        <c:axId val="51020002"/>
      </c:barChart>
      <c:catAx>
        <c:axId val="510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20002"/>
        <c:crosses val="autoZero"/>
        <c:auto val="1"/>
        <c:lblAlgn val="ctr"/>
        <c:lblOffset val="100"/>
      </c:catAx>
      <c:valAx>
        <c:axId val="510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Calculations!$P$775:$P$784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Calculations!$Q$775:$Q$784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30001"/>
        <c:axId val="51030002"/>
      </c:barChart>
      <c:catAx>
        <c:axId val="510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Calculations!$J$775:$J$778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Calculations!$K$775:$K$778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Calculations!$B$801:$B$812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Calculations!$C$801:$C$812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50001"/>
        <c:axId val="51050002"/>
      </c:barChart>
      <c:catAx>
        <c:axId val="51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50002"/>
        <c:crosses val="autoZero"/>
        <c:auto val="1"/>
        <c:lblAlgn val="ctr"/>
        <c:lblOffset val="100"/>
      </c:catAx>
      <c:valAx>
        <c:axId val="51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Calculations!$E$238:$E$245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Calculations!$F$238:$F$245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1060001"/>
        <c:axId val="51060002"/>
      </c:barChart>
      <c:catAx>
        <c:axId val="510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0B6EA8"/>
              </a:solidFill>
            </c:spPr>
          </c:dPt>
          <c:dPt>
            <c:idx val="3"/>
            <c:spPr>
              <a:solidFill>
                <a:srgbClr val="15A34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Calculations!$E$801:$E$804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Calculations!$F$801:$F$804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Calculations!$P$801:$P$810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Calculations!$Q$801:$Q$810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Calculations!$J$801:$J$804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Calculations!$K$801:$K$804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Calculations!$B$827:$B$838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Calculations!$C$827:$C$838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00001"/>
        <c:axId val="51100002"/>
      </c:barChart>
      <c:catAx>
        <c:axId val="511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Calculations!$C$827:$C$838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Calculations!$C$853:$C$864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110001"/>
        <c:axId val="51110002"/>
      </c:lineChart>
      <c:catAx>
        <c:axId val="511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10002"/>
        <c:crosses val="autoZero"/>
        <c:auto val="1"/>
        <c:lblAlgn val="ctr"/>
        <c:lblOffset val="100"/>
      </c:catAx>
      <c:valAx>
        <c:axId val="511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20001"/>
        <c:axId val="51120002"/>
      </c:barChart>
      <c:catAx>
        <c:axId val="51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Calculations!$P$827:$P$836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Calculations!$Q$827:$Q$836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30001"/>
        <c:axId val="51130002"/>
      </c:barChart>
      <c:catAx>
        <c:axId val="51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Calculations!$J$827:$J$830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Calculations!$K$827:$K$830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Calculations!$B$853:$B$864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Calculations!$C$853:$C$864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50001"/>
        <c:axId val="51150002"/>
      </c:barChart>
      <c:catAx>
        <c:axId val="511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Calculations!$C$827:$C$838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Calculations!$C$853:$C$864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160001"/>
        <c:axId val="51160002"/>
      </c:lineChart>
      <c:catAx>
        <c:axId val="511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60002"/>
        <c:crosses val="autoZero"/>
        <c:auto val="1"/>
        <c:lblAlgn val="ctr"/>
        <c:lblOffset val="100"/>
      </c:catAx>
      <c:valAx>
        <c:axId val="511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70001"/>
        <c:axId val="51170002"/>
      </c:barChart>
      <c:catAx>
        <c:axId val="511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70002"/>
        <c:crosses val="autoZero"/>
        <c:auto val="1"/>
        <c:lblAlgn val="ctr"/>
        <c:lblOffset val="100"/>
      </c:catAx>
      <c:valAx>
        <c:axId val="511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Calculations!$P$853:$P$862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Calculations!$Q$853:$Q$862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80001"/>
        <c:axId val="51180002"/>
      </c:barChart>
      <c:catAx>
        <c:axId val="51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Calculations!$J$853:$J$856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Calculations!$K$853:$K$856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Calculations!$B$879:$B$890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Calculations!$C$879:$C$890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00001"/>
        <c:axId val="51200002"/>
      </c:barChart>
      <c:catAx>
        <c:axId val="512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Open Incident Ageing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Calculations!$B$258:$B$261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Calculations!$C$258:$C$261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10001"/>
        <c:axId val="51210002"/>
      </c:barChart>
      <c:catAx>
        <c:axId val="51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10002"/>
        <c:crosses val="autoZero"/>
        <c:auto val="1"/>
        <c:lblAlgn val="ctr"/>
        <c:lblOffset val="100"/>
      </c:catAx>
      <c:valAx>
        <c:axId val="51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Person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Calculations!$B$264:$B$267</c:f>
              <c:strCache>
                <c:ptCount val="4"/>
                <c:pt idx="0">
                  <c:v>Employee</c:v>
                </c:pt>
                <c:pt idx="1">
                  <c:v>Contractor</c:v>
                </c:pt>
                <c:pt idx="2">
                  <c:v>Visitor</c:v>
                </c:pt>
                <c:pt idx="3">
                  <c:v>Third Party</c:v>
                </c:pt>
              </c:strCache>
            </c:strRef>
          </c:cat>
          <c:val>
            <c:numRef>
              <c:f>Calculations!$C$264:$C$267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Calculations!$P$879:$P$888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Calculations!$Q$879:$Q$888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Calculations!$J$879:$J$882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Calculations!$K$879:$K$882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26.xml"/><Relationship Id="rId2" Type="http://schemas.openxmlformats.org/officeDocument/2006/relationships/chart" Target="../charts/chart27.xml"/><Relationship Id="rId3" Type="http://schemas.openxmlformats.org/officeDocument/2006/relationships/chart" Target="../charts/chart28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29.xml"/><Relationship Id="rId2" Type="http://schemas.openxmlformats.org/officeDocument/2006/relationships/chart" Target="../charts/chart30.xml"/><Relationship Id="rId3" Type="http://schemas.openxmlformats.org/officeDocument/2006/relationships/chart" Target="../charts/chart31.xml"/><Relationship Id="rId4" Type="http://schemas.openxmlformats.org/officeDocument/2006/relationships/chart" Target="../charts/chart32.xml"/><Relationship Id="rId5" Type="http://schemas.openxmlformats.org/officeDocument/2006/relationships/chart" Target="../charts/chart33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chart" Target="../charts/chart35.xml"/><Relationship Id="rId3" Type="http://schemas.openxmlformats.org/officeDocument/2006/relationships/chart" Target="../charts/chart36.xml"/><Relationship Id="rId4" Type="http://schemas.openxmlformats.org/officeDocument/2006/relationships/chart" Target="../charts/chart37.xml"/><Relationship Id="rId5" Type="http://schemas.openxmlformats.org/officeDocument/2006/relationships/chart" Target="../charts/chart38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39.xml"/><Relationship Id="rId2" Type="http://schemas.openxmlformats.org/officeDocument/2006/relationships/chart" Target="../charts/chart40.xml"/><Relationship Id="rId3" Type="http://schemas.openxmlformats.org/officeDocument/2006/relationships/chart" Target="../charts/chart41.xml"/><Relationship Id="rId4" Type="http://schemas.openxmlformats.org/officeDocument/2006/relationships/chart" Target="../charts/chart42.xml"/><Relationship Id="rId5" Type="http://schemas.openxmlformats.org/officeDocument/2006/relationships/chart" Target="../charts/chart43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44.xml"/><Relationship Id="rId2" Type="http://schemas.openxmlformats.org/officeDocument/2006/relationships/chart" Target="../charts/chart45.xml"/><Relationship Id="rId3" Type="http://schemas.openxmlformats.org/officeDocument/2006/relationships/chart" Target="../charts/chart46.xml"/><Relationship Id="rId4" Type="http://schemas.openxmlformats.org/officeDocument/2006/relationships/chart" Target="../charts/chart47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48.xml"/><Relationship Id="rId2" Type="http://schemas.openxmlformats.org/officeDocument/2006/relationships/chart" Target="../charts/chart49.xml"/><Relationship Id="rId3" Type="http://schemas.openxmlformats.org/officeDocument/2006/relationships/chart" Target="../charts/chart50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1.xml"/><Relationship Id="rId2" Type="http://schemas.openxmlformats.org/officeDocument/2006/relationships/chart" Target="../charts/chart52.xml"/><Relationship Id="rId3" Type="http://schemas.openxmlformats.org/officeDocument/2006/relationships/chart" Target="../charts/chart53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54.xml"/><Relationship Id="rId2" Type="http://schemas.openxmlformats.org/officeDocument/2006/relationships/chart" Target="../charts/chart55.xml"/><Relationship Id="rId3" Type="http://schemas.openxmlformats.org/officeDocument/2006/relationships/chart" Target="../charts/chart56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<Relationship Id="rId3" Type="http://schemas.openxmlformats.org/officeDocument/2006/relationships/chart" Target="../charts/chart59.xml"/><Relationship Id="rId4" Type="http://schemas.openxmlformats.org/officeDocument/2006/relationships/chart" Target="../charts/chart60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1.xml"/><Relationship Id="rId2" Type="http://schemas.openxmlformats.org/officeDocument/2006/relationships/chart" Target="../charts/chart62.xml"/><Relationship Id="rId3" Type="http://schemas.openxmlformats.org/officeDocument/2006/relationships/chart" Target="../charts/chart63.xml"/><Relationship Id="rId4" Type="http://schemas.openxmlformats.org/officeDocument/2006/relationships/chart" Target="../charts/chart64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5.xml"/><Relationship Id="rId2" Type="http://schemas.openxmlformats.org/officeDocument/2006/relationships/chart" Target="../charts/chart66.xml"/><Relationship Id="rId3" Type="http://schemas.openxmlformats.org/officeDocument/2006/relationships/chart" Target="../charts/chart67.xml"/><Relationship Id="rId4" Type="http://schemas.openxmlformats.org/officeDocument/2006/relationships/chart" Target="../charts/chart68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69.xml"/><Relationship Id="rId2" Type="http://schemas.openxmlformats.org/officeDocument/2006/relationships/chart" Target="../charts/chart70.xml"/><Relationship Id="rId3" Type="http://schemas.openxmlformats.org/officeDocument/2006/relationships/chart" Target="../charts/chart71.xml"/><Relationship Id="rId4" Type="http://schemas.openxmlformats.org/officeDocument/2006/relationships/chart" Target="../charts/chart72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73.xml"/><Relationship Id="rId2" Type="http://schemas.openxmlformats.org/officeDocument/2006/relationships/chart" Target="../charts/chart74.xml"/><Relationship Id="rId3" Type="http://schemas.openxmlformats.org/officeDocument/2006/relationships/chart" Target="../charts/chart75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76.xml"/><Relationship Id="rId2" Type="http://schemas.openxmlformats.org/officeDocument/2006/relationships/chart" Target="../charts/chart77.xml"/><Relationship Id="rId3" Type="http://schemas.openxmlformats.org/officeDocument/2006/relationships/chart" Target="../charts/chart78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79.xml"/><Relationship Id="rId2" Type="http://schemas.openxmlformats.org/officeDocument/2006/relationships/chart" Target="../charts/chart80.xml"/><Relationship Id="rId3" Type="http://schemas.openxmlformats.org/officeDocument/2006/relationships/chart" Target="../charts/chart81.xml"/><Relationship Id="rId4" Type="http://schemas.openxmlformats.org/officeDocument/2006/relationships/chart" Target="../charts/chart82.xml"/><Relationship Id="rId5" Type="http://schemas.openxmlformats.org/officeDocument/2006/relationships/chart" Target="../charts/chart83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84.xml"/><Relationship Id="rId2" Type="http://schemas.openxmlformats.org/officeDocument/2006/relationships/chart" Target="../charts/chart85.xml"/><Relationship Id="rId3" Type="http://schemas.openxmlformats.org/officeDocument/2006/relationships/chart" Target="../charts/chart86.xml"/><Relationship Id="rId4" Type="http://schemas.openxmlformats.org/officeDocument/2006/relationships/chart" Target="../charts/chart87.xml"/><Relationship Id="rId5" Type="http://schemas.openxmlformats.org/officeDocument/2006/relationships/chart" Target="../charts/chart88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89.xml"/><Relationship Id="rId2" Type="http://schemas.openxmlformats.org/officeDocument/2006/relationships/chart" Target="../charts/chart90.xml"/><Relationship Id="rId3" Type="http://schemas.openxmlformats.org/officeDocument/2006/relationships/chart" Target="../charts/chart91.xml"/><Relationship Id="rId4" Type="http://schemas.openxmlformats.org/officeDocument/2006/relationships/chart" Target="../charts/chart92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93.xml"/><Relationship Id="rId2" Type="http://schemas.openxmlformats.org/officeDocument/2006/relationships/chart" Target="../charts/chart94.xml"/><Relationship Id="rId3" Type="http://schemas.openxmlformats.org/officeDocument/2006/relationships/chart" Target="../charts/chart95.xml"/><Relationship Id="rId4" Type="http://schemas.openxmlformats.org/officeDocument/2006/relationships/chart" Target="../charts/chart96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97.xml"/><Relationship Id="rId2" Type="http://schemas.openxmlformats.org/officeDocument/2006/relationships/chart" Target="../charts/chart98.xml"/><Relationship Id="rId3" Type="http://schemas.openxmlformats.org/officeDocument/2006/relationships/chart" Target="../charts/chart99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0.xml"/><Relationship Id="rId2" Type="http://schemas.openxmlformats.org/officeDocument/2006/relationships/chart" Target="../charts/chart101.xml"/><Relationship Id="rId3" Type="http://schemas.openxmlformats.org/officeDocument/2006/relationships/chart" Target="../charts/chart102.xml"/><Relationship Id="rId4" Type="http://schemas.openxmlformats.org/officeDocument/2006/relationships/chart" Target="../charts/chart103.xml"/><Relationship Id="rId5" Type="http://schemas.openxmlformats.org/officeDocument/2006/relationships/chart" Target="../charts/chart104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5.xml"/><Relationship Id="rId2" Type="http://schemas.openxmlformats.org/officeDocument/2006/relationships/chart" Target="../charts/chart106.xml"/><Relationship Id="rId3" Type="http://schemas.openxmlformats.org/officeDocument/2006/relationships/chart" Target="../charts/chart107.xml"/><Relationship Id="rId4" Type="http://schemas.openxmlformats.org/officeDocument/2006/relationships/chart" Target="../charts/chart108.xml"/><Relationship Id="rId5" Type="http://schemas.openxmlformats.org/officeDocument/2006/relationships/chart" Target="../charts/chart109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0.xml"/><Relationship Id="rId2" Type="http://schemas.openxmlformats.org/officeDocument/2006/relationships/chart" Target="../charts/chart111.xml"/><Relationship Id="rId3" Type="http://schemas.openxmlformats.org/officeDocument/2006/relationships/chart" Target="../charts/chart112.xml"/><Relationship Id="rId4" Type="http://schemas.openxmlformats.org/officeDocument/2006/relationships/chart" Target="../charts/chart113.xml"/><Relationship Id="rId5" Type="http://schemas.openxmlformats.org/officeDocument/2006/relationships/chart" Target="../charts/chart114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5.xml"/><Relationship Id="rId2" Type="http://schemas.openxmlformats.org/officeDocument/2006/relationships/chart" Target="../charts/chart116.xml"/><Relationship Id="rId3" Type="http://schemas.openxmlformats.org/officeDocument/2006/relationships/chart" Target="../charts/chart117.xml"/><Relationship Id="rId4" Type="http://schemas.openxmlformats.org/officeDocument/2006/relationships/chart" Target="../charts/chart118.xml"/><Relationship Id="rId5" Type="http://schemas.openxmlformats.org/officeDocument/2006/relationships/chart" Target="../charts/chart119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0.xml"/><Relationship Id="rId2" Type="http://schemas.openxmlformats.org/officeDocument/2006/relationships/chart" Target="../charts/chart121.xml"/><Relationship Id="rId3" Type="http://schemas.openxmlformats.org/officeDocument/2006/relationships/chart" Target="../charts/chart122.xml"/><Relationship Id="rId4" Type="http://schemas.openxmlformats.org/officeDocument/2006/relationships/chart" Target="../charts/chart123.xml"/><Relationship Id="rId5" Type="http://schemas.openxmlformats.org/officeDocument/2006/relationships/chart" Target="../charts/chart1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153</xdr:row>
      <xdr:rowOff>0</xdr:rowOff>
    </xdr:from>
    <xdr:to>
      <xdr:col>4</xdr:col>
      <xdr:colOff>466725</xdr:colOff>
      <xdr:row>162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153</xdr:row>
      <xdr:rowOff>0</xdr:rowOff>
    </xdr:from>
    <xdr:to>
      <xdr:col>7</xdr:col>
      <xdr:colOff>466725</xdr:colOff>
      <xdr:row>162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153</xdr:row>
      <xdr:rowOff>0</xdr:rowOff>
    </xdr:from>
    <xdr:to>
      <xdr:col>10</xdr:col>
      <xdr:colOff>466725</xdr:colOff>
      <xdr:row>162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153</xdr:row>
      <xdr:rowOff>0</xdr:rowOff>
    </xdr:from>
    <xdr:to>
      <xdr:col>13</xdr:col>
      <xdr:colOff>466725</xdr:colOff>
      <xdr:row>162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153</xdr:row>
      <xdr:rowOff>0</xdr:rowOff>
    </xdr:from>
    <xdr:to>
      <xdr:col>16</xdr:col>
      <xdr:colOff>466725</xdr:colOff>
      <xdr:row>162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153</xdr:row>
      <xdr:rowOff>0</xdr:rowOff>
    </xdr:from>
    <xdr:to>
      <xdr:col>19</xdr:col>
      <xdr:colOff>466725</xdr:colOff>
      <xdr:row>162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164</xdr:row>
      <xdr:rowOff>0</xdr:rowOff>
    </xdr:from>
    <xdr:to>
      <xdr:col>8</xdr:col>
      <xdr:colOff>161925</xdr:colOff>
      <xdr:row>178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164</xdr:row>
      <xdr:rowOff>0</xdr:rowOff>
    </xdr:from>
    <xdr:to>
      <xdr:col>14</xdr:col>
      <xdr:colOff>161925</xdr:colOff>
      <xdr:row>178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20</xdr:col>
      <xdr:colOff>190500</xdr:colOff>
      <xdr:row>178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8</xdr:col>
      <xdr:colOff>161925</xdr:colOff>
      <xdr:row>61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1004" totalsRowShown="0">
  <autoFilter ref="A3:O1004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1004" totalsRowShown="0">
  <autoFilter ref="A3:P1004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5" width="12.7109375" style="1" customWidth="1"/>
  </cols>
  <sheetData>
    <row r="1" spans="1:17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</row>
    <row r="4" spans="1:17">
      <c r="A4" s="1">
        <v>1</v>
      </c>
      <c r="B4" s="1" t="s">
        <v>141</v>
      </c>
      <c r="C4" s="5">
        <v>46066</v>
      </c>
      <c r="D4" s="1" t="s">
        <v>19</v>
      </c>
      <c r="E4" s="6" t="s">
        <v>61</v>
      </c>
      <c r="F4" s="6" t="s">
        <v>65</v>
      </c>
      <c r="G4" s="1" t="s">
        <v>80</v>
      </c>
      <c r="H4" s="1" t="s">
        <v>15</v>
      </c>
      <c r="I4" s="1" t="s">
        <v>70</v>
      </c>
      <c r="J4" s="1" t="s">
        <v>142</v>
      </c>
      <c r="K4" s="1">
        <v>7</v>
      </c>
      <c r="L4" s="1" t="s">
        <v>143</v>
      </c>
      <c r="M4" s="1" t="s">
        <v>144</v>
      </c>
      <c r="N4" s="1" t="s">
        <v>26</v>
      </c>
      <c r="O4" s="1" t="s">
        <v>145</v>
      </c>
    </row>
    <row r="5" spans="1:17">
      <c r="A5" s="1">
        <v>2</v>
      </c>
      <c r="B5" s="1" t="s">
        <v>146</v>
      </c>
      <c r="C5" s="5">
        <v>46058</v>
      </c>
      <c r="D5" s="1" t="s">
        <v>19</v>
      </c>
      <c r="E5" s="6" t="s">
        <v>4</v>
      </c>
      <c r="F5" s="6" t="s">
        <v>5</v>
      </c>
      <c r="G5" s="1" t="s">
        <v>51</v>
      </c>
      <c r="H5" s="1" t="s">
        <v>104</v>
      </c>
      <c r="I5" s="1" t="s">
        <v>93</v>
      </c>
      <c r="J5" s="1" t="s">
        <v>142</v>
      </c>
      <c r="K5" s="1">
        <v>4</v>
      </c>
      <c r="L5" s="1" t="s">
        <v>143</v>
      </c>
      <c r="M5" s="1" t="s">
        <v>147</v>
      </c>
      <c r="N5" s="1" t="s">
        <v>38</v>
      </c>
      <c r="O5" s="1" t="s">
        <v>148</v>
      </c>
    </row>
    <row r="6" spans="1:17">
      <c r="A6" s="1">
        <v>3</v>
      </c>
      <c r="B6" s="1" t="s">
        <v>149</v>
      </c>
      <c r="C6" s="5">
        <v>46081</v>
      </c>
      <c r="D6" s="1" t="s">
        <v>19</v>
      </c>
      <c r="E6" s="6" t="s">
        <v>20</v>
      </c>
      <c r="F6" s="6" t="s">
        <v>13</v>
      </c>
      <c r="G6" s="1" t="s">
        <v>14</v>
      </c>
      <c r="H6" s="1" t="s">
        <v>41</v>
      </c>
      <c r="I6" s="1" t="s">
        <v>28</v>
      </c>
      <c r="J6" s="1" t="s">
        <v>142</v>
      </c>
      <c r="K6" s="1">
        <v>5</v>
      </c>
      <c r="L6" s="1" t="s">
        <v>150</v>
      </c>
      <c r="M6" s="1" t="s">
        <v>144</v>
      </c>
      <c r="N6" s="1" t="s">
        <v>45</v>
      </c>
      <c r="O6" s="1" t="s">
        <v>148</v>
      </c>
    </row>
    <row r="7" spans="1:17">
      <c r="A7" s="1">
        <v>4</v>
      </c>
      <c r="B7" s="1" t="s">
        <v>151</v>
      </c>
      <c r="C7" s="5">
        <v>46087</v>
      </c>
      <c r="D7" s="1" t="s">
        <v>44</v>
      </c>
      <c r="E7" s="6" t="s">
        <v>45</v>
      </c>
      <c r="F7" s="6" t="s">
        <v>27</v>
      </c>
      <c r="G7" s="1" t="s">
        <v>6</v>
      </c>
      <c r="H7" s="1" t="s">
        <v>15</v>
      </c>
      <c r="I7" s="1" t="s">
        <v>32</v>
      </c>
      <c r="J7" s="1" t="s">
        <v>142</v>
      </c>
      <c r="K7" s="1">
        <v>0</v>
      </c>
      <c r="L7" s="1" t="s">
        <v>150</v>
      </c>
      <c r="M7" s="1" t="s">
        <v>152</v>
      </c>
      <c r="N7" s="1" t="s">
        <v>12</v>
      </c>
      <c r="O7" s="1" t="s">
        <v>145</v>
      </c>
    </row>
    <row r="8" spans="1:17">
      <c r="A8" s="1">
        <v>5</v>
      </c>
      <c r="B8" s="1" t="s">
        <v>153</v>
      </c>
      <c r="C8" s="5">
        <v>46082</v>
      </c>
      <c r="D8" s="1" t="s">
        <v>44</v>
      </c>
      <c r="E8" s="6" t="s">
        <v>30</v>
      </c>
      <c r="F8" s="6" t="s">
        <v>46</v>
      </c>
      <c r="G8" s="1" t="s">
        <v>31</v>
      </c>
      <c r="H8" s="1" t="s">
        <v>36</v>
      </c>
      <c r="I8" s="1" t="s">
        <v>22</v>
      </c>
      <c r="J8" s="1" t="s">
        <v>154</v>
      </c>
      <c r="K8" s="1">
        <v>3</v>
      </c>
      <c r="L8" s="1" t="s">
        <v>150</v>
      </c>
      <c r="M8" s="1" t="s">
        <v>155</v>
      </c>
      <c r="N8" s="1" t="s">
        <v>20</v>
      </c>
      <c r="O8" s="1" t="s">
        <v>148</v>
      </c>
    </row>
    <row r="9" spans="1:17">
      <c r="A9" s="1">
        <v>6</v>
      </c>
      <c r="B9" s="1" t="s">
        <v>156</v>
      </c>
      <c r="C9" s="5">
        <v>46106</v>
      </c>
      <c r="D9" s="1" t="s">
        <v>44</v>
      </c>
      <c r="E9" s="6" t="s">
        <v>26</v>
      </c>
      <c r="F9" s="6" t="s">
        <v>65</v>
      </c>
      <c r="G9" s="1" t="s">
        <v>6</v>
      </c>
      <c r="H9" s="1" t="s">
        <v>62</v>
      </c>
      <c r="I9" s="1" t="s">
        <v>22</v>
      </c>
      <c r="J9" s="1" t="s">
        <v>142</v>
      </c>
      <c r="K9" s="1">
        <v>1</v>
      </c>
      <c r="L9" s="1" t="s">
        <v>157</v>
      </c>
      <c r="M9" s="1" t="s">
        <v>144</v>
      </c>
      <c r="N9" s="1" t="s">
        <v>91</v>
      </c>
      <c r="O9" s="1" t="s">
        <v>145</v>
      </c>
    </row>
    <row r="10" spans="1:17">
      <c r="A10" s="1">
        <v>7</v>
      </c>
      <c r="B10" s="1" t="s">
        <v>158</v>
      </c>
      <c r="C10" s="5">
        <v>46090</v>
      </c>
      <c r="D10" s="1" t="s">
        <v>44</v>
      </c>
      <c r="E10" s="6" t="s">
        <v>38</v>
      </c>
      <c r="F10" s="6" t="s">
        <v>13</v>
      </c>
      <c r="G10" s="1" t="s">
        <v>31</v>
      </c>
      <c r="H10" s="1" t="s">
        <v>66</v>
      </c>
      <c r="I10" s="1" t="s">
        <v>28</v>
      </c>
      <c r="J10" s="1" t="s">
        <v>159</v>
      </c>
      <c r="K10" s="1">
        <v>0</v>
      </c>
      <c r="L10" s="1" t="s">
        <v>160</v>
      </c>
      <c r="M10" s="1" t="s">
        <v>144</v>
      </c>
      <c r="N10" s="1" t="s">
        <v>16</v>
      </c>
      <c r="O10" s="1" t="s">
        <v>148</v>
      </c>
    </row>
    <row r="11" spans="1:17">
      <c r="A11" s="1">
        <v>8</v>
      </c>
      <c r="B11" s="1" t="s">
        <v>161</v>
      </c>
      <c r="C11" s="5">
        <v>46102</v>
      </c>
      <c r="D11" s="1" t="s">
        <v>44</v>
      </c>
      <c r="E11" s="6" t="s">
        <v>57</v>
      </c>
      <c r="F11" s="6" t="s">
        <v>65</v>
      </c>
      <c r="G11" s="1" t="s">
        <v>35</v>
      </c>
      <c r="H11" s="1" t="s">
        <v>41</v>
      </c>
      <c r="I11" s="1" t="s">
        <v>78</v>
      </c>
      <c r="J11" s="1" t="s">
        <v>162</v>
      </c>
      <c r="K11" s="1">
        <v>8</v>
      </c>
      <c r="L11" s="1" t="s">
        <v>163</v>
      </c>
      <c r="M11" s="1" t="s">
        <v>155</v>
      </c>
      <c r="N11" s="1" t="s">
        <v>26</v>
      </c>
      <c r="O11" s="1" t="s">
        <v>145</v>
      </c>
    </row>
    <row r="12" spans="1:17">
      <c r="A12" s="1">
        <v>9</v>
      </c>
      <c r="B12" s="1" t="s">
        <v>164</v>
      </c>
      <c r="C12" s="5">
        <v>46096</v>
      </c>
      <c r="D12" s="1" t="s">
        <v>44</v>
      </c>
      <c r="E12" s="6" t="s">
        <v>30</v>
      </c>
      <c r="F12" s="6" t="s">
        <v>89</v>
      </c>
      <c r="G12" s="1" t="s">
        <v>77</v>
      </c>
      <c r="H12" s="1" t="s">
        <v>93</v>
      </c>
      <c r="I12" s="1" t="s">
        <v>28</v>
      </c>
      <c r="J12" s="1" t="s">
        <v>142</v>
      </c>
      <c r="K12" s="1">
        <v>7</v>
      </c>
      <c r="L12" s="1" t="s">
        <v>157</v>
      </c>
      <c r="M12" s="1" t="s">
        <v>152</v>
      </c>
      <c r="N12" s="1" t="s">
        <v>54</v>
      </c>
      <c r="O12" s="1" t="s">
        <v>165</v>
      </c>
    </row>
    <row r="13" spans="1:17">
      <c r="A13" s="1">
        <v>10</v>
      </c>
      <c r="B13" s="1" t="s">
        <v>166</v>
      </c>
      <c r="C13" s="5">
        <v>46130</v>
      </c>
      <c r="D13" s="1" t="s">
        <v>53</v>
      </c>
      <c r="E13" s="6" t="s">
        <v>61</v>
      </c>
      <c r="F13" s="6" t="s">
        <v>39</v>
      </c>
      <c r="G13" s="1" t="s">
        <v>14</v>
      </c>
      <c r="H13" s="1" t="s">
        <v>104</v>
      </c>
      <c r="I13" s="1" t="s">
        <v>66</v>
      </c>
      <c r="J13" s="1" t="s">
        <v>159</v>
      </c>
      <c r="K13" s="1">
        <v>5</v>
      </c>
      <c r="L13" s="1" t="s">
        <v>163</v>
      </c>
      <c r="M13" s="1" t="s">
        <v>152</v>
      </c>
      <c r="N13" s="1" t="s">
        <v>26</v>
      </c>
      <c r="O13" s="1" t="s">
        <v>148</v>
      </c>
    </row>
    <row r="14" spans="1:17">
      <c r="A14" s="1">
        <v>11</v>
      </c>
      <c r="B14" s="1" t="s">
        <v>167</v>
      </c>
      <c r="C14" s="5">
        <v>46118</v>
      </c>
      <c r="D14" s="1" t="s">
        <v>53</v>
      </c>
      <c r="E14" s="6" t="s">
        <v>16</v>
      </c>
      <c r="F14" s="6" t="s">
        <v>5</v>
      </c>
      <c r="G14" s="1" t="s">
        <v>6</v>
      </c>
      <c r="H14" s="1" t="s">
        <v>62</v>
      </c>
      <c r="I14" s="1" t="s">
        <v>41</v>
      </c>
      <c r="J14" s="1" t="s">
        <v>142</v>
      </c>
      <c r="K14" s="1">
        <v>7</v>
      </c>
      <c r="L14" s="1" t="s">
        <v>163</v>
      </c>
      <c r="M14" s="1" t="s">
        <v>155</v>
      </c>
      <c r="N14" s="1" t="s">
        <v>49</v>
      </c>
      <c r="O14" s="1" t="s">
        <v>165</v>
      </c>
    </row>
    <row r="15" spans="1:17">
      <c r="A15" s="1">
        <v>12</v>
      </c>
      <c r="B15" s="1" t="s">
        <v>168</v>
      </c>
      <c r="C15" s="5">
        <v>46119</v>
      </c>
      <c r="D15" s="1" t="s">
        <v>53</v>
      </c>
      <c r="E15" s="6" t="s">
        <v>20</v>
      </c>
      <c r="F15" s="6" t="s">
        <v>50</v>
      </c>
      <c r="G15" s="1" t="s">
        <v>6</v>
      </c>
      <c r="H15" s="1" t="s">
        <v>66</v>
      </c>
      <c r="I15" s="1" t="s">
        <v>62</v>
      </c>
      <c r="J15" s="1" t="s">
        <v>159</v>
      </c>
      <c r="K15" s="1">
        <v>4</v>
      </c>
      <c r="L15" s="1" t="s">
        <v>169</v>
      </c>
      <c r="M15" s="1" t="s">
        <v>147</v>
      </c>
      <c r="N15" s="1" t="s">
        <v>49</v>
      </c>
      <c r="O15" s="1" t="s">
        <v>148</v>
      </c>
    </row>
    <row r="16" spans="1:17">
      <c r="A16" s="1">
        <v>13</v>
      </c>
      <c r="B16" s="1" t="s">
        <v>170</v>
      </c>
      <c r="C16" s="5">
        <v>46120</v>
      </c>
      <c r="D16" s="1" t="s">
        <v>53</v>
      </c>
      <c r="E16" s="6" t="s">
        <v>4</v>
      </c>
      <c r="F16" s="6" t="s">
        <v>46</v>
      </c>
      <c r="G16" s="1" t="s">
        <v>31</v>
      </c>
      <c r="H16" s="1" t="s">
        <v>66</v>
      </c>
      <c r="I16" s="1" t="s">
        <v>62</v>
      </c>
      <c r="J16" s="1" t="s">
        <v>154</v>
      </c>
      <c r="K16" s="1">
        <v>6</v>
      </c>
      <c r="L16" s="1" t="s">
        <v>169</v>
      </c>
      <c r="M16" s="1" t="s">
        <v>147</v>
      </c>
      <c r="N16" s="1" t="s">
        <v>54</v>
      </c>
      <c r="O16" s="1" t="s">
        <v>145</v>
      </c>
    </row>
    <row r="17" spans="1:15">
      <c r="A17" s="1">
        <v>14</v>
      </c>
      <c r="B17" s="1" t="s">
        <v>171</v>
      </c>
      <c r="C17" s="5">
        <v>46114</v>
      </c>
      <c r="D17" s="1" t="s">
        <v>53</v>
      </c>
      <c r="E17" s="6" t="s">
        <v>30</v>
      </c>
      <c r="F17" s="6" t="s">
        <v>65</v>
      </c>
      <c r="G17" s="1" t="s">
        <v>95</v>
      </c>
      <c r="H17" s="1" t="s">
        <v>62</v>
      </c>
      <c r="I17" s="1" t="s">
        <v>36</v>
      </c>
      <c r="J17" s="1" t="s">
        <v>154</v>
      </c>
      <c r="K17" s="1">
        <v>1</v>
      </c>
      <c r="L17" s="1" t="s">
        <v>150</v>
      </c>
      <c r="M17" s="1" t="s">
        <v>144</v>
      </c>
      <c r="N17" s="1" t="s">
        <v>91</v>
      </c>
      <c r="O17" s="1" t="s">
        <v>165</v>
      </c>
    </row>
    <row r="18" spans="1:15">
      <c r="A18" s="1">
        <v>15</v>
      </c>
      <c r="B18" s="1" t="s">
        <v>172</v>
      </c>
      <c r="C18" s="5">
        <v>46144</v>
      </c>
      <c r="D18" s="1" t="s">
        <v>60</v>
      </c>
      <c r="E18" s="6" t="s">
        <v>61</v>
      </c>
      <c r="F18" s="6" t="s">
        <v>92</v>
      </c>
      <c r="G18" s="1" t="s">
        <v>87</v>
      </c>
      <c r="H18" s="1" t="s">
        <v>70</v>
      </c>
      <c r="I18" s="1" t="s">
        <v>62</v>
      </c>
      <c r="J18" s="1" t="s">
        <v>154</v>
      </c>
      <c r="K18" s="1">
        <v>1</v>
      </c>
      <c r="L18" s="1" t="s">
        <v>163</v>
      </c>
      <c r="M18" s="1" t="s">
        <v>147</v>
      </c>
      <c r="N18" s="1" t="s">
        <v>61</v>
      </c>
      <c r="O18" s="1" t="s">
        <v>145</v>
      </c>
    </row>
    <row r="19" spans="1:15">
      <c r="A19" s="1">
        <v>16</v>
      </c>
      <c r="B19" s="1" t="s">
        <v>173</v>
      </c>
      <c r="C19" s="5">
        <v>46174</v>
      </c>
      <c r="D19" s="1" t="s">
        <v>73</v>
      </c>
      <c r="E19" s="6" t="s">
        <v>30</v>
      </c>
      <c r="F19" s="6" t="s">
        <v>89</v>
      </c>
      <c r="G19" s="1" t="s">
        <v>51</v>
      </c>
      <c r="H19" s="1" t="s">
        <v>62</v>
      </c>
      <c r="I19" s="1" t="s">
        <v>36</v>
      </c>
      <c r="J19" s="1" t="s">
        <v>142</v>
      </c>
      <c r="K19" s="1">
        <v>5</v>
      </c>
      <c r="L19" s="1" t="s">
        <v>143</v>
      </c>
      <c r="M19" s="1" t="s">
        <v>144</v>
      </c>
      <c r="N19" s="1" t="s">
        <v>20</v>
      </c>
      <c r="O19" s="1" t="s">
        <v>165</v>
      </c>
    </row>
    <row r="20" spans="1:15">
      <c r="A20" s="1">
        <v>17</v>
      </c>
      <c r="B20" s="1" t="s">
        <v>174</v>
      </c>
      <c r="C20" s="5">
        <v>46196</v>
      </c>
      <c r="D20" s="1" t="s">
        <v>73</v>
      </c>
      <c r="E20" s="6" t="s">
        <v>38</v>
      </c>
      <c r="F20" s="6" t="s">
        <v>58</v>
      </c>
      <c r="G20" s="1" t="s">
        <v>95</v>
      </c>
      <c r="H20" s="1" t="s">
        <v>70</v>
      </c>
      <c r="I20" s="1" t="s">
        <v>66</v>
      </c>
      <c r="J20" s="1" t="s">
        <v>159</v>
      </c>
      <c r="K20" s="1">
        <v>6</v>
      </c>
      <c r="L20" s="1" t="s">
        <v>160</v>
      </c>
      <c r="M20" s="1" t="s">
        <v>147</v>
      </c>
      <c r="N20" s="1" t="s">
        <v>91</v>
      </c>
      <c r="O20" s="1" t="s">
        <v>148</v>
      </c>
    </row>
    <row r="21" spans="1:15">
      <c r="A21" s="1">
        <v>18</v>
      </c>
      <c r="B21" s="1" t="s">
        <v>175</v>
      </c>
      <c r="C21" s="5">
        <v>46204</v>
      </c>
      <c r="D21" s="1" t="s">
        <v>76</v>
      </c>
      <c r="E21" s="6" t="s">
        <v>38</v>
      </c>
      <c r="F21" s="6" t="s">
        <v>13</v>
      </c>
      <c r="G21" s="1" t="s">
        <v>31</v>
      </c>
      <c r="H21" s="1" t="s">
        <v>15</v>
      </c>
      <c r="I21" s="1" t="s">
        <v>78</v>
      </c>
      <c r="J21" s="1" t="s">
        <v>142</v>
      </c>
      <c r="K21" s="1">
        <v>7</v>
      </c>
      <c r="L21" s="1" t="s">
        <v>169</v>
      </c>
      <c r="M21" s="1" t="s">
        <v>144</v>
      </c>
      <c r="N21" s="1" t="s">
        <v>16</v>
      </c>
      <c r="O21" s="1" t="s">
        <v>145</v>
      </c>
    </row>
    <row r="22" spans="1:15">
      <c r="A22" s="1">
        <v>19</v>
      </c>
      <c r="B22" s="1" t="s">
        <v>176</v>
      </c>
      <c r="C22" s="5">
        <v>46213</v>
      </c>
      <c r="D22" s="1" t="s">
        <v>76</v>
      </c>
      <c r="E22" s="6" t="s">
        <v>61</v>
      </c>
      <c r="F22" s="6" t="s">
        <v>89</v>
      </c>
      <c r="G22" s="1" t="s">
        <v>87</v>
      </c>
      <c r="H22" s="1" t="s">
        <v>22</v>
      </c>
      <c r="I22" s="1" t="s">
        <v>78</v>
      </c>
      <c r="J22" s="1" t="s">
        <v>154</v>
      </c>
      <c r="K22" s="1">
        <v>8</v>
      </c>
      <c r="L22" s="1" t="s">
        <v>169</v>
      </c>
      <c r="M22" s="1" t="s">
        <v>155</v>
      </c>
      <c r="N22" s="1" t="s">
        <v>54</v>
      </c>
      <c r="O22" s="1" t="s">
        <v>148</v>
      </c>
    </row>
    <row r="23" spans="1:15">
      <c r="A23" s="1">
        <v>20</v>
      </c>
      <c r="B23" s="1" t="s">
        <v>177</v>
      </c>
      <c r="C23" s="5">
        <v>46208</v>
      </c>
      <c r="D23" s="1" t="s">
        <v>76</v>
      </c>
      <c r="E23" s="6" t="s">
        <v>49</v>
      </c>
      <c r="F23" s="6" t="s">
        <v>5</v>
      </c>
      <c r="G23" s="1" t="s">
        <v>35</v>
      </c>
      <c r="H23" s="1" t="s">
        <v>62</v>
      </c>
      <c r="I23" s="1" t="s">
        <v>7</v>
      </c>
      <c r="J23" s="1" t="s">
        <v>142</v>
      </c>
      <c r="K23" s="1">
        <v>0</v>
      </c>
      <c r="L23" s="1" t="s">
        <v>143</v>
      </c>
      <c r="M23" s="1" t="s">
        <v>155</v>
      </c>
      <c r="N23" s="1" t="s">
        <v>61</v>
      </c>
      <c r="O23" s="1" t="s">
        <v>148</v>
      </c>
    </row>
    <row r="24" spans="1:15">
      <c r="A24" s="1">
        <v>21</v>
      </c>
      <c r="B24" s="1" t="s">
        <v>178</v>
      </c>
      <c r="C24" s="5">
        <v>46227</v>
      </c>
      <c r="D24" s="1" t="s">
        <v>76</v>
      </c>
      <c r="E24" s="6" t="s">
        <v>20</v>
      </c>
      <c r="F24" s="6" t="s">
        <v>27</v>
      </c>
      <c r="G24" s="1" t="s">
        <v>51</v>
      </c>
      <c r="H24" s="1" t="s">
        <v>68</v>
      </c>
      <c r="I24" s="1" t="s">
        <v>66</v>
      </c>
      <c r="J24" s="1" t="s">
        <v>142</v>
      </c>
      <c r="K24" s="1">
        <v>8</v>
      </c>
      <c r="L24" s="1" t="s">
        <v>150</v>
      </c>
      <c r="M24" s="1" t="s">
        <v>155</v>
      </c>
      <c r="N24" s="1" t="s">
        <v>30</v>
      </c>
      <c r="O24" s="1" t="s">
        <v>145</v>
      </c>
    </row>
    <row r="25" spans="1:15">
      <c r="A25" s="1">
        <v>22</v>
      </c>
      <c r="B25" s="1" t="s">
        <v>179</v>
      </c>
      <c r="C25" s="5">
        <v>46242</v>
      </c>
      <c r="D25" s="1" t="s">
        <v>86</v>
      </c>
      <c r="E25" s="6" t="s">
        <v>30</v>
      </c>
      <c r="F25" s="6" t="s">
        <v>5</v>
      </c>
      <c r="G25" s="1" t="s">
        <v>31</v>
      </c>
      <c r="H25" s="1" t="s">
        <v>78</v>
      </c>
      <c r="I25" s="1" t="s">
        <v>22</v>
      </c>
      <c r="J25" s="1" t="s">
        <v>154</v>
      </c>
      <c r="K25" s="1">
        <v>6</v>
      </c>
      <c r="L25" s="1" t="s">
        <v>160</v>
      </c>
      <c r="M25" s="1" t="s">
        <v>144</v>
      </c>
      <c r="N25" s="1" t="s">
        <v>54</v>
      </c>
      <c r="O25" s="1" t="s">
        <v>148</v>
      </c>
    </row>
    <row r="26" spans="1:15">
      <c r="A26" s="1">
        <v>23</v>
      </c>
      <c r="B26" s="1" t="s">
        <v>180</v>
      </c>
      <c r="C26" s="5">
        <v>46239</v>
      </c>
      <c r="D26" s="1" t="s">
        <v>86</v>
      </c>
      <c r="E26" s="6" t="s">
        <v>30</v>
      </c>
      <c r="F26" s="6" t="s">
        <v>92</v>
      </c>
      <c r="G26" s="1" t="s">
        <v>95</v>
      </c>
      <c r="H26" s="1" t="s">
        <v>62</v>
      </c>
      <c r="I26" s="1" t="s">
        <v>104</v>
      </c>
      <c r="J26" s="1" t="s">
        <v>154</v>
      </c>
      <c r="K26" s="1">
        <v>7</v>
      </c>
      <c r="L26" s="1" t="s">
        <v>163</v>
      </c>
      <c r="M26" s="1" t="s">
        <v>152</v>
      </c>
      <c r="N26" s="1" t="s">
        <v>38</v>
      </c>
      <c r="O26" s="1" t="s">
        <v>148</v>
      </c>
    </row>
    <row r="27" spans="1:15">
      <c r="A27" s="1">
        <v>24</v>
      </c>
      <c r="B27" s="1" t="s">
        <v>181</v>
      </c>
      <c r="C27" s="5">
        <v>46256</v>
      </c>
      <c r="D27" s="1" t="s">
        <v>86</v>
      </c>
      <c r="E27" s="6" t="s">
        <v>49</v>
      </c>
      <c r="F27" s="6" t="s">
        <v>58</v>
      </c>
      <c r="G27" s="1" t="s">
        <v>95</v>
      </c>
      <c r="H27" s="1" t="s">
        <v>104</v>
      </c>
      <c r="I27" s="1" t="s">
        <v>66</v>
      </c>
      <c r="J27" s="1" t="s">
        <v>142</v>
      </c>
      <c r="K27" s="1">
        <v>8</v>
      </c>
      <c r="L27" s="1" t="s">
        <v>150</v>
      </c>
      <c r="M27" s="1" t="s">
        <v>147</v>
      </c>
      <c r="N27" s="1" t="s">
        <v>57</v>
      </c>
      <c r="O27" s="1" t="s">
        <v>148</v>
      </c>
    </row>
    <row r="28" spans="1:15">
      <c r="A28" s="1">
        <v>25</v>
      </c>
      <c r="B28" s="1" t="s">
        <v>182</v>
      </c>
      <c r="C28" s="5">
        <v>46276</v>
      </c>
      <c r="D28" s="1" t="s">
        <v>102</v>
      </c>
      <c r="E28" s="6" t="s">
        <v>64</v>
      </c>
      <c r="F28" s="6" t="s">
        <v>65</v>
      </c>
      <c r="G28" s="1" t="s">
        <v>77</v>
      </c>
      <c r="H28" s="1" t="s">
        <v>28</v>
      </c>
      <c r="I28" s="1" t="s">
        <v>28</v>
      </c>
      <c r="J28" s="1" t="s">
        <v>142</v>
      </c>
      <c r="K28" s="1">
        <v>8</v>
      </c>
      <c r="L28" s="1" t="s">
        <v>157</v>
      </c>
      <c r="M28" s="1" t="s">
        <v>152</v>
      </c>
      <c r="N28" s="1" t="s">
        <v>26</v>
      </c>
      <c r="O28" s="1" t="s">
        <v>145</v>
      </c>
    </row>
    <row r="29" spans="1:15">
      <c r="A29" s="1">
        <v>26</v>
      </c>
      <c r="B29" s="1" t="s">
        <v>183</v>
      </c>
      <c r="C29" s="5">
        <v>46266</v>
      </c>
      <c r="D29" s="1" t="s">
        <v>102</v>
      </c>
      <c r="E29" s="6" t="s">
        <v>12</v>
      </c>
      <c r="F29" s="6" t="s">
        <v>39</v>
      </c>
      <c r="G29" s="1" t="s">
        <v>95</v>
      </c>
      <c r="H29" s="1" t="s">
        <v>7</v>
      </c>
      <c r="I29" s="1" t="s">
        <v>70</v>
      </c>
      <c r="J29" s="1" t="s">
        <v>142</v>
      </c>
      <c r="K29" s="1">
        <v>2</v>
      </c>
      <c r="L29" s="1" t="s">
        <v>157</v>
      </c>
      <c r="M29" s="1" t="s">
        <v>155</v>
      </c>
      <c r="N29" s="1" t="s">
        <v>91</v>
      </c>
      <c r="O29" s="1" t="s">
        <v>165</v>
      </c>
    </row>
    <row r="30" spans="1:15">
      <c r="A30" s="1">
        <v>27</v>
      </c>
      <c r="B30" s="1" t="s">
        <v>184</v>
      </c>
      <c r="C30" s="5">
        <v>46277</v>
      </c>
      <c r="D30" s="1" t="s">
        <v>102</v>
      </c>
      <c r="E30" s="6" t="s">
        <v>20</v>
      </c>
      <c r="F30" s="6" t="s">
        <v>89</v>
      </c>
      <c r="G30" s="1" t="s">
        <v>40</v>
      </c>
      <c r="H30" s="1" t="s">
        <v>28</v>
      </c>
      <c r="I30" s="1" t="s">
        <v>70</v>
      </c>
      <c r="J30" s="1" t="s">
        <v>159</v>
      </c>
      <c r="K30" s="1">
        <v>0</v>
      </c>
      <c r="L30" s="1" t="s">
        <v>163</v>
      </c>
      <c r="M30" s="1" t="s">
        <v>147</v>
      </c>
      <c r="N30" s="1" t="s">
        <v>20</v>
      </c>
      <c r="O30" s="1" t="s">
        <v>165</v>
      </c>
    </row>
    <row r="31" spans="1:15">
      <c r="A31" s="1">
        <v>28</v>
      </c>
      <c r="B31" s="1" t="s">
        <v>185</v>
      </c>
      <c r="C31" s="5">
        <v>46317</v>
      </c>
      <c r="D31" s="1" t="s">
        <v>106</v>
      </c>
      <c r="E31" s="6" t="s">
        <v>16</v>
      </c>
      <c r="F31" s="6" t="s">
        <v>39</v>
      </c>
      <c r="G31" s="1" t="s">
        <v>80</v>
      </c>
      <c r="H31" s="1" t="s">
        <v>41</v>
      </c>
      <c r="I31" s="1" t="s">
        <v>22</v>
      </c>
      <c r="J31" s="1" t="s">
        <v>159</v>
      </c>
      <c r="K31" s="1">
        <v>4</v>
      </c>
      <c r="L31" s="1" t="s">
        <v>163</v>
      </c>
      <c r="M31" s="1" t="s">
        <v>155</v>
      </c>
      <c r="N31" s="1" t="s">
        <v>49</v>
      </c>
      <c r="O31" s="1" t="s">
        <v>148</v>
      </c>
    </row>
    <row r="32" spans="1:15">
      <c r="A32" s="1">
        <v>29</v>
      </c>
      <c r="B32" s="1" t="s">
        <v>186</v>
      </c>
      <c r="C32" s="5">
        <v>46309</v>
      </c>
      <c r="D32" s="1" t="s">
        <v>106</v>
      </c>
      <c r="E32" s="6" t="s">
        <v>26</v>
      </c>
      <c r="F32" s="6" t="s">
        <v>46</v>
      </c>
      <c r="G32" s="1" t="s">
        <v>51</v>
      </c>
      <c r="H32" s="1" t="s">
        <v>41</v>
      </c>
      <c r="I32" s="1" t="s">
        <v>7</v>
      </c>
      <c r="J32" s="1" t="s">
        <v>162</v>
      </c>
      <c r="K32" s="1">
        <v>3</v>
      </c>
      <c r="L32" s="1" t="s">
        <v>169</v>
      </c>
      <c r="M32" s="1" t="s">
        <v>152</v>
      </c>
      <c r="N32" s="1" t="s">
        <v>64</v>
      </c>
      <c r="O32" s="1" t="s">
        <v>145</v>
      </c>
    </row>
    <row r="33" spans="1:15">
      <c r="A33" s="1">
        <v>30</v>
      </c>
      <c r="B33" s="1" t="s">
        <v>187</v>
      </c>
      <c r="C33" s="5">
        <v>46311</v>
      </c>
      <c r="D33" s="1" t="s">
        <v>106</v>
      </c>
      <c r="E33" s="6" t="s">
        <v>91</v>
      </c>
      <c r="F33" s="6" t="s">
        <v>13</v>
      </c>
      <c r="G33" s="1" t="s">
        <v>80</v>
      </c>
      <c r="H33" s="1" t="s">
        <v>104</v>
      </c>
      <c r="I33" s="1" t="s">
        <v>62</v>
      </c>
      <c r="J33" s="1" t="s">
        <v>142</v>
      </c>
      <c r="K33" s="1">
        <v>8</v>
      </c>
      <c r="L33" s="1" t="s">
        <v>143</v>
      </c>
      <c r="M33" s="1" t="s">
        <v>147</v>
      </c>
      <c r="N33" s="1" t="s">
        <v>64</v>
      </c>
      <c r="O33" s="1" t="s">
        <v>148</v>
      </c>
    </row>
    <row r="34" spans="1:15">
      <c r="A34" s="1">
        <v>31</v>
      </c>
      <c r="B34" s="1" t="s">
        <v>188</v>
      </c>
      <c r="C34" s="5">
        <v>46298</v>
      </c>
      <c r="D34" s="1" t="s">
        <v>106</v>
      </c>
      <c r="E34" s="6" t="s">
        <v>49</v>
      </c>
      <c r="F34" s="6" t="s">
        <v>13</v>
      </c>
      <c r="G34" s="1" t="s">
        <v>51</v>
      </c>
      <c r="H34" s="1" t="s">
        <v>78</v>
      </c>
      <c r="I34" s="1" t="s">
        <v>68</v>
      </c>
      <c r="J34" s="1" t="s">
        <v>159</v>
      </c>
      <c r="K34" s="1">
        <v>1</v>
      </c>
      <c r="L34" s="1" t="s">
        <v>163</v>
      </c>
      <c r="M34" s="1" t="s">
        <v>147</v>
      </c>
      <c r="N34" s="1" t="s">
        <v>91</v>
      </c>
      <c r="O34" s="1" t="s">
        <v>165</v>
      </c>
    </row>
    <row r="35" spans="1:15">
      <c r="A35" s="1">
        <v>32</v>
      </c>
      <c r="B35" s="1" t="s">
        <v>189</v>
      </c>
      <c r="C35" s="5">
        <v>46353</v>
      </c>
      <c r="D35" s="1" t="s">
        <v>111</v>
      </c>
      <c r="E35" s="6" t="s">
        <v>61</v>
      </c>
      <c r="F35" s="6" t="s">
        <v>46</v>
      </c>
      <c r="G35" s="1" t="s">
        <v>31</v>
      </c>
      <c r="H35" s="1" t="s">
        <v>70</v>
      </c>
      <c r="I35" s="1" t="s">
        <v>70</v>
      </c>
      <c r="J35" s="1" t="s">
        <v>154</v>
      </c>
      <c r="K35" s="1">
        <v>1</v>
      </c>
      <c r="L35" s="1" t="s">
        <v>163</v>
      </c>
      <c r="M35" s="1" t="s">
        <v>155</v>
      </c>
      <c r="N35" s="1" t="s">
        <v>57</v>
      </c>
      <c r="O35" s="1" t="s">
        <v>148</v>
      </c>
    </row>
    <row r="36" spans="1:15">
      <c r="A36" s="1">
        <v>33</v>
      </c>
      <c r="B36" s="1" t="s">
        <v>190</v>
      </c>
      <c r="C36" s="5">
        <v>46335</v>
      </c>
      <c r="D36" s="1" t="s">
        <v>111</v>
      </c>
      <c r="E36" s="6" t="s">
        <v>12</v>
      </c>
      <c r="F36" s="6" t="s">
        <v>89</v>
      </c>
      <c r="G36" s="1" t="s">
        <v>95</v>
      </c>
      <c r="H36" s="1" t="s">
        <v>62</v>
      </c>
      <c r="I36" s="1" t="s">
        <v>68</v>
      </c>
      <c r="J36" s="1" t="s">
        <v>159</v>
      </c>
      <c r="K36" s="1">
        <v>4</v>
      </c>
      <c r="L36" s="1" t="s">
        <v>157</v>
      </c>
      <c r="M36" s="1" t="s">
        <v>147</v>
      </c>
      <c r="N36" s="1" t="s">
        <v>64</v>
      </c>
      <c r="O36" s="1" t="s">
        <v>145</v>
      </c>
    </row>
    <row r="37" spans="1:15">
      <c r="A37" s="1">
        <v>34</v>
      </c>
      <c r="B37" s="1" t="s">
        <v>191</v>
      </c>
      <c r="C37" s="5">
        <v>46337</v>
      </c>
      <c r="D37" s="1" t="s">
        <v>111</v>
      </c>
      <c r="E37" s="6" t="s">
        <v>16</v>
      </c>
      <c r="F37" s="6" t="s">
        <v>27</v>
      </c>
      <c r="G37" s="1" t="s">
        <v>35</v>
      </c>
      <c r="H37" s="1" t="s">
        <v>66</v>
      </c>
      <c r="I37" s="1" t="s">
        <v>7</v>
      </c>
      <c r="J37" s="1" t="s">
        <v>142</v>
      </c>
      <c r="K37" s="1">
        <v>4</v>
      </c>
      <c r="L37" s="1" t="s">
        <v>160</v>
      </c>
      <c r="M37" s="1" t="s">
        <v>155</v>
      </c>
      <c r="N37" s="1" t="s">
        <v>61</v>
      </c>
      <c r="O37" s="1" t="s">
        <v>148</v>
      </c>
    </row>
    <row r="38" spans="1:15">
      <c r="A38" s="1">
        <v>35</v>
      </c>
      <c r="B38" s="1" t="s">
        <v>192</v>
      </c>
      <c r="C38" s="5">
        <v>46345</v>
      </c>
      <c r="D38" s="1" t="s">
        <v>111</v>
      </c>
      <c r="E38" s="6" t="s">
        <v>49</v>
      </c>
      <c r="F38" s="6" t="s">
        <v>13</v>
      </c>
      <c r="G38" s="1" t="s">
        <v>77</v>
      </c>
      <c r="H38" s="1" t="s">
        <v>7</v>
      </c>
      <c r="I38" s="1" t="s">
        <v>36</v>
      </c>
      <c r="J38" s="1" t="s">
        <v>154</v>
      </c>
      <c r="K38" s="1">
        <v>0</v>
      </c>
      <c r="L38" s="1" t="s">
        <v>160</v>
      </c>
      <c r="M38" s="1" t="s">
        <v>144</v>
      </c>
      <c r="N38" s="1" t="s">
        <v>54</v>
      </c>
      <c r="O38" s="1" t="s">
        <v>148</v>
      </c>
    </row>
    <row r="39" spans="1:15">
      <c r="A39" s="1">
        <v>36</v>
      </c>
      <c r="B39" s="1" t="s">
        <v>193</v>
      </c>
      <c r="C39" s="5">
        <v>46337</v>
      </c>
      <c r="D39" s="1" t="s">
        <v>111</v>
      </c>
      <c r="E39" s="6" t="s">
        <v>12</v>
      </c>
      <c r="F39" s="6" t="s">
        <v>5</v>
      </c>
      <c r="G39" s="1" t="s">
        <v>31</v>
      </c>
      <c r="H39" s="1" t="s">
        <v>93</v>
      </c>
      <c r="I39" s="1" t="s">
        <v>28</v>
      </c>
      <c r="J39" s="1" t="s">
        <v>159</v>
      </c>
      <c r="K39" s="1">
        <v>5</v>
      </c>
      <c r="L39" s="1" t="s">
        <v>150</v>
      </c>
      <c r="M39" s="1" t="s">
        <v>152</v>
      </c>
      <c r="N39" s="1" t="s">
        <v>64</v>
      </c>
      <c r="O39" s="1" t="s">
        <v>145</v>
      </c>
    </row>
    <row r="40" spans="1:15">
      <c r="A40" s="1">
        <v>37</v>
      </c>
      <c r="B40" s="1" t="s">
        <v>194</v>
      </c>
      <c r="C40" s="5">
        <v>46353</v>
      </c>
      <c r="D40" s="1" t="s">
        <v>111</v>
      </c>
      <c r="E40" s="6" t="s">
        <v>12</v>
      </c>
      <c r="F40" s="6" t="s">
        <v>5</v>
      </c>
      <c r="G40" s="1" t="s">
        <v>21</v>
      </c>
      <c r="H40" s="1" t="s">
        <v>78</v>
      </c>
      <c r="I40" s="1" t="s">
        <v>62</v>
      </c>
      <c r="J40" s="1" t="s">
        <v>142</v>
      </c>
      <c r="K40" s="1">
        <v>8</v>
      </c>
      <c r="L40" s="1" t="s">
        <v>160</v>
      </c>
      <c r="M40" s="1" t="s">
        <v>144</v>
      </c>
      <c r="N40" s="1" t="s">
        <v>61</v>
      </c>
      <c r="O40" s="1" t="s">
        <v>148</v>
      </c>
    </row>
    <row r="41" spans="1:15">
      <c r="A41" s="1">
        <v>38</v>
      </c>
      <c r="B41" s="1" t="s">
        <v>195</v>
      </c>
      <c r="C41" s="5">
        <v>46347</v>
      </c>
      <c r="D41" s="1" t="s">
        <v>111</v>
      </c>
      <c r="E41" s="6" t="s">
        <v>91</v>
      </c>
      <c r="F41" s="6" t="s">
        <v>46</v>
      </c>
      <c r="G41" s="1" t="s">
        <v>80</v>
      </c>
      <c r="H41" s="1" t="s">
        <v>70</v>
      </c>
      <c r="I41" s="1" t="s">
        <v>66</v>
      </c>
      <c r="J41" s="1" t="s">
        <v>142</v>
      </c>
      <c r="K41" s="1">
        <v>4</v>
      </c>
      <c r="L41" s="1" t="s">
        <v>160</v>
      </c>
      <c r="M41" s="1" t="s">
        <v>152</v>
      </c>
      <c r="N41" s="1" t="s">
        <v>57</v>
      </c>
      <c r="O41" s="1" t="s">
        <v>148</v>
      </c>
    </row>
    <row r="42" spans="1:15">
      <c r="A42" s="1">
        <v>39</v>
      </c>
      <c r="B42" s="1" t="s">
        <v>196</v>
      </c>
      <c r="C42" s="5">
        <v>46328</v>
      </c>
      <c r="D42" s="1" t="s">
        <v>111</v>
      </c>
      <c r="E42" s="6" t="s">
        <v>57</v>
      </c>
      <c r="F42" s="6" t="s">
        <v>46</v>
      </c>
      <c r="G42" s="1" t="s">
        <v>77</v>
      </c>
      <c r="H42" s="1" t="s">
        <v>32</v>
      </c>
      <c r="I42" s="1" t="s">
        <v>32</v>
      </c>
      <c r="J42" s="1" t="s">
        <v>142</v>
      </c>
      <c r="K42" s="1">
        <v>8</v>
      </c>
      <c r="L42" s="1" t="s">
        <v>169</v>
      </c>
      <c r="M42" s="1" t="s">
        <v>144</v>
      </c>
      <c r="N42" s="1" t="s">
        <v>54</v>
      </c>
      <c r="O42" s="1" t="s">
        <v>165</v>
      </c>
    </row>
    <row r="43" spans="1:15">
      <c r="A43" s="1">
        <v>40</v>
      </c>
      <c r="B43" s="1" t="s">
        <v>197</v>
      </c>
      <c r="C43" s="5">
        <v>46332</v>
      </c>
      <c r="D43" s="1" t="s">
        <v>111</v>
      </c>
      <c r="E43" s="6" t="s">
        <v>45</v>
      </c>
      <c r="F43" s="6" t="s">
        <v>46</v>
      </c>
      <c r="G43" s="1" t="s">
        <v>87</v>
      </c>
      <c r="H43" s="1" t="s">
        <v>41</v>
      </c>
      <c r="I43" s="1" t="s">
        <v>70</v>
      </c>
      <c r="J43" s="1" t="s">
        <v>154</v>
      </c>
      <c r="K43" s="1">
        <v>2</v>
      </c>
      <c r="L43" s="1" t="s">
        <v>157</v>
      </c>
      <c r="M43" s="1" t="s">
        <v>144</v>
      </c>
      <c r="N43" s="1" t="s">
        <v>26</v>
      </c>
      <c r="O43" s="1" t="s">
        <v>145</v>
      </c>
    </row>
    <row r="44" spans="1:15">
      <c r="A44" s="1">
        <v>41</v>
      </c>
      <c r="B44" s="1" t="s">
        <v>198</v>
      </c>
      <c r="C44" s="5">
        <v>46361</v>
      </c>
      <c r="D44" s="1" t="s">
        <v>122</v>
      </c>
      <c r="E44" s="6" t="s">
        <v>49</v>
      </c>
      <c r="F44" s="6" t="s">
        <v>39</v>
      </c>
      <c r="G44" s="1" t="s">
        <v>21</v>
      </c>
      <c r="H44" s="1" t="s">
        <v>93</v>
      </c>
      <c r="I44" s="1" t="s">
        <v>7</v>
      </c>
      <c r="J44" s="1" t="s">
        <v>154</v>
      </c>
      <c r="K44" s="1">
        <v>0</v>
      </c>
      <c r="L44" s="1" t="s">
        <v>150</v>
      </c>
      <c r="M44" s="1" t="s">
        <v>155</v>
      </c>
      <c r="N44" s="1" t="s">
        <v>26</v>
      </c>
      <c r="O44" s="1" t="s">
        <v>165</v>
      </c>
    </row>
    <row r="45" spans="1:15">
      <c r="A45" s="1">
        <v>42</v>
      </c>
      <c r="B45" s="1" t="s">
        <v>199</v>
      </c>
      <c r="C45" s="5">
        <v>46383</v>
      </c>
      <c r="D45" s="1" t="s">
        <v>122</v>
      </c>
      <c r="E45" s="6" t="s">
        <v>12</v>
      </c>
      <c r="F45" s="6" t="s">
        <v>65</v>
      </c>
      <c r="G45" s="1" t="s">
        <v>87</v>
      </c>
      <c r="H45" s="1" t="s">
        <v>66</v>
      </c>
      <c r="I45" s="1" t="s">
        <v>62</v>
      </c>
      <c r="J45" s="1" t="s">
        <v>159</v>
      </c>
      <c r="K45" s="1">
        <v>1</v>
      </c>
      <c r="L45" s="1" t="s">
        <v>163</v>
      </c>
      <c r="M45" s="1" t="s">
        <v>147</v>
      </c>
      <c r="N45" s="1" t="s">
        <v>4</v>
      </c>
      <c r="O45" s="1" t="s">
        <v>165</v>
      </c>
    </row>
    <row r="46" spans="1:15">
      <c r="A46" s="1">
        <v>43</v>
      </c>
      <c r="B46" s="1" t="s">
        <v>200</v>
      </c>
      <c r="C46" s="5">
        <v>46363</v>
      </c>
      <c r="D46" s="1" t="s">
        <v>122</v>
      </c>
      <c r="E46" s="6" t="s">
        <v>64</v>
      </c>
      <c r="F46" s="6" t="s">
        <v>65</v>
      </c>
      <c r="G46" s="1" t="s">
        <v>35</v>
      </c>
      <c r="H46" s="1" t="s">
        <v>28</v>
      </c>
      <c r="I46" s="1" t="s">
        <v>62</v>
      </c>
      <c r="J46" s="1" t="s">
        <v>142</v>
      </c>
      <c r="K46" s="1">
        <v>1</v>
      </c>
      <c r="L46" s="1" t="s">
        <v>160</v>
      </c>
      <c r="M46" s="1" t="s">
        <v>144</v>
      </c>
      <c r="N46" s="1" t="s">
        <v>45</v>
      </c>
      <c r="O46" s="1" t="s">
        <v>165</v>
      </c>
    </row>
    <row r="47" spans="1:15">
      <c r="A47" s="1">
        <v>44</v>
      </c>
      <c r="B47" s="1" t="s">
        <v>201</v>
      </c>
      <c r="C47" s="5">
        <v>46359</v>
      </c>
      <c r="D47" s="1" t="s">
        <v>122</v>
      </c>
      <c r="E47" s="6" t="s">
        <v>20</v>
      </c>
      <c r="F47" s="6" t="s">
        <v>58</v>
      </c>
      <c r="G47" s="1" t="s">
        <v>77</v>
      </c>
      <c r="H47" s="1" t="s">
        <v>32</v>
      </c>
      <c r="I47" s="1" t="s">
        <v>22</v>
      </c>
      <c r="J47" s="1" t="s">
        <v>154</v>
      </c>
      <c r="K47" s="1">
        <v>2</v>
      </c>
      <c r="L47" s="1" t="s">
        <v>150</v>
      </c>
      <c r="M47" s="1" t="s">
        <v>147</v>
      </c>
      <c r="N47" s="1" t="s">
        <v>4</v>
      </c>
      <c r="O47" s="1" t="s">
        <v>145</v>
      </c>
    </row>
    <row r="48" spans="1:15">
      <c r="A48" s="1">
        <v>45</v>
      </c>
      <c r="B48" s="1" t="s">
        <v>202</v>
      </c>
      <c r="C48" s="5">
        <v>46371</v>
      </c>
      <c r="D48" s="1" t="s">
        <v>122</v>
      </c>
      <c r="E48" s="6" t="s">
        <v>16</v>
      </c>
      <c r="F48" s="6" t="s">
        <v>89</v>
      </c>
      <c r="G48" s="1" t="s">
        <v>82</v>
      </c>
      <c r="H48" s="1" t="s">
        <v>62</v>
      </c>
      <c r="I48" s="1" t="s">
        <v>22</v>
      </c>
      <c r="J48" s="1" t="s">
        <v>154</v>
      </c>
      <c r="K48" s="1">
        <v>6</v>
      </c>
      <c r="L48" s="1" t="s">
        <v>143</v>
      </c>
      <c r="M48" s="1" t="s">
        <v>147</v>
      </c>
      <c r="N48" s="1" t="s">
        <v>4</v>
      </c>
      <c r="O48" s="1" t="s">
        <v>148</v>
      </c>
    </row>
    <row r="49" spans="1:15">
      <c r="A49" s="1">
        <v>46</v>
      </c>
      <c r="B49" s="1" t="s">
        <v>203</v>
      </c>
      <c r="C49" s="5">
        <v>46375</v>
      </c>
      <c r="D49" s="1" t="s">
        <v>122</v>
      </c>
      <c r="E49" s="6" t="s">
        <v>12</v>
      </c>
      <c r="F49" s="6" t="s">
        <v>27</v>
      </c>
      <c r="G49" s="1" t="s">
        <v>14</v>
      </c>
      <c r="H49" s="1" t="s">
        <v>22</v>
      </c>
      <c r="I49" s="1" t="s">
        <v>62</v>
      </c>
      <c r="J49" s="1" t="s">
        <v>159</v>
      </c>
      <c r="K49" s="1">
        <v>8</v>
      </c>
      <c r="L49" s="1" t="s">
        <v>143</v>
      </c>
      <c r="M49" s="1" t="s">
        <v>155</v>
      </c>
      <c r="N49" s="1" t="s">
        <v>30</v>
      </c>
      <c r="O49" s="1" t="s">
        <v>165</v>
      </c>
    </row>
    <row r="50" spans="1:15">
      <c r="A50" s="1">
        <v>47</v>
      </c>
      <c r="B50" s="1" t="s">
        <v>204</v>
      </c>
      <c r="C50" s="5">
        <v>46383</v>
      </c>
      <c r="D50" s="1" t="s">
        <v>122</v>
      </c>
      <c r="E50" s="6" t="s">
        <v>45</v>
      </c>
      <c r="F50" s="6" t="s">
        <v>13</v>
      </c>
      <c r="G50" s="1" t="s">
        <v>51</v>
      </c>
      <c r="H50" s="1" t="s">
        <v>62</v>
      </c>
      <c r="I50" s="1" t="s">
        <v>15</v>
      </c>
      <c r="J50" s="1" t="s">
        <v>162</v>
      </c>
      <c r="K50" s="1">
        <v>7</v>
      </c>
      <c r="L50" s="1" t="s">
        <v>157</v>
      </c>
      <c r="M50" s="1" t="s">
        <v>152</v>
      </c>
      <c r="N50" s="1" t="s">
        <v>26</v>
      </c>
      <c r="O50" s="1" t="s">
        <v>165</v>
      </c>
    </row>
    <row r="51" spans="1:15">
      <c r="A51" s="1">
        <v>48</v>
      </c>
      <c r="B51" s="1" t="s">
        <v>205</v>
      </c>
      <c r="C51" s="5">
        <v>46361</v>
      </c>
      <c r="D51" s="1" t="s">
        <v>122</v>
      </c>
      <c r="E51" s="6" t="s">
        <v>49</v>
      </c>
      <c r="F51" s="6" t="s">
        <v>5</v>
      </c>
      <c r="G51" s="1" t="s">
        <v>51</v>
      </c>
      <c r="H51" s="1" t="s">
        <v>62</v>
      </c>
      <c r="I51" s="1" t="s">
        <v>70</v>
      </c>
      <c r="J51" s="1" t="s">
        <v>159</v>
      </c>
      <c r="K51" s="1">
        <v>6</v>
      </c>
      <c r="L51" s="1" t="s">
        <v>143</v>
      </c>
      <c r="M51" s="1" t="s">
        <v>147</v>
      </c>
      <c r="N51" s="1" t="s">
        <v>64</v>
      </c>
      <c r="O51" s="1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</cols>
  <sheetData>
    <row r="1" spans="1:18" ht="22" customHeight="1">
      <c r="A1" s="3" t="s">
        <v>216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281</v>
      </c>
      <c r="C3" s="1" t="s">
        <v>126</v>
      </c>
      <c r="D3" s="1" t="s">
        <v>127</v>
      </c>
      <c r="E3" s="1" t="s">
        <v>282</v>
      </c>
      <c r="F3" s="1" t="s">
        <v>283</v>
      </c>
      <c r="G3" s="1" t="s">
        <v>129</v>
      </c>
      <c r="H3" s="1" t="s">
        <v>284</v>
      </c>
      <c r="I3" s="1" t="s">
        <v>285</v>
      </c>
      <c r="J3" s="1" t="s">
        <v>132</v>
      </c>
      <c r="K3" s="1" t="s">
        <v>133</v>
      </c>
      <c r="L3" s="2" t="s">
        <v>134</v>
      </c>
      <c r="M3" s="1" t="s">
        <v>286</v>
      </c>
      <c r="N3" s="1" t="s">
        <v>287</v>
      </c>
      <c r="O3" s="1" t="s">
        <v>288</v>
      </c>
      <c r="P3" s="1" t="s">
        <v>289</v>
      </c>
    </row>
    <row r="4" spans="1:18">
      <c r="A4" s="1">
        <v>1</v>
      </c>
      <c r="B4" s="1" t="s">
        <v>217</v>
      </c>
      <c r="C4" s="5">
        <v>46036</v>
      </c>
      <c r="D4" s="1" t="s">
        <v>3</v>
      </c>
      <c r="E4" s="6" t="s">
        <v>16</v>
      </c>
      <c r="F4" s="6" t="s">
        <v>218</v>
      </c>
      <c r="G4" s="1" t="s">
        <v>39</v>
      </c>
      <c r="H4" s="1" t="s">
        <v>70</v>
      </c>
      <c r="I4" s="1" t="s">
        <v>219</v>
      </c>
      <c r="J4" s="1">
        <v>55</v>
      </c>
      <c r="K4" s="1">
        <v>44</v>
      </c>
      <c r="L4" s="2">
        <f>IFERROR(K4/J4*100,0)</f>
        <v>0</v>
      </c>
      <c r="M4" s="1">
        <v>82</v>
      </c>
      <c r="N4" s="1" t="s">
        <v>220</v>
      </c>
      <c r="O4" s="1" t="s">
        <v>221</v>
      </c>
      <c r="P4" s="1" t="s">
        <v>23</v>
      </c>
    </row>
    <row r="5" spans="1:18">
      <c r="A5" s="1">
        <v>2</v>
      </c>
      <c r="B5" s="1" t="s">
        <v>222</v>
      </c>
      <c r="C5" s="5">
        <v>46045</v>
      </c>
      <c r="D5" s="1" t="s">
        <v>3</v>
      </c>
      <c r="E5" s="6" t="s">
        <v>26</v>
      </c>
      <c r="F5" s="6" t="s">
        <v>223</v>
      </c>
      <c r="G5" s="1" t="s">
        <v>5</v>
      </c>
      <c r="H5" s="1" t="s">
        <v>62</v>
      </c>
      <c r="I5" s="1" t="s">
        <v>224</v>
      </c>
      <c r="J5" s="1">
        <v>16</v>
      </c>
      <c r="K5" s="1">
        <v>53</v>
      </c>
      <c r="L5" s="2">
        <f>IFERROR(K5/J5*100,0)</f>
        <v>0</v>
      </c>
      <c r="M5" s="1">
        <v>93</v>
      </c>
      <c r="N5" s="1" t="s">
        <v>220</v>
      </c>
      <c r="O5" s="1" t="s">
        <v>225</v>
      </c>
      <c r="P5" s="1" t="s">
        <v>9</v>
      </c>
    </row>
    <row r="6" spans="1:18">
      <c r="A6" s="1">
        <v>3</v>
      </c>
      <c r="B6" s="1" t="s">
        <v>226</v>
      </c>
      <c r="C6" s="5">
        <v>46027</v>
      </c>
      <c r="D6" s="1" t="s">
        <v>3</v>
      </c>
      <c r="E6" s="6" t="s">
        <v>26</v>
      </c>
      <c r="F6" s="6" t="s">
        <v>223</v>
      </c>
      <c r="G6" s="1" t="s">
        <v>46</v>
      </c>
      <c r="H6" s="1" t="s">
        <v>32</v>
      </c>
      <c r="I6" s="1" t="s">
        <v>227</v>
      </c>
      <c r="J6" s="1">
        <v>58</v>
      </c>
      <c r="K6" s="1">
        <v>59</v>
      </c>
      <c r="L6" s="2">
        <f>IFERROR(K6/J6*100,0)</f>
        <v>0</v>
      </c>
      <c r="M6" s="1">
        <v>51</v>
      </c>
      <c r="N6" s="1" t="s">
        <v>220</v>
      </c>
      <c r="O6" s="1" t="s">
        <v>228</v>
      </c>
      <c r="P6" s="1" t="s">
        <v>23</v>
      </c>
    </row>
    <row r="7" spans="1:18">
      <c r="A7" s="1">
        <v>4</v>
      </c>
      <c r="B7" s="1" t="s">
        <v>229</v>
      </c>
      <c r="C7" s="5">
        <v>46046</v>
      </c>
      <c r="D7" s="1" t="s">
        <v>3</v>
      </c>
      <c r="E7" s="6" t="s">
        <v>54</v>
      </c>
      <c r="F7" s="6" t="s">
        <v>230</v>
      </c>
      <c r="G7" s="1" t="s">
        <v>13</v>
      </c>
      <c r="H7" s="1" t="s">
        <v>66</v>
      </c>
      <c r="I7" s="1" t="s">
        <v>224</v>
      </c>
      <c r="J7" s="1">
        <v>51</v>
      </c>
      <c r="K7" s="1">
        <v>18</v>
      </c>
      <c r="L7" s="2">
        <f>IFERROR(K7/J7*100,0)</f>
        <v>0</v>
      </c>
      <c r="M7" s="1">
        <v>119</v>
      </c>
      <c r="N7" s="1" t="s">
        <v>220</v>
      </c>
      <c r="O7" s="1" t="s">
        <v>225</v>
      </c>
      <c r="P7" s="1" t="s">
        <v>23</v>
      </c>
    </row>
    <row r="8" spans="1:18">
      <c r="A8" s="1">
        <v>5</v>
      </c>
      <c r="B8" s="1" t="s">
        <v>231</v>
      </c>
      <c r="C8" s="5">
        <v>46056</v>
      </c>
      <c r="D8" s="1" t="s">
        <v>19</v>
      </c>
      <c r="E8" s="6" t="s">
        <v>91</v>
      </c>
      <c r="F8" s="6" t="s">
        <v>223</v>
      </c>
      <c r="G8" s="1" t="s">
        <v>39</v>
      </c>
      <c r="H8" s="1" t="s">
        <v>62</v>
      </c>
      <c r="I8" s="1" t="s">
        <v>219</v>
      </c>
      <c r="J8" s="1">
        <v>19</v>
      </c>
      <c r="K8" s="1">
        <v>36</v>
      </c>
      <c r="L8" s="2">
        <f>IFERROR(K8/J8*100,0)</f>
        <v>0</v>
      </c>
      <c r="M8" s="1">
        <v>47</v>
      </c>
      <c r="N8" s="1" t="s">
        <v>220</v>
      </c>
      <c r="O8" s="1" t="s">
        <v>225</v>
      </c>
      <c r="P8" s="1" t="s">
        <v>23</v>
      </c>
    </row>
    <row r="9" spans="1:18">
      <c r="A9" s="1">
        <v>6</v>
      </c>
      <c r="B9" s="1" t="s">
        <v>232</v>
      </c>
      <c r="C9" s="5">
        <v>46073</v>
      </c>
      <c r="D9" s="1" t="s">
        <v>19</v>
      </c>
      <c r="E9" s="6" t="s">
        <v>91</v>
      </c>
      <c r="F9" s="6" t="s">
        <v>233</v>
      </c>
      <c r="G9" s="1" t="s">
        <v>13</v>
      </c>
      <c r="H9" s="1" t="s">
        <v>104</v>
      </c>
      <c r="I9" s="1" t="s">
        <v>219</v>
      </c>
      <c r="J9" s="1">
        <v>55</v>
      </c>
      <c r="K9" s="1">
        <v>58</v>
      </c>
      <c r="L9" s="2">
        <f>IFERROR(K9/J9*100,0)</f>
        <v>0</v>
      </c>
      <c r="M9" s="1">
        <v>66</v>
      </c>
      <c r="N9" s="1" t="s">
        <v>220</v>
      </c>
      <c r="O9" s="1" t="s">
        <v>225</v>
      </c>
      <c r="P9" s="1" t="s">
        <v>23</v>
      </c>
    </row>
    <row r="10" spans="1:18">
      <c r="A10" s="1">
        <v>7</v>
      </c>
      <c r="B10" s="1" t="s">
        <v>234</v>
      </c>
      <c r="C10" s="5">
        <v>46078</v>
      </c>
      <c r="D10" s="1" t="s">
        <v>19</v>
      </c>
      <c r="E10" s="6" t="s">
        <v>64</v>
      </c>
      <c r="F10" s="6" t="s">
        <v>233</v>
      </c>
      <c r="G10" s="1" t="s">
        <v>5</v>
      </c>
      <c r="H10" s="1" t="s">
        <v>28</v>
      </c>
      <c r="I10" s="1" t="s">
        <v>224</v>
      </c>
      <c r="J10" s="1">
        <v>16</v>
      </c>
      <c r="K10" s="1">
        <v>51</v>
      </c>
      <c r="L10" s="2">
        <f>IFERROR(K10/J10*100,0)</f>
        <v>0</v>
      </c>
      <c r="M10" s="1">
        <v>28</v>
      </c>
      <c r="N10" s="1" t="s">
        <v>235</v>
      </c>
      <c r="O10" s="1" t="s">
        <v>221</v>
      </c>
      <c r="P10" s="1" t="s">
        <v>23</v>
      </c>
    </row>
    <row r="11" spans="1:18">
      <c r="A11" s="1">
        <v>8</v>
      </c>
      <c r="B11" s="1" t="s">
        <v>236</v>
      </c>
      <c r="C11" s="5">
        <v>46081</v>
      </c>
      <c r="D11" s="1" t="s">
        <v>19</v>
      </c>
      <c r="E11" s="6" t="s">
        <v>4</v>
      </c>
      <c r="F11" s="6" t="s">
        <v>237</v>
      </c>
      <c r="G11" s="1" t="s">
        <v>58</v>
      </c>
      <c r="H11" s="1" t="s">
        <v>104</v>
      </c>
      <c r="I11" s="1" t="s">
        <v>219</v>
      </c>
      <c r="J11" s="1">
        <v>54</v>
      </c>
      <c r="K11" s="1">
        <v>30</v>
      </c>
      <c r="L11" s="2">
        <f>IFERROR(K11/J11*100,0)</f>
        <v>0</v>
      </c>
      <c r="M11" s="1">
        <v>108</v>
      </c>
      <c r="N11" s="1" t="s">
        <v>238</v>
      </c>
      <c r="O11" s="1" t="s">
        <v>225</v>
      </c>
      <c r="P11" s="1" t="s">
        <v>9</v>
      </c>
    </row>
    <row r="12" spans="1:18">
      <c r="A12" s="1">
        <v>9</v>
      </c>
      <c r="B12" s="1" t="s">
        <v>239</v>
      </c>
      <c r="C12" s="5">
        <v>46063</v>
      </c>
      <c r="D12" s="1" t="s">
        <v>19</v>
      </c>
      <c r="E12" s="6" t="s">
        <v>45</v>
      </c>
      <c r="F12" s="6" t="s">
        <v>233</v>
      </c>
      <c r="G12" s="1" t="s">
        <v>50</v>
      </c>
      <c r="H12" s="1" t="s">
        <v>15</v>
      </c>
      <c r="I12" s="1" t="s">
        <v>240</v>
      </c>
      <c r="J12" s="1">
        <v>44</v>
      </c>
      <c r="K12" s="1">
        <v>10</v>
      </c>
      <c r="L12" s="2">
        <f>IFERROR(K12/J12*100,0)</f>
        <v>0</v>
      </c>
      <c r="M12" s="1">
        <v>18</v>
      </c>
      <c r="N12" s="1" t="s">
        <v>238</v>
      </c>
      <c r="O12" s="1" t="s">
        <v>221</v>
      </c>
      <c r="P12" s="1" t="s">
        <v>9</v>
      </c>
    </row>
    <row r="13" spans="1:18">
      <c r="A13" s="1">
        <v>10</v>
      </c>
      <c r="B13" s="1" t="s">
        <v>241</v>
      </c>
      <c r="C13" s="5">
        <v>46062</v>
      </c>
      <c r="D13" s="1" t="s">
        <v>19</v>
      </c>
      <c r="E13" s="6" t="s">
        <v>4</v>
      </c>
      <c r="F13" s="6" t="s">
        <v>224</v>
      </c>
      <c r="G13" s="1" t="s">
        <v>92</v>
      </c>
      <c r="H13" s="1" t="s">
        <v>104</v>
      </c>
      <c r="I13" s="1" t="s">
        <v>240</v>
      </c>
      <c r="J13" s="1">
        <v>27</v>
      </c>
      <c r="K13" s="1">
        <v>23</v>
      </c>
      <c r="L13" s="2">
        <f>IFERROR(K13/J13*100,0)</f>
        <v>0</v>
      </c>
      <c r="M13" s="1">
        <v>73</v>
      </c>
      <c r="N13" s="1" t="s">
        <v>238</v>
      </c>
      <c r="O13" s="1" t="s">
        <v>221</v>
      </c>
      <c r="P13" s="1" t="s">
        <v>9</v>
      </c>
    </row>
    <row r="14" spans="1:18">
      <c r="A14" s="1">
        <v>11</v>
      </c>
      <c r="B14" s="1" t="s">
        <v>242</v>
      </c>
      <c r="C14" s="5">
        <v>46094</v>
      </c>
      <c r="D14" s="1" t="s">
        <v>44</v>
      </c>
      <c r="E14" s="6" t="s">
        <v>54</v>
      </c>
      <c r="F14" s="6" t="s">
        <v>223</v>
      </c>
      <c r="G14" s="1" t="s">
        <v>27</v>
      </c>
      <c r="H14" s="1" t="s">
        <v>70</v>
      </c>
      <c r="I14" s="1" t="s">
        <v>227</v>
      </c>
      <c r="J14" s="1">
        <v>24</v>
      </c>
      <c r="K14" s="1">
        <v>30</v>
      </c>
      <c r="L14" s="2">
        <f>IFERROR(K14/J14*100,0)</f>
        <v>0</v>
      </c>
      <c r="M14" s="1">
        <v>71</v>
      </c>
      <c r="N14" s="1" t="s">
        <v>235</v>
      </c>
      <c r="O14" s="1" t="s">
        <v>228</v>
      </c>
      <c r="P14" s="1" t="s">
        <v>23</v>
      </c>
    </row>
    <row r="15" spans="1:18">
      <c r="A15" s="1">
        <v>12</v>
      </c>
      <c r="B15" s="1" t="s">
        <v>243</v>
      </c>
      <c r="C15" s="5">
        <v>46107</v>
      </c>
      <c r="D15" s="1" t="s">
        <v>44</v>
      </c>
      <c r="E15" s="6" t="s">
        <v>4</v>
      </c>
      <c r="F15" s="6" t="s">
        <v>224</v>
      </c>
      <c r="G15" s="1" t="s">
        <v>92</v>
      </c>
      <c r="H15" s="1" t="s">
        <v>66</v>
      </c>
      <c r="I15" s="1" t="s">
        <v>219</v>
      </c>
      <c r="J15" s="1">
        <v>51</v>
      </c>
      <c r="K15" s="1">
        <v>44</v>
      </c>
      <c r="L15" s="2">
        <f>IFERROR(K15/J15*100,0)</f>
        <v>0</v>
      </c>
      <c r="M15" s="1">
        <v>65</v>
      </c>
      <c r="N15" s="1" t="s">
        <v>220</v>
      </c>
      <c r="O15" s="1" t="s">
        <v>225</v>
      </c>
      <c r="P15" s="1" t="s">
        <v>23</v>
      </c>
    </row>
    <row r="16" spans="1:18">
      <c r="A16" s="1">
        <v>13</v>
      </c>
      <c r="B16" s="1" t="s">
        <v>244</v>
      </c>
      <c r="C16" s="5">
        <v>46084</v>
      </c>
      <c r="D16" s="1" t="s">
        <v>44</v>
      </c>
      <c r="E16" s="6" t="s">
        <v>64</v>
      </c>
      <c r="F16" s="6" t="s">
        <v>224</v>
      </c>
      <c r="G16" s="1" t="s">
        <v>27</v>
      </c>
      <c r="H16" s="1" t="s">
        <v>78</v>
      </c>
      <c r="I16" s="1" t="s">
        <v>227</v>
      </c>
      <c r="J16" s="1">
        <v>38</v>
      </c>
      <c r="K16" s="1">
        <v>41</v>
      </c>
      <c r="L16" s="2">
        <f>IFERROR(K16/J16*100,0)</f>
        <v>0</v>
      </c>
      <c r="M16" s="1">
        <v>22</v>
      </c>
      <c r="N16" s="1" t="s">
        <v>220</v>
      </c>
      <c r="O16" s="1" t="s">
        <v>228</v>
      </c>
      <c r="P16" s="1" t="s">
        <v>9</v>
      </c>
    </row>
    <row r="17" spans="1:16">
      <c r="A17" s="1">
        <v>14</v>
      </c>
      <c r="B17" s="1" t="s">
        <v>245</v>
      </c>
      <c r="C17" s="5">
        <v>46082</v>
      </c>
      <c r="D17" s="1" t="s">
        <v>44</v>
      </c>
      <c r="E17" s="6" t="s">
        <v>61</v>
      </c>
      <c r="F17" s="6" t="s">
        <v>223</v>
      </c>
      <c r="G17" s="1" t="s">
        <v>39</v>
      </c>
      <c r="H17" s="1" t="s">
        <v>68</v>
      </c>
      <c r="I17" s="1" t="s">
        <v>219</v>
      </c>
      <c r="J17" s="1">
        <v>26</v>
      </c>
      <c r="K17" s="1">
        <v>59</v>
      </c>
      <c r="L17" s="2">
        <f>IFERROR(K17/J17*100,0)</f>
        <v>0</v>
      </c>
      <c r="M17" s="1">
        <v>117</v>
      </c>
      <c r="N17" s="1" t="s">
        <v>220</v>
      </c>
      <c r="O17" s="1" t="s">
        <v>221</v>
      </c>
      <c r="P17" s="1" t="s">
        <v>9</v>
      </c>
    </row>
    <row r="18" spans="1:16">
      <c r="A18" s="1">
        <v>15</v>
      </c>
      <c r="B18" s="1" t="s">
        <v>246</v>
      </c>
      <c r="C18" s="5">
        <v>46088</v>
      </c>
      <c r="D18" s="1" t="s">
        <v>44</v>
      </c>
      <c r="E18" s="6" t="s">
        <v>57</v>
      </c>
      <c r="F18" s="6" t="s">
        <v>218</v>
      </c>
      <c r="G18" s="1" t="s">
        <v>13</v>
      </c>
      <c r="H18" s="1" t="s">
        <v>70</v>
      </c>
      <c r="I18" s="1" t="s">
        <v>224</v>
      </c>
      <c r="J18" s="1">
        <v>26</v>
      </c>
      <c r="K18" s="1">
        <v>47</v>
      </c>
      <c r="L18" s="2">
        <f>IFERROR(K18/J18*100,0)</f>
        <v>0</v>
      </c>
      <c r="M18" s="1">
        <v>97</v>
      </c>
      <c r="N18" s="1" t="s">
        <v>220</v>
      </c>
      <c r="O18" s="1" t="s">
        <v>221</v>
      </c>
      <c r="P18" s="1" t="s">
        <v>9</v>
      </c>
    </row>
    <row r="19" spans="1:16">
      <c r="A19" s="1">
        <v>16</v>
      </c>
      <c r="B19" s="1" t="s">
        <v>247</v>
      </c>
      <c r="C19" s="5">
        <v>46093</v>
      </c>
      <c r="D19" s="1" t="s">
        <v>44</v>
      </c>
      <c r="E19" s="6" t="s">
        <v>45</v>
      </c>
      <c r="F19" s="6" t="s">
        <v>218</v>
      </c>
      <c r="G19" s="1" t="s">
        <v>46</v>
      </c>
      <c r="H19" s="1" t="s">
        <v>93</v>
      </c>
      <c r="I19" s="1" t="s">
        <v>240</v>
      </c>
      <c r="J19" s="1">
        <v>49</v>
      </c>
      <c r="K19" s="1">
        <v>28</v>
      </c>
      <c r="L19" s="2">
        <f>IFERROR(K19/J19*100,0)</f>
        <v>0</v>
      </c>
      <c r="M19" s="1">
        <v>117</v>
      </c>
      <c r="N19" s="1" t="s">
        <v>238</v>
      </c>
      <c r="O19" s="1" t="s">
        <v>225</v>
      </c>
      <c r="P19" s="1" t="s">
        <v>9</v>
      </c>
    </row>
    <row r="20" spans="1:16">
      <c r="A20" s="1">
        <v>17</v>
      </c>
      <c r="B20" s="1" t="s">
        <v>248</v>
      </c>
      <c r="C20" s="5">
        <v>46091</v>
      </c>
      <c r="D20" s="1" t="s">
        <v>44</v>
      </c>
      <c r="E20" s="6" t="s">
        <v>57</v>
      </c>
      <c r="F20" s="6" t="s">
        <v>224</v>
      </c>
      <c r="G20" s="1" t="s">
        <v>50</v>
      </c>
      <c r="H20" s="1" t="s">
        <v>22</v>
      </c>
      <c r="I20" s="1" t="s">
        <v>224</v>
      </c>
      <c r="J20" s="1">
        <v>45</v>
      </c>
      <c r="K20" s="1">
        <v>37</v>
      </c>
      <c r="L20" s="2">
        <f>IFERROR(K20/J20*100,0)</f>
        <v>0</v>
      </c>
      <c r="M20" s="1">
        <v>40</v>
      </c>
      <c r="N20" s="1" t="s">
        <v>220</v>
      </c>
      <c r="O20" s="1" t="s">
        <v>228</v>
      </c>
      <c r="P20" s="1" t="s">
        <v>23</v>
      </c>
    </row>
    <row r="21" spans="1:16">
      <c r="A21" s="1">
        <v>18</v>
      </c>
      <c r="B21" s="1" t="s">
        <v>249</v>
      </c>
      <c r="C21" s="5">
        <v>46125</v>
      </c>
      <c r="D21" s="1" t="s">
        <v>53</v>
      </c>
      <c r="E21" s="6" t="s">
        <v>54</v>
      </c>
      <c r="F21" s="6" t="s">
        <v>223</v>
      </c>
      <c r="G21" s="1" t="s">
        <v>92</v>
      </c>
      <c r="H21" s="1" t="s">
        <v>41</v>
      </c>
      <c r="I21" s="1" t="s">
        <v>227</v>
      </c>
      <c r="J21" s="1">
        <v>36</v>
      </c>
      <c r="K21" s="1">
        <v>25</v>
      </c>
      <c r="L21" s="2">
        <f>IFERROR(K21/J21*100,0)</f>
        <v>0</v>
      </c>
      <c r="M21" s="1">
        <v>56</v>
      </c>
      <c r="N21" s="1" t="s">
        <v>220</v>
      </c>
      <c r="O21" s="1" t="s">
        <v>221</v>
      </c>
      <c r="P21" s="1" t="s">
        <v>9</v>
      </c>
    </row>
    <row r="22" spans="1:16">
      <c r="A22" s="1">
        <v>19</v>
      </c>
      <c r="B22" s="1" t="s">
        <v>250</v>
      </c>
      <c r="C22" s="5">
        <v>46114</v>
      </c>
      <c r="D22" s="1" t="s">
        <v>53</v>
      </c>
      <c r="E22" s="6" t="s">
        <v>57</v>
      </c>
      <c r="F22" s="6" t="s">
        <v>233</v>
      </c>
      <c r="G22" s="1" t="s">
        <v>50</v>
      </c>
      <c r="H22" s="1" t="s">
        <v>36</v>
      </c>
      <c r="I22" s="1" t="s">
        <v>240</v>
      </c>
      <c r="J22" s="1">
        <v>48</v>
      </c>
      <c r="K22" s="1">
        <v>35</v>
      </c>
      <c r="L22" s="2">
        <f>IFERROR(K22/J22*100,0)</f>
        <v>0</v>
      </c>
      <c r="M22" s="1">
        <v>106</v>
      </c>
      <c r="N22" s="1" t="s">
        <v>220</v>
      </c>
      <c r="O22" s="1" t="s">
        <v>228</v>
      </c>
      <c r="P22" s="1" t="s">
        <v>23</v>
      </c>
    </row>
    <row r="23" spans="1:16">
      <c r="A23" s="1">
        <v>20</v>
      </c>
      <c r="B23" s="1" t="s">
        <v>251</v>
      </c>
      <c r="C23" s="5">
        <v>46122</v>
      </c>
      <c r="D23" s="1" t="s">
        <v>53</v>
      </c>
      <c r="E23" s="6" t="s">
        <v>57</v>
      </c>
      <c r="F23" s="6" t="s">
        <v>218</v>
      </c>
      <c r="G23" s="1" t="s">
        <v>92</v>
      </c>
      <c r="H23" s="1" t="s">
        <v>22</v>
      </c>
      <c r="I23" s="1" t="s">
        <v>224</v>
      </c>
      <c r="J23" s="1">
        <v>14</v>
      </c>
      <c r="K23" s="1">
        <v>40</v>
      </c>
      <c r="L23" s="2">
        <f>IFERROR(K23/J23*100,0)</f>
        <v>0</v>
      </c>
      <c r="M23" s="1">
        <v>55</v>
      </c>
      <c r="N23" s="1" t="s">
        <v>220</v>
      </c>
      <c r="O23" s="1" t="s">
        <v>221</v>
      </c>
      <c r="P23" s="1" t="s">
        <v>9</v>
      </c>
    </row>
    <row r="24" spans="1:16">
      <c r="A24" s="1">
        <v>21</v>
      </c>
      <c r="B24" s="1" t="s">
        <v>252</v>
      </c>
      <c r="C24" s="5">
        <v>46130</v>
      </c>
      <c r="D24" s="1" t="s">
        <v>53</v>
      </c>
      <c r="E24" s="6" t="s">
        <v>20</v>
      </c>
      <c r="F24" s="6" t="s">
        <v>218</v>
      </c>
      <c r="G24" s="1" t="s">
        <v>65</v>
      </c>
      <c r="H24" s="1" t="s">
        <v>62</v>
      </c>
      <c r="I24" s="1" t="s">
        <v>219</v>
      </c>
      <c r="J24" s="1">
        <v>35</v>
      </c>
      <c r="K24" s="1">
        <v>44</v>
      </c>
      <c r="L24" s="2">
        <f>IFERROR(K24/J24*100,0)</f>
        <v>0</v>
      </c>
      <c r="M24" s="1">
        <v>112</v>
      </c>
      <c r="N24" s="1" t="s">
        <v>220</v>
      </c>
      <c r="O24" s="1" t="s">
        <v>225</v>
      </c>
      <c r="P24" s="1" t="s">
        <v>9</v>
      </c>
    </row>
    <row r="25" spans="1:16">
      <c r="A25" s="1">
        <v>22</v>
      </c>
      <c r="B25" s="1" t="s">
        <v>253</v>
      </c>
      <c r="C25" s="5">
        <v>46148</v>
      </c>
      <c r="D25" s="1" t="s">
        <v>60</v>
      </c>
      <c r="E25" s="6" t="s">
        <v>64</v>
      </c>
      <c r="F25" s="6" t="s">
        <v>223</v>
      </c>
      <c r="G25" s="1" t="s">
        <v>50</v>
      </c>
      <c r="H25" s="1" t="s">
        <v>66</v>
      </c>
      <c r="I25" s="1" t="s">
        <v>224</v>
      </c>
      <c r="J25" s="1">
        <v>34</v>
      </c>
      <c r="K25" s="1">
        <v>50</v>
      </c>
      <c r="L25" s="2">
        <f>IFERROR(K25/J25*100,0)</f>
        <v>0</v>
      </c>
      <c r="M25" s="1">
        <v>78</v>
      </c>
      <c r="N25" s="1" t="s">
        <v>254</v>
      </c>
      <c r="O25" s="1" t="s">
        <v>225</v>
      </c>
      <c r="P25" s="1" t="s">
        <v>23</v>
      </c>
    </row>
    <row r="26" spans="1:16">
      <c r="A26" s="1">
        <v>23</v>
      </c>
      <c r="B26" s="1" t="s">
        <v>255</v>
      </c>
      <c r="C26" s="5">
        <v>46156</v>
      </c>
      <c r="D26" s="1" t="s">
        <v>60</v>
      </c>
      <c r="E26" s="6" t="s">
        <v>4</v>
      </c>
      <c r="F26" s="6" t="s">
        <v>218</v>
      </c>
      <c r="G26" s="1" t="s">
        <v>65</v>
      </c>
      <c r="H26" s="1" t="s">
        <v>68</v>
      </c>
      <c r="I26" s="1" t="s">
        <v>224</v>
      </c>
      <c r="J26" s="1">
        <v>20</v>
      </c>
      <c r="K26" s="1">
        <v>32</v>
      </c>
      <c r="L26" s="2">
        <f>IFERROR(K26/J26*100,0)</f>
        <v>0</v>
      </c>
      <c r="M26" s="1">
        <v>119</v>
      </c>
      <c r="N26" s="1" t="s">
        <v>220</v>
      </c>
      <c r="O26" s="1" t="s">
        <v>228</v>
      </c>
      <c r="P26" s="1" t="s">
        <v>23</v>
      </c>
    </row>
    <row r="27" spans="1:16">
      <c r="A27" s="1">
        <v>24</v>
      </c>
      <c r="B27" s="1" t="s">
        <v>256</v>
      </c>
      <c r="C27" s="5">
        <v>46147</v>
      </c>
      <c r="D27" s="1" t="s">
        <v>60</v>
      </c>
      <c r="E27" s="6" t="s">
        <v>26</v>
      </c>
      <c r="F27" s="6" t="s">
        <v>224</v>
      </c>
      <c r="G27" s="1" t="s">
        <v>92</v>
      </c>
      <c r="H27" s="1" t="s">
        <v>104</v>
      </c>
      <c r="I27" s="1" t="s">
        <v>227</v>
      </c>
      <c r="J27" s="1">
        <v>54</v>
      </c>
      <c r="K27" s="1">
        <v>14</v>
      </c>
      <c r="L27" s="2">
        <f>IFERROR(K27/J27*100,0)</f>
        <v>0</v>
      </c>
      <c r="M27" s="1">
        <v>28</v>
      </c>
      <c r="N27" s="1" t="s">
        <v>235</v>
      </c>
      <c r="O27" s="1" t="s">
        <v>221</v>
      </c>
      <c r="P27" s="1" t="s">
        <v>23</v>
      </c>
    </row>
    <row r="28" spans="1:16">
      <c r="A28" s="1">
        <v>25</v>
      </c>
      <c r="B28" s="1" t="s">
        <v>257</v>
      </c>
      <c r="C28" s="5">
        <v>46160</v>
      </c>
      <c r="D28" s="1" t="s">
        <v>60</v>
      </c>
      <c r="E28" s="6" t="s">
        <v>45</v>
      </c>
      <c r="F28" s="6" t="s">
        <v>223</v>
      </c>
      <c r="G28" s="1" t="s">
        <v>13</v>
      </c>
      <c r="H28" s="1" t="s">
        <v>70</v>
      </c>
      <c r="I28" s="1" t="s">
        <v>240</v>
      </c>
      <c r="J28" s="1">
        <v>39</v>
      </c>
      <c r="K28" s="1">
        <v>45</v>
      </c>
      <c r="L28" s="2">
        <f>IFERROR(K28/J28*100,0)</f>
        <v>0</v>
      </c>
      <c r="M28" s="1">
        <v>59</v>
      </c>
      <c r="N28" s="1" t="s">
        <v>235</v>
      </c>
      <c r="O28" s="1" t="s">
        <v>221</v>
      </c>
      <c r="P28" s="1" t="s">
        <v>9</v>
      </c>
    </row>
    <row r="29" spans="1:16">
      <c r="A29" s="1">
        <v>26</v>
      </c>
      <c r="B29" s="1" t="s">
        <v>258</v>
      </c>
      <c r="C29" s="5">
        <v>46193</v>
      </c>
      <c r="D29" s="1" t="s">
        <v>73</v>
      </c>
      <c r="E29" s="6" t="s">
        <v>45</v>
      </c>
      <c r="F29" s="6" t="s">
        <v>237</v>
      </c>
      <c r="G29" s="1" t="s">
        <v>39</v>
      </c>
      <c r="H29" s="1" t="s">
        <v>41</v>
      </c>
      <c r="I29" s="1" t="s">
        <v>240</v>
      </c>
      <c r="J29" s="1">
        <v>19</v>
      </c>
      <c r="K29" s="1">
        <v>38</v>
      </c>
      <c r="L29" s="2">
        <f>IFERROR(K29/J29*100,0)</f>
        <v>0</v>
      </c>
      <c r="M29" s="1">
        <v>74</v>
      </c>
      <c r="N29" s="1" t="s">
        <v>238</v>
      </c>
      <c r="O29" s="1" t="s">
        <v>221</v>
      </c>
      <c r="P29" s="1" t="s">
        <v>23</v>
      </c>
    </row>
    <row r="30" spans="1:16">
      <c r="A30" s="1">
        <v>27</v>
      </c>
      <c r="B30" s="1" t="s">
        <v>259</v>
      </c>
      <c r="C30" s="5">
        <v>46198</v>
      </c>
      <c r="D30" s="1" t="s">
        <v>73</v>
      </c>
      <c r="E30" s="6" t="s">
        <v>16</v>
      </c>
      <c r="F30" s="6" t="s">
        <v>218</v>
      </c>
      <c r="G30" s="1" t="s">
        <v>92</v>
      </c>
      <c r="H30" s="1" t="s">
        <v>70</v>
      </c>
      <c r="I30" s="1" t="s">
        <v>219</v>
      </c>
      <c r="J30" s="1">
        <v>30</v>
      </c>
      <c r="K30" s="1">
        <v>37</v>
      </c>
      <c r="L30" s="2">
        <f>IFERROR(K30/J30*100,0)</f>
        <v>0</v>
      </c>
      <c r="M30" s="1">
        <v>93</v>
      </c>
      <c r="N30" s="1" t="s">
        <v>235</v>
      </c>
      <c r="O30" s="1" t="s">
        <v>228</v>
      </c>
      <c r="P30" s="1" t="s">
        <v>9</v>
      </c>
    </row>
    <row r="31" spans="1:16">
      <c r="A31" s="1">
        <v>28</v>
      </c>
      <c r="B31" s="1" t="s">
        <v>260</v>
      </c>
      <c r="C31" s="5">
        <v>46187</v>
      </c>
      <c r="D31" s="1" t="s">
        <v>73</v>
      </c>
      <c r="E31" s="6" t="s">
        <v>16</v>
      </c>
      <c r="F31" s="6" t="s">
        <v>230</v>
      </c>
      <c r="G31" s="1" t="s">
        <v>65</v>
      </c>
      <c r="H31" s="1" t="s">
        <v>22</v>
      </c>
      <c r="I31" s="1" t="s">
        <v>219</v>
      </c>
      <c r="J31" s="1">
        <v>10</v>
      </c>
      <c r="K31" s="1">
        <v>23</v>
      </c>
      <c r="L31" s="2">
        <f>IFERROR(K31/J31*100,0)</f>
        <v>0</v>
      </c>
      <c r="M31" s="1">
        <v>42</v>
      </c>
      <c r="N31" s="1" t="s">
        <v>220</v>
      </c>
      <c r="O31" s="1" t="s">
        <v>221</v>
      </c>
      <c r="P31" s="1" t="s">
        <v>9</v>
      </c>
    </row>
    <row r="32" spans="1:16">
      <c r="A32" s="1">
        <v>29</v>
      </c>
      <c r="B32" s="1" t="s">
        <v>261</v>
      </c>
      <c r="C32" s="5">
        <v>46200</v>
      </c>
      <c r="D32" s="1" t="s">
        <v>73</v>
      </c>
      <c r="E32" s="6" t="s">
        <v>38</v>
      </c>
      <c r="F32" s="6" t="s">
        <v>224</v>
      </c>
      <c r="G32" s="1" t="s">
        <v>58</v>
      </c>
      <c r="H32" s="1" t="s">
        <v>15</v>
      </c>
      <c r="I32" s="1" t="s">
        <v>224</v>
      </c>
      <c r="J32" s="1">
        <v>54</v>
      </c>
      <c r="K32" s="1">
        <v>37</v>
      </c>
      <c r="L32" s="2">
        <f>IFERROR(K32/J32*100,0)</f>
        <v>0</v>
      </c>
      <c r="M32" s="1">
        <v>22</v>
      </c>
      <c r="N32" s="1" t="s">
        <v>254</v>
      </c>
      <c r="O32" s="1" t="s">
        <v>228</v>
      </c>
      <c r="P32" s="1" t="s">
        <v>23</v>
      </c>
    </row>
    <row r="33" spans="1:16">
      <c r="A33" s="1">
        <v>30</v>
      </c>
      <c r="B33" s="1" t="s">
        <v>262</v>
      </c>
      <c r="C33" s="5">
        <v>46223</v>
      </c>
      <c r="D33" s="1" t="s">
        <v>76</v>
      </c>
      <c r="E33" s="6" t="s">
        <v>26</v>
      </c>
      <c r="F33" s="6" t="s">
        <v>233</v>
      </c>
      <c r="G33" s="1" t="s">
        <v>5</v>
      </c>
      <c r="H33" s="1" t="s">
        <v>62</v>
      </c>
      <c r="I33" s="1" t="s">
        <v>224</v>
      </c>
      <c r="J33" s="1">
        <v>32</v>
      </c>
      <c r="K33" s="1">
        <v>57</v>
      </c>
      <c r="L33" s="2">
        <f>IFERROR(K33/J33*100,0)</f>
        <v>0</v>
      </c>
      <c r="M33" s="1">
        <v>18</v>
      </c>
      <c r="N33" s="1" t="s">
        <v>220</v>
      </c>
      <c r="O33" s="1" t="s">
        <v>221</v>
      </c>
      <c r="P33" s="1" t="s">
        <v>9</v>
      </c>
    </row>
    <row r="34" spans="1:16">
      <c r="A34" s="1">
        <v>31</v>
      </c>
      <c r="B34" s="1" t="s">
        <v>263</v>
      </c>
      <c r="C34" s="5">
        <v>46206</v>
      </c>
      <c r="D34" s="1" t="s">
        <v>76</v>
      </c>
      <c r="E34" s="6" t="s">
        <v>12</v>
      </c>
      <c r="F34" s="6" t="s">
        <v>223</v>
      </c>
      <c r="G34" s="1" t="s">
        <v>27</v>
      </c>
      <c r="H34" s="1" t="s">
        <v>15</v>
      </c>
      <c r="I34" s="1" t="s">
        <v>227</v>
      </c>
      <c r="J34" s="1">
        <v>27</v>
      </c>
      <c r="K34" s="1">
        <v>45</v>
      </c>
      <c r="L34" s="2">
        <f>IFERROR(K34/J34*100,0)</f>
        <v>0</v>
      </c>
      <c r="M34" s="1">
        <v>43</v>
      </c>
      <c r="N34" s="1" t="s">
        <v>220</v>
      </c>
      <c r="O34" s="1" t="s">
        <v>228</v>
      </c>
      <c r="P34" s="1" t="s">
        <v>9</v>
      </c>
    </row>
    <row r="35" spans="1:16">
      <c r="A35" s="1">
        <v>32</v>
      </c>
      <c r="B35" s="1" t="s">
        <v>264</v>
      </c>
      <c r="C35" s="5">
        <v>46218</v>
      </c>
      <c r="D35" s="1" t="s">
        <v>76</v>
      </c>
      <c r="E35" s="6" t="s">
        <v>64</v>
      </c>
      <c r="F35" s="6" t="s">
        <v>223</v>
      </c>
      <c r="G35" s="1" t="s">
        <v>27</v>
      </c>
      <c r="H35" s="1" t="s">
        <v>7</v>
      </c>
      <c r="I35" s="1" t="s">
        <v>224</v>
      </c>
      <c r="J35" s="1">
        <v>19</v>
      </c>
      <c r="K35" s="1">
        <v>52</v>
      </c>
      <c r="L35" s="2">
        <f>IFERROR(K35/J35*100,0)</f>
        <v>0</v>
      </c>
      <c r="M35" s="1">
        <v>75</v>
      </c>
      <c r="N35" s="1" t="s">
        <v>220</v>
      </c>
      <c r="O35" s="1" t="s">
        <v>225</v>
      </c>
      <c r="P35" s="1" t="s">
        <v>23</v>
      </c>
    </row>
    <row r="36" spans="1:16">
      <c r="A36" s="1">
        <v>33</v>
      </c>
      <c r="B36" s="1" t="s">
        <v>265</v>
      </c>
      <c r="C36" s="5">
        <v>46259</v>
      </c>
      <c r="D36" s="1" t="s">
        <v>86</v>
      </c>
      <c r="E36" s="6" t="s">
        <v>38</v>
      </c>
      <c r="F36" s="6" t="s">
        <v>230</v>
      </c>
      <c r="G36" s="1" t="s">
        <v>46</v>
      </c>
      <c r="H36" s="1" t="s">
        <v>36</v>
      </c>
      <c r="I36" s="1" t="s">
        <v>224</v>
      </c>
      <c r="J36" s="1">
        <v>57</v>
      </c>
      <c r="K36" s="1">
        <v>49</v>
      </c>
      <c r="L36" s="2">
        <f>IFERROR(K36/J36*100,0)</f>
        <v>0</v>
      </c>
      <c r="M36" s="1">
        <v>67</v>
      </c>
      <c r="N36" s="1" t="s">
        <v>220</v>
      </c>
      <c r="O36" s="1" t="s">
        <v>228</v>
      </c>
      <c r="P36" s="1" t="s">
        <v>9</v>
      </c>
    </row>
    <row r="37" spans="1:16">
      <c r="A37" s="1">
        <v>34</v>
      </c>
      <c r="B37" s="1" t="s">
        <v>266</v>
      </c>
      <c r="C37" s="5">
        <v>46254</v>
      </c>
      <c r="D37" s="1" t="s">
        <v>86</v>
      </c>
      <c r="E37" s="6" t="s">
        <v>54</v>
      </c>
      <c r="F37" s="6" t="s">
        <v>233</v>
      </c>
      <c r="G37" s="1" t="s">
        <v>50</v>
      </c>
      <c r="H37" s="1" t="s">
        <v>78</v>
      </c>
      <c r="I37" s="1" t="s">
        <v>240</v>
      </c>
      <c r="J37" s="1">
        <v>33</v>
      </c>
      <c r="K37" s="1">
        <v>11</v>
      </c>
      <c r="L37" s="2">
        <f>IFERROR(K37/J37*100,0)</f>
        <v>0</v>
      </c>
      <c r="M37" s="1">
        <v>84</v>
      </c>
      <c r="N37" s="1" t="s">
        <v>220</v>
      </c>
      <c r="O37" s="1" t="s">
        <v>221</v>
      </c>
      <c r="P37" s="1" t="s">
        <v>9</v>
      </c>
    </row>
    <row r="38" spans="1:16">
      <c r="A38" s="1">
        <v>35</v>
      </c>
      <c r="B38" s="1" t="s">
        <v>267</v>
      </c>
      <c r="C38" s="5">
        <v>46235</v>
      </c>
      <c r="D38" s="1" t="s">
        <v>86</v>
      </c>
      <c r="E38" s="6" t="s">
        <v>16</v>
      </c>
      <c r="F38" s="6" t="s">
        <v>224</v>
      </c>
      <c r="G38" s="1" t="s">
        <v>5</v>
      </c>
      <c r="H38" s="1" t="s">
        <v>7</v>
      </c>
      <c r="I38" s="1" t="s">
        <v>227</v>
      </c>
      <c r="J38" s="1">
        <v>55</v>
      </c>
      <c r="K38" s="1">
        <v>28</v>
      </c>
      <c r="L38" s="2">
        <f>IFERROR(K38/J38*100,0)</f>
        <v>0</v>
      </c>
      <c r="M38" s="1">
        <v>84</v>
      </c>
      <c r="N38" s="1" t="s">
        <v>238</v>
      </c>
      <c r="O38" s="1" t="s">
        <v>221</v>
      </c>
      <c r="P38" s="1" t="s">
        <v>9</v>
      </c>
    </row>
    <row r="39" spans="1:16">
      <c r="A39" s="1">
        <v>36</v>
      </c>
      <c r="B39" s="1" t="s">
        <v>268</v>
      </c>
      <c r="C39" s="5">
        <v>46249</v>
      </c>
      <c r="D39" s="1" t="s">
        <v>86</v>
      </c>
      <c r="E39" s="6" t="s">
        <v>30</v>
      </c>
      <c r="F39" s="6" t="s">
        <v>237</v>
      </c>
      <c r="G39" s="1" t="s">
        <v>39</v>
      </c>
      <c r="H39" s="1" t="s">
        <v>36</v>
      </c>
      <c r="I39" s="1" t="s">
        <v>227</v>
      </c>
      <c r="J39" s="1">
        <v>60</v>
      </c>
      <c r="K39" s="1">
        <v>18</v>
      </c>
      <c r="L39" s="2">
        <f>IFERROR(K39/J39*100,0)</f>
        <v>0</v>
      </c>
      <c r="M39" s="1">
        <v>70</v>
      </c>
      <c r="N39" s="1" t="s">
        <v>220</v>
      </c>
      <c r="O39" s="1" t="s">
        <v>225</v>
      </c>
      <c r="P39" s="1" t="s">
        <v>23</v>
      </c>
    </row>
    <row r="40" spans="1:16">
      <c r="A40" s="1">
        <v>37</v>
      </c>
      <c r="B40" s="1" t="s">
        <v>269</v>
      </c>
      <c r="C40" s="5">
        <v>46283</v>
      </c>
      <c r="D40" s="1" t="s">
        <v>102</v>
      </c>
      <c r="E40" s="6" t="s">
        <v>38</v>
      </c>
      <c r="F40" s="6" t="s">
        <v>230</v>
      </c>
      <c r="G40" s="1" t="s">
        <v>50</v>
      </c>
      <c r="H40" s="1" t="s">
        <v>41</v>
      </c>
      <c r="I40" s="1" t="s">
        <v>224</v>
      </c>
      <c r="J40" s="1">
        <v>25</v>
      </c>
      <c r="K40" s="1">
        <v>21</v>
      </c>
      <c r="L40" s="2">
        <f>IFERROR(K40/J40*100,0)</f>
        <v>0</v>
      </c>
      <c r="M40" s="1">
        <v>80</v>
      </c>
      <c r="N40" s="1" t="s">
        <v>220</v>
      </c>
      <c r="O40" s="1" t="s">
        <v>225</v>
      </c>
      <c r="P40" s="1" t="s">
        <v>9</v>
      </c>
    </row>
    <row r="41" spans="1:16">
      <c r="A41" s="1">
        <v>38</v>
      </c>
      <c r="B41" s="1" t="s">
        <v>270</v>
      </c>
      <c r="C41" s="5">
        <v>46285</v>
      </c>
      <c r="D41" s="1" t="s">
        <v>102</v>
      </c>
      <c r="E41" s="6" t="s">
        <v>4</v>
      </c>
      <c r="F41" s="6" t="s">
        <v>230</v>
      </c>
      <c r="G41" s="1" t="s">
        <v>39</v>
      </c>
      <c r="H41" s="1" t="s">
        <v>66</v>
      </c>
      <c r="I41" s="1" t="s">
        <v>219</v>
      </c>
      <c r="J41" s="1">
        <v>11</v>
      </c>
      <c r="K41" s="1">
        <v>16</v>
      </c>
      <c r="L41" s="2">
        <f>IFERROR(K41/J41*100,0)</f>
        <v>0</v>
      </c>
      <c r="M41" s="1">
        <v>39</v>
      </c>
      <c r="N41" s="1" t="s">
        <v>220</v>
      </c>
      <c r="O41" s="1" t="s">
        <v>221</v>
      </c>
      <c r="P41" s="1" t="s">
        <v>23</v>
      </c>
    </row>
    <row r="42" spans="1:16">
      <c r="A42" s="1">
        <v>39</v>
      </c>
      <c r="B42" s="1" t="s">
        <v>271</v>
      </c>
      <c r="C42" s="5">
        <v>46277</v>
      </c>
      <c r="D42" s="1" t="s">
        <v>102</v>
      </c>
      <c r="E42" s="6" t="s">
        <v>38</v>
      </c>
      <c r="F42" s="6" t="s">
        <v>230</v>
      </c>
      <c r="G42" s="1" t="s">
        <v>89</v>
      </c>
      <c r="H42" s="1" t="s">
        <v>28</v>
      </c>
      <c r="I42" s="1" t="s">
        <v>227</v>
      </c>
      <c r="J42" s="1">
        <v>29</v>
      </c>
      <c r="K42" s="1">
        <v>19</v>
      </c>
      <c r="L42" s="2">
        <f>IFERROR(K42/J42*100,0)</f>
        <v>0</v>
      </c>
      <c r="M42" s="1">
        <v>49</v>
      </c>
      <c r="N42" s="1" t="s">
        <v>220</v>
      </c>
      <c r="O42" s="1" t="s">
        <v>225</v>
      </c>
      <c r="P42" s="1" t="s">
        <v>9</v>
      </c>
    </row>
    <row r="43" spans="1:16">
      <c r="A43" s="1">
        <v>40</v>
      </c>
      <c r="B43" s="1" t="s">
        <v>272</v>
      </c>
      <c r="C43" s="5">
        <v>46317</v>
      </c>
      <c r="D43" s="1" t="s">
        <v>106</v>
      </c>
      <c r="E43" s="6" t="s">
        <v>64</v>
      </c>
      <c r="F43" s="6" t="s">
        <v>223</v>
      </c>
      <c r="G43" s="1" t="s">
        <v>58</v>
      </c>
      <c r="H43" s="1" t="s">
        <v>66</v>
      </c>
      <c r="I43" s="1" t="s">
        <v>219</v>
      </c>
      <c r="J43" s="1">
        <v>57</v>
      </c>
      <c r="K43" s="1">
        <v>44</v>
      </c>
      <c r="L43" s="2">
        <f>IFERROR(K43/J43*100,0)</f>
        <v>0</v>
      </c>
      <c r="M43" s="1">
        <v>16</v>
      </c>
      <c r="N43" s="1" t="s">
        <v>238</v>
      </c>
      <c r="O43" s="1" t="s">
        <v>228</v>
      </c>
      <c r="P43" s="1" t="s">
        <v>9</v>
      </c>
    </row>
    <row r="44" spans="1:16">
      <c r="A44" s="1">
        <v>41</v>
      </c>
      <c r="B44" s="1" t="s">
        <v>273</v>
      </c>
      <c r="C44" s="5">
        <v>46345</v>
      </c>
      <c r="D44" s="1" t="s">
        <v>111</v>
      </c>
      <c r="E44" s="6" t="s">
        <v>20</v>
      </c>
      <c r="F44" s="6" t="s">
        <v>230</v>
      </c>
      <c r="G44" s="1" t="s">
        <v>5</v>
      </c>
      <c r="H44" s="1" t="s">
        <v>70</v>
      </c>
      <c r="I44" s="1" t="s">
        <v>227</v>
      </c>
      <c r="J44" s="1">
        <v>51</v>
      </c>
      <c r="K44" s="1">
        <v>26</v>
      </c>
      <c r="L44" s="2">
        <f>IFERROR(K44/J44*100,0)</f>
        <v>0</v>
      </c>
      <c r="M44" s="1">
        <v>45</v>
      </c>
      <c r="N44" s="1" t="s">
        <v>220</v>
      </c>
      <c r="O44" s="1" t="s">
        <v>221</v>
      </c>
      <c r="P44" s="1" t="s">
        <v>23</v>
      </c>
    </row>
    <row r="45" spans="1:16">
      <c r="A45" s="1">
        <v>42</v>
      </c>
      <c r="B45" s="1" t="s">
        <v>274</v>
      </c>
      <c r="C45" s="5">
        <v>46353</v>
      </c>
      <c r="D45" s="1" t="s">
        <v>111</v>
      </c>
      <c r="E45" s="6" t="s">
        <v>20</v>
      </c>
      <c r="F45" s="6" t="s">
        <v>230</v>
      </c>
      <c r="G45" s="1" t="s">
        <v>58</v>
      </c>
      <c r="H45" s="1" t="s">
        <v>22</v>
      </c>
      <c r="I45" s="1" t="s">
        <v>219</v>
      </c>
      <c r="J45" s="1">
        <v>58</v>
      </c>
      <c r="K45" s="1">
        <v>34</v>
      </c>
      <c r="L45" s="2">
        <f>IFERROR(K45/J45*100,0)</f>
        <v>0</v>
      </c>
      <c r="M45" s="1">
        <v>82</v>
      </c>
      <c r="N45" s="1" t="s">
        <v>220</v>
      </c>
      <c r="O45" s="1" t="s">
        <v>228</v>
      </c>
      <c r="P45" s="1" t="s">
        <v>23</v>
      </c>
    </row>
    <row r="46" spans="1:16">
      <c r="A46" s="1">
        <v>43</v>
      </c>
      <c r="B46" s="1" t="s">
        <v>275</v>
      </c>
      <c r="C46" s="5">
        <v>46337</v>
      </c>
      <c r="D46" s="1" t="s">
        <v>111</v>
      </c>
      <c r="E46" s="6" t="s">
        <v>64</v>
      </c>
      <c r="F46" s="6" t="s">
        <v>224</v>
      </c>
      <c r="G46" s="1" t="s">
        <v>50</v>
      </c>
      <c r="H46" s="1" t="s">
        <v>93</v>
      </c>
      <c r="I46" s="1" t="s">
        <v>224</v>
      </c>
      <c r="J46" s="1">
        <v>48</v>
      </c>
      <c r="K46" s="1">
        <v>34</v>
      </c>
      <c r="L46" s="2">
        <f>IFERROR(K46/J46*100,0)</f>
        <v>0</v>
      </c>
      <c r="M46" s="1">
        <v>101</v>
      </c>
      <c r="N46" s="1" t="s">
        <v>220</v>
      </c>
      <c r="O46" s="1" t="s">
        <v>228</v>
      </c>
      <c r="P46" s="1" t="s">
        <v>23</v>
      </c>
    </row>
    <row r="47" spans="1:16">
      <c r="A47" s="1">
        <v>44</v>
      </c>
      <c r="B47" s="1" t="s">
        <v>276</v>
      </c>
      <c r="C47" s="5">
        <v>46341</v>
      </c>
      <c r="D47" s="1" t="s">
        <v>111</v>
      </c>
      <c r="E47" s="6" t="s">
        <v>12</v>
      </c>
      <c r="F47" s="6" t="s">
        <v>223</v>
      </c>
      <c r="G47" s="1" t="s">
        <v>58</v>
      </c>
      <c r="H47" s="1" t="s">
        <v>78</v>
      </c>
      <c r="I47" s="1" t="s">
        <v>219</v>
      </c>
      <c r="J47" s="1">
        <v>10</v>
      </c>
      <c r="K47" s="1">
        <v>58</v>
      </c>
      <c r="L47" s="2">
        <f>IFERROR(K47/J47*100,0)</f>
        <v>0</v>
      </c>
      <c r="M47" s="1">
        <v>60</v>
      </c>
      <c r="N47" s="1" t="s">
        <v>220</v>
      </c>
      <c r="O47" s="1" t="s">
        <v>228</v>
      </c>
      <c r="P47" s="1" t="s">
        <v>23</v>
      </c>
    </row>
    <row r="48" spans="1:16">
      <c r="A48" s="1">
        <v>45</v>
      </c>
      <c r="B48" s="1" t="s">
        <v>277</v>
      </c>
      <c r="C48" s="5">
        <v>46353</v>
      </c>
      <c r="D48" s="1" t="s">
        <v>111</v>
      </c>
      <c r="E48" s="6" t="s">
        <v>45</v>
      </c>
      <c r="F48" s="6" t="s">
        <v>230</v>
      </c>
      <c r="G48" s="1" t="s">
        <v>5</v>
      </c>
      <c r="H48" s="1" t="s">
        <v>28</v>
      </c>
      <c r="I48" s="1" t="s">
        <v>224</v>
      </c>
      <c r="J48" s="1">
        <v>53</v>
      </c>
      <c r="K48" s="1">
        <v>31</v>
      </c>
      <c r="L48" s="2">
        <f>IFERROR(K48/J48*100,0)</f>
        <v>0</v>
      </c>
      <c r="M48" s="1">
        <v>84</v>
      </c>
      <c r="N48" s="1" t="s">
        <v>254</v>
      </c>
      <c r="O48" s="1" t="s">
        <v>221</v>
      </c>
      <c r="P48" s="1" t="s">
        <v>9</v>
      </c>
    </row>
    <row r="49" spans="1:16">
      <c r="A49" s="1">
        <v>46</v>
      </c>
      <c r="B49" s="1" t="s">
        <v>278</v>
      </c>
      <c r="C49" s="5">
        <v>46371</v>
      </c>
      <c r="D49" s="1" t="s">
        <v>122</v>
      </c>
      <c r="E49" s="6" t="s">
        <v>45</v>
      </c>
      <c r="F49" s="6" t="s">
        <v>233</v>
      </c>
      <c r="G49" s="1" t="s">
        <v>58</v>
      </c>
      <c r="H49" s="1" t="s">
        <v>15</v>
      </c>
      <c r="I49" s="1" t="s">
        <v>224</v>
      </c>
      <c r="J49" s="1">
        <v>58</v>
      </c>
      <c r="K49" s="1">
        <v>20</v>
      </c>
      <c r="L49" s="2">
        <f>IFERROR(K49/J49*100,0)</f>
        <v>0</v>
      </c>
      <c r="M49" s="1">
        <v>92</v>
      </c>
      <c r="N49" s="1" t="s">
        <v>238</v>
      </c>
      <c r="O49" s="1" t="s">
        <v>225</v>
      </c>
      <c r="P49" s="1" t="s">
        <v>23</v>
      </c>
    </row>
    <row r="50" spans="1:16">
      <c r="A50" s="1">
        <v>47</v>
      </c>
      <c r="B50" s="1" t="s">
        <v>279</v>
      </c>
      <c r="C50" s="5">
        <v>46358</v>
      </c>
      <c r="D50" s="1" t="s">
        <v>122</v>
      </c>
      <c r="E50" s="6" t="s">
        <v>20</v>
      </c>
      <c r="F50" s="6" t="s">
        <v>230</v>
      </c>
      <c r="G50" s="1" t="s">
        <v>58</v>
      </c>
      <c r="H50" s="1" t="s">
        <v>62</v>
      </c>
      <c r="I50" s="1" t="s">
        <v>219</v>
      </c>
      <c r="J50" s="1">
        <v>36</v>
      </c>
      <c r="K50" s="1">
        <v>24</v>
      </c>
      <c r="L50" s="2">
        <f>IFERROR(K50/J50*100,0)</f>
        <v>0</v>
      </c>
      <c r="M50" s="1">
        <v>103</v>
      </c>
      <c r="N50" s="1" t="s">
        <v>254</v>
      </c>
      <c r="O50" s="1" t="s">
        <v>225</v>
      </c>
      <c r="P50" s="1" t="s">
        <v>23</v>
      </c>
    </row>
    <row r="51" spans="1:16">
      <c r="A51" s="1">
        <v>48</v>
      </c>
      <c r="B51" s="1" t="s">
        <v>280</v>
      </c>
      <c r="C51" s="5">
        <v>46383</v>
      </c>
      <c r="D51" s="1" t="s">
        <v>122</v>
      </c>
      <c r="E51" s="6" t="s">
        <v>20</v>
      </c>
      <c r="F51" s="6" t="s">
        <v>233</v>
      </c>
      <c r="G51" s="1" t="s">
        <v>58</v>
      </c>
      <c r="H51" s="1" t="s">
        <v>62</v>
      </c>
      <c r="I51" s="1" t="s">
        <v>224</v>
      </c>
      <c r="J51" s="1">
        <v>26</v>
      </c>
      <c r="K51" s="1">
        <v>12</v>
      </c>
      <c r="L51" s="2">
        <f>IFERROR(K51/J51*100,0)</f>
        <v>0</v>
      </c>
      <c r="M51" s="1">
        <v>86</v>
      </c>
      <c r="N51" s="1" t="s">
        <v>254</v>
      </c>
      <c r="O51" s="1" t="s">
        <v>225</v>
      </c>
      <c r="P51" s="1" t="s">
        <v>23</v>
      </c>
    </row>
    <row r="52" spans="1:16">
      <c r="L52" s="2">
        <f>IFERROR(K52/J52*100,0)</f>
        <v>0</v>
      </c>
    </row>
    <row r="53" spans="1:16">
      <c r="L53" s="2">
        <f>IFERROR(K53/J53*100,0)</f>
        <v>0</v>
      </c>
    </row>
    <row r="54" spans="1:16">
      <c r="L54" s="2">
        <f>IFERROR(K54/J54*100,0)</f>
        <v>0</v>
      </c>
    </row>
    <row r="55" spans="1:16">
      <c r="L55" s="2">
        <f>IFERROR(K55/J55*100,0)</f>
        <v>0</v>
      </c>
    </row>
    <row r="56" spans="1:16">
      <c r="L56" s="2">
        <f>IFERROR(K56/J56*100,0)</f>
        <v>0</v>
      </c>
    </row>
    <row r="57" spans="1:16">
      <c r="L57" s="2">
        <f>IFERROR(K57/J57*100,0)</f>
        <v>0</v>
      </c>
    </row>
    <row r="58" spans="1:16">
      <c r="L58" s="2">
        <f>IFERROR(K58/J58*100,0)</f>
        <v>0</v>
      </c>
    </row>
    <row r="59" spans="1:16">
      <c r="L59" s="2">
        <f>IFERROR(K59/J59*100,0)</f>
        <v>0</v>
      </c>
    </row>
    <row r="60" spans="1:16">
      <c r="L60" s="2">
        <f>IFERROR(K60/J60*100,0)</f>
        <v>0</v>
      </c>
    </row>
    <row r="61" spans="1:16">
      <c r="L61" s="2">
        <f>IFERROR(K61/J61*100,0)</f>
        <v>0</v>
      </c>
    </row>
    <row r="62" spans="1:16">
      <c r="L62" s="2">
        <f>IFERROR(K62/J62*100,0)</f>
        <v>0</v>
      </c>
    </row>
    <row r="63" spans="1:16">
      <c r="L63" s="2">
        <f>IFERROR(K63/J63*100,0)</f>
        <v>0</v>
      </c>
    </row>
    <row r="64" spans="1:16">
      <c r="L64" s="2">
        <f>IFERROR(K64/J64*100,0)</f>
        <v>0</v>
      </c>
    </row>
    <row r="65" spans="12:12">
      <c r="L65" s="2">
        <f>IFERROR(K65/J65*100,0)</f>
        <v>0</v>
      </c>
    </row>
    <row r="66" spans="12:12">
      <c r="L66" s="2">
        <f>IFERROR(K66/J66*100,0)</f>
        <v>0</v>
      </c>
    </row>
    <row r="67" spans="12:12">
      <c r="L67" s="2">
        <f>IFERROR(K67/J67*100,0)</f>
        <v>0</v>
      </c>
    </row>
    <row r="68" spans="12:12">
      <c r="L68" s="2">
        <f>IFERROR(K68/J68*100,0)</f>
        <v>0</v>
      </c>
    </row>
    <row r="69" spans="12:12">
      <c r="L69" s="2">
        <f>IFERROR(K69/J69*100,0)</f>
        <v>0</v>
      </c>
    </row>
    <row r="70" spans="12:12">
      <c r="L70" s="2">
        <f>IFERROR(K70/J70*100,0)</f>
        <v>0</v>
      </c>
    </row>
    <row r="71" spans="12:12">
      <c r="L71" s="2">
        <f>IFERROR(K71/J71*100,0)</f>
        <v>0</v>
      </c>
    </row>
    <row r="72" spans="12:12">
      <c r="L72" s="2">
        <f>IFERROR(K72/J72*100,0)</f>
        <v>0</v>
      </c>
    </row>
    <row r="73" spans="12:12">
      <c r="L73" s="2">
        <f>IFERROR(K73/J73*100,0)</f>
        <v>0</v>
      </c>
    </row>
    <row r="74" spans="12:12">
      <c r="L74" s="2">
        <f>IFERROR(K74/J74*100,0)</f>
        <v>0</v>
      </c>
    </row>
    <row r="75" spans="12:12">
      <c r="L75" s="2">
        <f>IFERROR(K75/J75*100,0)</f>
        <v>0</v>
      </c>
    </row>
    <row r="76" spans="12:12">
      <c r="L76" s="2">
        <f>IFERROR(K76/J76*100,0)</f>
        <v>0</v>
      </c>
    </row>
    <row r="77" spans="12:12">
      <c r="L77" s="2">
        <f>IFERROR(K77/J77*100,0)</f>
        <v>0</v>
      </c>
    </row>
    <row r="78" spans="12:12">
      <c r="L78" s="2">
        <f>IFERROR(K78/J78*100,0)</f>
        <v>0</v>
      </c>
    </row>
    <row r="79" spans="12:12">
      <c r="L79" s="2">
        <f>IFERROR(K79/J79*100,0)</f>
        <v>0</v>
      </c>
    </row>
    <row r="80" spans="12:12">
      <c r="L80" s="2">
        <f>IFERROR(K80/J80*100,0)</f>
        <v>0</v>
      </c>
    </row>
    <row r="81" spans="12:12">
      <c r="L81" s="2">
        <f>IFERROR(K81/J81*100,0)</f>
        <v>0</v>
      </c>
    </row>
    <row r="82" spans="12:12">
      <c r="L82" s="2">
        <f>IFERROR(K82/J82*100,0)</f>
        <v>0</v>
      </c>
    </row>
    <row r="83" spans="12:12">
      <c r="L83" s="2">
        <f>IFERROR(K83/J83*100,0)</f>
        <v>0</v>
      </c>
    </row>
    <row r="84" spans="12:12">
      <c r="L84" s="2">
        <f>IFERROR(K84/J84*100,0)</f>
        <v>0</v>
      </c>
    </row>
    <row r="85" spans="12:12">
      <c r="L85" s="2">
        <f>IFERROR(K85/J85*100,0)</f>
        <v>0</v>
      </c>
    </row>
    <row r="86" spans="12:12">
      <c r="L86" s="2">
        <f>IFERROR(K86/J86*100,0)</f>
        <v>0</v>
      </c>
    </row>
    <row r="87" spans="12:12">
      <c r="L87" s="2">
        <f>IFERROR(K87/J87*100,0)</f>
        <v>0</v>
      </c>
    </row>
    <row r="88" spans="12:12">
      <c r="L88" s="2">
        <f>IFERROR(K88/J88*100,0)</f>
        <v>0</v>
      </c>
    </row>
    <row r="89" spans="12:12">
      <c r="L89" s="2">
        <f>IFERROR(K89/J89*100,0)</f>
        <v>0</v>
      </c>
    </row>
    <row r="90" spans="12:12">
      <c r="L90" s="2">
        <f>IFERROR(K90/J90*100,0)</f>
        <v>0</v>
      </c>
    </row>
    <row r="91" spans="12:12">
      <c r="L91" s="2">
        <f>IFERROR(K91/J91*100,0)</f>
        <v>0</v>
      </c>
    </row>
    <row r="92" spans="12:12">
      <c r="L92" s="2">
        <f>IFERROR(K92/J92*100,0)</f>
        <v>0</v>
      </c>
    </row>
    <row r="93" spans="12:12">
      <c r="L93" s="2">
        <f>IFERROR(K93/J93*100,0)</f>
        <v>0</v>
      </c>
    </row>
    <row r="94" spans="12:12">
      <c r="L94" s="2">
        <f>IFERROR(K94/J94*100,0)</f>
        <v>0</v>
      </c>
    </row>
    <row r="95" spans="12:12">
      <c r="L95" s="2">
        <f>IFERROR(K95/J95*100,0)</f>
        <v>0</v>
      </c>
    </row>
    <row r="96" spans="12:12">
      <c r="L96" s="2">
        <f>IFERROR(K96/J96*100,0)</f>
        <v>0</v>
      </c>
    </row>
    <row r="97" spans="12:12">
      <c r="L97" s="2">
        <f>IFERROR(K97/J97*100,0)</f>
        <v>0</v>
      </c>
    </row>
    <row r="98" spans="12:12">
      <c r="L98" s="2">
        <f>IFERROR(K98/J98*100,0)</f>
        <v>0</v>
      </c>
    </row>
    <row r="99" spans="12:12">
      <c r="L99" s="2">
        <f>IFERROR(K99/J99*100,0)</f>
        <v>0</v>
      </c>
    </row>
    <row r="100" spans="12:12">
      <c r="L100" s="2">
        <f>IFERROR(K100/J100*100,0)</f>
        <v>0</v>
      </c>
    </row>
    <row r="101" spans="12:12">
      <c r="L101" s="2">
        <f>IFERROR(K101/J101*100,0)</f>
        <v>0</v>
      </c>
    </row>
    <row r="102" spans="12:12">
      <c r="L102" s="2">
        <f>IFERROR(K102/J102*100,0)</f>
        <v>0</v>
      </c>
    </row>
    <row r="103" spans="12:12">
      <c r="L103" s="2">
        <f>IFERROR(K103/J103*100,0)</f>
        <v>0</v>
      </c>
    </row>
    <row r="104" spans="12:12">
      <c r="L104" s="2">
        <f>IFERROR(K104/J104*100,0)</f>
        <v>0</v>
      </c>
    </row>
    <row r="105" spans="12:12">
      <c r="L105" s="2">
        <f>IFERROR(K105/J105*100,0)</f>
        <v>0</v>
      </c>
    </row>
    <row r="106" spans="12:12">
      <c r="L106" s="2">
        <f>IFERROR(K106/J106*100,0)</f>
        <v>0</v>
      </c>
    </row>
    <row r="107" spans="12:12">
      <c r="L107" s="2">
        <f>IFERROR(K107/J107*100,0)</f>
        <v>0</v>
      </c>
    </row>
    <row r="108" spans="12:12">
      <c r="L108" s="2">
        <f>IFERROR(K108/J108*100,0)</f>
        <v>0</v>
      </c>
    </row>
    <row r="109" spans="12:12">
      <c r="L109" s="2">
        <f>IFERROR(K109/J109*100,0)</f>
        <v>0</v>
      </c>
    </row>
    <row r="110" spans="12:12">
      <c r="L110" s="2">
        <f>IFERROR(K110/J110*100,0)</f>
        <v>0</v>
      </c>
    </row>
    <row r="111" spans="12:12">
      <c r="L111" s="2">
        <f>IFERROR(K111/J111*100,0)</f>
        <v>0</v>
      </c>
    </row>
    <row r="112" spans="12:12">
      <c r="L112" s="2">
        <f>IFERROR(K112/J112*100,0)</f>
        <v>0</v>
      </c>
    </row>
    <row r="113" spans="12:12">
      <c r="L113" s="2">
        <f>IFERROR(K113/J113*100,0)</f>
        <v>0</v>
      </c>
    </row>
    <row r="114" spans="12:12">
      <c r="L114" s="2">
        <f>IFERROR(K114/J114*100,0)</f>
        <v>0</v>
      </c>
    </row>
    <row r="115" spans="12:12">
      <c r="L115" s="2">
        <f>IFERROR(K115/J115*100,0)</f>
        <v>0</v>
      </c>
    </row>
    <row r="116" spans="12:12">
      <c r="L116" s="2">
        <f>IFERROR(K116/J116*100,0)</f>
        <v>0</v>
      </c>
    </row>
    <row r="117" spans="12:12">
      <c r="L117" s="2">
        <f>IFERROR(K117/J117*100,0)</f>
        <v>0</v>
      </c>
    </row>
    <row r="118" spans="12:12">
      <c r="L118" s="2">
        <f>IFERROR(K118/J118*100,0)</f>
        <v>0</v>
      </c>
    </row>
    <row r="119" spans="12:12">
      <c r="L119" s="2">
        <f>IFERROR(K119/J119*100,0)</f>
        <v>0</v>
      </c>
    </row>
    <row r="120" spans="12:12">
      <c r="L120" s="2">
        <f>IFERROR(K120/J120*100,0)</f>
        <v>0</v>
      </c>
    </row>
    <row r="121" spans="12:12">
      <c r="L121" s="2">
        <f>IFERROR(K121/J121*100,0)</f>
        <v>0</v>
      </c>
    </row>
    <row r="122" spans="12:12">
      <c r="L122" s="2">
        <f>IFERROR(K122/J122*100,0)</f>
        <v>0</v>
      </c>
    </row>
    <row r="123" spans="12:12">
      <c r="L123" s="2">
        <f>IFERROR(K123/J123*100,0)</f>
        <v>0</v>
      </c>
    </row>
    <row r="124" spans="12:12">
      <c r="L124" s="2">
        <f>IFERROR(K124/J124*100,0)</f>
        <v>0</v>
      </c>
    </row>
    <row r="125" spans="12:12">
      <c r="L125" s="2">
        <f>IFERROR(K125/J125*100,0)</f>
        <v>0</v>
      </c>
    </row>
    <row r="126" spans="12:12">
      <c r="L126" s="2">
        <f>IFERROR(K126/J126*100,0)</f>
        <v>0</v>
      </c>
    </row>
    <row r="127" spans="12:12">
      <c r="L127" s="2">
        <f>IFERROR(K127/J127*100,0)</f>
        <v>0</v>
      </c>
    </row>
    <row r="128" spans="12:12">
      <c r="L128" s="2">
        <f>IFERROR(K128/J128*100,0)</f>
        <v>0</v>
      </c>
    </row>
    <row r="129" spans="12:12">
      <c r="L129" s="2">
        <f>IFERROR(K129/J129*100,0)</f>
        <v>0</v>
      </c>
    </row>
    <row r="130" spans="12:12">
      <c r="L130" s="2">
        <f>IFERROR(K130/J130*100,0)</f>
        <v>0</v>
      </c>
    </row>
    <row r="131" spans="12:12">
      <c r="L131" s="2">
        <f>IFERROR(K131/J131*100,0)</f>
        <v>0</v>
      </c>
    </row>
    <row r="132" spans="12:12">
      <c r="L132" s="2">
        <f>IFERROR(K132/J132*100,0)</f>
        <v>0</v>
      </c>
    </row>
    <row r="133" spans="12:12">
      <c r="L133" s="2">
        <f>IFERROR(K133/J133*100,0)</f>
        <v>0</v>
      </c>
    </row>
    <row r="134" spans="12:12">
      <c r="L134" s="2">
        <f>IFERROR(K134/J134*100,0)</f>
        <v>0</v>
      </c>
    </row>
    <row r="135" spans="12:12">
      <c r="L135" s="2">
        <f>IFERROR(K135/J135*100,0)</f>
        <v>0</v>
      </c>
    </row>
    <row r="136" spans="12:12">
      <c r="L136" s="2">
        <f>IFERROR(K136/J136*100,0)</f>
        <v>0</v>
      </c>
    </row>
    <row r="137" spans="12:12">
      <c r="L137" s="2">
        <f>IFERROR(K137/J137*100,0)</f>
        <v>0</v>
      </c>
    </row>
    <row r="138" spans="12:12">
      <c r="L138" s="2">
        <f>IFERROR(K138/J138*100,0)</f>
        <v>0</v>
      </c>
    </row>
    <row r="139" spans="12:12">
      <c r="L139" s="2">
        <f>IFERROR(K139/J139*100,0)</f>
        <v>0</v>
      </c>
    </row>
    <row r="140" spans="12:12">
      <c r="L140" s="2">
        <f>IFERROR(K140/J140*100,0)</f>
        <v>0</v>
      </c>
    </row>
    <row r="141" spans="12:12">
      <c r="L141" s="2">
        <f>IFERROR(K141/J141*100,0)</f>
        <v>0</v>
      </c>
    </row>
    <row r="142" spans="12:12">
      <c r="L142" s="2">
        <f>IFERROR(K142/J142*100,0)</f>
        <v>0</v>
      </c>
    </row>
    <row r="143" spans="12:12">
      <c r="L143" s="2">
        <f>IFERROR(K143/J143*100,0)</f>
        <v>0</v>
      </c>
    </row>
    <row r="144" spans="12:12">
      <c r="L144" s="2">
        <f>IFERROR(K144/J144*100,0)</f>
        <v>0</v>
      </c>
    </row>
    <row r="145" spans="12:12">
      <c r="L145" s="2">
        <f>IFERROR(K145/J145*100,0)</f>
        <v>0</v>
      </c>
    </row>
    <row r="146" spans="12:12">
      <c r="L146" s="2">
        <f>IFERROR(K146/J146*100,0)</f>
        <v>0</v>
      </c>
    </row>
    <row r="147" spans="12:12">
      <c r="L147" s="2">
        <f>IFERROR(K147/J147*100,0)</f>
        <v>0</v>
      </c>
    </row>
    <row r="148" spans="12:12">
      <c r="L148" s="2">
        <f>IFERROR(K148/J148*100,0)</f>
        <v>0</v>
      </c>
    </row>
    <row r="149" spans="12:12">
      <c r="L149" s="2">
        <f>IFERROR(K149/J149*100,0)</f>
        <v>0</v>
      </c>
    </row>
    <row r="150" spans="12:12">
      <c r="L150" s="2">
        <f>IFERROR(K150/J150*100,0)</f>
        <v>0</v>
      </c>
    </row>
    <row r="151" spans="12:12">
      <c r="L151" s="2">
        <f>IFERROR(K151/J151*100,0)</f>
        <v>0</v>
      </c>
    </row>
    <row r="152" spans="12:12">
      <c r="L152" s="2">
        <f>IFERROR(K152/J152*100,0)</f>
        <v>0</v>
      </c>
    </row>
    <row r="153" spans="12:12">
      <c r="L153" s="2">
        <f>IFERROR(K153/J153*100,0)</f>
        <v>0</v>
      </c>
    </row>
    <row r="154" spans="12:12">
      <c r="L154" s="2">
        <f>IFERROR(K154/J154*100,0)</f>
        <v>0</v>
      </c>
    </row>
    <row r="155" spans="12:12">
      <c r="L155" s="2">
        <f>IFERROR(K155/J155*100,0)</f>
        <v>0</v>
      </c>
    </row>
    <row r="156" spans="12:12">
      <c r="L156" s="2">
        <f>IFERROR(K156/J156*100,0)</f>
        <v>0</v>
      </c>
    </row>
    <row r="157" spans="12:12">
      <c r="L157" s="2">
        <f>IFERROR(K157/J157*100,0)</f>
        <v>0</v>
      </c>
    </row>
    <row r="158" spans="12:12">
      <c r="L158" s="2">
        <f>IFERROR(K158/J158*100,0)</f>
        <v>0</v>
      </c>
    </row>
    <row r="159" spans="12:12">
      <c r="L159" s="2">
        <f>IFERROR(K159/J159*100,0)</f>
        <v>0</v>
      </c>
    </row>
    <row r="160" spans="12:12">
      <c r="L160" s="2">
        <f>IFERROR(K160/J160*100,0)</f>
        <v>0</v>
      </c>
    </row>
    <row r="161" spans="12:12">
      <c r="L161" s="2">
        <f>IFERROR(K161/J161*100,0)</f>
        <v>0</v>
      </c>
    </row>
    <row r="162" spans="12:12">
      <c r="L162" s="2">
        <f>IFERROR(K162/J162*100,0)</f>
        <v>0</v>
      </c>
    </row>
    <row r="163" spans="12:12">
      <c r="L163" s="2">
        <f>IFERROR(K163/J163*100,0)</f>
        <v>0</v>
      </c>
    </row>
    <row r="164" spans="12:12">
      <c r="L164" s="2">
        <f>IFERROR(K164/J164*100,0)</f>
        <v>0</v>
      </c>
    </row>
    <row r="165" spans="12:12">
      <c r="L165" s="2">
        <f>IFERROR(K165/J165*100,0)</f>
        <v>0</v>
      </c>
    </row>
    <row r="166" spans="12:12">
      <c r="L166" s="2">
        <f>IFERROR(K166/J166*100,0)</f>
        <v>0</v>
      </c>
    </row>
    <row r="167" spans="12:12">
      <c r="L167" s="2">
        <f>IFERROR(K167/J167*100,0)</f>
        <v>0</v>
      </c>
    </row>
    <row r="168" spans="12:12">
      <c r="L168" s="2">
        <f>IFERROR(K168/J168*100,0)</f>
        <v>0</v>
      </c>
    </row>
    <row r="169" spans="12:12">
      <c r="L169" s="2">
        <f>IFERROR(K169/J169*100,0)</f>
        <v>0</v>
      </c>
    </row>
    <row r="170" spans="12:12">
      <c r="L170" s="2">
        <f>IFERROR(K170/J170*100,0)</f>
        <v>0</v>
      </c>
    </row>
    <row r="171" spans="12:12">
      <c r="L171" s="2">
        <f>IFERROR(K171/J171*100,0)</f>
        <v>0</v>
      </c>
    </row>
    <row r="172" spans="12:12">
      <c r="L172" s="2">
        <f>IFERROR(K172/J172*100,0)</f>
        <v>0</v>
      </c>
    </row>
    <row r="173" spans="12:12">
      <c r="L173" s="2">
        <f>IFERROR(K173/J173*100,0)</f>
        <v>0</v>
      </c>
    </row>
    <row r="174" spans="12:12">
      <c r="L174" s="2">
        <f>IFERROR(K174/J174*100,0)</f>
        <v>0</v>
      </c>
    </row>
    <row r="175" spans="12:12">
      <c r="L175" s="2">
        <f>IFERROR(K175/J175*100,0)</f>
        <v>0</v>
      </c>
    </row>
    <row r="176" spans="12:12">
      <c r="L176" s="2">
        <f>IFERROR(K176/J176*100,0)</f>
        <v>0</v>
      </c>
    </row>
    <row r="177" spans="12:12">
      <c r="L177" s="2">
        <f>IFERROR(K177/J177*100,0)</f>
        <v>0</v>
      </c>
    </row>
    <row r="178" spans="12:12">
      <c r="L178" s="2">
        <f>IFERROR(K178/J178*100,0)</f>
        <v>0</v>
      </c>
    </row>
    <row r="179" spans="12:12">
      <c r="L179" s="2">
        <f>IFERROR(K179/J179*100,0)</f>
        <v>0</v>
      </c>
    </row>
    <row r="180" spans="12:12">
      <c r="L180" s="2">
        <f>IFERROR(K180/J180*100,0)</f>
        <v>0</v>
      </c>
    </row>
    <row r="181" spans="12:12">
      <c r="L181" s="2">
        <f>IFERROR(K181/J181*100,0)</f>
        <v>0</v>
      </c>
    </row>
    <row r="182" spans="12:12">
      <c r="L182" s="2">
        <f>IFERROR(K182/J182*100,0)</f>
        <v>0</v>
      </c>
    </row>
    <row r="183" spans="12:12">
      <c r="L183" s="2">
        <f>IFERROR(K183/J183*100,0)</f>
        <v>0</v>
      </c>
    </row>
    <row r="184" spans="12:12">
      <c r="L184" s="2">
        <f>IFERROR(K184/J184*100,0)</f>
        <v>0</v>
      </c>
    </row>
    <row r="185" spans="12:12">
      <c r="L185" s="2">
        <f>IFERROR(K185/J185*100,0)</f>
        <v>0</v>
      </c>
    </row>
    <row r="186" spans="12:12">
      <c r="L186" s="2">
        <f>IFERROR(K186/J186*100,0)</f>
        <v>0</v>
      </c>
    </row>
    <row r="187" spans="12:12">
      <c r="L187" s="2">
        <f>IFERROR(K187/J187*100,0)</f>
        <v>0</v>
      </c>
    </row>
    <row r="188" spans="12:12">
      <c r="L188" s="2">
        <f>IFERROR(K188/J188*100,0)</f>
        <v>0</v>
      </c>
    </row>
    <row r="189" spans="12:12">
      <c r="L189" s="2">
        <f>IFERROR(K189/J189*100,0)</f>
        <v>0</v>
      </c>
    </row>
    <row r="190" spans="12:12">
      <c r="L190" s="2">
        <f>IFERROR(K190/J190*100,0)</f>
        <v>0</v>
      </c>
    </row>
    <row r="191" spans="12:12">
      <c r="L191" s="2">
        <f>IFERROR(K191/J191*100,0)</f>
        <v>0</v>
      </c>
    </row>
    <row r="192" spans="12:12">
      <c r="L192" s="2">
        <f>IFERROR(K192/J192*100,0)</f>
        <v>0</v>
      </c>
    </row>
    <row r="193" spans="12:12">
      <c r="L193" s="2">
        <f>IFERROR(K193/J193*100,0)</f>
        <v>0</v>
      </c>
    </row>
    <row r="194" spans="12:12">
      <c r="L194" s="2">
        <f>IFERROR(K194/J194*100,0)</f>
        <v>0</v>
      </c>
    </row>
    <row r="195" spans="12:12">
      <c r="L195" s="2">
        <f>IFERROR(K195/J195*100,0)</f>
        <v>0</v>
      </c>
    </row>
    <row r="196" spans="12:12">
      <c r="L196" s="2">
        <f>IFERROR(K196/J196*100,0)</f>
        <v>0</v>
      </c>
    </row>
    <row r="197" spans="12:12">
      <c r="L197" s="2">
        <f>IFERROR(K197/J197*100,0)</f>
        <v>0</v>
      </c>
    </row>
    <row r="198" spans="12:12">
      <c r="L198" s="2">
        <f>IFERROR(K198/J198*100,0)</f>
        <v>0</v>
      </c>
    </row>
    <row r="199" spans="12:12">
      <c r="L199" s="2">
        <f>IFERROR(K199/J199*100,0)</f>
        <v>0</v>
      </c>
    </row>
    <row r="200" spans="12:12">
      <c r="L200" s="2">
        <f>IFERROR(K200/J200*100,0)</f>
        <v>0</v>
      </c>
    </row>
    <row r="201" spans="12:12">
      <c r="L201" s="2">
        <f>IFERROR(K201/J201*100,0)</f>
        <v>0</v>
      </c>
    </row>
    <row r="202" spans="12:12">
      <c r="L202" s="2">
        <f>IFERROR(K202/J202*100,0)</f>
        <v>0</v>
      </c>
    </row>
    <row r="203" spans="12:12">
      <c r="L203" s="2">
        <f>IFERROR(K203/J203*100,0)</f>
        <v>0</v>
      </c>
    </row>
    <row r="204" spans="12:12">
      <c r="L204" s="2">
        <f>IFERROR(K204/J204*100,0)</f>
        <v>0</v>
      </c>
    </row>
    <row r="205" spans="12:12">
      <c r="L205" s="2">
        <f>IFERROR(K205/J205*100,0)</f>
        <v>0</v>
      </c>
    </row>
    <row r="206" spans="12:12">
      <c r="L206" s="2">
        <f>IFERROR(K206/J206*100,0)</f>
        <v>0</v>
      </c>
    </row>
    <row r="207" spans="12:12">
      <c r="L207" s="2">
        <f>IFERROR(K207/J207*100,0)</f>
        <v>0</v>
      </c>
    </row>
    <row r="208" spans="12:12">
      <c r="L208" s="2">
        <f>IFERROR(K208/J208*100,0)</f>
        <v>0</v>
      </c>
    </row>
    <row r="209" spans="12:12">
      <c r="L209" s="2">
        <f>IFERROR(K209/J209*100,0)</f>
        <v>0</v>
      </c>
    </row>
    <row r="210" spans="12:12">
      <c r="L210" s="2">
        <f>IFERROR(K210/J210*100,0)</f>
        <v>0</v>
      </c>
    </row>
    <row r="211" spans="12:12">
      <c r="L211" s="2">
        <f>IFERROR(K211/J211*100,0)</f>
        <v>0</v>
      </c>
    </row>
    <row r="212" spans="12:12">
      <c r="L212" s="2">
        <f>IFERROR(K212/J212*100,0)</f>
        <v>0</v>
      </c>
    </row>
    <row r="213" spans="12:12">
      <c r="L213" s="2">
        <f>IFERROR(K213/J213*100,0)</f>
        <v>0</v>
      </c>
    </row>
    <row r="214" spans="12:12">
      <c r="L214" s="2">
        <f>IFERROR(K214/J214*100,0)</f>
        <v>0</v>
      </c>
    </row>
    <row r="215" spans="12:12">
      <c r="L215" s="2">
        <f>IFERROR(K215/J215*100,0)</f>
        <v>0</v>
      </c>
    </row>
    <row r="216" spans="12:12">
      <c r="L216" s="2">
        <f>IFERROR(K216/J216*100,0)</f>
        <v>0</v>
      </c>
    </row>
    <row r="217" spans="12:12">
      <c r="L217" s="2">
        <f>IFERROR(K217/J217*100,0)</f>
        <v>0</v>
      </c>
    </row>
    <row r="218" spans="12:12">
      <c r="L218" s="2">
        <f>IFERROR(K218/J218*100,0)</f>
        <v>0</v>
      </c>
    </row>
    <row r="219" spans="12:12">
      <c r="L219" s="2">
        <f>IFERROR(K219/J219*100,0)</f>
        <v>0</v>
      </c>
    </row>
    <row r="220" spans="12:12">
      <c r="L220" s="2">
        <f>IFERROR(K220/J220*100,0)</f>
        <v>0</v>
      </c>
    </row>
    <row r="221" spans="12:12">
      <c r="L221" s="2">
        <f>IFERROR(K221/J221*100,0)</f>
        <v>0</v>
      </c>
    </row>
    <row r="222" spans="12:12">
      <c r="L222" s="2">
        <f>IFERROR(K222/J222*100,0)</f>
        <v>0</v>
      </c>
    </row>
    <row r="223" spans="12:12">
      <c r="L223" s="2">
        <f>IFERROR(K223/J223*100,0)</f>
        <v>0</v>
      </c>
    </row>
    <row r="224" spans="12:12">
      <c r="L224" s="2">
        <f>IFERROR(K224/J224*100,0)</f>
        <v>0</v>
      </c>
    </row>
    <row r="225" spans="12:12">
      <c r="L225" s="2">
        <f>IFERROR(K225/J225*100,0)</f>
        <v>0</v>
      </c>
    </row>
    <row r="226" spans="12:12">
      <c r="L226" s="2">
        <f>IFERROR(K226/J226*100,0)</f>
        <v>0</v>
      </c>
    </row>
    <row r="227" spans="12:12">
      <c r="L227" s="2">
        <f>IFERROR(K227/J227*100,0)</f>
        <v>0</v>
      </c>
    </row>
    <row r="228" spans="12:12">
      <c r="L228" s="2">
        <f>IFERROR(K228/J228*100,0)</f>
        <v>0</v>
      </c>
    </row>
    <row r="229" spans="12:12">
      <c r="L229" s="2">
        <f>IFERROR(K229/J229*100,0)</f>
        <v>0</v>
      </c>
    </row>
    <row r="230" spans="12:12">
      <c r="L230" s="2">
        <f>IFERROR(K230/J230*100,0)</f>
        <v>0</v>
      </c>
    </row>
    <row r="231" spans="12:12">
      <c r="L231" s="2">
        <f>IFERROR(K231/J231*100,0)</f>
        <v>0</v>
      </c>
    </row>
    <row r="232" spans="12:12">
      <c r="L232" s="2">
        <f>IFERROR(K232/J232*100,0)</f>
        <v>0</v>
      </c>
    </row>
    <row r="233" spans="12:12">
      <c r="L233" s="2">
        <f>IFERROR(K233/J233*100,0)</f>
        <v>0</v>
      </c>
    </row>
    <row r="234" spans="12:12">
      <c r="L234" s="2">
        <f>IFERROR(K234/J234*100,0)</f>
        <v>0</v>
      </c>
    </row>
    <row r="235" spans="12:12">
      <c r="L235" s="2">
        <f>IFERROR(K235/J235*100,0)</f>
        <v>0</v>
      </c>
    </row>
    <row r="236" spans="12:12">
      <c r="L236" s="2">
        <f>IFERROR(K236/J236*100,0)</f>
        <v>0</v>
      </c>
    </row>
    <row r="237" spans="12:12">
      <c r="L237" s="2">
        <f>IFERROR(K237/J237*100,0)</f>
        <v>0</v>
      </c>
    </row>
    <row r="238" spans="12:12">
      <c r="L238" s="2">
        <f>IFERROR(K238/J238*100,0)</f>
        <v>0</v>
      </c>
    </row>
    <row r="239" spans="12:12">
      <c r="L239" s="2">
        <f>IFERROR(K239/J239*100,0)</f>
        <v>0</v>
      </c>
    </row>
    <row r="240" spans="12:12">
      <c r="L240" s="2">
        <f>IFERROR(K240/J240*100,0)</f>
        <v>0</v>
      </c>
    </row>
    <row r="241" spans="12:12">
      <c r="L241" s="2">
        <f>IFERROR(K241/J241*100,0)</f>
        <v>0</v>
      </c>
    </row>
    <row r="242" spans="12:12">
      <c r="L242" s="2">
        <f>IFERROR(K242/J242*100,0)</f>
        <v>0</v>
      </c>
    </row>
    <row r="243" spans="12:12">
      <c r="L243" s="2">
        <f>IFERROR(K243/J243*100,0)</f>
        <v>0</v>
      </c>
    </row>
    <row r="244" spans="12:12">
      <c r="L244" s="2">
        <f>IFERROR(K244/J244*100,0)</f>
        <v>0</v>
      </c>
    </row>
    <row r="245" spans="12:12">
      <c r="L245" s="2">
        <f>IFERROR(K245/J245*100,0)</f>
        <v>0</v>
      </c>
    </row>
    <row r="246" spans="12:12">
      <c r="L246" s="2">
        <f>IFERROR(K246/J246*100,0)</f>
        <v>0</v>
      </c>
    </row>
    <row r="247" spans="12:12">
      <c r="L247" s="2">
        <f>IFERROR(K247/J247*100,0)</f>
        <v>0</v>
      </c>
    </row>
    <row r="248" spans="12:12">
      <c r="L248" s="2">
        <f>IFERROR(K248/J248*100,0)</f>
        <v>0</v>
      </c>
    </row>
    <row r="249" spans="12:12">
      <c r="L249" s="2">
        <f>IFERROR(K249/J249*100,0)</f>
        <v>0</v>
      </c>
    </row>
    <row r="250" spans="12:12">
      <c r="L250" s="2">
        <f>IFERROR(K250/J250*100,0)</f>
        <v>0</v>
      </c>
    </row>
    <row r="251" spans="12:12">
      <c r="L251" s="2">
        <f>IFERROR(K251/J251*100,0)</f>
        <v>0</v>
      </c>
    </row>
    <row r="252" spans="12:12">
      <c r="L252" s="2">
        <f>IFERROR(K252/J252*100,0)</f>
        <v>0</v>
      </c>
    </row>
    <row r="253" spans="12:12">
      <c r="L253" s="2">
        <f>IFERROR(K253/J253*100,0)</f>
        <v>0</v>
      </c>
    </row>
    <row r="254" spans="12:12">
      <c r="L254" s="2">
        <f>IFERROR(K254/J254*100,0)</f>
        <v>0</v>
      </c>
    </row>
    <row r="255" spans="12:12">
      <c r="L255" s="2">
        <f>IFERROR(K255/J255*100,0)</f>
        <v>0</v>
      </c>
    </row>
    <row r="256" spans="12:12">
      <c r="L256" s="2">
        <f>IFERROR(K256/J256*100,0)</f>
        <v>0</v>
      </c>
    </row>
    <row r="257" spans="12:12">
      <c r="L257" s="2">
        <f>IFERROR(K257/J257*100,0)</f>
        <v>0</v>
      </c>
    </row>
    <row r="258" spans="12:12">
      <c r="L258" s="2">
        <f>IFERROR(K258/J258*100,0)</f>
        <v>0</v>
      </c>
    </row>
    <row r="259" spans="12:12">
      <c r="L259" s="2">
        <f>IFERROR(K259/J259*100,0)</f>
        <v>0</v>
      </c>
    </row>
    <row r="260" spans="12:12">
      <c r="L260" s="2">
        <f>IFERROR(K260/J260*100,0)</f>
        <v>0</v>
      </c>
    </row>
    <row r="261" spans="12:12">
      <c r="L261" s="2">
        <f>IFERROR(K261/J261*100,0)</f>
        <v>0</v>
      </c>
    </row>
    <row r="262" spans="12:12">
      <c r="L262" s="2">
        <f>IFERROR(K262/J262*100,0)</f>
        <v>0</v>
      </c>
    </row>
    <row r="263" spans="12:12">
      <c r="L263" s="2">
        <f>IFERROR(K263/J263*100,0)</f>
        <v>0</v>
      </c>
    </row>
    <row r="264" spans="12:12">
      <c r="L264" s="2">
        <f>IFERROR(K264/J264*100,0)</f>
        <v>0</v>
      </c>
    </row>
    <row r="265" spans="12:12">
      <c r="L265" s="2">
        <f>IFERROR(K265/J265*100,0)</f>
        <v>0</v>
      </c>
    </row>
    <row r="266" spans="12:12">
      <c r="L266" s="2">
        <f>IFERROR(K266/J266*100,0)</f>
        <v>0</v>
      </c>
    </row>
    <row r="267" spans="12:12">
      <c r="L267" s="2">
        <f>IFERROR(K267/J267*100,0)</f>
        <v>0</v>
      </c>
    </row>
    <row r="268" spans="12:12">
      <c r="L268" s="2">
        <f>IFERROR(K268/J268*100,0)</f>
        <v>0</v>
      </c>
    </row>
    <row r="269" spans="12:12">
      <c r="L269" s="2">
        <f>IFERROR(K269/J269*100,0)</f>
        <v>0</v>
      </c>
    </row>
    <row r="270" spans="12:12">
      <c r="L270" s="2">
        <f>IFERROR(K270/J270*100,0)</f>
        <v>0</v>
      </c>
    </row>
    <row r="271" spans="12:12">
      <c r="L271" s="2">
        <f>IFERROR(K271/J271*100,0)</f>
        <v>0</v>
      </c>
    </row>
    <row r="272" spans="12:12">
      <c r="L272" s="2">
        <f>IFERROR(K272/J272*100,0)</f>
        <v>0</v>
      </c>
    </row>
    <row r="273" spans="12:12">
      <c r="L273" s="2">
        <f>IFERROR(K273/J273*100,0)</f>
        <v>0</v>
      </c>
    </row>
    <row r="274" spans="12:12">
      <c r="L274" s="2">
        <f>IFERROR(K274/J274*100,0)</f>
        <v>0</v>
      </c>
    </row>
    <row r="275" spans="12:12">
      <c r="L275" s="2">
        <f>IFERROR(K275/J275*100,0)</f>
        <v>0</v>
      </c>
    </row>
    <row r="276" spans="12:12">
      <c r="L276" s="2">
        <f>IFERROR(K276/J276*100,0)</f>
        <v>0</v>
      </c>
    </row>
    <row r="277" spans="12:12">
      <c r="L277" s="2">
        <f>IFERROR(K277/J277*100,0)</f>
        <v>0</v>
      </c>
    </row>
    <row r="278" spans="12:12">
      <c r="L278" s="2">
        <f>IFERROR(K278/J278*100,0)</f>
        <v>0</v>
      </c>
    </row>
    <row r="279" spans="12:12">
      <c r="L279" s="2">
        <f>IFERROR(K279/J279*100,0)</f>
        <v>0</v>
      </c>
    </row>
    <row r="280" spans="12:12">
      <c r="L280" s="2">
        <f>IFERROR(K280/J280*100,0)</f>
        <v>0</v>
      </c>
    </row>
    <row r="281" spans="12:12">
      <c r="L281" s="2">
        <f>IFERROR(K281/J281*100,0)</f>
        <v>0</v>
      </c>
    </row>
    <row r="282" spans="12:12">
      <c r="L282" s="2">
        <f>IFERROR(K282/J282*100,0)</f>
        <v>0</v>
      </c>
    </row>
    <row r="283" spans="12:12">
      <c r="L283" s="2">
        <f>IFERROR(K283/J283*100,0)</f>
        <v>0</v>
      </c>
    </row>
    <row r="284" spans="12:12">
      <c r="L284" s="2">
        <f>IFERROR(K284/J284*100,0)</f>
        <v>0</v>
      </c>
    </row>
    <row r="285" spans="12:12">
      <c r="L285" s="2">
        <f>IFERROR(K285/J285*100,0)</f>
        <v>0</v>
      </c>
    </row>
    <row r="286" spans="12:12">
      <c r="L286" s="2">
        <f>IFERROR(K286/J286*100,0)</f>
        <v>0</v>
      </c>
    </row>
    <row r="287" spans="12:12">
      <c r="L287" s="2">
        <f>IFERROR(K287/J287*100,0)</f>
        <v>0</v>
      </c>
    </row>
    <row r="288" spans="12:12">
      <c r="L288" s="2">
        <f>IFERROR(K288/J288*100,0)</f>
        <v>0</v>
      </c>
    </row>
    <row r="289" spans="12:12">
      <c r="L289" s="2">
        <f>IFERROR(K289/J289*100,0)</f>
        <v>0</v>
      </c>
    </row>
    <row r="290" spans="12:12">
      <c r="L290" s="2">
        <f>IFERROR(K290/J290*100,0)</f>
        <v>0</v>
      </c>
    </row>
    <row r="291" spans="12:12">
      <c r="L291" s="2">
        <f>IFERROR(K291/J291*100,0)</f>
        <v>0</v>
      </c>
    </row>
    <row r="292" spans="12:12">
      <c r="L292" s="2">
        <f>IFERROR(K292/J292*100,0)</f>
        <v>0</v>
      </c>
    </row>
    <row r="293" spans="12:12">
      <c r="L293" s="2">
        <f>IFERROR(K293/J293*100,0)</f>
        <v>0</v>
      </c>
    </row>
    <row r="294" spans="12:12">
      <c r="L294" s="2">
        <f>IFERROR(K294/J294*100,0)</f>
        <v>0</v>
      </c>
    </row>
    <row r="295" spans="12:12">
      <c r="L295" s="2">
        <f>IFERROR(K295/J295*100,0)</f>
        <v>0</v>
      </c>
    </row>
    <row r="296" spans="12:12">
      <c r="L296" s="2">
        <f>IFERROR(K296/J296*100,0)</f>
        <v>0</v>
      </c>
    </row>
    <row r="297" spans="12:12">
      <c r="L297" s="2">
        <f>IFERROR(K297/J297*100,0)</f>
        <v>0</v>
      </c>
    </row>
    <row r="298" spans="12:12">
      <c r="L298" s="2">
        <f>IFERROR(K298/J298*100,0)</f>
        <v>0</v>
      </c>
    </row>
    <row r="299" spans="12:12">
      <c r="L299" s="2">
        <f>IFERROR(K299/J299*100,0)</f>
        <v>0</v>
      </c>
    </row>
    <row r="300" spans="12:12">
      <c r="L300" s="2">
        <f>IFERROR(K300/J300*100,0)</f>
        <v>0</v>
      </c>
    </row>
    <row r="301" spans="12:12">
      <c r="L301" s="2">
        <f>IFERROR(K301/J301*100,0)</f>
        <v>0</v>
      </c>
    </row>
    <row r="302" spans="12:12">
      <c r="L302" s="2">
        <f>IFERROR(K302/J302*100,0)</f>
        <v>0</v>
      </c>
    </row>
    <row r="303" spans="12:12">
      <c r="L303" s="2">
        <f>IFERROR(K303/J303*100,0)</f>
        <v>0</v>
      </c>
    </row>
    <row r="304" spans="12:12">
      <c r="L304" s="2">
        <f>IFERROR(K304/J304*100,0)</f>
        <v>0</v>
      </c>
    </row>
    <row r="305" spans="12:12">
      <c r="L305" s="2">
        <f>IFERROR(K305/J305*100,0)</f>
        <v>0</v>
      </c>
    </row>
    <row r="306" spans="12:12">
      <c r="L306" s="2">
        <f>IFERROR(K306/J306*100,0)</f>
        <v>0</v>
      </c>
    </row>
    <row r="307" spans="12:12">
      <c r="L307" s="2">
        <f>IFERROR(K307/J307*100,0)</f>
        <v>0</v>
      </c>
    </row>
    <row r="308" spans="12:12">
      <c r="L308" s="2">
        <f>IFERROR(K308/J308*100,0)</f>
        <v>0</v>
      </c>
    </row>
    <row r="309" spans="12:12">
      <c r="L309" s="2">
        <f>IFERROR(K309/J309*100,0)</f>
        <v>0</v>
      </c>
    </row>
    <row r="310" spans="12:12">
      <c r="L310" s="2">
        <f>IFERROR(K310/J310*100,0)</f>
        <v>0</v>
      </c>
    </row>
    <row r="311" spans="12:12">
      <c r="L311" s="2">
        <f>IFERROR(K311/J311*100,0)</f>
        <v>0</v>
      </c>
    </row>
    <row r="312" spans="12:12">
      <c r="L312" s="2">
        <f>IFERROR(K312/J312*100,0)</f>
        <v>0</v>
      </c>
    </row>
    <row r="313" spans="12:12">
      <c r="L313" s="2">
        <f>IFERROR(K313/J313*100,0)</f>
        <v>0</v>
      </c>
    </row>
    <row r="314" spans="12:12">
      <c r="L314" s="2">
        <f>IFERROR(K314/J314*100,0)</f>
        <v>0</v>
      </c>
    </row>
    <row r="315" spans="12:12">
      <c r="L315" s="2">
        <f>IFERROR(K315/J315*100,0)</f>
        <v>0</v>
      </c>
    </row>
    <row r="316" spans="12:12">
      <c r="L316" s="2">
        <f>IFERROR(K316/J316*100,0)</f>
        <v>0</v>
      </c>
    </row>
    <row r="317" spans="12:12">
      <c r="L317" s="2">
        <f>IFERROR(K317/J317*100,0)</f>
        <v>0</v>
      </c>
    </row>
    <row r="318" spans="12:12">
      <c r="L318" s="2">
        <f>IFERROR(K318/J318*100,0)</f>
        <v>0</v>
      </c>
    </row>
    <row r="319" spans="12:12">
      <c r="L319" s="2">
        <f>IFERROR(K319/J319*100,0)</f>
        <v>0</v>
      </c>
    </row>
    <row r="320" spans="12:12">
      <c r="L320" s="2">
        <f>IFERROR(K320/J320*100,0)</f>
        <v>0</v>
      </c>
    </row>
    <row r="321" spans="12:12">
      <c r="L321" s="2">
        <f>IFERROR(K321/J321*100,0)</f>
        <v>0</v>
      </c>
    </row>
    <row r="322" spans="12:12">
      <c r="L322" s="2">
        <f>IFERROR(K322/J322*100,0)</f>
        <v>0</v>
      </c>
    </row>
    <row r="323" spans="12:12">
      <c r="L323" s="2">
        <f>IFERROR(K323/J323*100,0)</f>
        <v>0</v>
      </c>
    </row>
    <row r="324" spans="12:12">
      <c r="L324" s="2">
        <f>IFERROR(K324/J324*100,0)</f>
        <v>0</v>
      </c>
    </row>
    <row r="325" spans="12:12">
      <c r="L325" s="2">
        <f>IFERROR(K325/J325*100,0)</f>
        <v>0</v>
      </c>
    </row>
    <row r="326" spans="12:12">
      <c r="L326" s="2">
        <f>IFERROR(K326/J326*100,0)</f>
        <v>0</v>
      </c>
    </row>
    <row r="327" spans="12:12">
      <c r="L327" s="2">
        <f>IFERROR(K327/J327*100,0)</f>
        <v>0</v>
      </c>
    </row>
    <row r="328" spans="12:12">
      <c r="L328" s="2">
        <f>IFERROR(K328/J328*100,0)</f>
        <v>0</v>
      </c>
    </row>
    <row r="329" spans="12:12">
      <c r="L329" s="2">
        <f>IFERROR(K329/J329*100,0)</f>
        <v>0</v>
      </c>
    </row>
    <row r="330" spans="12:12">
      <c r="L330" s="2">
        <f>IFERROR(K330/J330*100,0)</f>
        <v>0</v>
      </c>
    </row>
    <row r="331" spans="12:12">
      <c r="L331" s="2">
        <f>IFERROR(K331/J331*100,0)</f>
        <v>0</v>
      </c>
    </row>
    <row r="332" spans="12:12">
      <c r="L332" s="2">
        <f>IFERROR(K332/J332*100,0)</f>
        <v>0</v>
      </c>
    </row>
    <row r="333" spans="12:12">
      <c r="L333" s="2">
        <f>IFERROR(K333/J333*100,0)</f>
        <v>0</v>
      </c>
    </row>
    <row r="334" spans="12:12">
      <c r="L334" s="2">
        <f>IFERROR(K334/J334*100,0)</f>
        <v>0</v>
      </c>
    </row>
    <row r="335" spans="12:12">
      <c r="L335" s="2">
        <f>IFERROR(K335/J335*100,0)</f>
        <v>0</v>
      </c>
    </row>
    <row r="336" spans="12:12">
      <c r="L336" s="2">
        <f>IFERROR(K336/J336*100,0)</f>
        <v>0</v>
      </c>
    </row>
    <row r="337" spans="12:12">
      <c r="L337" s="2">
        <f>IFERROR(K337/J337*100,0)</f>
        <v>0</v>
      </c>
    </row>
    <row r="338" spans="12:12">
      <c r="L338" s="2">
        <f>IFERROR(K338/J338*100,0)</f>
        <v>0</v>
      </c>
    </row>
    <row r="339" spans="12:12">
      <c r="L339" s="2">
        <f>IFERROR(K339/J339*100,0)</f>
        <v>0</v>
      </c>
    </row>
    <row r="340" spans="12:12">
      <c r="L340" s="2">
        <f>IFERROR(K340/J340*100,0)</f>
        <v>0</v>
      </c>
    </row>
    <row r="341" spans="12:12">
      <c r="L341" s="2">
        <f>IFERROR(K341/J341*100,0)</f>
        <v>0</v>
      </c>
    </row>
    <row r="342" spans="12:12">
      <c r="L342" s="2">
        <f>IFERROR(K342/J342*100,0)</f>
        <v>0</v>
      </c>
    </row>
    <row r="343" spans="12:12">
      <c r="L343" s="2">
        <f>IFERROR(K343/J343*100,0)</f>
        <v>0</v>
      </c>
    </row>
    <row r="344" spans="12:12">
      <c r="L344" s="2">
        <f>IFERROR(K344/J344*100,0)</f>
        <v>0</v>
      </c>
    </row>
    <row r="345" spans="12:12">
      <c r="L345" s="2">
        <f>IFERROR(K345/J345*100,0)</f>
        <v>0</v>
      </c>
    </row>
    <row r="346" spans="12:12">
      <c r="L346" s="2">
        <f>IFERROR(K346/J346*100,0)</f>
        <v>0</v>
      </c>
    </row>
    <row r="347" spans="12:12">
      <c r="L347" s="2">
        <f>IFERROR(K347/J347*100,0)</f>
        <v>0</v>
      </c>
    </row>
    <row r="348" spans="12:12">
      <c r="L348" s="2">
        <f>IFERROR(K348/J348*100,0)</f>
        <v>0</v>
      </c>
    </row>
    <row r="349" spans="12:12">
      <c r="L349" s="2">
        <f>IFERROR(K349/J349*100,0)</f>
        <v>0</v>
      </c>
    </row>
    <row r="350" spans="12:12">
      <c r="L350" s="2">
        <f>IFERROR(K350/J350*100,0)</f>
        <v>0</v>
      </c>
    </row>
    <row r="351" spans="12:12">
      <c r="L351" s="2">
        <f>IFERROR(K351/J351*100,0)</f>
        <v>0</v>
      </c>
    </row>
    <row r="352" spans="12:12">
      <c r="L352" s="2">
        <f>IFERROR(K352/J352*100,0)</f>
        <v>0</v>
      </c>
    </row>
    <row r="353" spans="12:12">
      <c r="L353" s="2">
        <f>IFERROR(K353/J353*100,0)</f>
        <v>0</v>
      </c>
    </row>
    <row r="354" spans="12:12">
      <c r="L354" s="2">
        <f>IFERROR(K354/J354*100,0)</f>
        <v>0</v>
      </c>
    </row>
    <row r="355" spans="12:12">
      <c r="L355" s="2">
        <f>IFERROR(K355/J355*100,0)</f>
        <v>0</v>
      </c>
    </row>
    <row r="356" spans="12:12">
      <c r="L356" s="2">
        <f>IFERROR(K356/J356*100,0)</f>
        <v>0</v>
      </c>
    </row>
    <row r="357" spans="12:12">
      <c r="L357" s="2">
        <f>IFERROR(K357/J357*100,0)</f>
        <v>0</v>
      </c>
    </row>
    <row r="358" spans="12:12">
      <c r="L358" s="2">
        <f>IFERROR(K358/J358*100,0)</f>
        <v>0</v>
      </c>
    </row>
    <row r="359" spans="12:12">
      <c r="L359" s="2">
        <f>IFERROR(K359/J359*100,0)</f>
        <v>0</v>
      </c>
    </row>
    <row r="360" spans="12:12">
      <c r="L360" s="2">
        <f>IFERROR(K360/J360*100,0)</f>
        <v>0</v>
      </c>
    </row>
    <row r="361" spans="12:12">
      <c r="L361" s="2">
        <f>IFERROR(K361/J361*100,0)</f>
        <v>0</v>
      </c>
    </row>
    <row r="362" spans="12:12">
      <c r="L362" s="2">
        <f>IFERROR(K362/J362*100,0)</f>
        <v>0</v>
      </c>
    </row>
    <row r="363" spans="12:12">
      <c r="L363" s="2">
        <f>IFERROR(K363/J363*100,0)</f>
        <v>0</v>
      </c>
    </row>
    <row r="364" spans="12:12">
      <c r="L364" s="2">
        <f>IFERROR(K364/J364*100,0)</f>
        <v>0</v>
      </c>
    </row>
    <row r="365" spans="12:12">
      <c r="L365" s="2">
        <f>IFERROR(K365/J365*100,0)</f>
        <v>0</v>
      </c>
    </row>
    <row r="366" spans="12:12">
      <c r="L366" s="2">
        <f>IFERROR(K366/J366*100,0)</f>
        <v>0</v>
      </c>
    </row>
    <row r="367" spans="12:12">
      <c r="L367" s="2">
        <f>IFERROR(K367/J367*100,0)</f>
        <v>0</v>
      </c>
    </row>
    <row r="368" spans="12:12">
      <c r="L368" s="2">
        <f>IFERROR(K368/J368*100,0)</f>
        <v>0</v>
      </c>
    </row>
    <row r="369" spans="12:12">
      <c r="L369" s="2">
        <f>IFERROR(K369/J369*100,0)</f>
        <v>0</v>
      </c>
    </row>
    <row r="370" spans="12:12">
      <c r="L370" s="2">
        <f>IFERROR(K370/J370*100,0)</f>
        <v>0</v>
      </c>
    </row>
    <row r="371" spans="12:12">
      <c r="L371" s="2">
        <f>IFERROR(K371/J371*100,0)</f>
        <v>0</v>
      </c>
    </row>
    <row r="372" spans="12:12">
      <c r="L372" s="2">
        <f>IFERROR(K372/J372*100,0)</f>
        <v>0</v>
      </c>
    </row>
    <row r="373" spans="12:12">
      <c r="L373" s="2">
        <f>IFERROR(K373/J373*100,0)</f>
        <v>0</v>
      </c>
    </row>
    <row r="374" spans="12:12">
      <c r="L374" s="2">
        <f>IFERROR(K374/J374*100,0)</f>
        <v>0</v>
      </c>
    </row>
    <row r="375" spans="12:12">
      <c r="L375" s="2">
        <f>IFERROR(K375/J375*100,0)</f>
        <v>0</v>
      </c>
    </row>
    <row r="376" spans="12:12">
      <c r="L376" s="2">
        <f>IFERROR(K376/J376*100,0)</f>
        <v>0</v>
      </c>
    </row>
    <row r="377" spans="12:12">
      <c r="L377" s="2">
        <f>IFERROR(K377/J377*100,0)</f>
        <v>0</v>
      </c>
    </row>
    <row r="378" spans="12:12">
      <c r="L378" s="2">
        <f>IFERROR(K378/J378*100,0)</f>
        <v>0</v>
      </c>
    </row>
    <row r="379" spans="12:12">
      <c r="L379" s="2">
        <f>IFERROR(K379/J379*100,0)</f>
        <v>0</v>
      </c>
    </row>
    <row r="380" spans="12:12">
      <c r="L380" s="2">
        <f>IFERROR(K380/J380*100,0)</f>
        <v>0</v>
      </c>
    </row>
    <row r="381" spans="12:12">
      <c r="L381" s="2">
        <f>IFERROR(K381/J381*100,0)</f>
        <v>0</v>
      </c>
    </row>
    <row r="382" spans="12:12">
      <c r="L382" s="2">
        <f>IFERROR(K382/J382*100,0)</f>
        <v>0</v>
      </c>
    </row>
    <row r="383" spans="12:12">
      <c r="L383" s="2">
        <f>IFERROR(K383/J383*100,0)</f>
        <v>0</v>
      </c>
    </row>
    <row r="384" spans="12:12">
      <c r="L384" s="2">
        <f>IFERROR(K384/J384*100,0)</f>
        <v>0</v>
      </c>
    </row>
    <row r="385" spans="12:12">
      <c r="L385" s="2">
        <f>IFERROR(K385/J385*100,0)</f>
        <v>0</v>
      </c>
    </row>
    <row r="386" spans="12:12">
      <c r="L386" s="2">
        <f>IFERROR(K386/J386*100,0)</f>
        <v>0</v>
      </c>
    </row>
    <row r="387" spans="12:12">
      <c r="L387" s="2">
        <f>IFERROR(K387/J387*100,0)</f>
        <v>0</v>
      </c>
    </row>
    <row r="388" spans="12:12">
      <c r="L388" s="2">
        <f>IFERROR(K388/J388*100,0)</f>
        <v>0</v>
      </c>
    </row>
    <row r="389" spans="12:12">
      <c r="L389" s="2">
        <f>IFERROR(K389/J389*100,0)</f>
        <v>0</v>
      </c>
    </row>
    <row r="390" spans="12:12">
      <c r="L390" s="2">
        <f>IFERROR(K390/J390*100,0)</f>
        <v>0</v>
      </c>
    </row>
    <row r="391" spans="12:12">
      <c r="L391" s="2">
        <f>IFERROR(K391/J391*100,0)</f>
        <v>0</v>
      </c>
    </row>
    <row r="392" spans="12:12">
      <c r="L392" s="2">
        <f>IFERROR(K392/J392*100,0)</f>
        <v>0</v>
      </c>
    </row>
    <row r="393" spans="12:12">
      <c r="L393" s="2">
        <f>IFERROR(K393/J393*100,0)</f>
        <v>0</v>
      </c>
    </row>
    <row r="394" spans="12:12">
      <c r="L394" s="2">
        <f>IFERROR(K394/J394*100,0)</f>
        <v>0</v>
      </c>
    </row>
    <row r="395" spans="12:12">
      <c r="L395" s="2">
        <f>IFERROR(K395/J395*100,0)</f>
        <v>0</v>
      </c>
    </row>
    <row r="396" spans="12:12">
      <c r="L396" s="2">
        <f>IFERROR(K396/J396*100,0)</f>
        <v>0</v>
      </c>
    </row>
    <row r="397" spans="12:12">
      <c r="L397" s="2">
        <f>IFERROR(K397/J397*100,0)</f>
        <v>0</v>
      </c>
    </row>
    <row r="398" spans="12:12">
      <c r="L398" s="2">
        <f>IFERROR(K398/J398*100,0)</f>
        <v>0</v>
      </c>
    </row>
    <row r="399" spans="12:12">
      <c r="L399" s="2">
        <f>IFERROR(K399/J399*100,0)</f>
        <v>0</v>
      </c>
    </row>
    <row r="400" spans="12:12">
      <c r="L400" s="2">
        <f>IFERROR(K400/J400*100,0)</f>
        <v>0</v>
      </c>
    </row>
    <row r="401" spans="12:12">
      <c r="L401" s="2">
        <f>IFERROR(K401/J401*100,0)</f>
        <v>0</v>
      </c>
    </row>
    <row r="402" spans="12:12">
      <c r="L402" s="2">
        <f>IFERROR(K402/J402*100,0)</f>
        <v>0</v>
      </c>
    </row>
    <row r="403" spans="12:12">
      <c r="L403" s="2">
        <f>IFERROR(K403/J403*100,0)</f>
        <v>0</v>
      </c>
    </row>
    <row r="404" spans="12:12">
      <c r="L404" s="2">
        <f>IFERROR(K404/J404*100,0)</f>
        <v>0</v>
      </c>
    </row>
    <row r="405" spans="12:12">
      <c r="L405" s="2">
        <f>IFERROR(K405/J405*100,0)</f>
        <v>0</v>
      </c>
    </row>
    <row r="406" spans="12:12">
      <c r="L406" s="2">
        <f>IFERROR(K406/J406*100,0)</f>
        <v>0</v>
      </c>
    </row>
    <row r="407" spans="12:12">
      <c r="L407" s="2">
        <f>IFERROR(K407/J407*100,0)</f>
        <v>0</v>
      </c>
    </row>
    <row r="408" spans="12:12">
      <c r="L408" s="2">
        <f>IFERROR(K408/J408*100,0)</f>
        <v>0</v>
      </c>
    </row>
    <row r="409" spans="12:12">
      <c r="L409" s="2">
        <f>IFERROR(K409/J409*100,0)</f>
        <v>0</v>
      </c>
    </row>
    <row r="410" spans="12:12">
      <c r="L410" s="2">
        <f>IFERROR(K410/J410*100,0)</f>
        <v>0</v>
      </c>
    </row>
    <row r="411" spans="12:12">
      <c r="L411" s="2">
        <f>IFERROR(K411/J411*100,0)</f>
        <v>0</v>
      </c>
    </row>
    <row r="412" spans="12:12">
      <c r="L412" s="2">
        <f>IFERROR(K412/J412*100,0)</f>
        <v>0</v>
      </c>
    </row>
    <row r="413" spans="12:12">
      <c r="L413" s="2">
        <f>IFERROR(K413/J413*100,0)</f>
        <v>0</v>
      </c>
    </row>
    <row r="414" spans="12:12">
      <c r="L414" s="2">
        <f>IFERROR(K414/J414*100,0)</f>
        <v>0</v>
      </c>
    </row>
    <row r="415" spans="12:12">
      <c r="L415" s="2">
        <f>IFERROR(K415/J415*100,0)</f>
        <v>0</v>
      </c>
    </row>
    <row r="416" spans="12:12">
      <c r="L416" s="2">
        <f>IFERROR(K416/J416*100,0)</f>
        <v>0</v>
      </c>
    </row>
    <row r="417" spans="12:12">
      <c r="L417" s="2">
        <f>IFERROR(K417/J417*100,0)</f>
        <v>0</v>
      </c>
    </row>
    <row r="418" spans="12:12">
      <c r="L418" s="2">
        <f>IFERROR(K418/J418*100,0)</f>
        <v>0</v>
      </c>
    </row>
    <row r="419" spans="12:12">
      <c r="L419" s="2">
        <f>IFERROR(K419/J419*100,0)</f>
        <v>0</v>
      </c>
    </row>
    <row r="420" spans="12:12">
      <c r="L420" s="2">
        <f>IFERROR(K420/J420*100,0)</f>
        <v>0</v>
      </c>
    </row>
    <row r="421" spans="12:12">
      <c r="L421" s="2">
        <f>IFERROR(K421/J421*100,0)</f>
        <v>0</v>
      </c>
    </row>
    <row r="422" spans="12:12">
      <c r="L422" s="2">
        <f>IFERROR(K422/J422*100,0)</f>
        <v>0</v>
      </c>
    </row>
    <row r="423" spans="12:12">
      <c r="L423" s="2">
        <f>IFERROR(K423/J423*100,0)</f>
        <v>0</v>
      </c>
    </row>
    <row r="424" spans="12:12">
      <c r="L424" s="2">
        <f>IFERROR(K424/J424*100,0)</f>
        <v>0</v>
      </c>
    </row>
    <row r="425" spans="12:12">
      <c r="L425" s="2">
        <f>IFERROR(K425/J425*100,0)</f>
        <v>0</v>
      </c>
    </row>
    <row r="426" spans="12:12">
      <c r="L426" s="2">
        <f>IFERROR(K426/J426*100,0)</f>
        <v>0</v>
      </c>
    </row>
    <row r="427" spans="12:12">
      <c r="L427" s="2">
        <f>IFERROR(K427/J427*100,0)</f>
        <v>0</v>
      </c>
    </row>
    <row r="428" spans="12:12">
      <c r="L428" s="2">
        <f>IFERROR(K428/J428*100,0)</f>
        <v>0</v>
      </c>
    </row>
    <row r="429" spans="12:12">
      <c r="L429" s="2">
        <f>IFERROR(K429/J429*100,0)</f>
        <v>0</v>
      </c>
    </row>
    <row r="430" spans="12:12">
      <c r="L430" s="2">
        <f>IFERROR(K430/J430*100,0)</f>
        <v>0</v>
      </c>
    </row>
    <row r="431" spans="12:12">
      <c r="L431" s="2">
        <f>IFERROR(K431/J431*100,0)</f>
        <v>0</v>
      </c>
    </row>
    <row r="432" spans="12:12">
      <c r="L432" s="2">
        <f>IFERROR(K432/J432*100,0)</f>
        <v>0</v>
      </c>
    </row>
    <row r="433" spans="12:12">
      <c r="L433" s="2">
        <f>IFERROR(K433/J433*100,0)</f>
        <v>0</v>
      </c>
    </row>
    <row r="434" spans="12:12">
      <c r="L434" s="2">
        <f>IFERROR(K434/J434*100,0)</f>
        <v>0</v>
      </c>
    </row>
    <row r="435" spans="12:12">
      <c r="L435" s="2">
        <f>IFERROR(K435/J435*100,0)</f>
        <v>0</v>
      </c>
    </row>
    <row r="436" spans="12:12">
      <c r="L436" s="2">
        <f>IFERROR(K436/J436*100,0)</f>
        <v>0</v>
      </c>
    </row>
    <row r="437" spans="12:12">
      <c r="L437" s="2">
        <f>IFERROR(K437/J437*100,0)</f>
        <v>0</v>
      </c>
    </row>
    <row r="438" spans="12:12">
      <c r="L438" s="2">
        <f>IFERROR(K438/J438*100,0)</f>
        <v>0</v>
      </c>
    </row>
    <row r="439" spans="12:12">
      <c r="L439" s="2">
        <f>IFERROR(K439/J439*100,0)</f>
        <v>0</v>
      </c>
    </row>
    <row r="440" spans="12:12">
      <c r="L440" s="2">
        <f>IFERROR(K440/J440*100,0)</f>
        <v>0</v>
      </c>
    </row>
    <row r="441" spans="12:12">
      <c r="L441" s="2">
        <f>IFERROR(K441/J441*100,0)</f>
        <v>0</v>
      </c>
    </row>
    <row r="442" spans="12:12">
      <c r="L442" s="2">
        <f>IFERROR(K442/J442*100,0)</f>
        <v>0</v>
      </c>
    </row>
    <row r="443" spans="12:12">
      <c r="L443" s="2">
        <f>IFERROR(K443/J443*100,0)</f>
        <v>0</v>
      </c>
    </row>
    <row r="444" spans="12:12">
      <c r="L444" s="2">
        <f>IFERROR(K444/J444*100,0)</f>
        <v>0</v>
      </c>
    </row>
    <row r="445" spans="12:12">
      <c r="L445" s="2">
        <f>IFERROR(K445/J445*100,0)</f>
        <v>0</v>
      </c>
    </row>
    <row r="446" spans="12:12">
      <c r="L446" s="2">
        <f>IFERROR(K446/J446*100,0)</f>
        <v>0</v>
      </c>
    </row>
    <row r="447" spans="12:12">
      <c r="L447" s="2">
        <f>IFERROR(K447/J447*100,0)</f>
        <v>0</v>
      </c>
    </row>
    <row r="448" spans="12:12">
      <c r="L448" s="2">
        <f>IFERROR(K448/J448*100,0)</f>
        <v>0</v>
      </c>
    </row>
    <row r="449" spans="12:12">
      <c r="L449" s="2">
        <f>IFERROR(K449/J449*100,0)</f>
        <v>0</v>
      </c>
    </row>
    <row r="450" spans="12:12">
      <c r="L450" s="2">
        <f>IFERROR(K450/J450*100,0)</f>
        <v>0</v>
      </c>
    </row>
    <row r="451" spans="12:12">
      <c r="L451" s="2">
        <f>IFERROR(K451/J451*100,0)</f>
        <v>0</v>
      </c>
    </row>
    <row r="452" spans="12:12">
      <c r="L452" s="2">
        <f>IFERROR(K452/J452*100,0)</f>
        <v>0</v>
      </c>
    </row>
    <row r="453" spans="12:12">
      <c r="L453" s="2">
        <f>IFERROR(K453/J453*100,0)</f>
        <v>0</v>
      </c>
    </row>
    <row r="454" spans="12:12">
      <c r="L454" s="2">
        <f>IFERROR(K454/J454*100,0)</f>
        <v>0</v>
      </c>
    </row>
    <row r="455" spans="12:12">
      <c r="L455" s="2">
        <f>IFERROR(K455/J455*100,0)</f>
        <v>0</v>
      </c>
    </row>
    <row r="456" spans="12:12">
      <c r="L456" s="2">
        <f>IFERROR(K456/J456*100,0)</f>
        <v>0</v>
      </c>
    </row>
    <row r="457" spans="12:12">
      <c r="L457" s="2">
        <f>IFERROR(K457/J457*100,0)</f>
        <v>0</v>
      </c>
    </row>
    <row r="458" spans="12:12">
      <c r="L458" s="2">
        <f>IFERROR(K458/J458*100,0)</f>
        <v>0</v>
      </c>
    </row>
    <row r="459" spans="12:12">
      <c r="L459" s="2">
        <f>IFERROR(K459/J459*100,0)</f>
        <v>0</v>
      </c>
    </row>
    <row r="460" spans="12:12">
      <c r="L460" s="2">
        <f>IFERROR(K460/J460*100,0)</f>
        <v>0</v>
      </c>
    </row>
    <row r="461" spans="12:12">
      <c r="L461" s="2">
        <f>IFERROR(K461/J461*100,0)</f>
        <v>0</v>
      </c>
    </row>
    <row r="462" spans="12:12">
      <c r="L462" s="2">
        <f>IFERROR(K462/J462*100,0)</f>
        <v>0</v>
      </c>
    </row>
    <row r="463" spans="12:12">
      <c r="L463" s="2">
        <f>IFERROR(K463/J463*100,0)</f>
        <v>0</v>
      </c>
    </row>
    <row r="464" spans="12:12">
      <c r="L464" s="2">
        <f>IFERROR(K464/J464*100,0)</f>
        <v>0</v>
      </c>
    </row>
    <row r="465" spans="12:12">
      <c r="L465" s="2">
        <f>IFERROR(K465/J465*100,0)</f>
        <v>0</v>
      </c>
    </row>
    <row r="466" spans="12:12">
      <c r="L466" s="2">
        <f>IFERROR(K466/J466*100,0)</f>
        <v>0</v>
      </c>
    </row>
    <row r="467" spans="12:12">
      <c r="L467" s="2">
        <f>IFERROR(K467/J467*100,0)</f>
        <v>0</v>
      </c>
    </row>
    <row r="468" spans="12:12">
      <c r="L468" s="2">
        <f>IFERROR(K468/J468*100,0)</f>
        <v>0</v>
      </c>
    </row>
    <row r="469" spans="12:12">
      <c r="L469" s="2">
        <f>IFERROR(K469/J469*100,0)</f>
        <v>0</v>
      </c>
    </row>
    <row r="470" spans="12:12">
      <c r="L470" s="2">
        <f>IFERROR(K470/J470*100,0)</f>
        <v>0</v>
      </c>
    </row>
    <row r="471" spans="12:12">
      <c r="L471" s="2">
        <f>IFERROR(K471/J471*100,0)</f>
        <v>0</v>
      </c>
    </row>
    <row r="472" spans="12:12">
      <c r="L472" s="2">
        <f>IFERROR(K472/J472*100,0)</f>
        <v>0</v>
      </c>
    </row>
    <row r="473" spans="12:12">
      <c r="L473" s="2">
        <f>IFERROR(K473/J473*100,0)</f>
        <v>0</v>
      </c>
    </row>
    <row r="474" spans="12:12">
      <c r="L474" s="2">
        <f>IFERROR(K474/J474*100,0)</f>
        <v>0</v>
      </c>
    </row>
    <row r="475" spans="12:12">
      <c r="L475" s="2">
        <f>IFERROR(K475/J475*100,0)</f>
        <v>0</v>
      </c>
    </row>
    <row r="476" spans="12:12">
      <c r="L476" s="2">
        <f>IFERROR(K476/J476*100,0)</f>
        <v>0</v>
      </c>
    </row>
    <row r="477" spans="12:12">
      <c r="L477" s="2">
        <f>IFERROR(K477/J477*100,0)</f>
        <v>0</v>
      </c>
    </row>
    <row r="478" spans="12:12">
      <c r="L478" s="2">
        <f>IFERROR(K478/J478*100,0)</f>
        <v>0</v>
      </c>
    </row>
    <row r="479" spans="12:12">
      <c r="L479" s="2">
        <f>IFERROR(K479/J479*100,0)</f>
        <v>0</v>
      </c>
    </row>
    <row r="480" spans="12:12">
      <c r="L480" s="2">
        <f>IFERROR(K480/J480*100,0)</f>
        <v>0</v>
      </c>
    </row>
    <row r="481" spans="12:12">
      <c r="L481" s="2">
        <f>IFERROR(K481/J481*100,0)</f>
        <v>0</v>
      </c>
    </row>
    <row r="482" spans="12:12">
      <c r="L482" s="2">
        <f>IFERROR(K482/J482*100,0)</f>
        <v>0</v>
      </c>
    </row>
    <row r="483" spans="12:12">
      <c r="L483" s="2">
        <f>IFERROR(K483/J483*100,0)</f>
        <v>0</v>
      </c>
    </row>
    <row r="484" spans="12:12">
      <c r="L484" s="2">
        <f>IFERROR(K484/J484*100,0)</f>
        <v>0</v>
      </c>
    </row>
    <row r="485" spans="12:12">
      <c r="L485" s="2">
        <f>IFERROR(K485/J485*100,0)</f>
        <v>0</v>
      </c>
    </row>
    <row r="486" spans="12:12">
      <c r="L486" s="2">
        <f>IFERROR(K486/J486*100,0)</f>
        <v>0</v>
      </c>
    </row>
    <row r="487" spans="12:12">
      <c r="L487" s="2">
        <f>IFERROR(K487/J487*100,0)</f>
        <v>0</v>
      </c>
    </row>
    <row r="488" spans="12:12">
      <c r="L488" s="2">
        <f>IFERROR(K488/J488*100,0)</f>
        <v>0</v>
      </c>
    </row>
    <row r="489" spans="12:12">
      <c r="L489" s="2">
        <f>IFERROR(K489/J489*100,0)</f>
        <v>0</v>
      </c>
    </row>
    <row r="490" spans="12:12">
      <c r="L490" s="2">
        <f>IFERROR(K490/J490*100,0)</f>
        <v>0</v>
      </c>
    </row>
    <row r="491" spans="12:12">
      <c r="L491" s="2">
        <f>IFERROR(K491/J491*100,0)</f>
        <v>0</v>
      </c>
    </row>
    <row r="492" spans="12:12">
      <c r="L492" s="2">
        <f>IFERROR(K492/J492*100,0)</f>
        <v>0</v>
      </c>
    </row>
    <row r="493" spans="12:12">
      <c r="L493" s="2">
        <f>IFERROR(K493/J493*100,0)</f>
        <v>0</v>
      </c>
    </row>
    <row r="494" spans="12:12">
      <c r="L494" s="2">
        <f>IFERROR(K494/J494*100,0)</f>
        <v>0</v>
      </c>
    </row>
    <row r="495" spans="12:12">
      <c r="L495" s="2">
        <f>IFERROR(K495/J495*100,0)</f>
        <v>0</v>
      </c>
    </row>
    <row r="496" spans="12:12">
      <c r="L496" s="2">
        <f>IFERROR(K496/J496*100,0)</f>
        <v>0</v>
      </c>
    </row>
    <row r="497" spans="12:12">
      <c r="L497" s="2">
        <f>IFERROR(K497/J497*100,0)</f>
        <v>0</v>
      </c>
    </row>
    <row r="498" spans="12:12">
      <c r="L498" s="2">
        <f>IFERROR(K498/J498*100,0)</f>
        <v>0</v>
      </c>
    </row>
    <row r="499" spans="12:12">
      <c r="L499" s="2">
        <f>IFERROR(K499/J499*100,0)</f>
        <v>0</v>
      </c>
    </row>
    <row r="500" spans="12:12">
      <c r="L500" s="2">
        <f>IFERROR(K500/J500*100,0)</f>
        <v>0</v>
      </c>
    </row>
    <row r="501" spans="12:12">
      <c r="L501" s="2">
        <f>IFERROR(K501/J501*100,0)</f>
        <v>0</v>
      </c>
    </row>
    <row r="502" spans="12:12">
      <c r="L502" s="2">
        <f>IFERROR(K502/J502*100,0)</f>
        <v>0</v>
      </c>
    </row>
    <row r="503" spans="12:12">
      <c r="L503" s="2">
        <f>IFERROR(K503/J503*100,0)</f>
        <v>0</v>
      </c>
    </row>
    <row r="504" spans="12:12">
      <c r="L504" s="2">
        <f>IFERROR(K504/J504*100,0)</f>
        <v>0</v>
      </c>
    </row>
    <row r="505" spans="12:12">
      <c r="L505" s="2">
        <f>IFERROR(K505/J505*100,0)</f>
        <v>0</v>
      </c>
    </row>
    <row r="506" spans="12:12">
      <c r="L506" s="2">
        <f>IFERROR(K506/J506*100,0)</f>
        <v>0</v>
      </c>
    </row>
    <row r="507" spans="12:12">
      <c r="L507" s="2">
        <f>IFERROR(K507/J507*100,0)</f>
        <v>0</v>
      </c>
    </row>
    <row r="508" spans="12:12">
      <c r="L508" s="2">
        <f>IFERROR(K508/J508*100,0)</f>
        <v>0</v>
      </c>
    </row>
    <row r="509" spans="12:12">
      <c r="L509" s="2">
        <f>IFERROR(K509/J509*100,0)</f>
        <v>0</v>
      </c>
    </row>
    <row r="510" spans="12:12">
      <c r="L510" s="2">
        <f>IFERROR(K510/J510*100,0)</f>
        <v>0</v>
      </c>
    </row>
    <row r="511" spans="12:12">
      <c r="L511" s="2">
        <f>IFERROR(K511/J511*100,0)</f>
        <v>0</v>
      </c>
    </row>
    <row r="512" spans="12:12">
      <c r="L512" s="2">
        <f>IFERROR(K512/J512*100,0)</f>
        <v>0</v>
      </c>
    </row>
    <row r="513" spans="12:12">
      <c r="L513" s="2">
        <f>IFERROR(K513/J513*100,0)</f>
        <v>0</v>
      </c>
    </row>
    <row r="514" spans="12:12">
      <c r="L514" s="2">
        <f>IFERROR(K514/J514*100,0)</f>
        <v>0</v>
      </c>
    </row>
    <row r="515" spans="12:12">
      <c r="L515" s="2">
        <f>IFERROR(K515/J515*100,0)</f>
        <v>0</v>
      </c>
    </row>
    <row r="516" spans="12:12">
      <c r="L516" s="2">
        <f>IFERROR(K516/J516*100,0)</f>
        <v>0</v>
      </c>
    </row>
    <row r="517" spans="12:12">
      <c r="L517" s="2">
        <f>IFERROR(K517/J517*100,0)</f>
        <v>0</v>
      </c>
    </row>
    <row r="518" spans="12:12">
      <c r="L518" s="2">
        <f>IFERROR(K518/J518*100,0)</f>
        <v>0</v>
      </c>
    </row>
    <row r="519" spans="12:12">
      <c r="L519" s="2">
        <f>IFERROR(K519/J519*100,0)</f>
        <v>0</v>
      </c>
    </row>
    <row r="520" spans="12:12">
      <c r="L520" s="2">
        <f>IFERROR(K520/J520*100,0)</f>
        <v>0</v>
      </c>
    </row>
    <row r="521" spans="12:12">
      <c r="L521" s="2">
        <f>IFERROR(K521/J521*100,0)</f>
        <v>0</v>
      </c>
    </row>
    <row r="522" spans="12:12">
      <c r="L522" s="2">
        <f>IFERROR(K522/J522*100,0)</f>
        <v>0</v>
      </c>
    </row>
    <row r="523" spans="12:12">
      <c r="L523" s="2">
        <f>IFERROR(K523/J523*100,0)</f>
        <v>0</v>
      </c>
    </row>
    <row r="524" spans="12:12">
      <c r="L524" s="2">
        <f>IFERROR(K524/J524*100,0)</f>
        <v>0</v>
      </c>
    </row>
    <row r="525" spans="12:12">
      <c r="L525" s="2">
        <f>IFERROR(K525/J525*100,0)</f>
        <v>0</v>
      </c>
    </row>
    <row r="526" spans="12:12">
      <c r="L526" s="2">
        <f>IFERROR(K526/J526*100,0)</f>
        <v>0</v>
      </c>
    </row>
    <row r="527" spans="12:12">
      <c r="L527" s="2">
        <f>IFERROR(K527/J527*100,0)</f>
        <v>0</v>
      </c>
    </row>
    <row r="528" spans="12:12">
      <c r="L528" s="2">
        <f>IFERROR(K528/J528*100,0)</f>
        <v>0</v>
      </c>
    </row>
    <row r="529" spans="12:12">
      <c r="L529" s="2">
        <f>IFERROR(K529/J529*100,0)</f>
        <v>0</v>
      </c>
    </row>
    <row r="530" spans="12:12">
      <c r="L530" s="2">
        <f>IFERROR(K530/J530*100,0)</f>
        <v>0</v>
      </c>
    </row>
    <row r="531" spans="12:12">
      <c r="L531" s="2">
        <f>IFERROR(K531/J531*100,0)</f>
        <v>0</v>
      </c>
    </row>
    <row r="532" spans="12:12">
      <c r="L532" s="2">
        <f>IFERROR(K532/J532*100,0)</f>
        <v>0</v>
      </c>
    </row>
    <row r="533" spans="12:12">
      <c r="L533" s="2">
        <f>IFERROR(K533/J533*100,0)</f>
        <v>0</v>
      </c>
    </row>
    <row r="534" spans="12:12">
      <c r="L534" s="2">
        <f>IFERROR(K534/J534*100,0)</f>
        <v>0</v>
      </c>
    </row>
    <row r="535" spans="12:12">
      <c r="L535" s="2">
        <f>IFERROR(K535/J535*100,0)</f>
        <v>0</v>
      </c>
    </row>
    <row r="536" spans="12:12">
      <c r="L536" s="2">
        <f>IFERROR(K536/J536*100,0)</f>
        <v>0</v>
      </c>
    </row>
    <row r="537" spans="12:12">
      <c r="L537" s="2">
        <f>IFERROR(K537/J537*100,0)</f>
        <v>0</v>
      </c>
    </row>
    <row r="538" spans="12:12">
      <c r="L538" s="2">
        <f>IFERROR(K538/J538*100,0)</f>
        <v>0</v>
      </c>
    </row>
    <row r="539" spans="12:12">
      <c r="L539" s="2">
        <f>IFERROR(K539/J539*100,0)</f>
        <v>0</v>
      </c>
    </row>
    <row r="540" spans="12:12">
      <c r="L540" s="2">
        <f>IFERROR(K540/J540*100,0)</f>
        <v>0</v>
      </c>
    </row>
    <row r="541" spans="12:12">
      <c r="L541" s="2">
        <f>IFERROR(K541/J541*100,0)</f>
        <v>0</v>
      </c>
    </row>
    <row r="542" spans="12:12">
      <c r="L542" s="2">
        <f>IFERROR(K542/J542*100,0)</f>
        <v>0</v>
      </c>
    </row>
    <row r="543" spans="12:12">
      <c r="L543" s="2">
        <f>IFERROR(K543/J543*100,0)</f>
        <v>0</v>
      </c>
    </row>
    <row r="544" spans="12:12">
      <c r="L544" s="2">
        <f>IFERROR(K544/J544*100,0)</f>
        <v>0</v>
      </c>
    </row>
    <row r="545" spans="12:12">
      <c r="L545" s="2">
        <f>IFERROR(K545/J545*100,0)</f>
        <v>0</v>
      </c>
    </row>
    <row r="546" spans="12:12">
      <c r="L546" s="2">
        <f>IFERROR(K546/J546*100,0)</f>
        <v>0</v>
      </c>
    </row>
    <row r="547" spans="12:12">
      <c r="L547" s="2">
        <f>IFERROR(K547/J547*100,0)</f>
        <v>0</v>
      </c>
    </row>
    <row r="548" spans="12:12">
      <c r="L548" s="2">
        <f>IFERROR(K548/J548*100,0)</f>
        <v>0</v>
      </c>
    </row>
    <row r="549" spans="12:12">
      <c r="L549" s="2">
        <f>IFERROR(K549/J549*100,0)</f>
        <v>0</v>
      </c>
    </row>
    <row r="550" spans="12:12">
      <c r="L550" s="2">
        <f>IFERROR(K550/J550*100,0)</f>
        <v>0</v>
      </c>
    </row>
    <row r="551" spans="12:12">
      <c r="L551" s="2">
        <f>IFERROR(K551/J551*100,0)</f>
        <v>0</v>
      </c>
    </row>
    <row r="552" spans="12:12">
      <c r="L552" s="2">
        <f>IFERROR(K552/J552*100,0)</f>
        <v>0</v>
      </c>
    </row>
    <row r="553" spans="12:12">
      <c r="L553" s="2">
        <f>IFERROR(K553/J553*100,0)</f>
        <v>0</v>
      </c>
    </row>
    <row r="554" spans="12:12">
      <c r="L554" s="2">
        <f>IFERROR(K554/J554*100,0)</f>
        <v>0</v>
      </c>
    </row>
    <row r="555" spans="12:12">
      <c r="L555" s="2">
        <f>IFERROR(K555/J555*100,0)</f>
        <v>0</v>
      </c>
    </row>
    <row r="556" spans="12:12">
      <c r="L556" s="2">
        <f>IFERROR(K556/J556*100,0)</f>
        <v>0</v>
      </c>
    </row>
    <row r="557" spans="12:12">
      <c r="L557" s="2">
        <f>IFERROR(K557/J557*100,0)</f>
        <v>0</v>
      </c>
    </row>
    <row r="558" spans="12:12">
      <c r="L558" s="2">
        <f>IFERROR(K558/J558*100,0)</f>
        <v>0</v>
      </c>
    </row>
    <row r="559" spans="12:12">
      <c r="L559" s="2">
        <f>IFERROR(K559/J559*100,0)</f>
        <v>0</v>
      </c>
    </row>
    <row r="560" spans="12:12">
      <c r="L560" s="2">
        <f>IFERROR(K560/J560*100,0)</f>
        <v>0</v>
      </c>
    </row>
    <row r="561" spans="12:12">
      <c r="L561" s="2">
        <f>IFERROR(K561/J561*100,0)</f>
        <v>0</v>
      </c>
    </row>
    <row r="562" spans="12:12">
      <c r="L562" s="2">
        <f>IFERROR(K562/J562*100,0)</f>
        <v>0</v>
      </c>
    </row>
    <row r="563" spans="12:12">
      <c r="L563" s="2">
        <f>IFERROR(K563/J563*100,0)</f>
        <v>0</v>
      </c>
    </row>
    <row r="564" spans="12:12">
      <c r="L564" s="2">
        <f>IFERROR(K564/J564*100,0)</f>
        <v>0</v>
      </c>
    </row>
    <row r="565" spans="12:12">
      <c r="L565" s="2">
        <f>IFERROR(K565/J565*100,0)</f>
        <v>0</v>
      </c>
    </row>
    <row r="566" spans="12:12">
      <c r="L566" s="2">
        <f>IFERROR(K566/J566*100,0)</f>
        <v>0</v>
      </c>
    </row>
    <row r="567" spans="12:12">
      <c r="L567" s="2">
        <f>IFERROR(K567/J567*100,0)</f>
        <v>0</v>
      </c>
    </row>
    <row r="568" spans="12:12">
      <c r="L568" s="2">
        <f>IFERROR(K568/J568*100,0)</f>
        <v>0</v>
      </c>
    </row>
    <row r="569" spans="12:12">
      <c r="L569" s="2">
        <f>IFERROR(K569/J569*100,0)</f>
        <v>0</v>
      </c>
    </row>
    <row r="570" spans="12:12">
      <c r="L570" s="2">
        <f>IFERROR(K570/J570*100,0)</f>
        <v>0</v>
      </c>
    </row>
    <row r="571" spans="12:12">
      <c r="L571" s="2">
        <f>IFERROR(K571/J571*100,0)</f>
        <v>0</v>
      </c>
    </row>
    <row r="572" spans="12:12">
      <c r="L572" s="2">
        <f>IFERROR(K572/J572*100,0)</f>
        <v>0</v>
      </c>
    </row>
    <row r="573" spans="12:12">
      <c r="L573" s="2">
        <f>IFERROR(K573/J573*100,0)</f>
        <v>0</v>
      </c>
    </row>
    <row r="574" spans="12:12">
      <c r="L574" s="2">
        <f>IFERROR(K574/J574*100,0)</f>
        <v>0</v>
      </c>
    </row>
    <row r="575" spans="12:12">
      <c r="L575" s="2">
        <f>IFERROR(K575/J575*100,0)</f>
        <v>0</v>
      </c>
    </row>
    <row r="576" spans="12:12">
      <c r="L576" s="2">
        <f>IFERROR(K576/J576*100,0)</f>
        <v>0</v>
      </c>
    </row>
    <row r="577" spans="12:12">
      <c r="L577" s="2">
        <f>IFERROR(K577/J577*100,0)</f>
        <v>0</v>
      </c>
    </row>
    <row r="578" spans="12:12">
      <c r="L578" s="2">
        <f>IFERROR(K578/J578*100,0)</f>
        <v>0</v>
      </c>
    </row>
    <row r="579" spans="12:12">
      <c r="L579" s="2">
        <f>IFERROR(K579/J579*100,0)</f>
        <v>0</v>
      </c>
    </row>
    <row r="580" spans="12:12">
      <c r="L580" s="2">
        <f>IFERROR(K580/J580*100,0)</f>
        <v>0</v>
      </c>
    </row>
    <row r="581" spans="12:12">
      <c r="L581" s="2">
        <f>IFERROR(K581/J581*100,0)</f>
        <v>0</v>
      </c>
    </row>
    <row r="582" spans="12:12">
      <c r="L582" s="2">
        <f>IFERROR(K582/J582*100,0)</f>
        <v>0</v>
      </c>
    </row>
    <row r="583" spans="12:12">
      <c r="L583" s="2">
        <f>IFERROR(K583/J583*100,0)</f>
        <v>0</v>
      </c>
    </row>
    <row r="584" spans="12:12">
      <c r="L584" s="2">
        <f>IFERROR(K584/J584*100,0)</f>
        <v>0</v>
      </c>
    </row>
    <row r="585" spans="12:12">
      <c r="L585" s="2">
        <f>IFERROR(K585/J585*100,0)</f>
        <v>0</v>
      </c>
    </row>
    <row r="586" spans="12:12">
      <c r="L586" s="2">
        <f>IFERROR(K586/J586*100,0)</f>
        <v>0</v>
      </c>
    </row>
    <row r="587" spans="12:12">
      <c r="L587" s="2">
        <f>IFERROR(K587/J587*100,0)</f>
        <v>0</v>
      </c>
    </row>
    <row r="588" spans="12:12">
      <c r="L588" s="2">
        <f>IFERROR(K588/J588*100,0)</f>
        <v>0</v>
      </c>
    </row>
    <row r="589" spans="12:12">
      <c r="L589" s="2">
        <f>IFERROR(K589/J589*100,0)</f>
        <v>0</v>
      </c>
    </row>
    <row r="590" spans="12:12">
      <c r="L590" s="2">
        <f>IFERROR(K590/J590*100,0)</f>
        <v>0</v>
      </c>
    </row>
    <row r="591" spans="12:12">
      <c r="L591" s="2">
        <f>IFERROR(K591/J591*100,0)</f>
        <v>0</v>
      </c>
    </row>
    <row r="592" spans="12:12">
      <c r="L592" s="2">
        <f>IFERROR(K592/J592*100,0)</f>
        <v>0</v>
      </c>
    </row>
    <row r="593" spans="12:12">
      <c r="L593" s="2">
        <f>IFERROR(K593/J593*100,0)</f>
        <v>0</v>
      </c>
    </row>
    <row r="594" spans="12:12">
      <c r="L594" s="2">
        <f>IFERROR(K594/J594*100,0)</f>
        <v>0</v>
      </c>
    </row>
    <row r="595" spans="12:12">
      <c r="L595" s="2">
        <f>IFERROR(K595/J595*100,0)</f>
        <v>0</v>
      </c>
    </row>
    <row r="596" spans="12:12">
      <c r="L596" s="2">
        <f>IFERROR(K596/J596*100,0)</f>
        <v>0</v>
      </c>
    </row>
    <row r="597" spans="12:12">
      <c r="L597" s="2">
        <f>IFERROR(K597/J597*100,0)</f>
        <v>0</v>
      </c>
    </row>
    <row r="598" spans="12:12">
      <c r="L598" s="2">
        <f>IFERROR(K598/J598*100,0)</f>
        <v>0</v>
      </c>
    </row>
    <row r="599" spans="12:12">
      <c r="L599" s="2">
        <f>IFERROR(K599/J599*100,0)</f>
        <v>0</v>
      </c>
    </row>
    <row r="600" spans="12:12">
      <c r="L600" s="2">
        <f>IFERROR(K600/J600*100,0)</f>
        <v>0</v>
      </c>
    </row>
    <row r="601" spans="12:12">
      <c r="L601" s="2">
        <f>IFERROR(K601/J601*100,0)</f>
        <v>0</v>
      </c>
    </row>
    <row r="602" spans="12:12">
      <c r="L602" s="2">
        <f>IFERROR(K602/J602*100,0)</f>
        <v>0</v>
      </c>
    </row>
    <row r="603" spans="12:12">
      <c r="L603" s="2">
        <f>IFERROR(K603/J603*100,0)</f>
        <v>0</v>
      </c>
    </row>
    <row r="604" spans="12:12">
      <c r="L604" s="2">
        <f>IFERROR(K604/J604*100,0)</f>
        <v>0</v>
      </c>
    </row>
    <row r="605" spans="12:12">
      <c r="L605" s="2">
        <f>IFERROR(K605/J605*100,0)</f>
        <v>0</v>
      </c>
    </row>
    <row r="606" spans="12:12">
      <c r="L606" s="2">
        <f>IFERROR(K606/J606*100,0)</f>
        <v>0</v>
      </c>
    </row>
    <row r="607" spans="12:12">
      <c r="L607" s="2">
        <f>IFERROR(K607/J607*100,0)</f>
        <v>0</v>
      </c>
    </row>
    <row r="608" spans="12:12">
      <c r="L608" s="2">
        <f>IFERROR(K608/J608*100,0)</f>
        <v>0</v>
      </c>
    </row>
    <row r="609" spans="12:12">
      <c r="L609" s="2">
        <f>IFERROR(K609/J609*100,0)</f>
        <v>0</v>
      </c>
    </row>
    <row r="610" spans="12:12">
      <c r="L610" s="2">
        <f>IFERROR(K610/J610*100,0)</f>
        <v>0</v>
      </c>
    </row>
    <row r="611" spans="12:12">
      <c r="L611" s="2">
        <f>IFERROR(K611/J611*100,0)</f>
        <v>0</v>
      </c>
    </row>
    <row r="612" spans="12:12">
      <c r="L612" s="2">
        <f>IFERROR(K612/J612*100,0)</f>
        <v>0</v>
      </c>
    </row>
    <row r="613" spans="12:12">
      <c r="L613" s="2">
        <f>IFERROR(K613/J613*100,0)</f>
        <v>0</v>
      </c>
    </row>
    <row r="614" spans="12:12">
      <c r="L614" s="2">
        <f>IFERROR(K614/J614*100,0)</f>
        <v>0</v>
      </c>
    </row>
    <row r="615" spans="12:12">
      <c r="L615" s="2">
        <f>IFERROR(K615/J615*100,0)</f>
        <v>0</v>
      </c>
    </row>
    <row r="616" spans="12:12">
      <c r="L616" s="2">
        <f>IFERROR(K616/J616*100,0)</f>
        <v>0</v>
      </c>
    </row>
    <row r="617" spans="12:12">
      <c r="L617" s="2">
        <f>IFERROR(K617/J617*100,0)</f>
        <v>0</v>
      </c>
    </row>
    <row r="618" spans="12:12">
      <c r="L618" s="2">
        <f>IFERROR(K618/J618*100,0)</f>
        <v>0</v>
      </c>
    </row>
    <row r="619" spans="12:12">
      <c r="L619" s="2">
        <f>IFERROR(K619/J619*100,0)</f>
        <v>0</v>
      </c>
    </row>
    <row r="620" spans="12:12">
      <c r="L620" s="2">
        <f>IFERROR(K620/J620*100,0)</f>
        <v>0</v>
      </c>
    </row>
    <row r="621" spans="12:12">
      <c r="L621" s="2">
        <f>IFERROR(K621/J621*100,0)</f>
        <v>0</v>
      </c>
    </row>
    <row r="622" spans="12:12">
      <c r="L622" s="2">
        <f>IFERROR(K622/J622*100,0)</f>
        <v>0</v>
      </c>
    </row>
    <row r="623" spans="12:12">
      <c r="L623" s="2">
        <f>IFERROR(K623/J623*100,0)</f>
        <v>0</v>
      </c>
    </row>
    <row r="624" spans="12:12">
      <c r="L624" s="2">
        <f>IFERROR(K624/J624*100,0)</f>
        <v>0</v>
      </c>
    </row>
    <row r="625" spans="12:12">
      <c r="L625" s="2">
        <f>IFERROR(K625/J625*100,0)</f>
        <v>0</v>
      </c>
    </row>
    <row r="626" spans="12:12">
      <c r="L626" s="2">
        <f>IFERROR(K626/J626*100,0)</f>
        <v>0</v>
      </c>
    </row>
    <row r="627" spans="12:12">
      <c r="L627" s="2">
        <f>IFERROR(K627/J627*100,0)</f>
        <v>0</v>
      </c>
    </row>
    <row r="628" spans="12:12">
      <c r="L628" s="2">
        <f>IFERROR(K628/J628*100,0)</f>
        <v>0</v>
      </c>
    </row>
    <row r="629" spans="12:12">
      <c r="L629" s="2">
        <f>IFERROR(K629/J629*100,0)</f>
        <v>0</v>
      </c>
    </row>
    <row r="630" spans="12:12">
      <c r="L630" s="2">
        <f>IFERROR(K630/J630*100,0)</f>
        <v>0</v>
      </c>
    </row>
    <row r="631" spans="12:12">
      <c r="L631" s="2">
        <f>IFERROR(K631/J631*100,0)</f>
        <v>0</v>
      </c>
    </row>
    <row r="632" spans="12:12">
      <c r="L632" s="2">
        <f>IFERROR(K632/J632*100,0)</f>
        <v>0</v>
      </c>
    </row>
    <row r="633" spans="12:12">
      <c r="L633" s="2">
        <f>IFERROR(K633/J633*100,0)</f>
        <v>0</v>
      </c>
    </row>
    <row r="634" spans="12:12">
      <c r="L634" s="2">
        <f>IFERROR(K634/J634*100,0)</f>
        <v>0</v>
      </c>
    </row>
    <row r="635" spans="12:12">
      <c r="L635" s="2">
        <f>IFERROR(K635/J635*100,0)</f>
        <v>0</v>
      </c>
    </row>
    <row r="636" spans="12:12">
      <c r="L636" s="2">
        <f>IFERROR(K636/J636*100,0)</f>
        <v>0</v>
      </c>
    </row>
    <row r="637" spans="12:12">
      <c r="L637" s="2">
        <f>IFERROR(K637/J637*100,0)</f>
        <v>0</v>
      </c>
    </row>
    <row r="638" spans="12:12">
      <c r="L638" s="2">
        <f>IFERROR(K638/J638*100,0)</f>
        <v>0</v>
      </c>
    </row>
    <row r="639" spans="12:12">
      <c r="L639" s="2">
        <f>IFERROR(K639/J639*100,0)</f>
        <v>0</v>
      </c>
    </row>
    <row r="640" spans="12:12">
      <c r="L640" s="2">
        <f>IFERROR(K640/J640*100,0)</f>
        <v>0</v>
      </c>
    </row>
    <row r="641" spans="12:12">
      <c r="L641" s="2">
        <f>IFERROR(K641/J641*100,0)</f>
        <v>0</v>
      </c>
    </row>
    <row r="642" spans="12:12">
      <c r="L642" s="2">
        <f>IFERROR(K642/J642*100,0)</f>
        <v>0</v>
      </c>
    </row>
    <row r="643" spans="12:12">
      <c r="L643" s="2">
        <f>IFERROR(K643/J643*100,0)</f>
        <v>0</v>
      </c>
    </row>
    <row r="644" spans="12:12">
      <c r="L644" s="2">
        <f>IFERROR(K644/J644*100,0)</f>
        <v>0</v>
      </c>
    </row>
    <row r="645" spans="12:12">
      <c r="L645" s="2">
        <f>IFERROR(K645/J645*100,0)</f>
        <v>0</v>
      </c>
    </row>
    <row r="646" spans="12:12">
      <c r="L646" s="2">
        <f>IFERROR(K646/J646*100,0)</f>
        <v>0</v>
      </c>
    </row>
    <row r="647" spans="12:12">
      <c r="L647" s="2">
        <f>IFERROR(K647/J647*100,0)</f>
        <v>0</v>
      </c>
    </row>
    <row r="648" spans="12:12">
      <c r="L648" s="2">
        <f>IFERROR(K648/J648*100,0)</f>
        <v>0</v>
      </c>
    </row>
    <row r="649" spans="12:12">
      <c r="L649" s="2">
        <f>IFERROR(K649/J649*100,0)</f>
        <v>0</v>
      </c>
    </row>
    <row r="650" spans="12:12">
      <c r="L650" s="2">
        <f>IFERROR(K650/J650*100,0)</f>
        <v>0</v>
      </c>
    </row>
    <row r="651" spans="12:12">
      <c r="L651" s="2">
        <f>IFERROR(K651/J651*100,0)</f>
        <v>0</v>
      </c>
    </row>
    <row r="652" spans="12:12">
      <c r="L652" s="2">
        <f>IFERROR(K652/J652*100,0)</f>
        <v>0</v>
      </c>
    </row>
    <row r="653" spans="12:12">
      <c r="L653" s="2">
        <f>IFERROR(K653/J653*100,0)</f>
        <v>0</v>
      </c>
    </row>
    <row r="654" spans="12:12">
      <c r="L654" s="2">
        <f>IFERROR(K654/J654*100,0)</f>
        <v>0</v>
      </c>
    </row>
    <row r="655" spans="12:12">
      <c r="L655" s="2">
        <f>IFERROR(K655/J655*100,0)</f>
        <v>0</v>
      </c>
    </row>
    <row r="656" spans="12:12">
      <c r="L656" s="2">
        <f>IFERROR(K656/J656*100,0)</f>
        <v>0</v>
      </c>
    </row>
    <row r="657" spans="12:12">
      <c r="L657" s="2">
        <f>IFERROR(K657/J657*100,0)</f>
        <v>0</v>
      </c>
    </row>
    <row r="658" spans="12:12">
      <c r="L658" s="2">
        <f>IFERROR(K658/J658*100,0)</f>
        <v>0</v>
      </c>
    </row>
    <row r="659" spans="12:12">
      <c r="L659" s="2">
        <f>IFERROR(K659/J659*100,0)</f>
        <v>0</v>
      </c>
    </row>
    <row r="660" spans="12:12">
      <c r="L660" s="2">
        <f>IFERROR(K660/J660*100,0)</f>
        <v>0</v>
      </c>
    </row>
    <row r="661" spans="12:12">
      <c r="L661" s="2">
        <f>IFERROR(K661/J661*100,0)</f>
        <v>0</v>
      </c>
    </row>
    <row r="662" spans="12:12">
      <c r="L662" s="2">
        <f>IFERROR(K662/J662*100,0)</f>
        <v>0</v>
      </c>
    </row>
    <row r="663" spans="12:12">
      <c r="L663" s="2">
        <f>IFERROR(K663/J663*100,0)</f>
        <v>0</v>
      </c>
    </row>
    <row r="664" spans="12:12">
      <c r="L664" s="2">
        <f>IFERROR(K664/J664*100,0)</f>
        <v>0</v>
      </c>
    </row>
    <row r="665" spans="12:12">
      <c r="L665" s="2">
        <f>IFERROR(K665/J665*100,0)</f>
        <v>0</v>
      </c>
    </row>
    <row r="666" spans="12:12">
      <c r="L666" s="2">
        <f>IFERROR(K666/J666*100,0)</f>
        <v>0</v>
      </c>
    </row>
    <row r="667" spans="12:12">
      <c r="L667" s="2">
        <f>IFERROR(K667/J667*100,0)</f>
        <v>0</v>
      </c>
    </row>
    <row r="668" spans="12:12">
      <c r="L668" s="2">
        <f>IFERROR(K668/J668*100,0)</f>
        <v>0</v>
      </c>
    </row>
    <row r="669" spans="12:12">
      <c r="L669" s="2">
        <f>IFERROR(K669/J669*100,0)</f>
        <v>0</v>
      </c>
    </row>
    <row r="670" spans="12:12">
      <c r="L670" s="2">
        <f>IFERROR(K670/J670*100,0)</f>
        <v>0</v>
      </c>
    </row>
    <row r="671" spans="12:12">
      <c r="L671" s="2">
        <f>IFERROR(K671/J671*100,0)</f>
        <v>0</v>
      </c>
    </row>
    <row r="672" spans="12:12">
      <c r="L672" s="2">
        <f>IFERROR(K672/J672*100,0)</f>
        <v>0</v>
      </c>
    </row>
    <row r="673" spans="12:12">
      <c r="L673" s="2">
        <f>IFERROR(K673/J673*100,0)</f>
        <v>0</v>
      </c>
    </row>
    <row r="674" spans="12:12">
      <c r="L674" s="2">
        <f>IFERROR(K674/J674*100,0)</f>
        <v>0</v>
      </c>
    </row>
    <row r="675" spans="12:12">
      <c r="L675" s="2">
        <f>IFERROR(K675/J675*100,0)</f>
        <v>0</v>
      </c>
    </row>
    <row r="676" spans="12:12">
      <c r="L676" s="2">
        <f>IFERROR(K676/J676*100,0)</f>
        <v>0</v>
      </c>
    </row>
    <row r="677" spans="12:12">
      <c r="L677" s="2">
        <f>IFERROR(K677/J677*100,0)</f>
        <v>0</v>
      </c>
    </row>
    <row r="678" spans="12:12">
      <c r="L678" s="2">
        <f>IFERROR(K678/J678*100,0)</f>
        <v>0</v>
      </c>
    </row>
    <row r="679" spans="12:12">
      <c r="L679" s="2">
        <f>IFERROR(K679/J679*100,0)</f>
        <v>0</v>
      </c>
    </row>
    <row r="680" spans="12:12">
      <c r="L680" s="2">
        <f>IFERROR(K680/J680*100,0)</f>
        <v>0</v>
      </c>
    </row>
    <row r="681" spans="12:12">
      <c r="L681" s="2">
        <f>IFERROR(K681/J681*100,0)</f>
        <v>0</v>
      </c>
    </row>
    <row r="682" spans="12:12">
      <c r="L682" s="2">
        <f>IFERROR(K682/J682*100,0)</f>
        <v>0</v>
      </c>
    </row>
    <row r="683" spans="12:12">
      <c r="L683" s="2">
        <f>IFERROR(K683/J683*100,0)</f>
        <v>0</v>
      </c>
    </row>
    <row r="684" spans="12:12">
      <c r="L684" s="2">
        <f>IFERROR(K684/J684*100,0)</f>
        <v>0</v>
      </c>
    </row>
    <row r="685" spans="12:12">
      <c r="L685" s="2">
        <f>IFERROR(K685/J685*100,0)</f>
        <v>0</v>
      </c>
    </row>
    <row r="686" spans="12:12">
      <c r="L686" s="2">
        <f>IFERROR(K686/J686*100,0)</f>
        <v>0</v>
      </c>
    </row>
    <row r="687" spans="12:12">
      <c r="L687" s="2">
        <f>IFERROR(K687/J687*100,0)</f>
        <v>0</v>
      </c>
    </row>
    <row r="688" spans="12:12">
      <c r="L688" s="2">
        <f>IFERROR(K688/J688*100,0)</f>
        <v>0</v>
      </c>
    </row>
    <row r="689" spans="12:12">
      <c r="L689" s="2">
        <f>IFERROR(K689/J689*100,0)</f>
        <v>0</v>
      </c>
    </row>
    <row r="690" spans="12:12">
      <c r="L690" s="2">
        <f>IFERROR(K690/J690*100,0)</f>
        <v>0</v>
      </c>
    </row>
    <row r="691" spans="12:12">
      <c r="L691" s="2">
        <f>IFERROR(K691/J691*100,0)</f>
        <v>0</v>
      </c>
    </row>
    <row r="692" spans="12:12">
      <c r="L692" s="2">
        <f>IFERROR(K692/J692*100,0)</f>
        <v>0</v>
      </c>
    </row>
    <row r="693" spans="12:12">
      <c r="L693" s="2">
        <f>IFERROR(K693/J693*100,0)</f>
        <v>0</v>
      </c>
    </row>
    <row r="694" spans="12:12">
      <c r="L694" s="2">
        <f>IFERROR(K694/J694*100,0)</f>
        <v>0</v>
      </c>
    </row>
    <row r="695" spans="12:12">
      <c r="L695" s="2">
        <f>IFERROR(K695/J695*100,0)</f>
        <v>0</v>
      </c>
    </row>
    <row r="696" spans="12:12">
      <c r="L696" s="2">
        <f>IFERROR(K696/J696*100,0)</f>
        <v>0</v>
      </c>
    </row>
    <row r="697" spans="12:12">
      <c r="L697" s="2">
        <f>IFERROR(K697/J697*100,0)</f>
        <v>0</v>
      </c>
    </row>
    <row r="698" spans="12:12">
      <c r="L698" s="2">
        <f>IFERROR(K698/J698*100,0)</f>
        <v>0</v>
      </c>
    </row>
    <row r="699" spans="12:12">
      <c r="L699" s="2">
        <f>IFERROR(K699/J699*100,0)</f>
        <v>0</v>
      </c>
    </row>
    <row r="700" spans="12:12">
      <c r="L700" s="2">
        <f>IFERROR(K700/J700*100,0)</f>
        <v>0</v>
      </c>
    </row>
    <row r="701" spans="12:12">
      <c r="L701" s="2">
        <f>IFERROR(K701/J701*100,0)</f>
        <v>0</v>
      </c>
    </row>
    <row r="702" spans="12:12">
      <c r="L702" s="2">
        <f>IFERROR(K702/J702*100,0)</f>
        <v>0</v>
      </c>
    </row>
    <row r="703" spans="12:12">
      <c r="L703" s="2">
        <f>IFERROR(K703/J703*100,0)</f>
        <v>0</v>
      </c>
    </row>
    <row r="704" spans="12:12">
      <c r="L704" s="2">
        <f>IFERROR(K704/J704*100,0)</f>
        <v>0</v>
      </c>
    </row>
    <row r="705" spans="12:12">
      <c r="L705" s="2">
        <f>IFERROR(K705/J705*100,0)</f>
        <v>0</v>
      </c>
    </row>
    <row r="706" spans="12:12">
      <c r="L706" s="2">
        <f>IFERROR(K706/J706*100,0)</f>
        <v>0</v>
      </c>
    </row>
    <row r="707" spans="12:12">
      <c r="L707" s="2">
        <f>IFERROR(K707/J707*100,0)</f>
        <v>0</v>
      </c>
    </row>
    <row r="708" spans="12:12">
      <c r="L708" s="2">
        <f>IFERROR(K708/J708*100,0)</f>
        <v>0</v>
      </c>
    </row>
    <row r="709" spans="12:12">
      <c r="L709" s="2">
        <f>IFERROR(K709/J709*100,0)</f>
        <v>0</v>
      </c>
    </row>
    <row r="710" spans="12:12">
      <c r="L710" s="2">
        <f>IFERROR(K710/J710*100,0)</f>
        <v>0</v>
      </c>
    </row>
    <row r="711" spans="12:12">
      <c r="L711" s="2">
        <f>IFERROR(K711/J711*100,0)</f>
        <v>0</v>
      </c>
    </row>
    <row r="712" spans="12:12">
      <c r="L712" s="2">
        <f>IFERROR(K712/J712*100,0)</f>
        <v>0</v>
      </c>
    </row>
    <row r="713" spans="12:12">
      <c r="L713" s="2">
        <f>IFERROR(K713/J713*100,0)</f>
        <v>0</v>
      </c>
    </row>
    <row r="714" spans="12:12">
      <c r="L714" s="2">
        <f>IFERROR(K714/J714*100,0)</f>
        <v>0</v>
      </c>
    </row>
    <row r="715" spans="12:12">
      <c r="L715" s="2">
        <f>IFERROR(K715/J715*100,0)</f>
        <v>0</v>
      </c>
    </row>
    <row r="716" spans="12:12">
      <c r="L716" s="2">
        <f>IFERROR(K716/J716*100,0)</f>
        <v>0</v>
      </c>
    </row>
    <row r="717" spans="12:12">
      <c r="L717" s="2">
        <f>IFERROR(K717/J717*100,0)</f>
        <v>0</v>
      </c>
    </row>
    <row r="718" spans="12:12">
      <c r="L718" s="2">
        <f>IFERROR(K718/J718*100,0)</f>
        <v>0</v>
      </c>
    </row>
    <row r="719" spans="12:12">
      <c r="L719" s="2">
        <f>IFERROR(K719/J719*100,0)</f>
        <v>0</v>
      </c>
    </row>
    <row r="720" spans="12:12">
      <c r="L720" s="2">
        <f>IFERROR(K720/J720*100,0)</f>
        <v>0</v>
      </c>
    </row>
    <row r="721" spans="12:12">
      <c r="L721" s="2">
        <f>IFERROR(K721/J721*100,0)</f>
        <v>0</v>
      </c>
    </row>
    <row r="722" spans="12:12">
      <c r="L722" s="2">
        <f>IFERROR(K722/J722*100,0)</f>
        <v>0</v>
      </c>
    </row>
    <row r="723" spans="12:12">
      <c r="L723" s="2">
        <f>IFERROR(K723/J723*100,0)</f>
        <v>0</v>
      </c>
    </row>
    <row r="724" spans="12:12">
      <c r="L724" s="2">
        <f>IFERROR(K724/J724*100,0)</f>
        <v>0</v>
      </c>
    </row>
    <row r="725" spans="12:12">
      <c r="L725" s="2">
        <f>IFERROR(K725/J725*100,0)</f>
        <v>0</v>
      </c>
    </row>
    <row r="726" spans="12:12">
      <c r="L726" s="2">
        <f>IFERROR(K726/J726*100,0)</f>
        <v>0</v>
      </c>
    </row>
    <row r="727" spans="12:12">
      <c r="L727" s="2">
        <f>IFERROR(K727/J727*100,0)</f>
        <v>0</v>
      </c>
    </row>
    <row r="728" spans="12:12">
      <c r="L728" s="2">
        <f>IFERROR(K728/J728*100,0)</f>
        <v>0</v>
      </c>
    </row>
    <row r="729" spans="12:12">
      <c r="L729" s="2">
        <f>IFERROR(K729/J729*100,0)</f>
        <v>0</v>
      </c>
    </row>
    <row r="730" spans="12:12">
      <c r="L730" s="2">
        <f>IFERROR(K730/J730*100,0)</f>
        <v>0</v>
      </c>
    </row>
    <row r="731" spans="12:12">
      <c r="L731" s="2">
        <f>IFERROR(K731/J731*100,0)</f>
        <v>0</v>
      </c>
    </row>
    <row r="732" spans="12:12">
      <c r="L732" s="2">
        <f>IFERROR(K732/J732*100,0)</f>
        <v>0</v>
      </c>
    </row>
    <row r="733" spans="12:12">
      <c r="L733" s="2">
        <f>IFERROR(K733/J733*100,0)</f>
        <v>0</v>
      </c>
    </row>
    <row r="734" spans="12:12">
      <c r="L734" s="2">
        <f>IFERROR(K734/J734*100,0)</f>
        <v>0</v>
      </c>
    </row>
    <row r="735" spans="12:12">
      <c r="L735" s="2">
        <f>IFERROR(K735/J735*100,0)</f>
        <v>0</v>
      </c>
    </row>
    <row r="736" spans="12:12">
      <c r="L736" s="2">
        <f>IFERROR(K736/J736*100,0)</f>
        <v>0</v>
      </c>
    </row>
    <row r="737" spans="12:12">
      <c r="L737" s="2">
        <f>IFERROR(K737/J737*100,0)</f>
        <v>0</v>
      </c>
    </row>
    <row r="738" spans="12:12">
      <c r="L738" s="2">
        <f>IFERROR(K738/J738*100,0)</f>
        <v>0</v>
      </c>
    </row>
    <row r="739" spans="12:12">
      <c r="L739" s="2">
        <f>IFERROR(K739/J739*100,0)</f>
        <v>0</v>
      </c>
    </row>
    <row r="740" spans="12:12">
      <c r="L740" s="2">
        <f>IFERROR(K740/J740*100,0)</f>
        <v>0</v>
      </c>
    </row>
    <row r="741" spans="12:12">
      <c r="L741" s="2">
        <f>IFERROR(K741/J741*100,0)</f>
        <v>0</v>
      </c>
    </row>
    <row r="742" spans="12:12">
      <c r="L742" s="2">
        <f>IFERROR(K742/J742*100,0)</f>
        <v>0</v>
      </c>
    </row>
    <row r="743" spans="12:12">
      <c r="L743" s="2">
        <f>IFERROR(K743/J743*100,0)</f>
        <v>0</v>
      </c>
    </row>
    <row r="744" spans="12:12">
      <c r="L744" s="2">
        <f>IFERROR(K744/J744*100,0)</f>
        <v>0</v>
      </c>
    </row>
    <row r="745" spans="12:12">
      <c r="L745" s="2">
        <f>IFERROR(K745/J745*100,0)</f>
        <v>0</v>
      </c>
    </row>
    <row r="746" spans="12:12">
      <c r="L746" s="2">
        <f>IFERROR(K746/J746*100,0)</f>
        <v>0</v>
      </c>
    </row>
    <row r="747" spans="12:12">
      <c r="L747" s="2">
        <f>IFERROR(K747/J747*100,0)</f>
        <v>0</v>
      </c>
    </row>
    <row r="748" spans="12:12">
      <c r="L748" s="2">
        <f>IFERROR(K748/J748*100,0)</f>
        <v>0</v>
      </c>
    </row>
    <row r="749" spans="12:12">
      <c r="L749" s="2">
        <f>IFERROR(K749/J749*100,0)</f>
        <v>0</v>
      </c>
    </row>
    <row r="750" spans="12:12">
      <c r="L750" s="2">
        <f>IFERROR(K750/J750*100,0)</f>
        <v>0</v>
      </c>
    </row>
    <row r="751" spans="12:12">
      <c r="L751" s="2">
        <f>IFERROR(K751/J751*100,0)</f>
        <v>0</v>
      </c>
    </row>
    <row r="752" spans="12:12">
      <c r="L752" s="2">
        <f>IFERROR(K752/J752*100,0)</f>
        <v>0</v>
      </c>
    </row>
    <row r="753" spans="12:12">
      <c r="L753" s="2">
        <f>IFERROR(K753/J753*100,0)</f>
        <v>0</v>
      </c>
    </row>
    <row r="754" spans="12:12">
      <c r="L754" s="2">
        <f>IFERROR(K754/J754*100,0)</f>
        <v>0</v>
      </c>
    </row>
    <row r="755" spans="12:12">
      <c r="L755" s="2">
        <f>IFERROR(K755/J755*100,0)</f>
        <v>0</v>
      </c>
    </row>
    <row r="756" spans="12:12">
      <c r="L756" s="2">
        <f>IFERROR(K756/J756*100,0)</f>
        <v>0</v>
      </c>
    </row>
    <row r="757" spans="12:12">
      <c r="L757" s="2">
        <f>IFERROR(K757/J757*100,0)</f>
        <v>0</v>
      </c>
    </row>
    <row r="758" spans="12:12">
      <c r="L758" s="2">
        <f>IFERROR(K758/J758*100,0)</f>
        <v>0</v>
      </c>
    </row>
    <row r="759" spans="12:12">
      <c r="L759" s="2">
        <f>IFERROR(K759/J759*100,0)</f>
        <v>0</v>
      </c>
    </row>
    <row r="760" spans="12:12">
      <c r="L760" s="2">
        <f>IFERROR(K760/J760*100,0)</f>
        <v>0</v>
      </c>
    </row>
    <row r="761" spans="12:12">
      <c r="L761" s="2">
        <f>IFERROR(K761/J761*100,0)</f>
        <v>0</v>
      </c>
    </row>
    <row r="762" spans="12:12">
      <c r="L762" s="2">
        <f>IFERROR(K762/J762*100,0)</f>
        <v>0</v>
      </c>
    </row>
    <row r="763" spans="12:12">
      <c r="L763" s="2">
        <f>IFERROR(K763/J763*100,0)</f>
        <v>0</v>
      </c>
    </row>
    <row r="764" spans="12:12">
      <c r="L764" s="2">
        <f>IFERROR(K764/J764*100,0)</f>
        <v>0</v>
      </c>
    </row>
    <row r="765" spans="12:12">
      <c r="L765" s="2">
        <f>IFERROR(K765/J765*100,0)</f>
        <v>0</v>
      </c>
    </row>
    <row r="766" spans="12:12">
      <c r="L766" s="2">
        <f>IFERROR(K766/J766*100,0)</f>
        <v>0</v>
      </c>
    </row>
    <row r="767" spans="12:12">
      <c r="L767" s="2">
        <f>IFERROR(K767/J767*100,0)</f>
        <v>0</v>
      </c>
    </row>
    <row r="768" spans="12:12">
      <c r="L768" s="2">
        <f>IFERROR(K768/J768*100,0)</f>
        <v>0</v>
      </c>
    </row>
    <row r="769" spans="12:12">
      <c r="L769" s="2">
        <f>IFERROR(K769/J769*100,0)</f>
        <v>0</v>
      </c>
    </row>
    <row r="770" spans="12:12">
      <c r="L770" s="2">
        <f>IFERROR(K770/J770*100,0)</f>
        <v>0</v>
      </c>
    </row>
    <row r="771" spans="12:12">
      <c r="L771" s="2">
        <f>IFERROR(K771/J771*100,0)</f>
        <v>0</v>
      </c>
    </row>
    <row r="772" spans="12:12">
      <c r="L772" s="2">
        <f>IFERROR(K772/J772*100,0)</f>
        <v>0</v>
      </c>
    </row>
    <row r="773" spans="12:12">
      <c r="L773" s="2">
        <f>IFERROR(K773/J773*100,0)</f>
        <v>0</v>
      </c>
    </row>
    <row r="774" spans="12:12">
      <c r="L774" s="2">
        <f>IFERROR(K774/J774*100,0)</f>
        <v>0</v>
      </c>
    </row>
    <row r="775" spans="12:12">
      <c r="L775" s="2">
        <f>IFERROR(K775/J775*100,0)</f>
        <v>0</v>
      </c>
    </row>
    <row r="776" spans="12:12">
      <c r="L776" s="2">
        <f>IFERROR(K776/J776*100,0)</f>
        <v>0</v>
      </c>
    </row>
    <row r="777" spans="12:12">
      <c r="L777" s="2">
        <f>IFERROR(K777/J777*100,0)</f>
        <v>0</v>
      </c>
    </row>
    <row r="778" spans="12:12">
      <c r="L778" s="2">
        <f>IFERROR(K778/J778*100,0)</f>
        <v>0</v>
      </c>
    </row>
    <row r="779" spans="12:12">
      <c r="L779" s="2">
        <f>IFERROR(K779/J779*100,0)</f>
        <v>0</v>
      </c>
    </row>
    <row r="780" spans="12:12">
      <c r="L780" s="2">
        <f>IFERROR(K780/J780*100,0)</f>
        <v>0</v>
      </c>
    </row>
    <row r="781" spans="12:12">
      <c r="L781" s="2">
        <f>IFERROR(K781/J781*100,0)</f>
        <v>0</v>
      </c>
    </row>
    <row r="782" spans="12:12">
      <c r="L782" s="2">
        <f>IFERROR(K782/J782*100,0)</f>
        <v>0</v>
      </c>
    </row>
    <row r="783" spans="12:12">
      <c r="L783" s="2">
        <f>IFERROR(K783/J783*100,0)</f>
        <v>0</v>
      </c>
    </row>
    <row r="784" spans="12:12">
      <c r="L784" s="2">
        <f>IFERROR(K784/J784*100,0)</f>
        <v>0</v>
      </c>
    </row>
    <row r="785" spans="12:12">
      <c r="L785" s="2">
        <f>IFERROR(K785/J785*100,0)</f>
        <v>0</v>
      </c>
    </row>
    <row r="786" spans="12:12">
      <c r="L786" s="2">
        <f>IFERROR(K786/J786*100,0)</f>
        <v>0</v>
      </c>
    </row>
    <row r="787" spans="12:12">
      <c r="L787" s="2">
        <f>IFERROR(K787/J787*100,0)</f>
        <v>0</v>
      </c>
    </row>
    <row r="788" spans="12:12">
      <c r="L788" s="2">
        <f>IFERROR(K788/J788*100,0)</f>
        <v>0</v>
      </c>
    </row>
    <row r="789" spans="12:12">
      <c r="L789" s="2">
        <f>IFERROR(K789/J789*100,0)</f>
        <v>0</v>
      </c>
    </row>
    <row r="790" spans="12:12">
      <c r="L790" s="2">
        <f>IFERROR(K790/J790*100,0)</f>
        <v>0</v>
      </c>
    </row>
    <row r="791" spans="12:12">
      <c r="L791" s="2">
        <f>IFERROR(K791/J791*100,0)</f>
        <v>0</v>
      </c>
    </row>
    <row r="792" spans="12:12">
      <c r="L792" s="2">
        <f>IFERROR(K792/J792*100,0)</f>
        <v>0</v>
      </c>
    </row>
    <row r="793" spans="12:12">
      <c r="L793" s="2">
        <f>IFERROR(K793/J793*100,0)</f>
        <v>0</v>
      </c>
    </row>
    <row r="794" spans="12:12">
      <c r="L794" s="2">
        <f>IFERROR(K794/J794*100,0)</f>
        <v>0</v>
      </c>
    </row>
    <row r="795" spans="12:12">
      <c r="L795" s="2">
        <f>IFERROR(K795/J795*100,0)</f>
        <v>0</v>
      </c>
    </row>
    <row r="796" spans="12:12">
      <c r="L796" s="2">
        <f>IFERROR(K796/J796*100,0)</f>
        <v>0</v>
      </c>
    </row>
    <row r="797" spans="12:12">
      <c r="L797" s="2">
        <f>IFERROR(K797/J797*100,0)</f>
        <v>0</v>
      </c>
    </row>
    <row r="798" spans="12:12">
      <c r="L798" s="2">
        <f>IFERROR(K798/J798*100,0)</f>
        <v>0</v>
      </c>
    </row>
    <row r="799" spans="12:12">
      <c r="L799" s="2">
        <f>IFERROR(K799/J799*100,0)</f>
        <v>0</v>
      </c>
    </row>
    <row r="800" spans="12:12">
      <c r="L800" s="2">
        <f>IFERROR(K800/J800*100,0)</f>
        <v>0</v>
      </c>
    </row>
    <row r="801" spans="12:12">
      <c r="L801" s="2">
        <f>IFERROR(K801/J801*100,0)</f>
        <v>0</v>
      </c>
    </row>
    <row r="802" spans="12:12">
      <c r="L802" s="2">
        <f>IFERROR(K802/J802*100,0)</f>
        <v>0</v>
      </c>
    </row>
    <row r="803" spans="12:12">
      <c r="L803" s="2">
        <f>IFERROR(K803/J803*100,0)</f>
        <v>0</v>
      </c>
    </row>
    <row r="804" spans="12:12">
      <c r="L804" s="2">
        <f>IFERROR(K804/J804*100,0)</f>
        <v>0</v>
      </c>
    </row>
    <row r="805" spans="12:12">
      <c r="L805" s="2">
        <f>IFERROR(K805/J805*100,0)</f>
        <v>0</v>
      </c>
    </row>
    <row r="806" spans="12:12">
      <c r="L806" s="2">
        <f>IFERROR(K806/J806*100,0)</f>
        <v>0</v>
      </c>
    </row>
    <row r="807" spans="12:12">
      <c r="L807" s="2">
        <f>IFERROR(K807/J807*100,0)</f>
        <v>0</v>
      </c>
    </row>
    <row r="808" spans="12:12">
      <c r="L808" s="2">
        <f>IFERROR(K808/J808*100,0)</f>
        <v>0</v>
      </c>
    </row>
    <row r="809" spans="12:12">
      <c r="L809" s="2">
        <f>IFERROR(K809/J809*100,0)</f>
        <v>0</v>
      </c>
    </row>
    <row r="810" spans="12:12">
      <c r="L810" s="2">
        <f>IFERROR(K810/J810*100,0)</f>
        <v>0</v>
      </c>
    </row>
    <row r="811" spans="12:12">
      <c r="L811" s="2">
        <f>IFERROR(K811/J811*100,0)</f>
        <v>0</v>
      </c>
    </row>
    <row r="812" spans="12:12">
      <c r="L812" s="2">
        <f>IFERROR(K812/J812*100,0)</f>
        <v>0</v>
      </c>
    </row>
    <row r="813" spans="12:12">
      <c r="L813" s="2">
        <f>IFERROR(K813/J813*100,0)</f>
        <v>0</v>
      </c>
    </row>
    <row r="814" spans="12:12">
      <c r="L814" s="2">
        <f>IFERROR(K814/J814*100,0)</f>
        <v>0</v>
      </c>
    </row>
    <row r="815" spans="12:12">
      <c r="L815" s="2">
        <f>IFERROR(K815/J815*100,0)</f>
        <v>0</v>
      </c>
    </row>
    <row r="816" spans="12:12">
      <c r="L816" s="2">
        <f>IFERROR(K816/J816*100,0)</f>
        <v>0</v>
      </c>
    </row>
    <row r="817" spans="12:12">
      <c r="L817" s="2">
        <f>IFERROR(K817/J817*100,0)</f>
        <v>0</v>
      </c>
    </row>
    <row r="818" spans="12:12">
      <c r="L818" s="2">
        <f>IFERROR(K818/J818*100,0)</f>
        <v>0</v>
      </c>
    </row>
    <row r="819" spans="12:12">
      <c r="L819" s="2">
        <f>IFERROR(K819/J819*100,0)</f>
        <v>0</v>
      </c>
    </row>
    <row r="820" spans="12:12">
      <c r="L820" s="2">
        <f>IFERROR(K820/J820*100,0)</f>
        <v>0</v>
      </c>
    </row>
    <row r="821" spans="12:12">
      <c r="L821" s="2">
        <f>IFERROR(K821/J821*100,0)</f>
        <v>0</v>
      </c>
    </row>
    <row r="822" spans="12:12">
      <c r="L822" s="2">
        <f>IFERROR(K822/J822*100,0)</f>
        <v>0</v>
      </c>
    </row>
    <row r="823" spans="12:12">
      <c r="L823" s="2">
        <f>IFERROR(K823/J823*100,0)</f>
        <v>0</v>
      </c>
    </row>
    <row r="824" spans="12:12">
      <c r="L824" s="2">
        <f>IFERROR(K824/J824*100,0)</f>
        <v>0</v>
      </c>
    </row>
    <row r="825" spans="12:12">
      <c r="L825" s="2">
        <f>IFERROR(K825/J825*100,0)</f>
        <v>0</v>
      </c>
    </row>
    <row r="826" spans="12:12">
      <c r="L826" s="2">
        <f>IFERROR(K826/J826*100,0)</f>
        <v>0</v>
      </c>
    </row>
    <row r="827" spans="12:12">
      <c r="L827" s="2">
        <f>IFERROR(K827/J827*100,0)</f>
        <v>0</v>
      </c>
    </row>
    <row r="828" spans="12:12">
      <c r="L828" s="2">
        <f>IFERROR(K828/J828*100,0)</f>
        <v>0</v>
      </c>
    </row>
    <row r="829" spans="12:12">
      <c r="L829" s="2">
        <f>IFERROR(K829/J829*100,0)</f>
        <v>0</v>
      </c>
    </row>
    <row r="830" spans="12:12">
      <c r="L830" s="2">
        <f>IFERROR(K830/J830*100,0)</f>
        <v>0</v>
      </c>
    </row>
    <row r="831" spans="12:12">
      <c r="L831" s="2">
        <f>IFERROR(K831/J831*100,0)</f>
        <v>0</v>
      </c>
    </row>
    <row r="832" spans="12:12">
      <c r="L832" s="2">
        <f>IFERROR(K832/J832*100,0)</f>
        <v>0</v>
      </c>
    </row>
    <row r="833" spans="12:12">
      <c r="L833" s="2">
        <f>IFERROR(K833/J833*100,0)</f>
        <v>0</v>
      </c>
    </row>
    <row r="834" spans="12:12">
      <c r="L834" s="2">
        <f>IFERROR(K834/J834*100,0)</f>
        <v>0</v>
      </c>
    </row>
    <row r="835" spans="12:12">
      <c r="L835" s="2">
        <f>IFERROR(K835/J835*100,0)</f>
        <v>0</v>
      </c>
    </row>
    <row r="836" spans="12:12">
      <c r="L836" s="2">
        <f>IFERROR(K836/J836*100,0)</f>
        <v>0</v>
      </c>
    </row>
    <row r="837" spans="12:12">
      <c r="L837" s="2">
        <f>IFERROR(K837/J837*100,0)</f>
        <v>0</v>
      </c>
    </row>
    <row r="838" spans="12:12">
      <c r="L838" s="2">
        <f>IFERROR(K838/J838*100,0)</f>
        <v>0</v>
      </c>
    </row>
    <row r="839" spans="12:12">
      <c r="L839" s="2">
        <f>IFERROR(K839/J839*100,0)</f>
        <v>0</v>
      </c>
    </row>
    <row r="840" spans="12:12">
      <c r="L840" s="2">
        <f>IFERROR(K840/J840*100,0)</f>
        <v>0</v>
      </c>
    </row>
    <row r="841" spans="12:12">
      <c r="L841" s="2">
        <f>IFERROR(K841/J841*100,0)</f>
        <v>0</v>
      </c>
    </row>
    <row r="842" spans="12:12">
      <c r="L842" s="2">
        <f>IFERROR(K842/J842*100,0)</f>
        <v>0</v>
      </c>
    </row>
    <row r="843" spans="12:12">
      <c r="L843" s="2">
        <f>IFERROR(K843/J843*100,0)</f>
        <v>0</v>
      </c>
    </row>
    <row r="844" spans="12:12">
      <c r="L844" s="2">
        <f>IFERROR(K844/J844*100,0)</f>
        <v>0</v>
      </c>
    </row>
    <row r="845" spans="12:12">
      <c r="L845" s="2">
        <f>IFERROR(K845/J845*100,0)</f>
        <v>0</v>
      </c>
    </row>
    <row r="846" spans="12:12">
      <c r="L846" s="2">
        <f>IFERROR(K846/J846*100,0)</f>
        <v>0</v>
      </c>
    </row>
    <row r="847" spans="12:12">
      <c r="L847" s="2">
        <f>IFERROR(K847/J847*100,0)</f>
        <v>0</v>
      </c>
    </row>
    <row r="848" spans="12:12">
      <c r="L848" s="2">
        <f>IFERROR(K848/J848*100,0)</f>
        <v>0</v>
      </c>
    </row>
    <row r="849" spans="12:12">
      <c r="L849" s="2">
        <f>IFERROR(K849/J849*100,0)</f>
        <v>0</v>
      </c>
    </row>
    <row r="850" spans="12:12">
      <c r="L850" s="2">
        <f>IFERROR(K850/J850*100,0)</f>
        <v>0</v>
      </c>
    </row>
    <row r="851" spans="12:12">
      <c r="L851" s="2">
        <f>IFERROR(K851/J851*100,0)</f>
        <v>0</v>
      </c>
    </row>
    <row r="852" spans="12:12">
      <c r="L852" s="2">
        <f>IFERROR(K852/J852*100,0)</f>
        <v>0</v>
      </c>
    </row>
    <row r="853" spans="12:12">
      <c r="L853" s="2">
        <f>IFERROR(K853/J853*100,0)</f>
        <v>0</v>
      </c>
    </row>
    <row r="854" spans="12:12">
      <c r="L854" s="2">
        <f>IFERROR(K854/J854*100,0)</f>
        <v>0</v>
      </c>
    </row>
    <row r="855" spans="12:12">
      <c r="L855" s="2">
        <f>IFERROR(K855/J855*100,0)</f>
        <v>0</v>
      </c>
    </row>
    <row r="856" spans="12:12">
      <c r="L856" s="2">
        <f>IFERROR(K856/J856*100,0)</f>
        <v>0</v>
      </c>
    </row>
    <row r="857" spans="12:12">
      <c r="L857" s="2">
        <f>IFERROR(K857/J857*100,0)</f>
        <v>0</v>
      </c>
    </row>
    <row r="858" spans="12:12">
      <c r="L858" s="2">
        <f>IFERROR(K858/J858*100,0)</f>
        <v>0</v>
      </c>
    </row>
    <row r="859" spans="12:12">
      <c r="L859" s="2">
        <f>IFERROR(K859/J859*100,0)</f>
        <v>0</v>
      </c>
    </row>
    <row r="860" spans="12:12">
      <c r="L860" s="2">
        <f>IFERROR(K860/J860*100,0)</f>
        <v>0</v>
      </c>
    </row>
    <row r="861" spans="12:12">
      <c r="L861" s="2">
        <f>IFERROR(K861/J861*100,0)</f>
        <v>0</v>
      </c>
    </row>
    <row r="862" spans="12:12">
      <c r="L862" s="2">
        <f>IFERROR(K862/J862*100,0)</f>
        <v>0</v>
      </c>
    </row>
    <row r="863" spans="12:12">
      <c r="L863" s="2">
        <f>IFERROR(K863/J863*100,0)</f>
        <v>0</v>
      </c>
    </row>
    <row r="864" spans="12:12">
      <c r="L864" s="2">
        <f>IFERROR(K864/J864*100,0)</f>
        <v>0</v>
      </c>
    </row>
    <row r="865" spans="12:12">
      <c r="L865" s="2">
        <f>IFERROR(K865/J865*100,0)</f>
        <v>0</v>
      </c>
    </row>
    <row r="866" spans="12:12">
      <c r="L866" s="2">
        <f>IFERROR(K866/J866*100,0)</f>
        <v>0</v>
      </c>
    </row>
    <row r="867" spans="12:12">
      <c r="L867" s="2">
        <f>IFERROR(K867/J867*100,0)</f>
        <v>0</v>
      </c>
    </row>
    <row r="868" spans="12:12">
      <c r="L868" s="2">
        <f>IFERROR(K868/J868*100,0)</f>
        <v>0</v>
      </c>
    </row>
    <row r="869" spans="12:12">
      <c r="L869" s="2">
        <f>IFERROR(K869/J869*100,0)</f>
        <v>0</v>
      </c>
    </row>
    <row r="870" spans="12:12">
      <c r="L870" s="2">
        <f>IFERROR(K870/J870*100,0)</f>
        <v>0</v>
      </c>
    </row>
    <row r="871" spans="12:12">
      <c r="L871" s="2">
        <f>IFERROR(K871/J871*100,0)</f>
        <v>0</v>
      </c>
    </row>
    <row r="872" spans="12:12">
      <c r="L872" s="2">
        <f>IFERROR(K872/J872*100,0)</f>
        <v>0</v>
      </c>
    </row>
    <row r="873" spans="12:12">
      <c r="L873" s="2">
        <f>IFERROR(K873/J873*100,0)</f>
        <v>0</v>
      </c>
    </row>
    <row r="874" spans="12:12">
      <c r="L874" s="2">
        <f>IFERROR(K874/J874*100,0)</f>
        <v>0</v>
      </c>
    </row>
    <row r="875" spans="12:12">
      <c r="L875" s="2">
        <f>IFERROR(K875/J875*100,0)</f>
        <v>0</v>
      </c>
    </row>
    <row r="876" spans="12:12">
      <c r="L876" s="2">
        <f>IFERROR(K876/J876*100,0)</f>
        <v>0</v>
      </c>
    </row>
    <row r="877" spans="12:12">
      <c r="L877" s="2">
        <f>IFERROR(K877/J877*100,0)</f>
        <v>0</v>
      </c>
    </row>
    <row r="878" spans="12:12">
      <c r="L878" s="2">
        <f>IFERROR(K878/J878*100,0)</f>
        <v>0</v>
      </c>
    </row>
    <row r="879" spans="12:12">
      <c r="L879" s="2">
        <f>IFERROR(K879/J879*100,0)</f>
        <v>0</v>
      </c>
    </row>
    <row r="880" spans="12:12">
      <c r="L880" s="2">
        <f>IFERROR(K880/J880*100,0)</f>
        <v>0</v>
      </c>
    </row>
    <row r="881" spans="12:12">
      <c r="L881" s="2">
        <f>IFERROR(K881/J881*100,0)</f>
        <v>0</v>
      </c>
    </row>
    <row r="882" spans="12:12">
      <c r="L882" s="2">
        <f>IFERROR(K882/J882*100,0)</f>
        <v>0</v>
      </c>
    </row>
    <row r="883" spans="12:12">
      <c r="L883" s="2">
        <f>IFERROR(K883/J883*100,0)</f>
        <v>0</v>
      </c>
    </row>
    <row r="884" spans="12:12">
      <c r="L884" s="2">
        <f>IFERROR(K884/J884*100,0)</f>
        <v>0</v>
      </c>
    </row>
    <row r="885" spans="12:12">
      <c r="L885" s="2">
        <f>IFERROR(K885/J885*100,0)</f>
        <v>0</v>
      </c>
    </row>
    <row r="886" spans="12:12">
      <c r="L886" s="2">
        <f>IFERROR(K886/J886*100,0)</f>
        <v>0</v>
      </c>
    </row>
    <row r="887" spans="12:12">
      <c r="L887" s="2">
        <f>IFERROR(K887/J887*100,0)</f>
        <v>0</v>
      </c>
    </row>
    <row r="888" spans="12:12">
      <c r="L888" s="2">
        <f>IFERROR(K888/J888*100,0)</f>
        <v>0</v>
      </c>
    </row>
    <row r="889" spans="12:12">
      <c r="L889" s="2">
        <f>IFERROR(K889/J889*100,0)</f>
        <v>0</v>
      </c>
    </row>
    <row r="890" spans="12:12">
      <c r="L890" s="2">
        <f>IFERROR(K890/J890*100,0)</f>
        <v>0</v>
      </c>
    </row>
    <row r="891" spans="12:12">
      <c r="L891" s="2">
        <f>IFERROR(K891/J891*100,0)</f>
        <v>0</v>
      </c>
    </row>
    <row r="892" spans="12:12">
      <c r="L892" s="2">
        <f>IFERROR(K892/J892*100,0)</f>
        <v>0</v>
      </c>
    </row>
    <row r="893" spans="12:12">
      <c r="L893" s="2">
        <f>IFERROR(K893/J893*100,0)</f>
        <v>0</v>
      </c>
    </row>
    <row r="894" spans="12:12">
      <c r="L894" s="2">
        <f>IFERROR(K894/J894*100,0)</f>
        <v>0</v>
      </c>
    </row>
    <row r="895" spans="12:12">
      <c r="L895" s="2">
        <f>IFERROR(K895/J895*100,0)</f>
        <v>0</v>
      </c>
    </row>
    <row r="896" spans="12:12">
      <c r="L896" s="2">
        <f>IFERROR(K896/J896*100,0)</f>
        <v>0</v>
      </c>
    </row>
    <row r="897" spans="12:12">
      <c r="L897" s="2">
        <f>IFERROR(K897/J897*100,0)</f>
        <v>0</v>
      </c>
    </row>
    <row r="898" spans="12:12">
      <c r="L898" s="2">
        <f>IFERROR(K898/J898*100,0)</f>
        <v>0</v>
      </c>
    </row>
    <row r="899" spans="12:12">
      <c r="L899" s="2">
        <f>IFERROR(K899/J899*100,0)</f>
        <v>0</v>
      </c>
    </row>
    <row r="900" spans="12:12">
      <c r="L900" s="2">
        <f>IFERROR(K900/J900*100,0)</f>
        <v>0</v>
      </c>
    </row>
    <row r="901" spans="12:12">
      <c r="L901" s="2">
        <f>IFERROR(K901/J901*100,0)</f>
        <v>0</v>
      </c>
    </row>
    <row r="902" spans="12:12">
      <c r="L902" s="2">
        <f>IFERROR(K902/J902*100,0)</f>
        <v>0</v>
      </c>
    </row>
    <row r="903" spans="12:12">
      <c r="L903" s="2">
        <f>IFERROR(K903/J903*100,0)</f>
        <v>0</v>
      </c>
    </row>
    <row r="904" spans="12:12">
      <c r="L904" s="2">
        <f>IFERROR(K904/J904*100,0)</f>
        <v>0</v>
      </c>
    </row>
    <row r="905" spans="12:12">
      <c r="L905" s="2">
        <f>IFERROR(K905/J905*100,0)</f>
        <v>0</v>
      </c>
    </row>
    <row r="906" spans="12:12">
      <c r="L906" s="2">
        <f>IFERROR(K906/J906*100,0)</f>
        <v>0</v>
      </c>
    </row>
    <row r="907" spans="12:12">
      <c r="L907" s="2">
        <f>IFERROR(K907/J907*100,0)</f>
        <v>0</v>
      </c>
    </row>
    <row r="908" spans="12:12">
      <c r="L908" s="2">
        <f>IFERROR(K908/J908*100,0)</f>
        <v>0</v>
      </c>
    </row>
    <row r="909" spans="12:12">
      <c r="L909" s="2">
        <f>IFERROR(K909/J909*100,0)</f>
        <v>0</v>
      </c>
    </row>
    <row r="910" spans="12:12">
      <c r="L910" s="2">
        <f>IFERROR(K910/J910*100,0)</f>
        <v>0</v>
      </c>
    </row>
    <row r="911" spans="12:12">
      <c r="L911" s="2">
        <f>IFERROR(K911/J911*100,0)</f>
        <v>0</v>
      </c>
    </row>
    <row r="912" spans="12:12">
      <c r="L912" s="2">
        <f>IFERROR(K912/J912*100,0)</f>
        <v>0</v>
      </c>
    </row>
    <row r="913" spans="12:12">
      <c r="L913" s="2">
        <f>IFERROR(K913/J913*100,0)</f>
        <v>0</v>
      </c>
    </row>
    <row r="914" spans="12:12">
      <c r="L914" s="2">
        <f>IFERROR(K914/J914*100,0)</f>
        <v>0</v>
      </c>
    </row>
    <row r="915" spans="12:12">
      <c r="L915" s="2">
        <f>IFERROR(K915/J915*100,0)</f>
        <v>0</v>
      </c>
    </row>
    <row r="916" spans="12:12">
      <c r="L916" s="2">
        <f>IFERROR(K916/J916*100,0)</f>
        <v>0</v>
      </c>
    </row>
    <row r="917" spans="12:12">
      <c r="L917" s="2">
        <f>IFERROR(K917/J917*100,0)</f>
        <v>0</v>
      </c>
    </row>
    <row r="918" spans="12:12">
      <c r="L918" s="2">
        <f>IFERROR(K918/J918*100,0)</f>
        <v>0</v>
      </c>
    </row>
    <row r="919" spans="12:12">
      <c r="L919" s="2">
        <f>IFERROR(K919/J919*100,0)</f>
        <v>0</v>
      </c>
    </row>
    <row r="920" spans="12:12">
      <c r="L920" s="2">
        <f>IFERROR(K920/J920*100,0)</f>
        <v>0</v>
      </c>
    </row>
    <row r="921" spans="12:12">
      <c r="L921" s="2">
        <f>IFERROR(K921/J921*100,0)</f>
        <v>0</v>
      </c>
    </row>
    <row r="922" spans="12:12">
      <c r="L922" s="2">
        <f>IFERROR(K922/J922*100,0)</f>
        <v>0</v>
      </c>
    </row>
    <row r="923" spans="12:12">
      <c r="L923" s="2">
        <f>IFERROR(K923/J923*100,0)</f>
        <v>0</v>
      </c>
    </row>
    <row r="924" spans="12:12">
      <c r="L924" s="2">
        <f>IFERROR(K924/J924*100,0)</f>
        <v>0</v>
      </c>
    </row>
    <row r="925" spans="12:12">
      <c r="L925" s="2">
        <f>IFERROR(K925/J925*100,0)</f>
        <v>0</v>
      </c>
    </row>
    <row r="926" spans="12:12">
      <c r="L926" s="2">
        <f>IFERROR(K926/J926*100,0)</f>
        <v>0</v>
      </c>
    </row>
    <row r="927" spans="12:12">
      <c r="L927" s="2">
        <f>IFERROR(K927/J927*100,0)</f>
        <v>0</v>
      </c>
    </row>
    <row r="928" spans="12:12">
      <c r="L928" s="2">
        <f>IFERROR(K928/J928*100,0)</f>
        <v>0</v>
      </c>
    </row>
    <row r="929" spans="12:12">
      <c r="L929" s="2">
        <f>IFERROR(K929/J929*100,0)</f>
        <v>0</v>
      </c>
    </row>
    <row r="930" spans="12:12">
      <c r="L930" s="2">
        <f>IFERROR(K930/J930*100,0)</f>
        <v>0</v>
      </c>
    </row>
    <row r="931" spans="12:12">
      <c r="L931" s="2">
        <f>IFERROR(K931/J931*100,0)</f>
        <v>0</v>
      </c>
    </row>
    <row r="932" spans="12:12">
      <c r="L932" s="2">
        <f>IFERROR(K932/J932*100,0)</f>
        <v>0</v>
      </c>
    </row>
    <row r="933" spans="12:12">
      <c r="L933" s="2">
        <f>IFERROR(K933/J933*100,0)</f>
        <v>0</v>
      </c>
    </row>
    <row r="934" spans="12:12">
      <c r="L934" s="2">
        <f>IFERROR(K934/J934*100,0)</f>
        <v>0</v>
      </c>
    </row>
    <row r="935" spans="12:12">
      <c r="L935" s="2">
        <f>IFERROR(K935/J935*100,0)</f>
        <v>0</v>
      </c>
    </row>
    <row r="936" spans="12:12">
      <c r="L936" s="2">
        <f>IFERROR(K936/J936*100,0)</f>
        <v>0</v>
      </c>
    </row>
    <row r="937" spans="12:12">
      <c r="L937" s="2">
        <f>IFERROR(K937/J937*100,0)</f>
        <v>0</v>
      </c>
    </row>
    <row r="938" spans="12:12">
      <c r="L938" s="2">
        <f>IFERROR(K938/J938*100,0)</f>
        <v>0</v>
      </c>
    </row>
    <row r="939" spans="12:12">
      <c r="L939" s="2">
        <f>IFERROR(K939/J939*100,0)</f>
        <v>0</v>
      </c>
    </row>
    <row r="940" spans="12:12">
      <c r="L940" s="2">
        <f>IFERROR(K940/J940*100,0)</f>
        <v>0</v>
      </c>
    </row>
    <row r="941" spans="12:12">
      <c r="L941" s="2">
        <f>IFERROR(K941/J941*100,0)</f>
        <v>0</v>
      </c>
    </row>
    <row r="942" spans="12:12">
      <c r="L942" s="2">
        <f>IFERROR(K942/J942*100,0)</f>
        <v>0</v>
      </c>
    </row>
    <row r="943" spans="12:12">
      <c r="L943" s="2">
        <f>IFERROR(K943/J943*100,0)</f>
        <v>0</v>
      </c>
    </row>
    <row r="944" spans="12:12">
      <c r="L944" s="2">
        <f>IFERROR(K944/J944*100,0)</f>
        <v>0</v>
      </c>
    </row>
    <row r="945" spans="12:12">
      <c r="L945" s="2">
        <f>IFERROR(K945/J945*100,0)</f>
        <v>0</v>
      </c>
    </row>
    <row r="946" spans="12:12">
      <c r="L946" s="2">
        <f>IFERROR(K946/J946*100,0)</f>
        <v>0</v>
      </c>
    </row>
    <row r="947" spans="12:12">
      <c r="L947" s="2">
        <f>IFERROR(K947/J947*100,0)</f>
        <v>0</v>
      </c>
    </row>
    <row r="948" spans="12:12">
      <c r="L948" s="2">
        <f>IFERROR(K948/J948*100,0)</f>
        <v>0</v>
      </c>
    </row>
    <row r="949" spans="12:12">
      <c r="L949" s="2">
        <f>IFERROR(K949/J949*100,0)</f>
        <v>0</v>
      </c>
    </row>
    <row r="950" spans="12:12">
      <c r="L950" s="2">
        <f>IFERROR(K950/J950*100,0)</f>
        <v>0</v>
      </c>
    </row>
    <row r="951" spans="12:12">
      <c r="L951" s="2">
        <f>IFERROR(K951/J951*100,0)</f>
        <v>0</v>
      </c>
    </row>
    <row r="952" spans="12:12">
      <c r="L952" s="2">
        <f>IFERROR(K952/J952*100,0)</f>
        <v>0</v>
      </c>
    </row>
    <row r="953" spans="12:12">
      <c r="L953" s="2">
        <f>IFERROR(K953/J953*100,0)</f>
        <v>0</v>
      </c>
    </row>
    <row r="954" spans="12:12">
      <c r="L954" s="2">
        <f>IFERROR(K954/J954*100,0)</f>
        <v>0</v>
      </c>
    </row>
    <row r="955" spans="12:12">
      <c r="L955" s="2">
        <f>IFERROR(K955/J955*100,0)</f>
        <v>0</v>
      </c>
    </row>
    <row r="956" spans="12:12">
      <c r="L956" s="2">
        <f>IFERROR(K956/J956*100,0)</f>
        <v>0</v>
      </c>
    </row>
    <row r="957" spans="12:12">
      <c r="L957" s="2">
        <f>IFERROR(K957/J957*100,0)</f>
        <v>0</v>
      </c>
    </row>
    <row r="958" spans="12:12">
      <c r="L958" s="2">
        <f>IFERROR(K958/J958*100,0)</f>
        <v>0</v>
      </c>
    </row>
    <row r="959" spans="12:12">
      <c r="L959" s="2">
        <f>IFERROR(K959/J959*100,0)</f>
        <v>0</v>
      </c>
    </row>
    <row r="960" spans="12:12">
      <c r="L960" s="2">
        <f>IFERROR(K960/J960*100,0)</f>
        <v>0</v>
      </c>
    </row>
    <row r="961" spans="12:12">
      <c r="L961" s="2">
        <f>IFERROR(K961/J961*100,0)</f>
        <v>0</v>
      </c>
    </row>
    <row r="962" spans="12:12">
      <c r="L962" s="2">
        <f>IFERROR(K962/J962*100,0)</f>
        <v>0</v>
      </c>
    </row>
    <row r="963" spans="12:12">
      <c r="L963" s="2">
        <f>IFERROR(K963/J963*100,0)</f>
        <v>0</v>
      </c>
    </row>
    <row r="964" spans="12:12">
      <c r="L964" s="2">
        <f>IFERROR(K964/J964*100,0)</f>
        <v>0</v>
      </c>
    </row>
    <row r="965" spans="12:12">
      <c r="L965" s="2">
        <f>IFERROR(K965/J965*100,0)</f>
        <v>0</v>
      </c>
    </row>
    <row r="966" spans="12:12">
      <c r="L966" s="2">
        <f>IFERROR(K966/J966*100,0)</f>
        <v>0</v>
      </c>
    </row>
    <row r="967" spans="12:12">
      <c r="L967" s="2">
        <f>IFERROR(K967/J967*100,0)</f>
        <v>0</v>
      </c>
    </row>
    <row r="968" spans="12:12">
      <c r="L968" s="2">
        <f>IFERROR(K968/J968*100,0)</f>
        <v>0</v>
      </c>
    </row>
    <row r="969" spans="12:12">
      <c r="L969" s="2">
        <f>IFERROR(K969/J969*100,0)</f>
        <v>0</v>
      </c>
    </row>
    <row r="970" spans="12:12">
      <c r="L970" s="2">
        <f>IFERROR(K970/J970*100,0)</f>
        <v>0</v>
      </c>
    </row>
    <row r="971" spans="12:12">
      <c r="L971" s="2">
        <f>IFERROR(K971/J971*100,0)</f>
        <v>0</v>
      </c>
    </row>
    <row r="972" spans="12:12">
      <c r="L972" s="2">
        <f>IFERROR(K972/J972*100,0)</f>
        <v>0</v>
      </c>
    </row>
    <row r="973" spans="12:12">
      <c r="L973" s="2">
        <f>IFERROR(K973/J973*100,0)</f>
        <v>0</v>
      </c>
    </row>
    <row r="974" spans="12:12">
      <c r="L974" s="2">
        <f>IFERROR(K974/J974*100,0)</f>
        <v>0</v>
      </c>
    </row>
    <row r="975" spans="12:12">
      <c r="L975" s="2">
        <f>IFERROR(K975/J975*100,0)</f>
        <v>0</v>
      </c>
    </row>
    <row r="976" spans="12:12">
      <c r="L976" s="2">
        <f>IFERROR(K976/J976*100,0)</f>
        <v>0</v>
      </c>
    </row>
    <row r="977" spans="12:12">
      <c r="L977" s="2">
        <f>IFERROR(K977/J977*100,0)</f>
        <v>0</v>
      </c>
    </row>
    <row r="978" spans="12:12">
      <c r="L978" s="2">
        <f>IFERROR(K978/J978*100,0)</f>
        <v>0</v>
      </c>
    </row>
    <row r="979" spans="12:12">
      <c r="L979" s="2">
        <f>IFERROR(K979/J979*100,0)</f>
        <v>0</v>
      </c>
    </row>
    <row r="980" spans="12:12">
      <c r="L980" s="2">
        <f>IFERROR(K980/J980*100,0)</f>
        <v>0</v>
      </c>
    </row>
    <row r="981" spans="12:12">
      <c r="L981" s="2">
        <f>IFERROR(K981/J981*100,0)</f>
        <v>0</v>
      </c>
    </row>
    <row r="982" spans="12:12">
      <c r="L982" s="2">
        <f>IFERROR(K982/J982*100,0)</f>
        <v>0</v>
      </c>
    </row>
    <row r="983" spans="12:12">
      <c r="L983" s="2">
        <f>IFERROR(K983/J983*100,0)</f>
        <v>0</v>
      </c>
    </row>
    <row r="984" spans="12:12">
      <c r="L984" s="2">
        <f>IFERROR(K984/J984*100,0)</f>
        <v>0</v>
      </c>
    </row>
    <row r="985" spans="12:12">
      <c r="L985" s="2">
        <f>IFERROR(K985/J985*100,0)</f>
        <v>0</v>
      </c>
    </row>
    <row r="986" spans="12:12">
      <c r="L986" s="2">
        <f>IFERROR(K986/J986*100,0)</f>
        <v>0</v>
      </c>
    </row>
    <row r="987" spans="12:12">
      <c r="L987" s="2">
        <f>IFERROR(K987/J987*100,0)</f>
        <v>0</v>
      </c>
    </row>
    <row r="988" spans="12:12">
      <c r="L988" s="2">
        <f>IFERROR(K988/J988*100,0)</f>
        <v>0</v>
      </c>
    </row>
    <row r="989" spans="12:12">
      <c r="L989" s="2">
        <f>IFERROR(K989/J989*100,0)</f>
        <v>0</v>
      </c>
    </row>
    <row r="990" spans="12:12">
      <c r="L990" s="2">
        <f>IFERROR(K990/J990*100,0)</f>
        <v>0</v>
      </c>
    </row>
    <row r="991" spans="12:12">
      <c r="L991" s="2">
        <f>IFERROR(K991/J991*100,0)</f>
        <v>0</v>
      </c>
    </row>
    <row r="992" spans="12:12">
      <c r="L992" s="2">
        <f>IFERROR(K992/J992*100,0)</f>
        <v>0</v>
      </c>
    </row>
    <row r="993" spans="12:12">
      <c r="L993" s="2">
        <f>IFERROR(K993/J993*100,0)</f>
        <v>0</v>
      </c>
    </row>
    <row r="994" spans="12:12">
      <c r="L994" s="2">
        <f>IFERROR(K994/J994*100,0)</f>
        <v>0</v>
      </c>
    </row>
    <row r="995" spans="12:12">
      <c r="L995" s="2">
        <f>IFERROR(K995/J995*100,0)</f>
        <v>0</v>
      </c>
    </row>
    <row r="996" spans="12:12">
      <c r="L996" s="2">
        <f>IFERROR(K996/J996*100,0)</f>
        <v>0</v>
      </c>
    </row>
    <row r="997" spans="12:12">
      <c r="L997" s="2">
        <f>IFERROR(K997/J997*100,0)</f>
        <v>0</v>
      </c>
    </row>
    <row r="998" spans="12:12">
      <c r="L998" s="2">
        <f>IFERROR(K998/J998*100,0)</f>
        <v>0</v>
      </c>
    </row>
    <row r="999" spans="12:12">
      <c r="L999" s="2">
        <f>IFERROR(K999/J999*100,0)</f>
        <v>0</v>
      </c>
    </row>
    <row r="1000" spans="12:12">
      <c r="L1000" s="2">
        <f>IFERROR(K1000/J1000*100,0)</f>
        <v>0</v>
      </c>
    </row>
    <row r="1001" spans="12:12">
      <c r="L1001" s="2">
        <f>IFERROR(K1001/J1001*100,0)</f>
        <v>0</v>
      </c>
    </row>
    <row r="1002" spans="12:12">
      <c r="L1002" s="2">
        <f>IFERROR(K1002/J1002*100,0)</f>
        <v>0</v>
      </c>
    </row>
    <row r="1003" spans="12:12">
      <c r="L1003" s="2">
        <f>IFERROR(K1003/J1003*100,0)</f>
        <v>0</v>
      </c>
    </row>
  </sheetData>
  <mergeCells count="2">
    <mergeCell ref="A1:P1"/>
    <mergeCell ref="A2:P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290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350</v>
      </c>
      <c r="C3" s="1" t="s">
        <v>126</v>
      </c>
      <c r="D3" s="1" t="s">
        <v>127</v>
      </c>
      <c r="E3" s="1" t="s">
        <v>351</v>
      </c>
      <c r="F3" s="1" t="s">
        <v>352</v>
      </c>
      <c r="G3" s="1" t="s">
        <v>129</v>
      </c>
      <c r="H3" s="1" t="s">
        <v>130</v>
      </c>
      <c r="I3" s="1" t="s">
        <v>353</v>
      </c>
      <c r="J3" s="1" t="s">
        <v>354</v>
      </c>
      <c r="K3" s="1" t="s">
        <v>355</v>
      </c>
      <c r="L3" s="1" t="s">
        <v>210</v>
      </c>
      <c r="M3" s="1" t="s">
        <v>287</v>
      </c>
      <c r="N3" s="1" t="s">
        <v>356</v>
      </c>
      <c r="O3" s="1" t="s">
        <v>357</v>
      </c>
    </row>
    <row r="4" spans="1:17">
      <c r="A4" s="1">
        <v>1</v>
      </c>
      <c r="B4" s="1" t="s">
        <v>291</v>
      </c>
      <c r="C4" s="5">
        <v>46025</v>
      </c>
      <c r="D4" s="1" t="s">
        <v>3</v>
      </c>
      <c r="E4" s="6" t="s">
        <v>292</v>
      </c>
      <c r="F4" s="6" t="s">
        <v>38</v>
      </c>
      <c r="G4" s="1" t="s">
        <v>27</v>
      </c>
      <c r="H4" s="1" t="s">
        <v>87</v>
      </c>
      <c r="I4" s="1" t="s">
        <v>15</v>
      </c>
      <c r="J4" s="1" t="s">
        <v>41</v>
      </c>
      <c r="K4" s="1" t="s">
        <v>55</v>
      </c>
      <c r="L4" s="1" t="s">
        <v>159</v>
      </c>
      <c r="M4" s="1" t="s">
        <v>293</v>
      </c>
      <c r="N4" s="1" t="s">
        <v>294</v>
      </c>
      <c r="O4" s="5">
        <v>46031</v>
      </c>
    </row>
    <row r="5" spans="1:17">
      <c r="A5" s="1">
        <v>2</v>
      </c>
      <c r="B5" s="1" t="s">
        <v>295</v>
      </c>
      <c r="C5" s="5">
        <v>46049</v>
      </c>
      <c r="D5" s="1" t="s">
        <v>3</v>
      </c>
      <c r="E5" s="6" t="s">
        <v>296</v>
      </c>
      <c r="F5" s="6" t="s">
        <v>64</v>
      </c>
      <c r="G5" s="1" t="s">
        <v>39</v>
      </c>
      <c r="H5" s="1" t="s">
        <v>77</v>
      </c>
      <c r="I5" s="1" t="s">
        <v>62</v>
      </c>
      <c r="J5" s="1" t="s">
        <v>78</v>
      </c>
      <c r="K5" s="1" t="s">
        <v>33</v>
      </c>
      <c r="L5" s="1" t="s">
        <v>142</v>
      </c>
      <c r="M5" s="1" t="s">
        <v>297</v>
      </c>
      <c r="N5" s="1" t="s">
        <v>298</v>
      </c>
      <c r="O5" s="5">
        <v>46091</v>
      </c>
    </row>
    <row r="6" spans="1:17">
      <c r="A6" s="1">
        <v>3</v>
      </c>
      <c r="B6" s="1" t="s">
        <v>299</v>
      </c>
      <c r="C6" s="5">
        <v>46036</v>
      </c>
      <c r="D6" s="1" t="s">
        <v>3</v>
      </c>
      <c r="E6" s="6" t="s">
        <v>300</v>
      </c>
      <c r="F6" s="6" t="s">
        <v>26</v>
      </c>
      <c r="G6" s="1" t="s">
        <v>50</v>
      </c>
      <c r="H6" s="1" t="s">
        <v>31</v>
      </c>
      <c r="I6" s="1" t="s">
        <v>70</v>
      </c>
      <c r="J6" s="1" t="s">
        <v>78</v>
      </c>
      <c r="K6" s="1" t="s">
        <v>16</v>
      </c>
      <c r="L6" s="1" t="s">
        <v>142</v>
      </c>
      <c r="M6" s="1" t="s">
        <v>297</v>
      </c>
      <c r="N6" s="1" t="s">
        <v>298</v>
      </c>
      <c r="O6" s="5">
        <v>46061</v>
      </c>
    </row>
    <row r="7" spans="1:17">
      <c r="A7" s="1">
        <v>4</v>
      </c>
      <c r="B7" s="1" t="s">
        <v>301</v>
      </c>
      <c r="C7" s="5">
        <v>46039</v>
      </c>
      <c r="D7" s="1" t="s">
        <v>3</v>
      </c>
      <c r="E7" s="6" t="s">
        <v>302</v>
      </c>
      <c r="F7" s="6" t="s">
        <v>49</v>
      </c>
      <c r="G7" s="1" t="s">
        <v>39</v>
      </c>
      <c r="H7" s="1" t="s">
        <v>21</v>
      </c>
      <c r="I7" s="1" t="s">
        <v>66</v>
      </c>
      <c r="J7" s="1" t="s">
        <v>7</v>
      </c>
      <c r="K7" s="1" t="s">
        <v>55</v>
      </c>
      <c r="L7" s="1" t="s">
        <v>142</v>
      </c>
      <c r="M7" s="1" t="s">
        <v>293</v>
      </c>
      <c r="N7" s="1" t="s">
        <v>303</v>
      </c>
      <c r="O7" s="5">
        <v>46058</v>
      </c>
    </row>
    <row r="8" spans="1:17">
      <c r="A8" s="1">
        <v>5</v>
      </c>
      <c r="B8" s="1" t="s">
        <v>304</v>
      </c>
      <c r="C8" s="5">
        <v>46032</v>
      </c>
      <c r="D8" s="1" t="s">
        <v>3</v>
      </c>
      <c r="E8" s="6" t="s">
        <v>302</v>
      </c>
      <c r="F8" s="6" t="s">
        <v>45</v>
      </c>
      <c r="G8" s="1" t="s">
        <v>92</v>
      </c>
      <c r="H8" s="1" t="s">
        <v>51</v>
      </c>
      <c r="I8" s="1" t="s">
        <v>62</v>
      </c>
      <c r="J8" s="1" t="s">
        <v>7</v>
      </c>
      <c r="K8" s="1" t="s">
        <v>33</v>
      </c>
      <c r="L8" s="1" t="s">
        <v>159</v>
      </c>
      <c r="M8" s="1" t="s">
        <v>254</v>
      </c>
      <c r="N8" s="1" t="s">
        <v>298</v>
      </c>
      <c r="O8" s="5">
        <v>46058</v>
      </c>
    </row>
    <row r="9" spans="1:17">
      <c r="A9" s="1">
        <v>6</v>
      </c>
      <c r="B9" s="1" t="s">
        <v>305</v>
      </c>
      <c r="C9" s="5">
        <v>46034</v>
      </c>
      <c r="D9" s="1" t="s">
        <v>3</v>
      </c>
      <c r="E9" s="6" t="s">
        <v>292</v>
      </c>
      <c r="F9" s="6" t="s">
        <v>57</v>
      </c>
      <c r="G9" s="1" t="s">
        <v>92</v>
      </c>
      <c r="H9" s="1" t="s">
        <v>6</v>
      </c>
      <c r="I9" s="1" t="s">
        <v>66</v>
      </c>
      <c r="J9" s="1" t="s">
        <v>93</v>
      </c>
      <c r="K9" s="1" t="s">
        <v>55</v>
      </c>
      <c r="L9" s="1" t="s">
        <v>159</v>
      </c>
      <c r="M9" s="1" t="s">
        <v>293</v>
      </c>
      <c r="N9" s="1" t="s">
        <v>303</v>
      </c>
      <c r="O9" s="5">
        <v>46052</v>
      </c>
    </row>
    <row r="10" spans="1:17">
      <c r="A10" s="1">
        <v>7</v>
      </c>
      <c r="B10" s="1" t="s">
        <v>306</v>
      </c>
      <c r="C10" s="5">
        <v>46041</v>
      </c>
      <c r="D10" s="1" t="s">
        <v>3</v>
      </c>
      <c r="E10" s="6" t="s">
        <v>292</v>
      </c>
      <c r="F10" s="6" t="s">
        <v>12</v>
      </c>
      <c r="G10" s="1" t="s">
        <v>50</v>
      </c>
      <c r="H10" s="1" t="s">
        <v>40</v>
      </c>
      <c r="I10" s="1" t="s">
        <v>36</v>
      </c>
      <c r="J10" s="1" t="s">
        <v>32</v>
      </c>
      <c r="K10" s="1" t="s">
        <v>47</v>
      </c>
      <c r="L10" s="1" t="s">
        <v>159</v>
      </c>
      <c r="M10" s="1" t="s">
        <v>293</v>
      </c>
      <c r="N10" s="1" t="s">
        <v>303</v>
      </c>
      <c r="O10" s="5">
        <v>46056</v>
      </c>
    </row>
    <row r="11" spans="1:17">
      <c r="A11" s="1">
        <v>8</v>
      </c>
      <c r="B11" s="1" t="s">
        <v>307</v>
      </c>
      <c r="C11" s="5">
        <v>46038</v>
      </c>
      <c r="D11" s="1" t="s">
        <v>3</v>
      </c>
      <c r="E11" s="6" t="s">
        <v>300</v>
      </c>
      <c r="F11" s="6" t="s">
        <v>91</v>
      </c>
      <c r="G11" s="1" t="s">
        <v>13</v>
      </c>
      <c r="H11" s="1" t="s">
        <v>21</v>
      </c>
      <c r="I11" s="1" t="s">
        <v>104</v>
      </c>
      <c r="J11" s="1" t="s">
        <v>93</v>
      </c>
      <c r="K11" s="1" t="s">
        <v>16</v>
      </c>
      <c r="L11" s="1" t="s">
        <v>159</v>
      </c>
      <c r="M11" s="1" t="s">
        <v>293</v>
      </c>
      <c r="N11" s="1" t="s">
        <v>303</v>
      </c>
      <c r="O11" s="5">
        <v>46083</v>
      </c>
    </row>
    <row r="12" spans="1:17">
      <c r="A12" s="1">
        <v>9</v>
      </c>
      <c r="B12" s="1" t="s">
        <v>308</v>
      </c>
      <c r="C12" s="5">
        <v>46025</v>
      </c>
      <c r="D12" s="1" t="s">
        <v>3</v>
      </c>
      <c r="E12" s="6" t="s">
        <v>300</v>
      </c>
      <c r="F12" s="6" t="s">
        <v>61</v>
      </c>
      <c r="G12" s="1" t="s">
        <v>50</v>
      </c>
      <c r="H12" s="1" t="s">
        <v>6</v>
      </c>
      <c r="I12" s="1" t="s">
        <v>36</v>
      </c>
      <c r="J12" s="1" t="s">
        <v>36</v>
      </c>
      <c r="K12" s="1" t="s">
        <v>47</v>
      </c>
      <c r="L12" s="1" t="s">
        <v>154</v>
      </c>
      <c r="M12" s="1" t="s">
        <v>293</v>
      </c>
      <c r="N12" s="1" t="s">
        <v>294</v>
      </c>
      <c r="O12" s="5">
        <v>46054</v>
      </c>
    </row>
    <row r="13" spans="1:17">
      <c r="A13" s="1">
        <v>10</v>
      </c>
      <c r="B13" s="1" t="s">
        <v>309</v>
      </c>
      <c r="C13" s="5">
        <v>46081</v>
      </c>
      <c r="D13" s="1" t="s">
        <v>19</v>
      </c>
      <c r="E13" s="6" t="s">
        <v>302</v>
      </c>
      <c r="F13" s="6" t="s">
        <v>49</v>
      </c>
      <c r="G13" s="1" t="s">
        <v>89</v>
      </c>
      <c r="H13" s="1" t="s">
        <v>77</v>
      </c>
      <c r="I13" s="1" t="s">
        <v>28</v>
      </c>
      <c r="J13" s="1" t="s">
        <v>66</v>
      </c>
      <c r="K13" s="1" t="s">
        <v>47</v>
      </c>
      <c r="L13" s="1" t="s">
        <v>154</v>
      </c>
      <c r="M13" s="1" t="s">
        <v>293</v>
      </c>
      <c r="N13" s="1" t="s">
        <v>310</v>
      </c>
      <c r="O13" s="5">
        <v>46125</v>
      </c>
    </row>
    <row r="14" spans="1:17">
      <c r="A14" s="1">
        <v>11</v>
      </c>
      <c r="B14" s="1" t="s">
        <v>311</v>
      </c>
      <c r="C14" s="5">
        <v>46063</v>
      </c>
      <c r="D14" s="1" t="s">
        <v>19</v>
      </c>
      <c r="E14" s="6" t="s">
        <v>300</v>
      </c>
      <c r="F14" s="6" t="s">
        <v>12</v>
      </c>
      <c r="G14" s="1" t="s">
        <v>50</v>
      </c>
      <c r="H14" s="1" t="s">
        <v>77</v>
      </c>
      <c r="I14" s="1" t="s">
        <v>70</v>
      </c>
      <c r="J14" s="1" t="s">
        <v>7</v>
      </c>
      <c r="K14" s="1" t="s">
        <v>47</v>
      </c>
      <c r="L14" s="1" t="s">
        <v>162</v>
      </c>
      <c r="M14" s="1" t="s">
        <v>293</v>
      </c>
      <c r="N14" s="1" t="s">
        <v>294</v>
      </c>
      <c r="O14" s="5">
        <v>46071</v>
      </c>
    </row>
    <row r="15" spans="1:17">
      <c r="A15" s="1">
        <v>12</v>
      </c>
      <c r="B15" s="1" t="s">
        <v>312</v>
      </c>
      <c r="C15" s="5">
        <v>46064</v>
      </c>
      <c r="D15" s="1" t="s">
        <v>19</v>
      </c>
      <c r="E15" s="6" t="s">
        <v>300</v>
      </c>
      <c r="F15" s="6" t="s">
        <v>26</v>
      </c>
      <c r="G15" s="1" t="s">
        <v>5</v>
      </c>
      <c r="H15" s="1" t="s">
        <v>14</v>
      </c>
      <c r="I15" s="1" t="s">
        <v>104</v>
      </c>
      <c r="J15" s="1" t="s">
        <v>7</v>
      </c>
      <c r="K15" s="1" t="s">
        <v>33</v>
      </c>
      <c r="L15" s="1" t="s">
        <v>154</v>
      </c>
      <c r="M15" s="1" t="s">
        <v>293</v>
      </c>
      <c r="N15" s="1" t="s">
        <v>313</v>
      </c>
      <c r="O15" s="5">
        <v>46071</v>
      </c>
    </row>
    <row r="16" spans="1:17">
      <c r="A16" s="1">
        <v>13</v>
      </c>
      <c r="B16" s="1" t="s">
        <v>314</v>
      </c>
      <c r="C16" s="5">
        <v>46066</v>
      </c>
      <c r="D16" s="1" t="s">
        <v>19</v>
      </c>
      <c r="E16" s="6" t="s">
        <v>292</v>
      </c>
      <c r="F16" s="6" t="s">
        <v>4</v>
      </c>
      <c r="G16" s="1" t="s">
        <v>92</v>
      </c>
      <c r="H16" s="1" t="s">
        <v>21</v>
      </c>
      <c r="I16" s="1" t="s">
        <v>7</v>
      </c>
      <c r="J16" s="1" t="s">
        <v>66</v>
      </c>
      <c r="K16" s="1" t="s">
        <v>47</v>
      </c>
      <c r="L16" s="1" t="s">
        <v>142</v>
      </c>
      <c r="M16" s="1" t="s">
        <v>293</v>
      </c>
      <c r="N16" s="1" t="s">
        <v>310</v>
      </c>
      <c r="O16" s="5">
        <v>46081</v>
      </c>
    </row>
    <row r="17" spans="1:15">
      <c r="A17" s="1">
        <v>14</v>
      </c>
      <c r="B17" s="1" t="s">
        <v>315</v>
      </c>
      <c r="C17" s="5">
        <v>46090</v>
      </c>
      <c r="D17" s="1" t="s">
        <v>44</v>
      </c>
      <c r="E17" s="6" t="s">
        <v>296</v>
      </c>
      <c r="F17" s="6" t="s">
        <v>91</v>
      </c>
      <c r="G17" s="1" t="s">
        <v>65</v>
      </c>
      <c r="H17" s="1" t="s">
        <v>95</v>
      </c>
      <c r="I17" s="1" t="s">
        <v>78</v>
      </c>
      <c r="J17" s="1" t="s">
        <v>70</v>
      </c>
      <c r="K17" s="1" t="s">
        <v>8</v>
      </c>
      <c r="L17" s="1" t="s">
        <v>142</v>
      </c>
      <c r="M17" s="1" t="s">
        <v>254</v>
      </c>
      <c r="N17" s="1" t="s">
        <v>294</v>
      </c>
      <c r="O17" s="5">
        <v>46130</v>
      </c>
    </row>
    <row r="18" spans="1:15">
      <c r="A18" s="1">
        <v>15</v>
      </c>
      <c r="B18" s="1" t="s">
        <v>316</v>
      </c>
      <c r="C18" s="5">
        <v>46094</v>
      </c>
      <c r="D18" s="1" t="s">
        <v>44</v>
      </c>
      <c r="E18" s="6" t="s">
        <v>302</v>
      </c>
      <c r="F18" s="6" t="s">
        <v>38</v>
      </c>
      <c r="G18" s="1" t="s">
        <v>58</v>
      </c>
      <c r="H18" s="1" t="s">
        <v>40</v>
      </c>
      <c r="I18" s="1" t="s">
        <v>32</v>
      </c>
      <c r="J18" s="1" t="s">
        <v>104</v>
      </c>
      <c r="K18" s="1" t="s">
        <v>55</v>
      </c>
      <c r="L18" s="1" t="s">
        <v>142</v>
      </c>
      <c r="M18" s="1" t="s">
        <v>238</v>
      </c>
      <c r="N18" s="1" t="s">
        <v>298</v>
      </c>
      <c r="O18" s="5">
        <v>46128</v>
      </c>
    </row>
    <row r="19" spans="1:15">
      <c r="A19" s="1">
        <v>16</v>
      </c>
      <c r="B19" s="1" t="s">
        <v>317</v>
      </c>
      <c r="C19" s="5">
        <v>46132</v>
      </c>
      <c r="D19" s="1" t="s">
        <v>53</v>
      </c>
      <c r="E19" s="6" t="s">
        <v>296</v>
      </c>
      <c r="F19" s="6" t="s">
        <v>57</v>
      </c>
      <c r="G19" s="1" t="s">
        <v>13</v>
      </c>
      <c r="H19" s="1" t="s">
        <v>31</v>
      </c>
      <c r="I19" s="1" t="s">
        <v>32</v>
      </c>
      <c r="J19" s="1" t="s">
        <v>104</v>
      </c>
      <c r="K19" s="1" t="s">
        <v>55</v>
      </c>
      <c r="L19" s="1" t="s">
        <v>154</v>
      </c>
      <c r="M19" s="1" t="s">
        <v>254</v>
      </c>
      <c r="N19" s="1" t="s">
        <v>310</v>
      </c>
      <c r="O19" s="5">
        <v>46172</v>
      </c>
    </row>
    <row r="20" spans="1:15">
      <c r="A20" s="1">
        <v>17</v>
      </c>
      <c r="B20" s="1" t="s">
        <v>318</v>
      </c>
      <c r="C20" s="5">
        <v>46114</v>
      </c>
      <c r="D20" s="1" t="s">
        <v>53</v>
      </c>
      <c r="E20" s="6" t="s">
        <v>296</v>
      </c>
      <c r="F20" s="6" t="s">
        <v>54</v>
      </c>
      <c r="G20" s="1" t="s">
        <v>65</v>
      </c>
      <c r="H20" s="1" t="s">
        <v>35</v>
      </c>
      <c r="I20" s="1" t="s">
        <v>62</v>
      </c>
      <c r="J20" s="1" t="s">
        <v>32</v>
      </c>
      <c r="K20" s="1" t="s">
        <v>33</v>
      </c>
      <c r="L20" s="1" t="s">
        <v>154</v>
      </c>
      <c r="M20" s="1" t="s">
        <v>238</v>
      </c>
      <c r="N20" s="1" t="s">
        <v>313</v>
      </c>
      <c r="O20" s="5">
        <v>46123</v>
      </c>
    </row>
    <row r="21" spans="1:15">
      <c r="A21" s="1">
        <v>18</v>
      </c>
      <c r="B21" s="1" t="s">
        <v>319</v>
      </c>
      <c r="C21" s="5">
        <v>46140</v>
      </c>
      <c r="D21" s="1" t="s">
        <v>53</v>
      </c>
      <c r="E21" s="6" t="s">
        <v>292</v>
      </c>
      <c r="F21" s="6" t="s">
        <v>91</v>
      </c>
      <c r="G21" s="1" t="s">
        <v>5</v>
      </c>
      <c r="H21" s="1" t="s">
        <v>35</v>
      </c>
      <c r="I21" s="1" t="s">
        <v>32</v>
      </c>
      <c r="J21" s="1" t="s">
        <v>68</v>
      </c>
      <c r="K21" s="1" t="s">
        <v>33</v>
      </c>
      <c r="L21" s="1" t="s">
        <v>142</v>
      </c>
      <c r="M21" s="1" t="s">
        <v>297</v>
      </c>
      <c r="N21" s="1" t="s">
        <v>313</v>
      </c>
      <c r="O21" s="5">
        <v>46149</v>
      </c>
    </row>
    <row r="22" spans="1:15">
      <c r="A22" s="1">
        <v>19</v>
      </c>
      <c r="B22" s="1" t="s">
        <v>320</v>
      </c>
      <c r="C22" s="5">
        <v>46132</v>
      </c>
      <c r="D22" s="1" t="s">
        <v>53</v>
      </c>
      <c r="E22" s="6" t="s">
        <v>296</v>
      </c>
      <c r="F22" s="6" t="s">
        <v>38</v>
      </c>
      <c r="G22" s="1" t="s">
        <v>89</v>
      </c>
      <c r="H22" s="1" t="s">
        <v>87</v>
      </c>
      <c r="I22" s="1" t="s">
        <v>15</v>
      </c>
      <c r="J22" s="1" t="s">
        <v>41</v>
      </c>
      <c r="K22" s="1" t="s">
        <v>99</v>
      </c>
      <c r="L22" s="1" t="s">
        <v>162</v>
      </c>
      <c r="M22" s="1" t="s">
        <v>293</v>
      </c>
      <c r="N22" s="1" t="s">
        <v>310</v>
      </c>
      <c r="O22" s="5">
        <v>46166</v>
      </c>
    </row>
    <row r="23" spans="1:15">
      <c r="A23" s="1">
        <v>20</v>
      </c>
      <c r="B23" s="1" t="s">
        <v>321</v>
      </c>
      <c r="C23" s="5">
        <v>46118</v>
      </c>
      <c r="D23" s="1" t="s">
        <v>53</v>
      </c>
      <c r="E23" s="6" t="s">
        <v>292</v>
      </c>
      <c r="F23" s="6" t="s">
        <v>16</v>
      </c>
      <c r="G23" s="1" t="s">
        <v>89</v>
      </c>
      <c r="H23" s="1" t="s">
        <v>35</v>
      </c>
      <c r="I23" s="1" t="s">
        <v>28</v>
      </c>
      <c r="J23" s="1" t="s">
        <v>28</v>
      </c>
      <c r="K23" s="1" t="s">
        <v>16</v>
      </c>
      <c r="L23" s="1" t="s">
        <v>142</v>
      </c>
      <c r="M23" s="1" t="s">
        <v>293</v>
      </c>
      <c r="N23" s="1" t="s">
        <v>294</v>
      </c>
      <c r="O23" s="5">
        <v>46146</v>
      </c>
    </row>
    <row r="24" spans="1:15">
      <c r="A24" s="1">
        <v>21</v>
      </c>
      <c r="B24" s="1" t="s">
        <v>322</v>
      </c>
      <c r="C24" s="5">
        <v>46143</v>
      </c>
      <c r="D24" s="1" t="s">
        <v>60</v>
      </c>
      <c r="E24" s="6" t="s">
        <v>292</v>
      </c>
      <c r="F24" s="6" t="s">
        <v>91</v>
      </c>
      <c r="G24" s="1" t="s">
        <v>89</v>
      </c>
      <c r="H24" s="1" t="s">
        <v>80</v>
      </c>
      <c r="I24" s="1" t="s">
        <v>66</v>
      </c>
      <c r="J24" s="1" t="s">
        <v>78</v>
      </c>
      <c r="K24" s="1" t="s">
        <v>47</v>
      </c>
      <c r="L24" s="1" t="s">
        <v>154</v>
      </c>
      <c r="M24" s="1" t="s">
        <v>238</v>
      </c>
      <c r="N24" s="1" t="s">
        <v>313</v>
      </c>
      <c r="O24" s="5">
        <v>46179</v>
      </c>
    </row>
    <row r="25" spans="1:15">
      <c r="A25" s="1">
        <v>22</v>
      </c>
      <c r="B25" s="1" t="s">
        <v>323</v>
      </c>
      <c r="C25" s="5">
        <v>46150</v>
      </c>
      <c r="D25" s="1" t="s">
        <v>60</v>
      </c>
      <c r="E25" s="6" t="s">
        <v>296</v>
      </c>
      <c r="F25" s="6" t="s">
        <v>30</v>
      </c>
      <c r="G25" s="1" t="s">
        <v>50</v>
      </c>
      <c r="H25" s="1" t="s">
        <v>95</v>
      </c>
      <c r="I25" s="1" t="s">
        <v>62</v>
      </c>
      <c r="J25" s="1" t="s">
        <v>68</v>
      </c>
      <c r="K25" s="1" t="s">
        <v>47</v>
      </c>
      <c r="L25" s="1" t="s">
        <v>142</v>
      </c>
      <c r="M25" s="1" t="s">
        <v>238</v>
      </c>
      <c r="N25" s="1" t="s">
        <v>303</v>
      </c>
      <c r="O25" s="5">
        <v>46166</v>
      </c>
    </row>
    <row r="26" spans="1:15">
      <c r="A26" s="1">
        <v>23</v>
      </c>
      <c r="B26" s="1" t="s">
        <v>324</v>
      </c>
      <c r="C26" s="5">
        <v>46146</v>
      </c>
      <c r="D26" s="1" t="s">
        <v>60</v>
      </c>
      <c r="E26" s="6" t="s">
        <v>292</v>
      </c>
      <c r="F26" s="6" t="s">
        <v>26</v>
      </c>
      <c r="G26" s="1" t="s">
        <v>58</v>
      </c>
      <c r="H26" s="1" t="s">
        <v>6</v>
      </c>
      <c r="I26" s="1" t="s">
        <v>66</v>
      </c>
      <c r="J26" s="1" t="s">
        <v>68</v>
      </c>
      <c r="K26" s="1" t="s">
        <v>47</v>
      </c>
      <c r="L26" s="1" t="s">
        <v>154</v>
      </c>
      <c r="M26" s="1" t="s">
        <v>293</v>
      </c>
      <c r="N26" s="1" t="s">
        <v>294</v>
      </c>
      <c r="O26" s="5">
        <v>46165</v>
      </c>
    </row>
    <row r="27" spans="1:15">
      <c r="A27" s="1">
        <v>24</v>
      </c>
      <c r="B27" s="1" t="s">
        <v>325</v>
      </c>
      <c r="C27" s="5">
        <v>46168</v>
      </c>
      <c r="D27" s="1" t="s">
        <v>60</v>
      </c>
      <c r="E27" s="6" t="s">
        <v>300</v>
      </c>
      <c r="F27" s="6" t="s">
        <v>54</v>
      </c>
      <c r="G27" s="1" t="s">
        <v>27</v>
      </c>
      <c r="H27" s="1" t="s">
        <v>95</v>
      </c>
      <c r="I27" s="1" t="s">
        <v>7</v>
      </c>
      <c r="J27" s="1" t="s">
        <v>41</v>
      </c>
      <c r="K27" s="1" t="s">
        <v>16</v>
      </c>
      <c r="L27" s="1" t="s">
        <v>142</v>
      </c>
      <c r="M27" s="1" t="s">
        <v>297</v>
      </c>
      <c r="N27" s="1" t="s">
        <v>298</v>
      </c>
      <c r="O27" s="5">
        <v>46199</v>
      </c>
    </row>
    <row r="28" spans="1:15">
      <c r="A28" s="1">
        <v>25</v>
      </c>
      <c r="B28" s="1" t="s">
        <v>326</v>
      </c>
      <c r="C28" s="5">
        <v>46186</v>
      </c>
      <c r="D28" s="1" t="s">
        <v>73</v>
      </c>
      <c r="E28" s="6" t="s">
        <v>296</v>
      </c>
      <c r="F28" s="6" t="s">
        <v>91</v>
      </c>
      <c r="G28" s="1" t="s">
        <v>27</v>
      </c>
      <c r="H28" s="1" t="s">
        <v>87</v>
      </c>
      <c r="I28" s="1" t="s">
        <v>66</v>
      </c>
      <c r="J28" s="1" t="s">
        <v>66</v>
      </c>
      <c r="K28" s="1" t="s">
        <v>47</v>
      </c>
      <c r="L28" s="1" t="s">
        <v>142</v>
      </c>
      <c r="M28" s="1" t="s">
        <v>238</v>
      </c>
      <c r="N28" s="1" t="s">
        <v>303</v>
      </c>
      <c r="O28" s="5">
        <v>46216</v>
      </c>
    </row>
    <row r="29" spans="1:15">
      <c r="A29" s="1">
        <v>26</v>
      </c>
      <c r="B29" s="1" t="s">
        <v>327</v>
      </c>
      <c r="C29" s="5">
        <v>46191</v>
      </c>
      <c r="D29" s="1" t="s">
        <v>73</v>
      </c>
      <c r="E29" s="6" t="s">
        <v>292</v>
      </c>
      <c r="F29" s="6" t="s">
        <v>61</v>
      </c>
      <c r="G29" s="1" t="s">
        <v>5</v>
      </c>
      <c r="H29" s="1" t="s">
        <v>6</v>
      </c>
      <c r="I29" s="1" t="s">
        <v>15</v>
      </c>
      <c r="J29" s="1" t="s">
        <v>78</v>
      </c>
      <c r="K29" s="1" t="s">
        <v>8</v>
      </c>
      <c r="L29" s="1" t="s">
        <v>162</v>
      </c>
      <c r="M29" s="1" t="s">
        <v>293</v>
      </c>
      <c r="N29" s="1" t="s">
        <v>310</v>
      </c>
      <c r="O29" s="5">
        <v>46209</v>
      </c>
    </row>
    <row r="30" spans="1:15">
      <c r="A30" s="1">
        <v>27</v>
      </c>
      <c r="B30" s="1" t="s">
        <v>328</v>
      </c>
      <c r="C30" s="5">
        <v>46199</v>
      </c>
      <c r="D30" s="1" t="s">
        <v>73</v>
      </c>
      <c r="E30" s="6" t="s">
        <v>292</v>
      </c>
      <c r="F30" s="6" t="s">
        <v>38</v>
      </c>
      <c r="G30" s="1" t="s">
        <v>39</v>
      </c>
      <c r="H30" s="1" t="s">
        <v>95</v>
      </c>
      <c r="I30" s="1" t="s">
        <v>66</v>
      </c>
      <c r="J30" s="1" t="s">
        <v>66</v>
      </c>
      <c r="K30" s="1" t="s">
        <v>47</v>
      </c>
      <c r="L30" s="1" t="s">
        <v>154</v>
      </c>
      <c r="M30" s="1" t="s">
        <v>297</v>
      </c>
      <c r="N30" s="1" t="s">
        <v>313</v>
      </c>
      <c r="O30" s="5">
        <v>46217</v>
      </c>
    </row>
    <row r="31" spans="1:15">
      <c r="A31" s="1">
        <v>28</v>
      </c>
      <c r="B31" s="1" t="s">
        <v>329</v>
      </c>
      <c r="C31" s="5">
        <v>46218</v>
      </c>
      <c r="D31" s="1" t="s">
        <v>76</v>
      </c>
      <c r="E31" s="6" t="s">
        <v>292</v>
      </c>
      <c r="F31" s="6" t="s">
        <v>57</v>
      </c>
      <c r="G31" s="1" t="s">
        <v>46</v>
      </c>
      <c r="H31" s="1" t="s">
        <v>35</v>
      </c>
      <c r="I31" s="1" t="s">
        <v>22</v>
      </c>
      <c r="J31" s="1" t="s">
        <v>36</v>
      </c>
      <c r="K31" s="1" t="s">
        <v>55</v>
      </c>
      <c r="L31" s="1" t="s">
        <v>159</v>
      </c>
      <c r="M31" s="1" t="s">
        <v>293</v>
      </c>
      <c r="N31" s="1" t="s">
        <v>313</v>
      </c>
      <c r="O31" s="5">
        <v>46244</v>
      </c>
    </row>
    <row r="32" spans="1:15">
      <c r="A32" s="1">
        <v>29</v>
      </c>
      <c r="B32" s="1" t="s">
        <v>330</v>
      </c>
      <c r="C32" s="5">
        <v>46226</v>
      </c>
      <c r="D32" s="1" t="s">
        <v>76</v>
      </c>
      <c r="E32" s="6" t="s">
        <v>300</v>
      </c>
      <c r="F32" s="6" t="s">
        <v>45</v>
      </c>
      <c r="G32" s="1" t="s">
        <v>27</v>
      </c>
      <c r="H32" s="1" t="s">
        <v>35</v>
      </c>
      <c r="I32" s="1" t="s">
        <v>22</v>
      </c>
      <c r="J32" s="1" t="s">
        <v>93</v>
      </c>
      <c r="K32" s="1" t="s">
        <v>16</v>
      </c>
      <c r="L32" s="1" t="s">
        <v>142</v>
      </c>
      <c r="M32" s="1" t="s">
        <v>293</v>
      </c>
      <c r="N32" s="1" t="s">
        <v>298</v>
      </c>
      <c r="O32" s="5">
        <v>46264</v>
      </c>
    </row>
    <row r="33" spans="1:15">
      <c r="A33" s="1">
        <v>30</v>
      </c>
      <c r="B33" s="1" t="s">
        <v>331</v>
      </c>
      <c r="C33" s="5">
        <v>46220</v>
      </c>
      <c r="D33" s="1" t="s">
        <v>76</v>
      </c>
      <c r="E33" s="6" t="s">
        <v>302</v>
      </c>
      <c r="F33" s="6" t="s">
        <v>64</v>
      </c>
      <c r="G33" s="1" t="s">
        <v>5</v>
      </c>
      <c r="H33" s="1" t="s">
        <v>95</v>
      </c>
      <c r="I33" s="1" t="s">
        <v>36</v>
      </c>
      <c r="J33" s="1" t="s">
        <v>66</v>
      </c>
      <c r="K33" s="1" t="s">
        <v>16</v>
      </c>
      <c r="L33" s="1" t="s">
        <v>142</v>
      </c>
      <c r="M33" s="1" t="s">
        <v>297</v>
      </c>
      <c r="N33" s="1" t="s">
        <v>294</v>
      </c>
      <c r="O33" s="5">
        <v>46265</v>
      </c>
    </row>
    <row r="34" spans="1:15">
      <c r="A34" s="1">
        <v>31</v>
      </c>
      <c r="B34" s="1" t="s">
        <v>332</v>
      </c>
      <c r="C34" s="5">
        <v>46221</v>
      </c>
      <c r="D34" s="1" t="s">
        <v>76</v>
      </c>
      <c r="E34" s="6" t="s">
        <v>296</v>
      </c>
      <c r="F34" s="6" t="s">
        <v>45</v>
      </c>
      <c r="G34" s="1" t="s">
        <v>46</v>
      </c>
      <c r="H34" s="1" t="s">
        <v>87</v>
      </c>
      <c r="I34" s="1" t="s">
        <v>93</v>
      </c>
      <c r="J34" s="1" t="s">
        <v>68</v>
      </c>
      <c r="K34" s="1" t="s">
        <v>8</v>
      </c>
      <c r="L34" s="1" t="s">
        <v>142</v>
      </c>
      <c r="M34" s="1" t="s">
        <v>293</v>
      </c>
      <c r="N34" s="1" t="s">
        <v>313</v>
      </c>
      <c r="O34" s="5">
        <v>46264</v>
      </c>
    </row>
    <row r="35" spans="1:15">
      <c r="A35" s="1">
        <v>32</v>
      </c>
      <c r="B35" s="1" t="s">
        <v>333</v>
      </c>
      <c r="C35" s="5">
        <v>46225</v>
      </c>
      <c r="D35" s="1" t="s">
        <v>76</v>
      </c>
      <c r="E35" s="6" t="s">
        <v>296</v>
      </c>
      <c r="F35" s="6" t="s">
        <v>12</v>
      </c>
      <c r="G35" s="1" t="s">
        <v>27</v>
      </c>
      <c r="H35" s="1" t="s">
        <v>40</v>
      </c>
      <c r="I35" s="1" t="s">
        <v>62</v>
      </c>
      <c r="J35" s="1" t="s">
        <v>93</v>
      </c>
      <c r="K35" s="1" t="s">
        <v>16</v>
      </c>
      <c r="L35" s="1" t="s">
        <v>142</v>
      </c>
      <c r="M35" s="1" t="s">
        <v>293</v>
      </c>
      <c r="N35" s="1" t="s">
        <v>310</v>
      </c>
      <c r="O35" s="5">
        <v>46264</v>
      </c>
    </row>
    <row r="36" spans="1:15">
      <c r="A36" s="1">
        <v>33</v>
      </c>
      <c r="B36" s="1" t="s">
        <v>334</v>
      </c>
      <c r="C36" s="5">
        <v>46257</v>
      </c>
      <c r="D36" s="1" t="s">
        <v>86</v>
      </c>
      <c r="E36" s="6" t="s">
        <v>302</v>
      </c>
      <c r="F36" s="6" t="s">
        <v>91</v>
      </c>
      <c r="G36" s="1" t="s">
        <v>27</v>
      </c>
      <c r="H36" s="1" t="s">
        <v>40</v>
      </c>
      <c r="I36" s="1" t="s">
        <v>7</v>
      </c>
      <c r="J36" s="1" t="s">
        <v>15</v>
      </c>
      <c r="K36" s="1" t="s">
        <v>33</v>
      </c>
      <c r="L36" s="1" t="s">
        <v>142</v>
      </c>
      <c r="M36" s="1" t="s">
        <v>293</v>
      </c>
      <c r="N36" s="1" t="s">
        <v>303</v>
      </c>
      <c r="O36" s="5">
        <v>46290</v>
      </c>
    </row>
    <row r="37" spans="1:15">
      <c r="A37" s="1">
        <v>34</v>
      </c>
      <c r="B37" s="1" t="s">
        <v>335</v>
      </c>
      <c r="C37" s="5">
        <v>46260</v>
      </c>
      <c r="D37" s="1" t="s">
        <v>86</v>
      </c>
      <c r="E37" s="6" t="s">
        <v>296</v>
      </c>
      <c r="F37" s="6" t="s">
        <v>54</v>
      </c>
      <c r="G37" s="1" t="s">
        <v>13</v>
      </c>
      <c r="H37" s="1" t="s">
        <v>40</v>
      </c>
      <c r="I37" s="1" t="s">
        <v>7</v>
      </c>
      <c r="J37" s="1" t="s">
        <v>36</v>
      </c>
      <c r="K37" s="1" t="s">
        <v>55</v>
      </c>
      <c r="L37" s="1" t="s">
        <v>162</v>
      </c>
      <c r="M37" s="1" t="s">
        <v>293</v>
      </c>
      <c r="N37" s="1" t="s">
        <v>298</v>
      </c>
      <c r="O37" s="5">
        <v>46283</v>
      </c>
    </row>
    <row r="38" spans="1:15">
      <c r="A38" s="1">
        <v>35</v>
      </c>
      <c r="B38" s="1" t="s">
        <v>336</v>
      </c>
      <c r="C38" s="5">
        <v>46288</v>
      </c>
      <c r="D38" s="1" t="s">
        <v>102</v>
      </c>
      <c r="E38" s="6" t="s">
        <v>300</v>
      </c>
      <c r="F38" s="6" t="s">
        <v>30</v>
      </c>
      <c r="G38" s="1" t="s">
        <v>92</v>
      </c>
      <c r="H38" s="1" t="s">
        <v>14</v>
      </c>
      <c r="I38" s="1" t="s">
        <v>22</v>
      </c>
      <c r="J38" s="1" t="s">
        <v>68</v>
      </c>
      <c r="K38" s="1" t="s">
        <v>16</v>
      </c>
      <c r="L38" s="1" t="s">
        <v>142</v>
      </c>
      <c r="M38" s="1" t="s">
        <v>297</v>
      </c>
      <c r="N38" s="1" t="s">
        <v>313</v>
      </c>
      <c r="O38" s="5">
        <v>46331</v>
      </c>
    </row>
    <row r="39" spans="1:15">
      <c r="A39" s="1">
        <v>36</v>
      </c>
      <c r="B39" s="1" t="s">
        <v>337</v>
      </c>
      <c r="C39" s="5">
        <v>46280</v>
      </c>
      <c r="D39" s="1" t="s">
        <v>102</v>
      </c>
      <c r="E39" s="6" t="s">
        <v>302</v>
      </c>
      <c r="F39" s="6" t="s">
        <v>4</v>
      </c>
      <c r="G39" s="1" t="s">
        <v>50</v>
      </c>
      <c r="H39" s="1" t="s">
        <v>35</v>
      </c>
      <c r="I39" s="1" t="s">
        <v>32</v>
      </c>
      <c r="J39" s="1" t="s">
        <v>93</v>
      </c>
      <c r="K39" s="1" t="s">
        <v>16</v>
      </c>
      <c r="L39" s="1" t="s">
        <v>159</v>
      </c>
      <c r="M39" s="1" t="s">
        <v>293</v>
      </c>
      <c r="N39" s="1" t="s">
        <v>303</v>
      </c>
      <c r="O39" s="5">
        <v>46318</v>
      </c>
    </row>
    <row r="40" spans="1:15">
      <c r="A40" s="1">
        <v>37</v>
      </c>
      <c r="B40" s="1" t="s">
        <v>338</v>
      </c>
      <c r="C40" s="5">
        <v>46299</v>
      </c>
      <c r="D40" s="1" t="s">
        <v>106</v>
      </c>
      <c r="E40" s="6" t="s">
        <v>292</v>
      </c>
      <c r="F40" s="6" t="s">
        <v>4</v>
      </c>
      <c r="G40" s="1" t="s">
        <v>46</v>
      </c>
      <c r="H40" s="1" t="s">
        <v>14</v>
      </c>
      <c r="I40" s="1" t="s">
        <v>66</v>
      </c>
      <c r="J40" s="1" t="s">
        <v>28</v>
      </c>
      <c r="K40" s="1" t="s">
        <v>47</v>
      </c>
      <c r="L40" s="1" t="s">
        <v>154</v>
      </c>
      <c r="M40" s="1" t="s">
        <v>293</v>
      </c>
      <c r="N40" s="1" t="s">
        <v>313</v>
      </c>
      <c r="O40" s="5">
        <v>46306</v>
      </c>
    </row>
    <row r="41" spans="1:15">
      <c r="A41" s="1">
        <v>38</v>
      </c>
      <c r="B41" s="1" t="s">
        <v>339</v>
      </c>
      <c r="C41" s="5">
        <v>46315</v>
      </c>
      <c r="D41" s="1" t="s">
        <v>106</v>
      </c>
      <c r="E41" s="6" t="s">
        <v>302</v>
      </c>
      <c r="F41" s="6" t="s">
        <v>54</v>
      </c>
      <c r="G41" s="1" t="s">
        <v>92</v>
      </c>
      <c r="H41" s="1" t="s">
        <v>87</v>
      </c>
      <c r="I41" s="1" t="s">
        <v>15</v>
      </c>
      <c r="J41" s="1" t="s">
        <v>78</v>
      </c>
      <c r="K41" s="1" t="s">
        <v>16</v>
      </c>
      <c r="L41" s="1" t="s">
        <v>154</v>
      </c>
      <c r="M41" s="1" t="s">
        <v>293</v>
      </c>
      <c r="N41" s="1" t="s">
        <v>303</v>
      </c>
      <c r="O41" s="5">
        <v>46340</v>
      </c>
    </row>
    <row r="42" spans="1:15">
      <c r="A42" s="1">
        <v>39</v>
      </c>
      <c r="B42" s="1" t="s">
        <v>340</v>
      </c>
      <c r="C42" s="5">
        <v>46310</v>
      </c>
      <c r="D42" s="1" t="s">
        <v>106</v>
      </c>
      <c r="E42" s="6" t="s">
        <v>302</v>
      </c>
      <c r="F42" s="6" t="s">
        <v>20</v>
      </c>
      <c r="G42" s="1" t="s">
        <v>89</v>
      </c>
      <c r="H42" s="1" t="s">
        <v>35</v>
      </c>
      <c r="I42" s="1" t="s">
        <v>70</v>
      </c>
      <c r="J42" s="1" t="s">
        <v>66</v>
      </c>
      <c r="K42" s="1" t="s">
        <v>99</v>
      </c>
      <c r="L42" s="1" t="s">
        <v>159</v>
      </c>
      <c r="M42" s="1" t="s">
        <v>297</v>
      </c>
      <c r="N42" s="1" t="s">
        <v>298</v>
      </c>
      <c r="O42" s="5">
        <v>46339</v>
      </c>
    </row>
    <row r="43" spans="1:15">
      <c r="A43" s="1">
        <v>40</v>
      </c>
      <c r="B43" s="1" t="s">
        <v>341</v>
      </c>
      <c r="C43" s="5">
        <v>46306</v>
      </c>
      <c r="D43" s="1" t="s">
        <v>106</v>
      </c>
      <c r="E43" s="6" t="s">
        <v>302</v>
      </c>
      <c r="F43" s="6" t="s">
        <v>4</v>
      </c>
      <c r="G43" s="1" t="s">
        <v>89</v>
      </c>
      <c r="H43" s="1" t="s">
        <v>95</v>
      </c>
      <c r="I43" s="1" t="s">
        <v>28</v>
      </c>
      <c r="J43" s="1" t="s">
        <v>36</v>
      </c>
      <c r="K43" s="1" t="s">
        <v>16</v>
      </c>
      <c r="L43" s="1" t="s">
        <v>154</v>
      </c>
      <c r="M43" s="1" t="s">
        <v>297</v>
      </c>
      <c r="N43" s="1" t="s">
        <v>294</v>
      </c>
      <c r="O43" s="5">
        <v>46315</v>
      </c>
    </row>
    <row r="44" spans="1:15">
      <c r="A44" s="1">
        <v>41</v>
      </c>
      <c r="B44" s="1" t="s">
        <v>342</v>
      </c>
      <c r="C44" s="5">
        <v>46321</v>
      </c>
      <c r="D44" s="1" t="s">
        <v>106</v>
      </c>
      <c r="E44" s="6" t="s">
        <v>296</v>
      </c>
      <c r="F44" s="6" t="s">
        <v>64</v>
      </c>
      <c r="G44" s="1" t="s">
        <v>46</v>
      </c>
      <c r="H44" s="1" t="s">
        <v>87</v>
      </c>
      <c r="I44" s="1" t="s">
        <v>7</v>
      </c>
      <c r="J44" s="1" t="s">
        <v>66</v>
      </c>
      <c r="K44" s="1" t="s">
        <v>8</v>
      </c>
      <c r="L44" s="1" t="s">
        <v>154</v>
      </c>
      <c r="M44" s="1" t="s">
        <v>293</v>
      </c>
      <c r="N44" s="1" t="s">
        <v>294</v>
      </c>
      <c r="O44" s="5">
        <v>46357</v>
      </c>
    </row>
    <row r="45" spans="1:15">
      <c r="A45" s="1">
        <v>42</v>
      </c>
      <c r="B45" s="1" t="s">
        <v>343</v>
      </c>
      <c r="C45" s="5">
        <v>46336</v>
      </c>
      <c r="D45" s="1" t="s">
        <v>111</v>
      </c>
      <c r="E45" s="6" t="s">
        <v>302</v>
      </c>
      <c r="F45" s="6" t="s">
        <v>30</v>
      </c>
      <c r="G45" s="1" t="s">
        <v>39</v>
      </c>
      <c r="H45" s="1" t="s">
        <v>51</v>
      </c>
      <c r="I45" s="1" t="s">
        <v>36</v>
      </c>
      <c r="J45" s="1" t="s">
        <v>28</v>
      </c>
      <c r="K45" s="1" t="s">
        <v>8</v>
      </c>
      <c r="L45" s="1" t="s">
        <v>154</v>
      </c>
      <c r="M45" s="1" t="s">
        <v>238</v>
      </c>
      <c r="N45" s="1" t="s">
        <v>294</v>
      </c>
      <c r="O45" s="5">
        <v>46376</v>
      </c>
    </row>
    <row r="46" spans="1:15">
      <c r="A46" s="1">
        <v>43</v>
      </c>
      <c r="B46" s="1" t="s">
        <v>344</v>
      </c>
      <c r="C46" s="5">
        <v>46382</v>
      </c>
      <c r="D46" s="1" t="s">
        <v>122</v>
      </c>
      <c r="E46" s="6" t="s">
        <v>296</v>
      </c>
      <c r="F46" s="6" t="s">
        <v>20</v>
      </c>
      <c r="G46" s="1" t="s">
        <v>92</v>
      </c>
      <c r="H46" s="1" t="s">
        <v>6</v>
      </c>
      <c r="I46" s="1" t="s">
        <v>78</v>
      </c>
      <c r="J46" s="1" t="s">
        <v>32</v>
      </c>
      <c r="K46" s="1" t="s">
        <v>99</v>
      </c>
      <c r="L46" s="1" t="s">
        <v>142</v>
      </c>
      <c r="M46" s="1" t="s">
        <v>293</v>
      </c>
      <c r="N46" s="1" t="s">
        <v>310</v>
      </c>
      <c r="O46" s="5">
        <v>46394</v>
      </c>
    </row>
    <row r="47" spans="1:15">
      <c r="A47" s="1">
        <v>44</v>
      </c>
      <c r="B47" s="1" t="s">
        <v>345</v>
      </c>
      <c r="C47" s="5">
        <v>46358</v>
      </c>
      <c r="D47" s="1" t="s">
        <v>122</v>
      </c>
      <c r="E47" s="6" t="s">
        <v>300</v>
      </c>
      <c r="F47" s="6" t="s">
        <v>4</v>
      </c>
      <c r="G47" s="1" t="s">
        <v>13</v>
      </c>
      <c r="H47" s="1" t="s">
        <v>31</v>
      </c>
      <c r="I47" s="1" t="s">
        <v>68</v>
      </c>
      <c r="J47" s="1" t="s">
        <v>93</v>
      </c>
      <c r="K47" s="1" t="s">
        <v>99</v>
      </c>
      <c r="L47" s="1" t="s">
        <v>154</v>
      </c>
      <c r="M47" s="1" t="s">
        <v>293</v>
      </c>
      <c r="N47" s="1" t="s">
        <v>310</v>
      </c>
      <c r="O47" s="5">
        <v>46363</v>
      </c>
    </row>
    <row r="48" spans="1:15">
      <c r="A48" s="1">
        <v>45</v>
      </c>
      <c r="B48" s="1" t="s">
        <v>346</v>
      </c>
      <c r="C48" s="5">
        <v>46362</v>
      </c>
      <c r="D48" s="1" t="s">
        <v>122</v>
      </c>
      <c r="E48" s="6" t="s">
        <v>300</v>
      </c>
      <c r="F48" s="6" t="s">
        <v>4</v>
      </c>
      <c r="G48" s="1" t="s">
        <v>58</v>
      </c>
      <c r="H48" s="1" t="s">
        <v>14</v>
      </c>
      <c r="I48" s="1" t="s">
        <v>22</v>
      </c>
      <c r="J48" s="1" t="s">
        <v>62</v>
      </c>
      <c r="K48" s="1" t="s">
        <v>33</v>
      </c>
      <c r="L48" s="1" t="s">
        <v>154</v>
      </c>
      <c r="M48" s="1" t="s">
        <v>297</v>
      </c>
      <c r="N48" s="1" t="s">
        <v>298</v>
      </c>
      <c r="O48" s="5">
        <v>46398</v>
      </c>
    </row>
    <row r="49" spans="1:15">
      <c r="A49" s="1">
        <v>46</v>
      </c>
      <c r="B49" s="1" t="s">
        <v>347</v>
      </c>
      <c r="C49" s="5">
        <v>46379</v>
      </c>
      <c r="D49" s="1" t="s">
        <v>122</v>
      </c>
      <c r="E49" s="6" t="s">
        <v>292</v>
      </c>
      <c r="F49" s="6" t="s">
        <v>64</v>
      </c>
      <c r="G49" s="1" t="s">
        <v>46</v>
      </c>
      <c r="H49" s="1" t="s">
        <v>77</v>
      </c>
      <c r="I49" s="1" t="s">
        <v>66</v>
      </c>
      <c r="J49" s="1" t="s">
        <v>68</v>
      </c>
      <c r="K49" s="1" t="s">
        <v>99</v>
      </c>
      <c r="L49" s="1" t="s">
        <v>159</v>
      </c>
      <c r="M49" s="1" t="s">
        <v>254</v>
      </c>
      <c r="N49" s="1" t="s">
        <v>294</v>
      </c>
      <c r="O49" s="5">
        <v>46410</v>
      </c>
    </row>
    <row r="50" spans="1:15">
      <c r="A50" s="1">
        <v>47</v>
      </c>
      <c r="B50" s="1" t="s">
        <v>348</v>
      </c>
      <c r="C50" s="5">
        <v>46362</v>
      </c>
      <c r="D50" s="1" t="s">
        <v>122</v>
      </c>
      <c r="E50" s="6" t="s">
        <v>296</v>
      </c>
      <c r="F50" s="6" t="s">
        <v>57</v>
      </c>
      <c r="G50" s="1" t="s">
        <v>58</v>
      </c>
      <c r="H50" s="1" t="s">
        <v>80</v>
      </c>
      <c r="I50" s="1" t="s">
        <v>32</v>
      </c>
      <c r="J50" s="1" t="s">
        <v>15</v>
      </c>
      <c r="K50" s="1" t="s">
        <v>16</v>
      </c>
      <c r="L50" s="1" t="s">
        <v>142</v>
      </c>
      <c r="M50" s="1" t="s">
        <v>293</v>
      </c>
      <c r="N50" s="1" t="s">
        <v>313</v>
      </c>
      <c r="O50" s="5">
        <v>46372</v>
      </c>
    </row>
    <row r="51" spans="1:15">
      <c r="A51" s="1">
        <v>48</v>
      </c>
      <c r="B51" s="1" t="s">
        <v>349</v>
      </c>
      <c r="C51" s="5">
        <v>46382</v>
      </c>
      <c r="D51" s="1" t="s">
        <v>122</v>
      </c>
      <c r="E51" s="6" t="s">
        <v>302</v>
      </c>
      <c r="F51" s="6" t="s">
        <v>26</v>
      </c>
      <c r="G51" s="1" t="s">
        <v>39</v>
      </c>
      <c r="H51" s="1" t="s">
        <v>80</v>
      </c>
      <c r="I51" s="1" t="s">
        <v>104</v>
      </c>
      <c r="J51" s="1" t="s">
        <v>70</v>
      </c>
      <c r="K51" s="1" t="s">
        <v>16</v>
      </c>
      <c r="L51" s="1" t="s">
        <v>154</v>
      </c>
      <c r="M51" s="1" t="s">
        <v>293</v>
      </c>
      <c r="N51" s="1" t="s">
        <v>313</v>
      </c>
      <c r="O51" s="5">
        <v>46404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358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359</v>
      </c>
      <c r="C4" s="5">
        <v>46028</v>
      </c>
      <c r="D4" s="1" t="s">
        <v>3</v>
      </c>
      <c r="E4" s="6" t="s">
        <v>80</v>
      </c>
      <c r="F4" s="6" t="s">
        <v>13</v>
      </c>
      <c r="G4" s="1" t="s">
        <v>6</v>
      </c>
      <c r="H4" s="1" t="s">
        <v>41</v>
      </c>
      <c r="I4" s="1">
        <v>23</v>
      </c>
      <c r="J4" s="1">
        <v>5</v>
      </c>
      <c r="K4" s="1">
        <v>8</v>
      </c>
      <c r="L4" s="1" t="s">
        <v>10</v>
      </c>
      <c r="M4" s="1" t="s">
        <v>297</v>
      </c>
      <c r="N4" s="1" t="s">
        <v>64</v>
      </c>
      <c r="O4" s="5">
        <v>46056</v>
      </c>
    </row>
    <row r="5" spans="1:17">
      <c r="A5" s="1">
        <v>2</v>
      </c>
      <c r="B5" s="1" t="s">
        <v>360</v>
      </c>
      <c r="C5" s="5">
        <v>46070</v>
      </c>
      <c r="D5" s="1" t="s">
        <v>19</v>
      </c>
      <c r="E5" s="6" t="s">
        <v>77</v>
      </c>
      <c r="F5" s="6" t="s">
        <v>50</v>
      </c>
      <c r="G5" s="1" t="s">
        <v>82</v>
      </c>
      <c r="H5" s="1" t="s">
        <v>15</v>
      </c>
      <c r="I5" s="1">
        <v>31</v>
      </c>
      <c r="J5" s="1">
        <v>0</v>
      </c>
      <c r="K5" s="1">
        <v>6</v>
      </c>
      <c r="L5" s="1" t="s">
        <v>24</v>
      </c>
      <c r="M5" s="1" t="s">
        <v>254</v>
      </c>
      <c r="N5" s="1" t="s">
        <v>16</v>
      </c>
      <c r="O5" s="5">
        <v>46089</v>
      </c>
    </row>
    <row r="6" spans="1:17">
      <c r="A6" s="1">
        <v>3</v>
      </c>
      <c r="B6" s="1" t="s">
        <v>361</v>
      </c>
      <c r="C6" s="5">
        <v>46062</v>
      </c>
      <c r="D6" s="1" t="s">
        <v>19</v>
      </c>
      <c r="E6" s="6" t="s">
        <v>14</v>
      </c>
      <c r="F6" s="6" t="s">
        <v>89</v>
      </c>
      <c r="G6" s="1" t="s">
        <v>21</v>
      </c>
      <c r="H6" s="1" t="s">
        <v>22</v>
      </c>
      <c r="I6" s="1">
        <v>38</v>
      </c>
      <c r="J6" s="1">
        <v>4</v>
      </c>
      <c r="K6" s="1">
        <v>6</v>
      </c>
      <c r="L6" s="1" t="s">
        <v>10</v>
      </c>
      <c r="M6" s="1" t="s">
        <v>293</v>
      </c>
      <c r="N6" s="1" t="s">
        <v>38</v>
      </c>
      <c r="O6" s="5">
        <v>46095</v>
      </c>
    </row>
    <row r="7" spans="1:17">
      <c r="A7" s="1">
        <v>4</v>
      </c>
      <c r="B7" s="1" t="s">
        <v>362</v>
      </c>
      <c r="C7" s="5">
        <v>46063</v>
      </c>
      <c r="D7" s="1" t="s">
        <v>19</v>
      </c>
      <c r="E7" s="6" t="s">
        <v>82</v>
      </c>
      <c r="F7" s="6" t="s">
        <v>89</v>
      </c>
      <c r="G7" s="1" t="s">
        <v>31</v>
      </c>
      <c r="H7" s="1" t="s">
        <v>93</v>
      </c>
      <c r="I7" s="1">
        <v>20</v>
      </c>
      <c r="J7" s="1">
        <v>8</v>
      </c>
      <c r="K7" s="1">
        <v>3</v>
      </c>
      <c r="L7" s="1" t="s">
        <v>24</v>
      </c>
      <c r="M7" s="1" t="s">
        <v>293</v>
      </c>
      <c r="N7" s="1" t="s">
        <v>57</v>
      </c>
      <c r="O7" s="5">
        <v>46107</v>
      </c>
    </row>
    <row r="8" spans="1:17">
      <c r="A8" s="1">
        <v>5</v>
      </c>
      <c r="B8" s="1" t="s">
        <v>363</v>
      </c>
      <c r="C8" s="5">
        <v>46058</v>
      </c>
      <c r="D8" s="1" t="s">
        <v>19</v>
      </c>
      <c r="E8" s="6" t="s">
        <v>35</v>
      </c>
      <c r="F8" s="6" t="s">
        <v>5</v>
      </c>
      <c r="G8" s="1" t="s">
        <v>95</v>
      </c>
      <c r="H8" s="1" t="s">
        <v>7</v>
      </c>
      <c r="I8" s="1">
        <v>34</v>
      </c>
      <c r="J8" s="1">
        <v>2</v>
      </c>
      <c r="K8" s="1">
        <v>6</v>
      </c>
      <c r="L8" s="1" t="s">
        <v>17</v>
      </c>
      <c r="M8" s="1" t="s">
        <v>297</v>
      </c>
      <c r="N8" s="1" t="s">
        <v>45</v>
      </c>
      <c r="O8" s="5">
        <v>46087</v>
      </c>
    </row>
    <row r="9" spans="1:17">
      <c r="A9" s="1">
        <v>6</v>
      </c>
      <c r="B9" s="1" t="s">
        <v>364</v>
      </c>
      <c r="C9" s="5">
        <v>46073</v>
      </c>
      <c r="D9" s="1" t="s">
        <v>19</v>
      </c>
      <c r="E9" s="6" t="s">
        <v>31</v>
      </c>
      <c r="F9" s="6" t="s">
        <v>58</v>
      </c>
      <c r="G9" s="1" t="s">
        <v>35</v>
      </c>
      <c r="H9" s="1" t="s">
        <v>22</v>
      </c>
      <c r="I9" s="1">
        <v>38</v>
      </c>
      <c r="J9" s="1">
        <v>3</v>
      </c>
      <c r="K9" s="1">
        <v>2</v>
      </c>
      <c r="L9" s="1" t="s">
        <v>24</v>
      </c>
      <c r="M9" s="1" t="s">
        <v>297</v>
      </c>
      <c r="N9" s="1" t="s">
        <v>20</v>
      </c>
      <c r="O9" s="5">
        <v>46083</v>
      </c>
    </row>
    <row r="10" spans="1:17">
      <c r="A10" s="1">
        <v>7</v>
      </c>
      <c r="B10" s="1" t="s">
        <v>365</v>
      </c>
      <c r="C10" s="5">
        <v>46096</v>
      </c>
      <c r="D10" s="1" t="s">
        <v>44</v>
      </c>
      <c r="E10" s="6" t="s">
        <v>82</v>
      </c>
      <c r="F10" s="6" t="s">
        <v>92</v>
      </c>
      <c r="G10" s="1" t="s">
        <v>6</v>
      </c>
      <c r="H10" s="1" t="s">
        <v>104</v>
      </c>
      <c r="I10" s="1">
        <v>22</v>
      </c>
      <c r="J10" s="1">
        <v>2</v>
      </c>
      <c r="K10" s="1">
        <v>4</v>
      </c>
      <c r="L10" s="1" t="s">
        <v>96</v>
      </c>
      <c r="M10" s="1" t="s">
        <v>293</v>
      </c>
      <c r="N10" s="1" t="s">
        <v>64</v>
      </c>
      <c r="O10" s="5">
        <v>46102</v>
      </c>
    </row>
    <row r="11" spans="1:17">
      <c r="A11" s="1">
        <v>8</v>
      </c>
      <c r="B11" s="1" t="s">
        <v>366</v>
      </c>
      <c r="C11" s="5">
        <v>46101</v>
      </c>
      <c r="D11" s="1" t="s">
        <v>44</v>
      </c>
      <c r="E11" s="6" t="s">
        <v>82</v>
      </c>
      <c r="F11" s="6" t="s">
        <v>27</v>
      </c>
      <c r="G11" s="1" t="s">
        <v>31</v>
      </c>
      <c r="H11" s="1" t="s">
        <v>28</v>
      </c>
      <c r="I11" s="1">
        <v>36</v>
      </c>
      <c r="J11" s="1">
        <v>0</v>
      </c>
      <c r="K11" s="1">
        <v>5</v>
      </c>
      <c r="L11" s="1" t="s">
        <v>24</v>
      </c>
      <c r="M11" s="1" t="s">
        <v>293</v>
      </c>
      <c r="N11" s="1" t="s">
        <v>26</v>
      </c>
      <c r="O11" s="5">
        <v>46137</v>
      </c>
    </row>
    <row r="12" spans="1:17">
      <c r="A12" s="1">
        <v>9</v>
      </c>
      <c r="B12" s="1" t="s">
        <v>367</v>
      </c>
      <c r="C12" s="5">
        <v>46094</v>
      </c>
      <c r="D12" s="1" t="s">
        <v>44</v>
      </c>
      <c r="E12" s="6" t="s">
        <v>31</v>
      </c>
      <c r="F12" s="6" t="s">
        <v>58</v>
      </c>
      <c r="G12" s="1" t="s">
        <v>6</v>
      </c>
      <c r="H12" s="1" t="s">
        <v>104</v>
      </c>
      <c r="I12" s="1">
        <v>37</v>
      </c>
      <c r="J12" s="1">
        <v>0</v>
      </c>
      <c r="K12" s="1">
        <v>2</v>
      </c>
      <c r="L12" s="1" t="s">
        <v>96</v>
      </c>
      <c r="M12" s="1" t="s">
        <v>297</v>
      </c>
      <c r="N12" s="1" t="s">
        <v>91</v>
      </c>
      <c r="O12" s="5">
        <v>46122</v>
      </c>
    </row>
    <row r="13" spans="1:17">
      <c r="A13" s="1">
        <v>10</v>
      </c>
      <c r="B13" s="1" t="s">
        <v>368</v>
      </c>
      <c r="C13" s="5">
        <v>46099</v>
      </c>
      <c r="D13" s="1" t="s">
        <v>44</v>
      </c>
      <c r="E13" s="6" t="s">
        <v>31</v>
      </c>
      <c r="F13" s="6" t="s">
        <v>50</v>
      </c>
      <c r="G13" s="1" t="s">
        <v>35</v>
      </c>
      <c r="H13" s="1" t="s">
        <v>93</v>
      </c>
      <c r="I13" s="1">
        <v>34</v>
      </c>
      <c r="J13" s="1">
        <v>6</v>
      </c>
      <c r="K13" s="1">
        <v>0</v>
      </c>
      <c r="L13" s="1" t="s">
        <v>17</v>
      </c>
      <c r="M13" s="1" t="s">
        <v>293</v>
      </c>
      <c r="N13" s="1" t="s">
        <v>26</v>
      </c>
      <c r="O13" s="5">
        <v>46144</v>
      </c>
    </row>
    <row r="14" spans="1:17">
      <c r="A14" s="1">
        <v>11</v>
      </c>
      <c r="B14" s="1" t="s">
        <v>369</v>
      </c>
      <c r="C14" s="5">
        <v>46094</v>
      </c>
      <c r="D14" s="1" t="s">
        <v>44</v>
      </c>
      <c r="E14" s="6" t="s">
        <v>80</v>
      </c>
      <c r="F14" s="6" t="s">
        <v>5</v>
      </c>
      <c r="G14" s="1" t="s">
        <v>14</v>
      </c>
      <c r="H14" s="1" t="s">
        <v>68</v>
      </c>
      <c r="I14" s="1">
        <v>17</v>
      </c>
      <c r="J14" s="1">
        <v>8</v>
      </c>
      <c r="K14" s="1">
        <v>8</v>
      </c>
      <c r="L14" s="1" t="s">
        <v>42</v>
      </c>
      <c r="M14" s="1" t="s">
        <v>293</v>
      </c>
      <c r="N14" s="1" t="s">
        <v>20</v>
      </c>
      <c r="O14" s="5">
        <v>46116</v>
      </c>
    </row>
    <row r="15" spans="1:17">
      <c r="A15" s="1">
        <v>12</v>
      </c>
      <c r="B15" s="1" t="s">
        <v>370</v>
      </c>
      <c r="C15" s="5">
        <v>46140</v>
      </c>
      <c r="D15" s="1" t="s">
        <v>53</v>
      </c>
      <c r="E15" s="6" t="s">
        <v>80</v>
      </c>
      <c r="F15" s="6" t="s">
        <v>65</v>
      </c>
      <c r="G15" s="1" t="s">
        <v>51</v>
      </c>
      <c r="H15" s="1" t="s">
        <v>15</v>
      </c>
      <c r="I15" s="1">
        <v>40</v>
      </c>
      <c r="J15" s="1">
        <v>7</v>
      </c>
      <c r="K15" s="1">
        <v>2</v>
      </c>
      <c r="L15" s="1" t="s">
        <v>17</v>
      </c>
      <c r="M15" s="1" t="s">
        <v>297</v>
      </c>
      <c r="N15" s="1" t="s">
        <v>45</v>
      </c>
      <c r="O15" s="5">
        <v>46179</v>
      </c>
    </row>
    <row r="16" spans="1:17">
      <c r="A16" s="1">
        <v>13</v>
      </c>
      <c r="B16" s="1" t="s">
        <v>371</v>
      </c>
      <c r="C16" s="5">
        <v>46115</v>
      </c>
      <c r="D16" s="1" t="s">
        <v>53</v>
      </c>
      <c r="E16" s="6" t="s">
        <v>80</v>
      </c>
      <c r="F16" s="6" t="s">
        <v>39</v>
      </c>
      <c r="G16" s="1" t="s">
        <v>31</v>
      </c>
      <c r="H16" s="1" t="s">
        <v>66</v>
      </c>
      <c r="I16" s="1">
        <v>50</v>
      </c>
      <c r="J16" s="1">
        <v>7</v>
      </c>
      <c r="K16" s="1">
        <v>7</v>
      </c>
      <c r="L16" s="1" t="s">
        <v>10</v>
      </c>
      <c r="M16" s="1" t="s">
        <v>293</v>
      </c>
      <c r="N16" s="1" t="s">
        <v>38</v>
      </c>
      <c r="O16" s="5">
        <v>46148</v>
      </c>
    </row>
    <row r="17" spans="1:15">
      <c r="A17" s="1">
        <v>14</v>
      </c>
      <c r="B17" s="1" t="s">
        <v>372</v>
      </c>
      <c r="C17" s="5">
        <v>46113</v>
      </c>
      <c r="D17" s="1" t="s">
        <v>53</v>
      </c>
      <c r="E17" s="6" t="s">
        <v>14</v>
      </c>
      <c r="F17" s="6" t="s">
        <v>5</v>
      </c>
      <c r="G17" s="1" t="s">
        <v>35</v>
      </c>
      <c r="H17" s="1" t="s">
        <v>68</v>
      </c>
      <c r="I17" s="1">
        <v>15</v>
      </c>
      <c r="J17" s="1">
        <v>6</v>
      </c>
      <c r="K17" s="1">
        <v>1</v>
      </c>
      <c r="L17" s="1" t="s">
        <v>24</v>
      </c>
      <c r="M17" s="1" t="s">
        <v>293</v>
      </c>
      <c r="N17" s="1" t="s">
        <v>30</v>
      </c>
      <c r="O17" s="5">
        <v>46146</v>
      </c>
    </row>
    <row r="18" spans="1:15">
      <c r="A18" s="1">
        <v>15</v>
      </c>
      <c r="B18" s="1" t="s">
        <v>373</v>
      </c>
      <c r="C18" s="5">
        <v>46148</v>
      </c>
      <c r="D18" s="1" t="s">
        <v>60</v>
      </c>
      <c r="E18" s="6" t="s">
        <v>51</v>
      </c>
      <c r="F18" s="6" t="s">
        <v>89</v>
      </c>
      <c r="G18" s="1" t="s">
        <v>21</v>
      </c>
      <c r="H18" s="1" t="s">
        <v>104</v>
      </c>
      <c r="I18" s="1">
        <v>28</v>
      </c>
      <c r="J18" s="1">
        <v>6</v>
      </c>
      <c r="K18" s="1">
        <v>7</v>
      </c>
      <c r="L18" s="1" t="s">
        <v>24</v>
      </c>
      <c r="M18" s="1" t="s">
        <v>293</v>
      </c>
      <c r="N18" s="1" t="s">
        <v>45</v>
      </c>
      <c r="O18" s="5">
        <v>46179</v>
      </c>
    </row>
    <row r="19" spans="1:15">
      <c r="A19" s="1">
        <v>16</v>
      </c>
      <c r="B19" s="1" t="s">
        <v>374</v>
      </c>
      <c r="C19" s="5">
        <v>46151</v>
      </c>
      <c r="D19" s="1" t="s">
        <v>60</v>
      </c>
      <c r="E19" s="6" t="s">
        <v>80</v>
      </c>
      <c r="F19" s="6" t="s">
        <v>27</v>
      </c>
      <c r="G19" s="1" t="s">
        <v>82</v>
      </c>
      <c r="H19" s="1" t="s">
        <v>22</v>
      </c>
      <c r="I19" s="1">
        <v>17</v>
      </c>
      <c r="J19" s="1">
        <v>6</v>
      </c>
      <c r="K19" s="1">
        <v>4</v>
      </c>
      <c r="L19" s="1" t="s">
        <v>42</v>
      </c>
      <c r="M19" s="1" t="s">
        <v>293</v>
      </c>
      <c r="N19" s="1" t="s">
        <v>57</v>
      </c>
      <c r="O19" s="5">
        <v>46169</v>
      </c>
    </row>
    <row r="20" spans="1:15">
      <c r="A20" s="1">
        <v>17</v>
      </c>
      <c r="B20" s="1" t="s">
        <v>375</v>
      </c>
      <c r="C20" s="5">
        <v>46189</v>
      </c>
      <c r="D20" s="1" t="s">
        <v>73</v>
      </c>
      <c r="E20" s="6" t="s">
        <v>35</v>
      </c>
      <c r="F20" s="6" t="s">
        <v>5</v>
      </c>
      <c r="G20" s="1" t="s">
        <v>21</v>
      </c>
      <c r="H20" s="1" t="s">
        <v>104</v>
      </c>
      <c r="I20" s="1">
        <v>23</v>
      </c>
      <c r="J20" s="1">
        <v>1</v>
      </c>
      <c r="K20" s="1">
        <v>0</v>
      </c>
      <c r="L20" s="1" t="s">
        <v>42</v>
      </c>
      <c r="M20" s="1" t="s">
        <v>293</v>
      </c>
      <c r="N20" s="1" t="s">
        <v>61</v>
      </c>
      <c r="O20" s="5">
        <v>46196</v>
      </c>
    </row>
    <row r="21" spans="1:15">
      <c r="A21" s="1">
        <v>18</v>
      </c>
      <c r="B21" s="1" t="s">
        <v>376</v>
      </c>
      <c r="C21" s="5">
        <v>46174</v>
      </c>
      <c r="D21" s="1" t="s">
        <v>73</v>
      </c>
      <c r="E21" s="6" t="s">
        <v>14</v>
      </c>
      <c r="F21" s="6" t="s">
        <v>50</v>
      </c>
      <c r="G21" s="1" t="s">
        <v>35</v>
      </c>
      <c r="H21" s="1" t="s">
        <v>36</v>
      </c>
      <c r="I21" s="1">
        <v>25</v>
      </c>
      <c r="J21" s="1">
        <v>6</v>
      </c>
      <c r="K21" s="1">
        <v>6</v>
      </c>
      <c r="L21" s="1" t="s">
        <v>24</v>
      </c>
      <c r="M21" s="1" t="s">
        <v>293</v>
      </c>
      <c r="N21" s="1" t="s">
        <v>45</v>
      </c>
      <c r="O21" s="5">
        <v>46198</v>
      </c>
    </row>
    <row r="22" spans="1:15">
      <c r="A22" s="1">
        <v>19</v>
      </c>
      <c r="B22" s="1" t="s">
        <v>377</v>
      </c>
      <c r="C22" s="5">
        <v>46186</v>
      </c>
      <c r="D22" s="1" t="s">
        <v>73</v>
      </c>
      <c r="E22" s="6" t="s">
        <v>6</v>
      </c>
      <c r="F22" s="6" t="s">
        <v>46</v>
      </c>
      <c r="G22" s="1" t="s">
        <v>77</v>
      </c>
      <c r="H22" s="1" t="s">
        <v>28</v>
      </c>
      <c r="I22" s="1">
        <v>24</v>
      </c>
      <c r="J22" s="1">
        <v>4</v>
      </c>
      <c r="K22" s="1">
        <v>6</v>
      </c>
      <c r="L22" s="1" t="s">
        <v>96</v>
      </c>
      <c r="M22" s="1" t="s">
        <v>293</v>
      </c>
      <c r="N22" s="1" t="s">
        <v>49</v>
      </c>
      <c r="O22" s="5">
        <v>46200</v>
      </c>
    </row>
    <row r="23" spans="1:15">
      <c r="A23" s="1">
        <v>20</v>
      </c>
      <c r="B23" s="1" t="s">
        <v>378</v>
      </c>
      <c r="C23" s="5">
        <v>46198</v>
      </c>
      <c r="D23" s="1" t="s">
        <v>73</v>
      </c>
      <c r="E23" s="6" t="s">
        <v>35</v>
      </c>
      <c r="F23" s="6" t="s">
        <v>92</v>
      </c>
      <c r="G23" s="1" t="s">
        <v>80</v>
      </c>
      <c r="H23" s="1" t="s">
        <v>104</v>
      </c>
      <c r="I23" s="1">
        <v>35</v>
      </c>
      <c r="J23" s="1">
        <v>1</v>
      </c>
      <c r="K23" s="1">
        <v>1</v>
      </c>
      <c r="L23" s="1" t="s">
        <v>17</v>
      </c>
      <c r="M23" s="1" t="s">
        <v>293</v>
      </c>
      <c r="N23" s="1" t="s">
        <v>54</v>
      </c>
      <c r="O23" s="5">
        <v>46243</v>
      </c>
    </row>
    <row r="24" spans="1:15">
      <c r="A24" s="1">
        <v>21</v>
      </c>
      <c r="B24" s="1" t="s">
        <v>379</v>
      </c>
      <c r="C24" s="5">
        <v>46199</v>
      </c>
      <c r="D24" s="1" t="s">
        <v>73</v>
      </c>
      <c r="E24" s="6" t="s">
        <v>80</v>
      </c>
      <c r="F24" s="6" t="s">
        <v>46</v>
      </c>
      <c r="G24" s="1" t="s">
        <v>80</v>
      </c>
      <c r="H24" s="1" t="s">
        <v>70</v>
      </c>
      <c r="I24" s="1">
        <v>35</v>
      </c>
      <c r="J24" s="1">
        <v>8</v>
      </c>
      <c r="K24" s="1">
        <v>6</v>
      </c>
      <c r="L24" s="1" t="s">
        <v>96</v>
      </c>
      <c r="M24" s="1" t="s">
        <v>293</v>
      </c>
      <c r="N24" s="1" t="s">
        <v>64</v>
      </c>
      <c r="O24" s="5">
        <v>46234</v>
      </c>
    </row>
    <row r="25" spans="1:15">
      <c r="A25" s="1">
        <v>22</v>
      </c>
      <c r="B25" s="1" t="s">
        <v>380</v>
      </c>
      <c r="C25" s="5">
        <v>46184</v>
      </c>
      <c r="D25" s="1" t="s">
        <v>73</v>
      </c>
      <c r="E25" s="6" t="s">
        <v>31</v>
      </c>
      <c r="F25" s="6" t="s">
        <v>89</v>
      </c>
      <c r="G25" s="1" t="s">
        <v>80</v>
      </c>
      <c r="H25" s="1" t="s">
        <v>62</v>
      </c>
      <c r="I25" s="1">
        <v>30</v>
      </c>
      <c r="J25" s="1">
        <v>4</v>
      </c>
      <c r="K25" s="1">
        <v>4</v>
      </c>
      <c r="L25" s="1" t="s">
        <v>96</v>
      </c>
      <c r="M25" s="1" t="s">
        <v>293</v>
      </c>
      <c r="N25" s="1" t="s">
        <v>64</v>
      </c>
      <c r="O25" s="5">
        <v>46211</v>
      </c>
    </row>
    <row r="26" spans="1:15">
      <c r="A26" s="1">
        <v>23</v>
      </c>
      <c r="B26" s="1" t="s">
        <v>381</v>
      </c>
      <c r="C26" s="5">
        <v>46178</v>
      </c>
      <c r="D26" s="1" t="s">
        <v>73</v>
      </c>
      <c r="E26" s="6" t="s">
        <v>6</v>
      </c>
      <c r="F26" s="6" t="s">
        <v>50</v>
      </c>
      <c r="G26" s="1" t="s">
        <v>87</v>
      </c>
      <c r="H26" s="1" t="s">
        <v>41</v>
      </c>
      <c r="I26" s="1">
        <v>46</v>
      </c>
      <c r="J26" s="1">
        <v>8</v>
      </c>
      <c r="K26" s="1">
        <v>6</v>
      </c>
      <c r="L26" s="1" t="s">
        <v>10</v>
      </c>
      <c r="M26" s="1" t="s">
        <v>293</v>
      </c>
      <c r="N26" s="1" t="s">
        <v>30</v>
      </c>
      <c r="O26" s="5">
        <v>46190</v>
      </c>
    </row>
    <row r="27" spans="1:15">
      <c r="A27" s="1">
        <v>24</v>
      </c>
      <c r="B27" s="1" t="s">
        <v>382</v>
      </c>
      <c r="C27" s="5">
        <v>46205</v>
      </c>
      <c r="D27" s="1" t="s">
        <v>76</v>
      </c>
      <c r="E27" s="6" t="s">
        <v>40</v>
      </c>
      <c r="F27" s="6" t="s">
        <v>58</v>
      </c>
      <c r="G27" s="1" t="s">
        <v>31</v>
      </c>
      <c r="H27" s="1" t="s">
        <v>22</v>
      </c>
      <c r="I27" s="1">
        <v>49</v>
      </c>
      <c r="J27" s="1">
        <v>4</v>
      </c>
      <c r="K27" s="1">
        <v>5</v>
      </c>
      <c r="L27" s="1" t="s">
        <v>10</v>
      </c>
      <c r="M27" s="1" t="s">
        <v>293</v>
      </c>
      <c r="N27" s="1" t="s">
        <v>64</v>
      </c>
      <c r="O27" s="5">
        <v>46227</v>
      </c>
    </row>
    <row r="28" spans="1:15">
      <c r="A28" s="1">
        <v>25</v>
      </c>
      <c r="B28" s="1" t="s">
        <v>383</v>
      </c>
      <c r="C28" s="5">
        <v>46205</v>
      </c>
      <c r="D28" s="1" t="s">
        <v>76</v>
      </c>
      <c r="E28" s="6" t="s">
        <v>21</v>
      </c>
      <c r="F28" s="6" t="s">
        <v>65</v>
      </c>
      <c r="G28" s="1" t="s">
        <v>87</v>
      </c>
      <c r="H28" s="1" t="s">
        <v>62</v>
      </c>
      <c r="I28" s="1">
        <v>27</v>
      </c>
      <c r="J28" s="1">
        <v>7</v>
      </c>
      <c r="K28" s="1">
        <v>8</v>
      </c>
      <c r="L28" s="1" t="s">
        <v>10</v>
      </c>
      <c r="M28" s="1" t="s">
        <v>293</v>
      </c>
      <c r="N28" s="1" t="s">
        <v>26</v>
      </c>
      <c r="O28" s="5">
        <v>46249</v>
      </c>
    </row>
    <row r="29" spans="1:15">
      <c r="A29" s="1">
        <v>26</v>
      </c>
      <c r="B29" s="1" t="s">
        <v>384</v>
      </c>
      <c r="C29" s="5">
        <v>46206</v>
      </c>
      <c r="D29" s="1" t="s">
        <v>76</v>
      </c>
      <c r="E29" s="6" t="s">
        <v>77</v>
      </c>
      <c r="F29" s="6" t="s">
        <v>27</v>
      </c>
      <c r="G29" s="1" t="s">
        <v>87</v>
      </c>
      <c r="H29" s="1" t="s">
        <v>70</v>
      </c>
      <c r="I29" s="1">
        <v>36</v>
      </c>
      <c r="J29" s="1">
        <v>4</v>
      </c>
      <c r="K29" s="1">
        <v>4</v>
      </c>
      <c r="L29" s="1" t="s">
        <v>17</v>
      </c>
      <c r="M29" s="1" t="s">
        <v>293</v>
      </c>
      <c r="N29" s="1" t="s">
        <v>12</v>
      </c>
      <c r="O29" s="5">
        <v>46217</v>
      </c>
    </row>
    <row r="30" spans="1:15">
      <c r="A30" s="1">
        <v>27</v>
      </c>
      <c r="B30" s="1" t="s">
        <v>385</v>
      </c>
      <c r="C30" s="5">
        <v>46206</v>
      </c>
      <c r="D30" s="1" t="s">
        <v>76</v>
      </c>
      <c r="E30" s="6" t="s">
        <v>40</v>
      </c>
      <c r="F30" s="6" t="s">
        <v>13</v>
      </c>
      <c r="G30" s="1" t="s">
        <v>35</v>
      </c>
      <c r="H30" s="1" t="s">
        <v>104</v>
      </c>
      <c r="I30" s="1">
        <v>31</v>
      </c>
      <c r="J30" s="1">
        <v>0</v>
      </c>
      <c r="K30" s="1">
        <v>5</v>
      </c>
      <c r="L30" s="1" t="s">
        <v>96</v>
      </c>
      <c r="M30" s="1" t="s">
        <v>293</v>
      </c>
      <c r="N30" s="1" t="s">
        <v>12</v>
      </c>
      <c r="O30" s="5">
        <v>46242</v>
      </c>
    </row>
    <row r="31" spans="1:15">
      <c r="A31" s="1">
        <v>28</v>
      </c>
      <c r="B31" s="1" t="s">
        <v>386</v>
      </c>
      <c r="C31" s="5">
        <v>46204</v>
      </c>
      <c r="D31" s="1" t="s">
        <v>76</v>
      </c>
      <c r="E31" s="6" t="s">
        <v>31</v>
      </c>
      <c r="F31" s="6" t="s">
        <v>5</v>
      </c>
      <c r="G31" s="1" t="s">
        <v>80</v>
      </c>
      <c r="H31" s="1" t="s">
        <v>15</v>
      </c>
      <c r="I31" s="1">
        <v>48</v>
      </c>
      <c r="J31" s="1">
        <v>3</v>
      </c>
      <c r="K31" s="1">
        <v>6</v>
      </c>
      <c r="L31" s="1" t="s">
        <v>96</v>
      </c>
      <c r="M31" s="1" t="s">
        <v>293</v>
      </c>
      <c r="N31" s="1" t="s">
        <v>20</v>
      </c>
      <c r="O31" s="5">
        <v>46240</v>
      </c>
    </row>
    <row r="32" spans="1:15">
      <c r="A32" s="1">
        <v>29</v>
      </c>
      <c r="B32" s="1" t="s">
        <v>387</v>
      </c>
      <c r="C32" s="5">
        <v>46253</v>
      </c>
      <c r="D32" s="1" t="s">
        <v>86</v>
      </c>
      <c r="E32" s="6" t="s">
        <v>82</v>
      </c>
      <c r="F32" s="6" t="s">
        <v>13</v>
      </c>
      <c r="G32" s="1" t="s">
        <v>51</v>
      </c>
      <c r="H32" s="1" t="s">
        <v>70</v>
      </c>
      <c r="I32" s="1">
        <v>46</v>
      </c>
      <c r="J32" s="1">
        <v>6</v>
      </c>
      <c r="K32" s="1">
        <v>3</v>
      </c>
      <c r="L32" s="1" t="s">
        <v>17</v>
      </c>
      <c r="M32" s="1" t="s">
        <v>293</v>
      </c>
      <c r="N32" s="1" t="s">
        <v>16</v>
      </c>
      <c r="O32" s="5">
        <v>46260</v>
      </c>
    </row>
    <row r="33" spans="1:15">
      <c r="A33" s="1">
        <v>30</v>
      </c>
      <c r="B33" s="1" t="s">
        <v>388</v>
      </c>
      <c r="C33" s="5">
        <v>46247</v>
      </c>
      <c r="D33" s="1" t="s">
        <v>86</v>
      </c>
      <c r="E33" s="6" t="s">
        <v>21</v>
      </c>
      <c r="F33" s="6" t="s">
        <v>89</v>
      </c>
      <c r="G33" s="1" t="s">
        <v>6</v>
      </c>
      <c r="H33" s="1" t="s">
        <v>62</v>
      </c>
      <c r="I33" s="1">
        <v>40</v>
      </c>
      <c r="J33" s="1">
        <v>1</v>
      </c>
      <c r="K33" s="1">
        <v>8</v>
      </c>
      <c r="L33" s="1" t="s">
        <v>10</v>
      </c>
      <c r="M33" s="1" t="s">
        <v>293</v>
      </c>
      <c r="N33" s="1" t="s">
        <v>30</v>
      </c>
      <c r="O33" s="5">
        <v>46269</v>
      </c>
    </row>
    <row r="34" spans="1:15">
      <c r="A34" s="1">
        <v>31</v>
      </c>
      <c r="B34" s="1" t="s">
        <v>389</v>
      </c>
      <c r="C34" s="5">
        <v>46251</v>
      </c>
      <c r="D34" s="1" t="s">
        <v>86</v>
      </c>
      <c r="E34" s="6" t="s">
        <v>35</v>
      </c>
      <c r="F34" s="6" t="s">
        <v>5</v>
      </c>
      <c r="G34" s="1" t="s">
        <v>80</v>
      </c>
      <c r="H34" s="1" t="s">
        <v>41</v>
      </c>
      <c r="I34" s="1">
        <v>45</v>
      </c>
      <c r="J34" s="1">
        <v>1</v>
      </c>
      <c r="K34" s="1">
        <v>0</v>
      </c>
      <c r="L34" s="1" t="s">
        <v>10</v>
      </c>
      <c r="M34" s="1" t="s">
        <v>238</v>
      </c>
      <c r="N34" s="1" t="s">
        <v>26</v>
      </c>
      <c r="O34" s="5">
        <v>46280</v>
      </c>
    </row>
    <row r="35" spans="1:15">
      <c r="A35" s="1">
        <v>32</v>
      </c>
      <c r="B35" s="1" t="s">
        <v>390</v>
      </c>
      <c r="C35" s="5">
        <v>46259</v>
      </c>
      <c r="D35" s="1" t="s">
        <v>86</v>
      </c>
      <c r="E35" s="6" t="s">
        <v>35</v>
      </c>
      <c r="F35" s="6" t="s">
        <v>39</v>
      </c>
      <c r="G35" s="1" t="s">
        <v>95</v>
      </c>
      <c r="H35" s="1" t="s">
        <v>104</v>
      </c>
      <c r="I35" s="1">
        <v>32</v>
      </c>
      <c r="J35" s="1">
        <v>8</v>
      </c>
      <c r="K35" s="1">
        <v>8</v>
      </c>
      <c r="L35" s="1" t="s">
        <v>24</v>
      </c>
      <c r="M35" s="1" t="s">
        <v>238</v>
      </c>
      <c r="N35" s="1" t="s">
        <v>91</v>
      </c>
      <c r="O35" s="5">
        <v>46274</v>
      </c>
    </row>
    <row r="36" spans="1:15">
      <c r="A36" s="1">
        <v>33</v>
      </c>
      <c r="B36" s="1" t="s">
        <v>391</v>
      </c>
      <c r="C36" s="5">
        <v>46236</v>
      </c>
      <c r="D36" s="1" t="s">
        <v>86</v>
      </c>
      <c r="E36" s="6" t="s">
        <v>35</v>
      </c>
      <c r="F36" s="6" t="s">
        <v>89</v>
      </c>
      <c r="G36" s="1" t="s">
        <v>40</v>
      </c>
      <c r="H36" s="1" t="s">
        <v>70</v>
      </c>
      <c r="I36" s="1">
        <v>27</v>
      </c>
      <c r="J36" s="1">
        <v>8</v>
      </c>
      <c r="K36" s="1">
        <v>7</v>
      </c>
      <c r="L36" s="1" t="s">
        <v>42</v>
      </c>
      <c r="M36" s="1" t="s">
        <v>293</v>
      </c>
      <c r="N36" s="1" t="s">
        <v>4</v>
      </c>
      <c r="O36" s="5">
        <v>46269</v>
      </c>
    </row>
    <row r="37" spans="1:15">
      <c r="A37" s="1">
        <v>34</v>
      </c>
      <c r="B37" s="1" t="s">
        <v>392</v>
      </c>
      <c r="C37" s="5">
        <v>46276</v>
      </c>
      <c r="D37" s="1" t="s">
        <v>102</v>
      </c>
      <c r="E37" s="6" t="s">
        <v>95</v>
      </c>
      <c r="F37" s="6" t="s">
        <v>65</v>
      </c>
      <c r="G37" s="1" t="s">
        <v>80</v>
      </c>
      <c r="H37" s="1" t="s">
        <v>28</v>
      </c>
      <c r="I37" s="1">
        <v>34</v>
      </c>
      <c r="J37" s="1">
        <v>4</v>
      </c>
      <c r="K37" s="1">
        <v>8</v>
      </c>
      <c r="L37" s="1" t="s">
        <v>10</v>
      </c>
      <c r="M37" s="1" t="s">
        <v>293</v>
      </c>
      <c r="N37" s="1" t="s">
        <v>57</v>
      </c>
      <c r="O37" s="5">
        <v>46319</v>
      </c>
    </row>
    <row r="38" spans="1:15">
      <c r="A38" s="1">
        <v>35</v>
      </c>
      <c r="B38" s="1" t="s">
        <v>393</v>
      </c>
      <c r="C38" s="5">
        <v>46267</v>
      </c>
      <c r="D38" s="1" t="s">
        <v>102</v>
      </c>
      <c r="E38" s="6" t="s">
        <v>31</v>
      </c>
      <c r="F38" s="6" t="s">
        <v>50</v>
      </c>
      <c r="G38" s="1" t="s">
        <v>31</v>
      </c>
      <c r="H38" s="1" t="s">
        <v>62</v>
      </c>
      <c r="I38" s="1">
        <v>37</v>
      </c>
      <c r="J38" s="1">
        <v>6</v>
      </c>
      <c r="K38" s="1">
        <v>2</v>
      </c>
      <c r="L38" s="1" t="s">
        <v>17</v>
      </c>
      <c r="M38" s="1" t="s">
        <v>293</v>
      </c>
      <c r="N38" s="1" t="s">
        <v>57</v>
      </c>
      <c r="O38" s="5">
        <v>46292</v>
      </c>
    </row>
    <row r="39" spans="1:15">
      <c r="A39" s="1">
        <v>36</v>
      </c>
      <c r="B39" s="1" t="s">
        <v>394</v>
      </c>
      <c r="C39" s="5">
        <v>46276</v>
      </c>
      <c r="D39" s="1" t="s">
        <v>102</v>
      </c>
      <c r="E39" s="6" t="s">
        <v>77</v>
      </c>
      <c r="F39" s="6" t="s">
        <v>89</v>
      </c>
      <c r="G39" s="1" t="s">
        <v>40</v>
      </c>
      <c r="H39" s="1" t="s">
        <v>66</v>
      </c>
      <c r="I39" s="1">
        <v>31</v>
      </c>
      <c r="J39" s="1">
        <v>4</v>
      </c>
      <c r="K39" s="1">
        <v>8</v>
      </c>
      <c r="L39" s="1" t="s">
        <v>96</v>
      </c>
      <c r="M39" s="1" t="s">
        <v>293</v>
      </c>
      <c r="N39" s="1" t="s">
        <v>54</v>
      </c>
      <c r="O39" s="5">
        <v>46297</v>
      </c>
    </row>
    <row r="40" spans="1:15">
      <c r="A40" s="1">
        <v>37</v>
      </c>
      <c r="B40" s="1" t="s">
        <v>395</v>
      </c>
      <c r="C40" s="5">
        <v>46272</v>
      </c>
      <c r="D40" s="1" t="s">
        <v>102</v>
      </c>
      <c r="E40" s="6" t="s">
        <v>21</v>
      </c>
      <c r="F40" s="6" t="s">
        <v>50</v>
      </c>
      <c r="G40" s="1" t="s">
        <v>80</v>
      </c>
      <c r="H40" s="1" t="s">
        <v>7</v>
      </c>
      <c r="I40" s="1">
        <v>27</v>
      </c>
      <c r="J40" s="1">
        <v>2</v>
      </c>
      <c r="K40" s="1">
        <v>0</v>
      </c>
      <c r="L40" s="1" t="s">
        <v>10</v>
      </c>
      <c r="M40" s="1" t="s">
        <v>293</v>
      </c>
      <c r="N40" s="1" t="s">
        <v>54</v>
      </c>
      <c r="O40" s="5">
        <v>46287</v>
      </c>
    </row>
    <row r="41" spans="1:15">
      <c r="A41" s="1">
        <v>38</v>
      </c>
      <c r="B41" s="1" t="s">
        <v>396</v>
      </c>
      <c r="C41" s="5">
        <v>46280</v>
      </c>
      <c r="D41" s="1" t="s">
        <v>102</v>
      </c>
      <c r="E41" s="6" t="s">
        <v>40</v>
      </c>
      <c r="F41" s="6" t="s">
        <v>89</v>
      </c>
      <c r="G41" s="1" t="s">
        <v>40</v>
      </c>
      <c r="H41" s="1" t="s">
        <v>28</v>
      </c>
      <c r="I41" s="1">
        <v>34</v>
      </c>
      <c r="J41" s="1">
        <v>7</v>
      </c>
      <c r="K41" s="1">
        <v>1</v>
      </c>
      <c r="L41" s="1" t="s">
        <v>17</v>
      </c>
      <c r="M41" s="1" t="s">
        <v>238</v>
      </c>
      <c r="N41" s="1" t="s">
        <v>4</v>
      </c>
      <c r="O41" s="5">
        <v>46293</v>
      </c>
    </row>
    <row r="42" spans="1:15">
      <c r="A42" s="1">
        <v>39</v>
      </c>
      <c r="B42" s="1" t="s">
        <v>397</v>
      </c>
      <c r="C42" s="5">
        <v>46273</v>
      </c>
      <c r="D42" s="1" t="s">
        <v>102</v>
      </c>
      <c r="E42" s="6" t="s">
        <v>87</v>
      </c>
      <c r="F42" s="6" t="s">
        <v>27</v>
      </c>
      <c r="G42" s="1" t="s">
        <v>21</v>
      </c>
      <c r="H42" s="1" t="s">
        <v>7</v>
      </c>
      <c r="I42" s="1">
        <v>43</v>
      </c>
      <c r="J42" s="1">
        <v>1</v>
      </c>
      <c r="K42" s="1">
        <v>4</v>
      </c>
      <c r="L42" s="1" t="s">
        <v>96</v>
      </c>
      <c r="M42" s="1" t="s">
        <v>293</v>
      </c>
      <c r="N42" s="1" t="s">
        <v>12</v>
      </c>
      <c r="O42" s="5">
        <v>46299</v>
      </c>
    </row>
    <row r="43" spans="1:15">
      <c r="A43" s="1">
        <v>40</v>
      </c>
      <c r="B43" s="1" t="s">
        <v>398</v>
      </c>
      <c r="C43" s="5">
        <v>46314</v>
      </c>
      <c r="D43" s="1" t="s">
        <v>106</v>
      </c>
      <c r="E43" s="6" t="s">
        <v>82</v>
      </c>
      <c r="F43" s="6" t="s">
        <v>27</v>
      </c>
      <c r="G43" s="1" t="s">
        <v>82</v>
      </c>
      <c r="H43" s="1" t="s">
        <v>66</v>
      </c>
      <c r="I43" s="1">
        <v>19</v>
      </c>
      <c r="J43" s="1">
        <v>2</v>
      </c>
      <c r="K43" s="1">
        <v>6</v>
      </c>
      <c r="L43" s="1" t="s">
        <v>96</v>
      </c>
      <c r="M43" s="1" t="s">
        <v>293</v>
      </c>
      <c r="N43" s="1" t="s">
        <v>61</v>
      </c>
      <c r="O43" s="5">
        <v>46329</v>
      </c>
    </row>
    <row r="44" spans="1:15">
      <c r="A44" s="1">
        <v>41</v>
      </c>
      <c r="B44" s="1" t="s">
        <v>399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293</v>
      </c>
      <c r="N44" s="1" t="s">
        <v>12</v>
      </c>
      <c r="O44" s="5">
        <v>46345</v>
      </c>
    </row>
    <row r="45" spans="1:15">
      <c r="A45" s="1">
        <v>42</v>
      </c>
      <c r="B45" s="1" t="s">
        <v>400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293</v>
      </c>
      <c r="N45" s="1" t="s">
        <v>54</v>
      </c>
      <c r="O45" s="5">
        <v>46336</v>
      </c>
    </row>
    <row r="46" spans="1:15">
      <c r="A46" s="1">
        <v>43</v>
      </c>
      <c r="B46" s="1" t="s">
        <v>401</v>
      </c>
      <c r="C46" s="5">
        <v>46331</v>
      </c>
      <c r="D46" s="1" t="s">
        <v>111</v>
      </c>
      <c r="E46" s="6" t="s">
        <v>31</v>
      </c>
      <c r="F46" s="6" t="s">
        <v>58</v>
      </c>
      <c r="G46" s="1" t="s">
        <v>95</v>
      </c>
      <c r="H46" s="1" t="s">
        <v>93</v>
      </c>
      <c r="I46" s="1">
        <v>26</v>
      </c>
      <c r="J46" s="1">
        <v>0</v>
      </c>
      <c r="K46" s="1">
        <v>7</v>
      </c>
      <c r="L46" s="1" t="s">
        <v>17</v>
      </c>
      <c r="M46" s="1" t="s">
        <v>293</v>
      </c>
      <c r="N46" s="1" t="s">
        <v>16</v>
      </c>
      <c r="O46" s="5">
        <v>46356</v>
      </c>
    </row>
    <row r="47" spans="1:15">
      <c r="A47" s="1">
        <v>44</v>
      </c>
      <c r="B47" s="1" t="s">
        <v>402</v>
      </c>
      <c r="C47" s="5">
        <v>46346</v>
      </c>
      <c r="D47" s="1" t="s">
        <v>111</v>
      </c>
      <c r="E47" s="6" t="s">
        <v>21</v>
      </c>
      <c r="F47" s="6" t="s">
        <v>39</v>
      </c>
      <c r="G47" s="1" t="s">
        <v>77</v>
      </c>
      <c r="H47" s="1" t="s">
        <v>62</v>
      </c>
      <c r="I47" s="1">
        <v>47</v>
      </c>
      <c r="J47" s="1">
        <v>0</v>
      </c>
      <c r="K47" s="1">
        <v>4</v>
      </c>
      <c r="L47" s="1" t="s">
        <v>24</v>
      </c>
      <c r="M47" s="1" t="s">
        <v>293</v>
      </c>
      <c r="N47" s="1" t="s">
        <v>4</v>
      </c>
      <c r="O47" s="5">
        <v>46355</v>
      </c>
    </row>
    <row r="48" spans="1:15">
      <c r="A48" s="1">
        <v>45</v>
      </c>
      <c r="B48" s="1" t="s">
        <v>403</v>
      </c>
      <c r="C48" s="5">
        <v>46333</v>
      </c>
      <c r="D48" s="1" t="s">
        <v>111</v>
      </c>
      <c r="E48" s="6" t="s">
        <v>77</v>
      </c>
      <c r="F48" s="6" t="s">
        <v>89</v>
      </c>
      <c r="G48" s="1" t="s">
        <v>51</v>
      </c>
      <c r="H48" s="1" t="s">
        <v>93</v>
      </c>
      <c r="I48" s="1">
        <v>20</v>
      </c>
      <c r="J48" s="1">
        <v>4</v>
      </c>
      <c r="K48" s="1">
        <v>3</v>
      </c>
      <c r="L48" s="1" t="s">
        <v>10</v>
      </c>
      <c r="M48" s="1" t="s">
        <v>293</v>
      </c>
      <c r="N48" s="1" t="s">
        <v>54</v>
      </c>
      <c r="O48" s="5">
        <v>46366</v>
      </c>
    </row>
    <row r="49" spans="1:15">
      <c r="A49" s="1">
        <v>46</v>
      </c>
      <c r="B49" s="1" t="s">
        <v>404</v>
      </c>
      <c r="C49" s="5">
        <v>46341</v>
      </c>
      <c r="D49" s="1" t="s">
        <v>111</v>
      </c>
      <c r="E49" s="6" t="s">
        <v>21</v>
      </c>
      <c r="F49" s="6" t="s">
        <v>58</v>
      </c>
      <c r="G49" s="1" t="s">
        <v>51</v>
      </c>
      <c r="H49" s="1" t="s">
        <v>62</v>
      </c>
      <c r="I49" s="1">
        <v>19</v>
      </c>
      <c r="J49" s="1">
        <v>7</v>
      </c>
      <c r="K49" s="1">
        <v>6</v>
      </c>
      <c r="L49" s="1" t="s">
        <v>24</v>
      </c>
      <c r="M49" s="1" t="s">
        <v>293</v>
      </c>
      <c r="N49" s="1" t="s">
        <v>20</v>
      </c>
      <c r="O49" s="5">
        <v>46362</v>
      </c>
    </row>
    <row r="50" spans="1:15">
      <c r="A50" s="1">
        <v>47</v>
      </c>
      <c r="B50" s="1" t="s">
        <v>405</v>
      </c>
      <c r="C50" s="5">
        <v>46370</v>
      </c>
      <c r="D50" s="1" t="s">
        <v>122</v>
      </c>
      <c r="E50" s="6" t="s">
        <v>31</v>
      </c>
      <c r="F50" s="6" t="s">
        <v>65</v>
      </c>
      <c r="G50" s="1" t="s">
        <v>87</v>
      </c>
      <c r="H50" s="1" t="s">
        <v>22</v>
      </c>
      <c r="I50" s="1">
        <v>19</v>
      </c>
      <c r="J50" s="1">
        <v>1</v>
      </c>
      <c r="K50" s="1">
        <v>4</v>
      </c>
      <c r="L50" s="1" t="s">
        <v>17</v>
      </c>
      <c r="M50" s="1" t="s">
        <v>293</v>
      </c>
      <c r="N50" s="1" t="s">
        <v>30</v>
      </c>
      <c r="O50" s="5">
        <v>46393</v>
      </c>
    </row>
    <row r="51" spans="1:15">
      <c r="A51" s="1">
        <v>48</v>
      </c>
      <c r="B51" s="1" t="s">
        <v>406</v>
      </c>
      <c r="C51" s="5">
        <v>46373</v>
      </c>
      <c r="D51" s="1" t="s">
        <v>122</v>
      </c>
      <c r="E51" s="6" t="s">
        <v>77</v>
      </c>
      <c r="F51" s="6" t="s">
        <v>5</v>
      </c>
      <c r="G51" s="1" t="s">
        <v>80</v>
      </c>
      <c r="H51" s="1" t="s">
        <v>62</v>
      </c>
      <c r="I51" s="1">
        <v>22</v>
      </c>
      <c r="J51" s="1">
        <v>0</v>
      </c>
      <c r="K51" s="1">
        <v>1</v>
      </c>
      <c r="L51" s="1" t="s">
        <v>42</v>
      </c>
      <c r="M51" s="1" t="s">
        <v>297</v>
      </c>
      <c r="N51" s="1" t="s">
        <v>45</v>
      </c>
      <c r="O51" s="5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415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293</v>
      </c>
      <c r="N4" s="1" t="s">
        <v>20</v>
      </c>
      <c r="O4" s="5">
        <v>46039</v>
      </c>
    </row>
    <row r="5" spans="1:17">
      <c r="A5" s="1">
        <v>2</v>
      </c>
      <c r="B5" s="1" t="s">
        <v>416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238</v>
      </c>
      <c r="N5" s="1" t="s">
        <v>38</v>
      </c>
      <c r="O5" s="5">
        <v>46047</v>
      </c>
    </row>
    <row r="6" spans="1:17">
      <c r="A6" s="1">
        <v>3</v>
      </c>
      <c r="B6" s="1" t="s">
        <v>417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293</v>
      </c>
      <c r="N6" s="1" t="s">
        <v>4</v>
      </c>
      <c r="O6" s="5">
        <v>46083</v>
      </c>
    </row>
    <row r="7" spans="1:17">
      <c r="A7" s="1">
        <v>4</v>
      </c>
      <c r="B7" s="1" t="s">
        <v>418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293</v>
      </c>
      <c r="N7" s="1" t="s">
        <v>4</v>
      </c>
      <c r="O7" s="5">
        <v>46078</v>
      </c>
    </row>
    <row r="8" spans="1:17">
      <c r="A8" s="1">
        <v>5</v>
      </c>
      <c r="B8" s="1" t="s">
        <v>419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293</v>
      </c>
      <c r="N8" s="1" t="s">
        <v>26</v>
      </c>
      <c r="O8" s="5">
        <v>46030</v>
      </c>
    </row>
    <row r="9" spans="1:17">
      <c r="A9" s="1">
        <v>6</v>
      </c>
      <c r="B9" s="1" t="s">
        <v>420</v>
      </c>
      <c r="C9" s="5">
        <v>46066</v>
      </c>
      <c r="D9" s="1" t="s">
        <v>19</v>
      </c>
      <c r="E9" s="6" t="s">
        <v>40</v>
      </c>
      <c r="F9" s="6" t="s">
        <v>58</v>
      </c>
      <c r="G9" s="1" t="s">
        <v>51</v>
      </c>
      <c r="H9" s="1" t="s">
        <v>78</v>
      </c>
      <c r="I9" s="1">
        <v>34</v>
      </c>
      <c r="J9" s="1">
        <v>4</v>
      </c>
      <c r="K9" s="1">
        <v>7</v>
      </c>
      <c r="L9" s="1" t="s">
        <v>24</v>
      </c>
      <c r="M9" s="1" t="s">
        <v>293</v>
      </c>
      <c r="N9" s="1" t="s">
        <v>20</v>
      </c>
      <c r="O9" s="5">
        <v>46086</v>
      </c>
    </row>
    <row r="10" spans="1:17">
      <c r="A10" s="1">
        <v>7</v>
      </c>
      <c r="B10" s="1" t="s">
        <v>421</v>
      </c>
      <c r="C10" s="5">
        <v>46079</v>
      </c>
      <c r="D10" s="1" t="s">
        <v>19</v>
      </c>
      <c r="E10" s="6" t="s">
        <v>95</v>
      </c>
      <c r="F10" s="6" t="s">
        <v>46</v>
      </c>
      <c r="G10" s="1" t="s">
        <v>77</v>
      </c>
      <c r="H10" s="1" t="s">
        <v>78</v>
      </c>
      <c r="I10" s="1">
        <v>49</v>
      </c>
      <c r="J10" s="1">
        <v>3</v>
      </c>
      <c r="K10" s="1">
        <v>5</v>
      </c>
      <c r="L10" s="1" t="s">
        <v>96</v>
      </c>
      <c r="M10" s="1" t="s">
        <v>293</v>
      </c>
      <c r="N10" s="1" t="s">
        <v>45</v>
      </c>
      <c r="O10" s="5">
        <v>46111</v>
      </c>
    </row>
    <row r="11" spans="1:17">
      <c r="A11" s="1">
        <v>8</v>
      </c>
      <c r="B11" s="1" t="s">
        <v>422</v>
      </c>
      <c r="C11" s="5">
        <v>46066</v>
      </c>
      <c r="D11" s="1" t="s">
        <v>19</v>
      </c>
      <c r="E11" s="6" t="s">
        <v>6</v>
      </c>
      <c r="F11" s="6" t="s">
        <v>92</v>
      </c>
      <c r="G11" s="1" t="s">
        <v>6</v>
      </c>
      <c r="H11" s="1" t="s">
        <v>70</v>
      </c>
      <c r="I11" s="1">
        <v>31</v>
      </c>
      <c r="J11" s="1">
        <v>4</v>
      </c>
      <c r="K11" s="1">
        <v>3</v>
      </c>
      <c r="L11" s="1" t="s">
        <v>42</v>
      </c>
      <c r="M11" s="1" t="s">
        <v>293</v>
      </c>
      <c r="N11" s="1" t="s">
        <v>30</v>
      </c>
      <c r="O11" s="5">
        <v>46072</v>
      </c>
    </row>
    <row r="12" spans="1:17">
      <c r="A12" s="1">
        <v>9</v>
      </c>
      <c r="B12" s="1" t="s">
        <v>423</v>
      </c>
      <c r="C12" s="5">
        <v>46074</v>
      </c>
      <c r="D12" s="1" t="s">
        <v>19</v>
      </c>
      <c r="E12" s="6" t="s">
        <v>77</v>
      </c>
      <c r="F12" s="6" t="s">
        <v>92</v>
      </c>
      <c r="G12" s="1" t="s">
        <v>77</v>
      </c>
      <c r="H12" s="1" t="s">
        <v>78</v>
      </c>
      <c r="I12" s="1">
        <v>47</v>
      </c>
      <c r="J12" s="1">
        <v>7</v>
      </c>
      <c r="K12" s="1">
        <v>2</v>
      </c>
      <c r="L12" s="1" t="s">
        <v>24</v>
      </c>
      <c r="M12" s="1" t="s">
        <v>254</v>
      </c>
      <c r="N12" s="1" t="s">
        <v>57</v>
      </c>
      <c r="O12" s="5">
        <v>46081</v>
      </c>
    </row>
    <row r="13" spans="1:17">
      <c r="A13" s="1">
        <v>10</v>
      </c>
      <c r="B13" s="1" t="s">
        <v>424</v>
      </c>
      <c r="C13" s="5">
        <v>46076</v>
      </c>
      <c r="D13" s="1" t="s">
        <v>19</v>
      </c>
      <c r="E13" s="6" t="s">
        <v>40</v>
      </c>
      <c r="F13" s="6" t="s">
        <v>5</v>
      </c>
      <c r="G13" s="1" t="s">
        <v>51</v>
      </c>
      <c r="H13" s="1" t="s">
        <v>66</v>
      </c>
      <c r="I13" s="1">
        <v>21</v>
      </c>
      <c r="J13" s="1">
        <v>6</v>
      </c>
      <c r="K13" s="1">
        <v>1</v>
      </c>
      <c r="L13" s="1" t="s">
        <v>10</v>
      </c>
      <c r="M13" s="1" t="s">
        <v>297</v>
      </c>
      <c r="N13" s="1" t="s">
        <v>64</v>
      </c>
      <c r="O13" s="5">
        <v>46087</v>
      </c>
    </row>
    <row r="14" spans="1:17">
      <c r="A14" s="1">
        <v>11</v>
      </c>
      <c r="B14" s="1" t="s">
        <v>425</v>
      </c>
      <c r="C14" s="5">
        <v>46097</v>
      </c>
      <c r="D14" s="1" t="s">
        <v>44</v>
      </c>
      <c r="E14" s="6" t="s">
        <v>82</v>
      </c>
      <c r="F14" s="6" t="s">
        <v>65</v>
      </c>
      <c r="G14" s="1" t="s">
        <v>40</v>
      </c>
      <c r="H14" s="1" t="s">
        <v>15</v>
      </c>
      <c r="I14" s="1">
        <v>50</v>
      </c>
      <c r="J14" s="1">
        <v>0</v>
      </c>
      <c r="K14" s="1">
        <v>4</v>
      </c>
      <c r="L14" s="1" t="s">
        <v>42</v>
      </c>
      <c r="M14" s="1" t="s">
        <v>293</v>
      </c>
      <c r="N14" s="1" t="s">
        <v>57</v>
      </c>
      <c r="O14" s="5">
        <v>46108</v>
      </c>
    </row>
    <row r="15" spans="1:17">
      <c r="A15" s="1">
        <v>12</v>
      </c>
      <c r="B15" s="1" t="s">
        <v>426</v>
      </c>
      <c r="C15" s="5">
        <v>46088</v>
      </c>
      <c r="D15" s="1" t="s">
        <v>44</v>
      </c>
      <c r="E15" s="6" t="s">
        <v>31</v>
      </c>
      <c r="F15" s="6" t="s">
        <v>50</v>
      </c>
      <c r="G15" s="1" t="s">
        <v>35</v>
      </c>
      <c r="H15" s="1" t="s">
        <v>93</v>
      </c>
      <c r="I15" s="1">
        <v>41</v>
      </c>
      <c r="J15" s="1">
        <v>6</v>
      </c>
      <c r="K15" s="1">
        <v>0</v>
      </c>
      <c r="L15" s="1" t="s">
        <v>42</v>
      </c>
      <c r="M15" s="1" t="s">
        <v>293</v>
      </c>
      <c r="N15" s="1" t="s">
        <v>20</v>
      </c>
      <c r="O15" s="5">
        <v>46108</v>
      </c>
    </row>
    <row r="16" spans="1:17">
      <c r="A16" s="1">
        <v>13</v>
      </c>
      <c r="B16" s="1" t="s">
        <v>427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293</v>
      </c>
      <c r="N16" s="1" t="s">
        <v>12</v>
      </c>
      <c r="O16" s="5">
        <v>46097</v>
      </c>
    </row>
    <row r="17" spans="1:15">
      <c r="A17" s="1">
        <v>14</v>
      </c>
      <c r="B17" s="1" t="s">
        <v>428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293</v>
      </c>
      <c r="N17" s="1" t="s">
        <v>20</v>
      </c>
      <c r="O17" s="5">
        <v>46117</v>
      </c>
    </row>
    <row r="18" spans="1:15">
      <c r="A18" s="1">
        <v>15</v>
      </c>
      <c r="B18" s="1" t="s">
        <v>429</v>
      </c>
      <c r="C18" s="5">
        <v>46155</v>
      </c>
      <c r="D18" s="1" t="s">
        <v>60</v>
      </c>
      <c r="E18" s="6" t="s">
        <v>6</v>
      </c>
      <c r="F18" s="6" t="s">
        <v>92</v>
      </c>
      <c r="G18" s="1" t="s">
        <v>77</v>
      </c>
      <c r="H18" s="1" t="s">
        <v>70</v>
      </c>
      <c r="I18" s="1">
        <v>47</v>
      </c>
      <c r="J18" s="1">
        <v>3</v>
      </c>
      <c r="K18" s="1">
        <v>3</v>
      </c>
      <c r="L18" s="1" t="s">
        <v>10</v>
      </c>
      <c r="M18" s="1" t="s">
        <v>293</v>
      </c>
      <c r="N18" s="1" t="s">
        <v>49</v>
      </c>
      <c r="O18" s="5">
        <v>46163</v>
      </c>
    </row>
    <row r="19" spans="1:15">
      <c r="A19" s="1">
        <v>16</v>
      </c>
      <c r="B19" s="1" t="s">
        <v>430</v>
      </c>
      <c r="C19" s="5">
        <v>46161</v>
      </c>
      <c r="D19" s="1" t="s">
        <v>60</v>
      </c>
      <c r="E19" s="6" t="s">
        <v>77</v>
      </c>
      <c r="F19" s="6" t="s">
        <v>39</v>
      </c>
      <c r="G19" s="1" t="s">
        <v>21</v>
      </c>
      <c r="H19" s="1" t="s">
        <v>28</v>
      </c>
      <c r="I19" s="1">
        <v>16</v>
      </c>
      <c r="J19" s="1">
        <v>7</v>
      </c>
      <c r="K19" s="1">
        <v>8</v>
      </c>
      <c r="L19" s="1" t="s">
        <v>24</v>
      </c>
      <c r="M19" s="1" t="s">
        <v>254</v>
      </c>
      <c r="N19" s="1" t="s">
        <v>57</v>
      </c>
      <c r="O19" s="5">
        <v>46187</v>
      </c>
    </row>
    <row r="20" spans="1:15">
      <c r="A20" s="1">
        <v>17</v>
      </c>
      <c r="B20" s="1" t="s">
        <v>431</v>
      </c>
      <c r="C20" s="5">
        <v>46166</v>
      </c>
      <c r="D20" s="1" t="s">
        <v>60</v>
      </c>
      <c r="E20" s="6" t="s">
        <v>95</v>
      </c>
      <c r="F20" s="6" t="s">
        <v>58</v>
      </c>
      <c r="G20" s="1" t="s">
        <v>80</v>
      </c>
      <c r="H20" s="1" t="s">
        <v>36</v>
      </c>
      <c r="I20" s="1">
        <v>25</v>
      </c>
      <c r="J20" s="1">
        <v>1</v>
      </c>
      <c r="K20" s="1">
        <v>4</v>
      </c>
      <c r="L20" s="1" t="s">
        <v>42</v>
      </c>
      <c r="M20" s="1" t="s">
        <v>293</v>
      </c>
      <c r="N20" s="1" t="s">
        <v>4</v>
      </c>
      <c r="O20" s="5">
        <v>46191</v>
      </c>
    </row>
    <row r="21" spans="1:15">
      <c r="A21" s="1">
        <v>18</v>
      </c>
      <c r="B21" s="1" t="s">
        <v>432</v>
      </c>
      <c r="C21" s="5">
        <v>46183</v>
      </c>
      <c r="D21" s="1" t="s">
        <v>73</v>
      </c>
      <c r="E21" s="6" t="s">
        <v>21</v>
      </c>
      <c r="F21" s="6" t="s">
        <v>27</v>
      </c>
      <c r="G21" s="1" t="s">
        <v>35</v>
      </c>
      <c r="H21" s="1" t="s">
        <v>15</v>
      </c>
      <c r="I21" s="1">
        <v>34</v>
      </c>
      <c r="J21" s="1">
        <v>1</v>
      </c>
      <c r="K21" s="1">
        <v>5</v>
      </c>
      <c r="L21" s="1" t="s">
        <v>42</v>
      </c>
      <c r="M21" s="1" t="s">
        <v>293</v>
      </c>
      <c r="N21" s="1" t="s">
        <v>16</v>
      </c>
      <c r="O21" s="5">
        <v>46220</v>
      </c>
    </row>
    <row r="22" spans="1:15">
      <c r="A22" s="1">
        <v>19</v>
      </c>
      <c r="B22" s="1" t="s">
        <v>433</v>
      </c>
      <c r="C22" s="5">
        <v>46176</v>
      </c>
      <c r="D22" s="1" t="s">
        <v>73</v>
      </c>
      <c r="E22" s="6" t="s">
        <v>51</v>
      </c>
      <c r="F22" s="6" t="s">
        <v>39</v>
      </c>
      <c r="G22" s="1" t="s">
        <v>21</v>
      </c>
      <c r="H22" s="1" t="s">
        <v>66</v>
      </c>
      <c r="I22" s="1">
        <v>38</v>
      </c>
      <c r="J22" s="1">
        <v>5</v>
      </c>
      <c r="K22" s="1">
        <v>5</v>
      </c>
      <c r="L22" s="1" t="s">
        <v>96</v>
      </c>
      <c r="M22" s="1" t="s">
        <v>293</v>
      </c>
      <c r="N22" s="1" t="s">
        <v>54</v>
      </c>
      <c r="O22" s="5">
        <v>46200</v>
      </c>
    </row>
    <row r="23" spans="1:15">
      <c r="A23" s="1">
        <v>20</v>
      </c>
      <c r="B23" s="1" t="s">
        <v>434</v>
      </c>
      <c r="C23" s="5">
        <v>46180</v>
      </c>
      <c r="D23" s="1" t="s">
        <v>73</v>
      </c>
      <c r="E23" s="6" t="s">
        <v>87</v>
      </c>
      <c r="F23" s="6" t="s">
        <v>27</v>
      </c>
      <c r="G23" s="1" t="s">
        <v>31</v>
      </c>
      <c r="H23" s="1" t="s">
        <v>7</v>
      </c>
      <c r="I23" s="1">
        <v>26</v>
      </c>
      <c r="J23" s="1">
        <v>7</v>
      </c>
      <c r="K23" s="1">
        <v>7</v>
      </c>
      <c r="L23" s="1" t="s">
        <v>17</v>
      </c>
      <c r="M23" s="1" t="s">
        <v>293</v>
      </c>
      <c r="N23" s="1" t="s">
        <v>20</v>
      </c>
      <c r="O23" s="5">
        <v>46219</v>
      </c>
    </row>
    <row r="24" spans="1:15">
      <c r="A24" s="1">
        <v>21</v>
      </c>
      <c r="B24" s="1" t="s">
        <v>435</v>
      </c>
      <c r="C24" s="5">
        <v>46224</v>
      </c>
      <c r="D24" s="1" t="s">
        <v>76</v>
      </c>
      <c r="E24" s="6" t="s">
        <v>51</v>
      </c>
      <c r="F24" s="6" t="s">
        <v>5</v>
      </c>
      <c r="G24" s="1" t="s">
        <v>40</v>
      </c>
      <c r="H24" s="1" t="s">
        <v>28</v>
      </c>
      <c r="I24" s="1">
        <v>37</v>
      </c>
      <c r="J24" s="1">
        <v>2</v>
      </c>
      <c r="K24" s="1">
        <v>6</v>
      </c>
      <c r="L24" s="1" t="s">
        <v>10</v>
      </c>
      <c r="M24" s="1" t="s">
        <v>293</v>
      </c>
      <c r="N24" s="1" t="s">
        <v>64</v>
      </c>
      <c r="O24" s="5">
        <v>46234</v>
      </c>
    </row>
    <row r="25" spans="1:15">
      <c r="A25" s="1">
        <v>22</v>
      </c>
      <c r="B25" s="1" t="s">
        <v>436</v>
      </c>
      <c r="C25" s="5">
        <v>46229</v>
      </c>
      <c r="D25" s="1" t="s">
        <v>76</v>
      </c>
      <c r="E25" s="6" t="s">
        <v>31</v>
      </c>
      <c r="F25" s="6" t="s">
        <v>58</v>
      </c>
      <c r="G25" s="1" t="s">
        <v>31</v>
      </c>
      <c r="H25" s="1" t="s">
        <v>7</v>
      </c>
      <c r="I25" s="1">
        <v>34</v>
      </c>
      <c r="J25" s="1">
        <v>3</v>
      </c>
      <c r="K25" s="1">
        <v>7</v>
      </c>
      <c r="L25" s="1" t="s">
        <v>17</v>
      </c>
      <c r="M25" s="1" t="s">
        <v>293</v>
      </c>
      <c r="N25" s="1" t="s">
        <v>49</v>
      </c>
      <c r="O25" s="5">
        <v>46256</v>
      </c>
    </row>
    <row r="26" spans="1:15">
      <c r="A26" s="1">
        <v>23</v>
      </c>
      <c r="B26" s="1" t="s">
        <v>437</v>
      </c>
      <c r="C26" s="5">
        <v>46209</v>
      </c>
      <c r="D26" s="1" t="s">
        <v>76</v>
      </c>
      <c r="E26" s="6" t="s">
        <v>35</v>
      </c>
      <c r="F26" s="6" t="s">
        <v>13</v>
      </c>
      <c r="G26" s="1" t="s">
        <v>51</v>
      </c>
      <c r="H26" s="1" t="s">
        <v>22</v>
      </c>
      <c r="I26" s="1">
        <v>26</v>
      </c>
      <c r="J26" s="1">
        <v>0</v>
      </c>
      <c r="K26" s="1">
        <v>4</v>
      </c>
      <c r="L26" s="1" t="s">
        <v>17</v>
      </c>
      <c r="M26" s="1" t="s">
        <v>297</v>
      </c>
      <c r="N26" s="1" t="s">
        <v>4</v>
      </c>
      <c r="O26" s="5">
        <v>46226</v>
      </c>
    </row>
    <row r="27" spans="1:15">
      <c r="A27" s="1">
        <v>24</v>
      </c>
      <c r="B27" s="1" t="s">
        <v>438</v>
      </c>
      <c r="C27" s="5">
        <v>46229</v>
      </c>
      <c r="D27" s="1" t="s">
        <v>76</v>
      </c>
      <c r="E27" s="6" t="s">
        <v>82</v>
      </c>
      <c r="F27" s="6" t="s">
        <v>89</v>
      </c>
      <c r="G27" s="1" t="s">
        <v>14</v>
      </c>
      <c r="H27" s="1" t="s">
        <v>66</v>
      </c>
      <c r="I27" s="1">
        <v>49</v>
      </c>
      <c r="J27" s="1">
        <v>5</v>
      </c>
      <c r="K27" s="1">
        <v>1</v>
      </c>
      <c r="L27" s="1" t="s">
        <v>10</v>
      </c>
      <c r="M27" s="1" t="s">
        <v>238</v>
      </c>
      <c r="N27" s="1" t="s">
        <v>49</v>
      </c>
      <c r="O27" s="5">
        <v>46270</v>
      </c>
    </row>
    <row r="28" spans="1:15">
      <c r="A28" s="1">
        <v>25</v>
      </c>
      <c r="B28" s="1" t="s">
        <v>439</v>
      </c>
      <c r="C28" s="5">
        <v>46240</v>
      </c>
      <c r="D28" s="1" t="s">
        <v>86</v>
      </c>
      <c r="E28" s="6" t="s">
        <v>77</v>
      </c>
      <c r="F28" s="6" t="s">
        <v>50</v>
      </c>
      <c r="G28" s="1" t="s">
        <v>80</v>
      </c>
      <c r="H28" s="1" t="s">
        <v>15</v>
      </c>
      <c r="I28" s="1">
        <v>23</v>
      </c>
      <c r="J28" s="1">
        <v>2</v>
      </c>
      <c r="K28" s="1">
        <v>5</v>
      </c>
      <c r="L28" s="1" t="s">
        <v>10</v>
      </c>
      <c r="M28" s="1" t="s">
        <v>238</v>
      </c>
      <c r="N28" s="1" t="s">
        <v>49</v>
      </c>
      <c r="O28" s="5">
        <v>46249</v>
      </c>
    </row>
    <row r="29" spans="1:15">
      <c r="A29" s="1">
        <v>26</v>
      </c>
      <c r="B29" s="1" t="s">
        <v>440</v>
      </c>
      <c r="C29" s="5">
        <v>46250</v>
      </c>
      <c r="D29" s="1" t="s">
        <v>86</v>
      </c>
      <c r="E29" s="6" t="s">
        <v>14</v>
      </c>
      <c r="F29" s="6" t="s">
        <v>27</v>
      </c>
      <c r="G29" s="1" t="s">
        <v>77</v>
      </c>
      <c r="H29" s="1" t="s">
        <v>104</v>
      </c>
      <c r="I29" s="1">
        <v>20</v>
      </c>
      <c r="J29" s="1">
        <v>7</v>
      </c>
      <c r="K29" s="1">
        <v>5</v>
      </c>
      <c r="L29" s="1" t="s">
        <v>96</v>
      </c>
      <c r="M29" s="1" t="s">
        <v>293</v>
      </c>
      <c r="N29" s="1" t="s">
        <v>16</v>
      </c>
      <c r="O29" s="5">
        <v>46258</v>
      </c>
    </row>
    <row r="30" spans="1:15">
      <c r="A30" s="1">
        <v>27</v>
      </c>
      <c r="B30" s="1" t="s">
        <v>441</v>
      </c>
      <c r="C30" s="5">
        <v>46248</v>
      </c>
      <c r="D30" s="1" t="s">
        <v>86</v>
      </c>
      <c r="E30" s="6" t="s">
        <v>14</v>
      </c>
      <c r="F30" s="6" t="s">
        <v>13</v>
      </c>
      <c r="G30" s="1" t="s">
        <v>21</v>
      </c>
      <c r="H30" s="1" t="s">
        <v>68</v>
      </c>
      <c r="I30" s="1">
        <v>22</v>
      </c>
      <c r="J30" s="1">
        <v>7</v>
      </c>
      <c r="K30" s="1">
        <v>7</v>
      </c>
      <c r="L30" s="1" t="s">
        <v>96</v>
      </c>
      <c r="M30" s="1" t="s">
        <v>254</v>
      </c>
      <c r="N30" s="1" t="s">
        <v>4</v>
      </c>
      <c r="O30" s="5">
        <v>46271</v>
      </c>
    </row>
    <row r="31" spans="1:15">
      <c r="A31" s="1">
        <v>28</v>
      </c>
      <c r="B31" s="1" t="s">
        <v>442</v>
      </c>
      <c r="C31" s="5">
        <v>46245</v>
      </c>
      <c r="D31" s="1" t="s">
        <v>86</v>
      </c>
      <c r="E31" s="6" t="s">
        <v>35</v>
      </c>
      <c r="F31" s="6" t="s">
        <v>65</v>
      </c>
      <c r="G31" s="1" t="s">
        <v>51</v>
      </c>
      <c r="H31" s="1" t="s">
        <v>36</v>
      </c>
      <c r="I31" s="1">
        <v>21</v>
      </c>
      <c r="J31" s="1">
        <v>5</v>
      </c>
      <c r="K31" s="1">
        <v>4</v>
      </c>
      <c r="L31" s="1" t="s">
        <v>96</v>
      </c>
      <c r="M31" s="1" t="s">
        <v>293</v>
      </c>
      <c r="N31" s="1" t="s">
        <v>4</v>
      </c>
      <c r="O31" s="5">
        <v>46263</v>
      </c>
    </row>
    <row r="32" spans="1:15">
      <c r="A32" s="1">
        <v>29</v>
      </c>
      <c r="B32" s="1" t="s">
        <v>443</v>
      </c>
      <c r="C32" s="5">
        <v>46235</v>
      </c>
      <c r="D32" s="1" t="s">
        <v>86</v>
      </c>
      <c r="E32" s="6" t="s">
        <v>6</v>
      </c>
      <c r="F32" s="6" t="s">
        <v>46</v>
      </c>
      <c r="G32" s="1" t="s">
        <v>35</v>
      </c>
      <c r="H32" s="1" t="s">
        <v>68</v>
      </c>
      <c r="I32" s="1">
        <v>33</v>
      </c>
      <c r="J32" s="1">
        <v>4</v>
      </c>
      <c r="K32" s="1">
        <v>3</v>
      </c>
      <c r="L32" s="1" t="s">
        <v>10</v>
      </c>
      <c r="M32" s="1" t="s">
        <v>293</v>
      </c>
      <c r="N32" s="1" t="s">
        <v>16</v>
      </c>
      <c r="O32" s="5">
        <v>46270</v>
      </c>
    </row>
    <row r="33" spans="1:15">
      <c r="A33" s="1">
        <v>30</v>
      </c>
      <c r="B33" s="1" t="s">
        <v>444</v>
      </c>
      <c r="C33" s="5">
        <v>46239</v>
      </c>
      <c r="D33" s="1" t="s">
        <v>86</v>
      </c>
      <c r="E33" s="6" t="s">
        <v>87</v>
      </c>
      <c r="F33" s="6" t="s">
        <v>50</v>
      </c>
      <c r="G33" s="1" t="s">
        <v>87</v>
      </c>
      <c r="H33" s="1" t="s">
        <v>70</v>
      </c>
      <c r="I33" s="1">
        <v>23</v>
      </c>
      <c r="J33" s="1">
        <v>0</v>
      </c>
      <c r="K33" s="1">
        <v>2</v>
      </c>
      <c r="L33" s="1" t="s">
        <v>96</v>
      </c>
      <c r="M33" s="1" t="s">
        <v>293</v>
      </c>
      <c r="N33" s="1" t="s">
        <v>49</v>
      </c>
      <c r="O33" s="5">
        <v>46272</v>
      </c>
    </row>
    <row r="34" spans="1:15">
      <c r="A34" s="1">
        <v>31</v>
      </c>
      <c r="B34" s="1" t="s">
        <v>445</v>
      </c>
      <c r="C34" s="5">
        <v>46252</v>
      </c>
      <c r="D34" s="1" t="s">
        <v>86</v>
      </c>
      <c r="E34" s="6" t="s">
        <v>87</v>
      </c>
      <c r="F34" s="6" t="s">
        <v>92</v>
      </c>
      <c r="G34" s="1" t="s">
        <v>35</v>
      </c>
      <c r="H34" s="1" t="s">
        <v>70</v>
      </c>
      <c r="I34" s="1">
        <v>15</v>
      </c>
      <c r="J34" s="1">
        <v>8</v>
      </c>
      <c r="K34" s="1">
        <v>1</v>
      </c>
      <c r="L34" s="1" t="s">
        <v>10</v>
      </c>
      <c r="M34" s="1" t="s">
        <v>293</v>
      </c>
      <c r="N34" s="1" t="s">
        <v>4</v>
      </c>
      <c r="O34" s="5">
        <v>46265</v>
      </c>
    </row>
    <row r="35" spans="1:15">
      <c r="A35" s="1">
        <v>32</v>
      </c>
      <c r="B35" s="1" t="s">
        <v>446</v>
      </c>
      <c r="C35" s="5">
        <v>46256</v>
      </c>
      <c r="D35" s="1" t="s">
        <v>86</v>
      </c>
      <c r="E35" s="6" t="s">
        <v>77</v>
      </c>
      <c r="F35" s="6" t="s">
        <v>27</v>
      </c>
      <c r="G35" s="1" t="s">
        <v>80</v>
      </c>
      <c r="H35" s="1" t="s">
        <v>78</v>
      </c>
      <c r="I35" s="1">
        <v>38</v>
      </c>
      <c r="J35" s="1">
        <v>7</v>
      </c>
      <c r="K35" s="1">
        <v>6</v>
      </c>
      <c r="L35" s="1" t="s">
        <v>10</v>
      </c>
      <c r="M35" s="1" t="s">
        <v>293</v>
      </c>
      <c r="N35" s="1" t="s">
        <v>16</v>
      </c>
      <c r="O35" s="5">
        <v>46283</v>
      </c>
    </row>
    <row r="36" spans="1:15">
      <c r="A36" s="1">
        <v>33</v>
      </c>
      <c r="B36" s="1" t="s">
        <v>447</v>
      </c>
      <c r="C36" s="5">
        <v>46258</v>
      </c>
      <c r="D36" s="1" t="s">
        <v>86</v>
      </c>
      <c r="E36" s="6" t="s">
        <v>95</v>
      </c>
      <c r="F36" s="6" t="s">
        <v>46</v>
      </c>
      <c r="G36" s="1" t="s">
        <v>77</v>
      </c>
      <c r="H36" s="1" t="s">
        <v>7</v>
      </c>
      <c r="I36" s="1">
        <v>50</v>
      </c>
      <c r="J36" s="1">
        <v>3</v>
      </c>
      <c r="K36" s="1">
        <v>5</v>
      </c>
      <c r="L36" s="1" t="s">
        <v>96</v>
      </c>
      <c r="M36" s="1" t="s">
        <v>254</v>
      </c>
      <c r="N36" s="1" t="s">
        <v>61</v>
      </c>
      <c r="O36" s="5">
        <v>46299</v>
      </c>
    </row>
    <row r="37" spans="1:15">
      <c r="A37" s="1">
        <v>34</v>
      </c>
      <c r="B37" s="1" t="s">
        <v>448</v>
      </c>
      <c r="C37" s="5">
        <v>46282</v>
      </c>
      <c r="D37" s="1" t="s">
        <v>102</v>
      </c>
      <c r="E37" s="6" t="s">
        <v>6</v>
      </c>
      <c r="F37" s="6" t="s">
        <v>5</v>
      </c>
      <c r="G37" s="1" t="s">
        <v>14</v>
      </c>
      <c r="H37" s="1" t="s">
        <v>68</v>
      </c>
      <c r="I37" s="1">
        <v>27</v>
      </c>
      <c r="J37" s="1">
        <v>8</v>
      </c>
      <c r="K37" s="1">
        <v>3</v>
      </c>
      <c r="L37" s="1" t="s">
        <v>42</v>
      </c>
      <c r="M37" s="1" t="s">
        <v>293</v>
      </c>
      <c r="N37" s="1" t="s">
        <v>38</v>
      </c>
      <c r="O37" s="5">
        <v>46288</v>
      </c>
    </row>
    <row r="38" spans="1:15">
      <c r="A38" s="1">
        <v>35</v>
      </c>
      <c r="B38" s="1" t="s">
        <v>449</v>
      </c>
      <c r="C38" s="5">
        <v>46297</v>
      </c>
      <c r="D38" s="1" t="s">
        <v>106</v>
      </c>
      <c r="E38" s="6" t="s">
        <v>40</v>
      </c>
      <c r="F38" s="6" t="s">
        <v>13</v>
      </c>
      <c r="G38" s="1" t="s">
        <v>95</v>
      </c>
      <c r="H38" s="1" t="s">
        <v>28</v>
      </c>
      <c r="I38" s="1">
        <v>44</v>
      </c>
      <c r="J38" s="1">
        <v>3</v>
      </c>
      <c r="K38" s="1">
        <v>2</v>
      </c>
      <c r="L38" s="1" t="s">
        <v>96</v>
      </c>
      <c r="M38" s="1" t="s">
        <v>293</v>
      </c>
      <c r="N38" s="1" t="s">
        <v>57</v>
      </c>
      <c r="O38" s="5">
        <v>46322</v>
      </c>
    </row>
    <row r="39" spans="1:15">
      <c r="A39" s="1">
        <v>36</v>
      </c>
      <c r="B39" s="1" t="s">
        <v>450</v>
      </c>
      <c r="C39" s="5">
        <v>46310</v>
      </c>
      <c r="D39" s="1" t="s">
        <v>106</v>
      </c>
      <c r="E39" s="6" t="s">
        <v>40</v>
      </c>
      <c r="F39" s="6" t="s">
        <v>89</v>
      </c>
      <c r="G39" s="1" t="s">
        <v>51</v>
      </c>
      <c r="H39" s="1" t="s">
        <v>15</v>
      </c>
      <c r="I39" s="1">
        <v>42</v>
      </c>
      <c r="J39" s="1">
        <v>6</v>
      </c>
      <c r="K39" s="1">
        <v>6</v>
      </c>
      <c r="L39" s="1" t="s">
        <v>24</v>
      </c>
      <c r="M39" s="1" t="s">
        <v>293</v>
      </c>
      <c r="N39" s="1" t="s">
        <v>16</v>
      </c>
      <c r="O39" s="5">
        <v>46352</v>
      </c>
    </row>
    <row r="40" spans="1:15">
      <c r="A40" s="1">
        <v>37</v>
      </c>
      <c r="B40" s="1" t="s">
        <v>451</v>
      </c>
      <c r="C40" s="5">
        <v>46302</v>
      </c>
      <c r="D40" s="1" t="s">
        <v>106</v>
      </c>
      <c r="E40" s="6" t="s">
        <v>14</v>
      </c>
      <c r="F40" s="6" t="s">
        <v>46</v>
      </c>
      <c r="G40" s="1" t="s">
        <v>35</v>
      </c>
      <c r="H40" s="1" t="s">
        <v>22</v>
      </c>
      <c r="I40" s="1">
        <v>44</v>
      </c>
      <c r="J40" s="1">
        <v>4</v>
      </c>
      <c r="K40" s="1">
        <v>6</v>
      </c>
      <c r="L40" s="1" t="s">
        <v>42</v>
      </c>
      <c r="M40" s="1" t="s">
        <v>293</v>
      </c>
      <c r="N40" s="1" t="s">
        <v>12</v>
      </c>
      <c r="O40" s="5">
        <v>46346</v>
      </c>
    </row>
    <row r="41" spans="1:15">
      <c r="A41" s="1">
        <v>38</v>
      </c>
      <c r="B41" s="1" t="s">
        <v>452</v>
      </c>
      <c r="C41" s="5">
        <v>46323</v>
      </c>
      <c r="D41" s="1" t="s">
        <v>106</v>
      </c>
      <c r="E41" s="6" t="s">
        <v>77</v>
      </c>
      <c r="F41" s="6" t="s">
        <v>50</v>
      </c>
      <c r="G41" s="1" t="s">
        <v>14</v>
      </c>
      <c r="H41" s="1" t="s">
        <v>22</v>
      </c>
      <c r="I41" s="1">
        <v>35</v>
      </c>
      <c r="J41" s="1">
        <v>3</v>
      </c>
      <c r="K41" s="1">
        <v>0</v>
      </c>
      <c r="L41" s="1" t="s">
        <v>24</v>
      </c>
      <c r="M41" s="1" t="s">
        <v>297</v>
      </c>
      <c r="N41" s="1" t="s">
        <v>12</v>
      </c>
      <c r="O41" s="5">
        <v>46337</v>
      </c>
    </row>
    <row r="42" spans="1:15">
      <c r="A42" s="1">
        <v>39</v>
      </c>
      <c r="B42" s="1" t="s">
        <v>453</v>
      </c>
      <c r="C42" s="5">
        <v>46352</v>
      </c>
      <c r="D42" s="1" t="s">
        <v>111</v>
      </c>
      <c r="E42" s="6" t="s">
        <v>82</v>
      </c>
      <c r="F42" s="6" t="s">
        <v>13</v>
      </c>
      <c r="G42" s="1" t="s">
        <v>35</v>
      </c>
      <c r="H42" s="1" t="s">
        <v>22</v>
      </c>
      <c r="I42" s="1">
        <v>45</v>
      </c>
      <c r="J42" s="1">
        <v>6</v>
      </c>
      <c r="K42" s="1">
        <v>1</v>
      </c>
      <c r="L42" s="1" t="s">
        <v>42</v>
      </c>
      <c r="M42" s="1" t="s">
        <v>293</v>
      </c>
      <c r="N42" s="1" t="s">
        <v>61</v>
      </c>
      <c r="O42" s="5">
        <v>46392</v>
      </c>
    </row>
    <row r="43" spans="1:15">
      <c r="A43" s="1">
        <v>40</v>
      </c>
      <c r="B43" s="1" t="s">
        <v>454</v>
      </c>
      <c r="C43" s="5">
        <v>46333</v>
      </c>
      <c r="D43" s="1" t="s">
        <v>111</v>
      </c>
      <c r="E43" s="6" t="s">
        <v>80</v>
      </c>
      <c r="F43" s="6" t="s">
        <v>46</v>
      </c>
      <c r="G43" s="1" t="s">
        <v>21</v>
      </c>
      <c r="H43" s="1" t="s">
        <v>68</v>
      </c>
      <c r="I43" s="1">
        <v>29</v>
      </c>
      <c r="J43" s="1">
        <v>6</v>
      </c>
      <c r="K43" s="1">
        <v>6</v>
      </c>
      <c r="L43" s="1" t="s">
        <v>42</v>
      </c>
      <c r="M43" s="1" t="s">
        <v>293</v>
      </c>
      <c r="N43" s="1" t="s">
        <v>26</v>
      </c>
      <c r="O43" s="5">
        <v>46357</v>
      </c>
    </row>
    <row r="44" spans="1:15">
      <c r="A44" s="1">
        <v>41</v>
      </c>
      <c r="B44" s="1" t="s">
        <v>455</v>
      </c>
      <c r="C44" s="5">
        <v>46342</v>
      </c>
      <c r="D44" s="1" t="s">
        <v>111</v>
      </c>
      <c r="E44" s="6" t="s">
        <v>77</v>
      </c>
      <c r="F44" s="6" t="s">
        <v>89</v>
      </c>
      <c r="G44" s="1" t="s">
        <v>40</v>
      </c>
      <c r="H44" s="1" t="s">
        <v>36</v>
      </c>
      <c r="I44" s="1">
        <v>49</v>
      </c>
      <c r="J44" s="1">
        <v>1</v>
      </c>
      <c r="K44" s="1">
        <v>8</v>
      </c>
      <c r="L44" s="1" t="s">
        <v>17</v>
      </c>
      <c r="M44" s="1" t="s">
        <v>238</v>
      </c>
      <c r="N44" s="1" t="s">
        <v>91</v>
      </c>
      <c r="O44" s="5">
        <v>46386</v>
      </c>
    </row>
    <row r="45" spans="1:15">
      <c r="A45" s="1">
        <v>42</v>
      </c>
      <c r="B45" s="1" t="s">
        <v>456</v>
      </c>
      <c r="C45" s="5">
        <v>46337</v>
      </c>
      <c r="D45" s="1" t="s">
        <v>111</v>
      </c>
      <c r="E45" s="6" t="s">
        <v>14</v>
      </c>
      <c r="F45" s="6" t="s">
        <v>5</v>
      </c>
      <c r="G45" s="1" t="s">
        <v>21</v>
      </c>
      <c r="H45" s="1" t="s">
        <v>68</v>
      </c>
      <c r="I45" s="1">
        <v>29</v>
      </c>
      <c r="J45" s="1">
        <v>2</v>
      </c>
      <c r="K45" s="1">
        <v>8</v>
      </c>
      <c r="L45" s="1" t="s">
        <v>42</v>
      </c>
      <c r="M45" s="1" t="s">
        <v>293</v>
      </c>
      <c r="N45" s="1" t="s">
        <v>26</v>
      </c>
      <c r="O45" s="5">
        <v>46343</v>
      </c>
    </row>
    <row r="46" spans="1:15">
      <c r="A46" s="1">
        <v>43</v>
      </c>
      <c r="B46" s="1" t="s">
        <v>457</v>
      </c>
      <c r="C46" s="5">
        <v>46354</v>
      </c>
      <c r="D46" s="1" t="s">
        <v>111</v>
      </c>
      <c r="E46" s="6" t="s">
        <v>87</v>
      </c>
      <c r="F46" s="6" t="s">
        <v>39</v>
      </c>
      <c r="G46" s="1" t="s">
        <v>82</v>
      </c>
      <c r="H46" s="1" t="s">
        <v>66</v>
      </c>
      <c r="I46" s="1">
        <v>36</v>
      </c>
      <c r="J46" s="1">
        <v>8</v>
      </c>
      <c r="K46" s="1">
        <v>8</v>
      </c>
      <c r="L46" s="1" t="s">
        <v>42</v>
      </c>
      <c r="M46" s="1" t="s">
        <v>254</v>
      </c>
      <c r="N46" s="1" t="s">
        <v>54</v>
      </c>
      <c r="O46" s="5">
        <v>46365</v>
      </c>
    </row>
    <row r="47" spans="1:15">
      <c r="A47" s="1">
        <v>44</v>
      </c>
      <c r="B47" s="1" t="s">
        <v>458</v>
      </c>
      <c r="C47" s="5">
        <v>46362</v>
      </c>
      <c r="D47" s="1" t="s">
        <v>122</v>
      </c>
      <c r="E47" s="6" t="s">
        <v>51</v>
      </c>
      <c r="F47" s="6" t="s">
        <v>5</v>
      </c>
      <c r="G47" s="1" t="s">
        <v>31</v>
      </c>
      <c r="H47" s="1" t="s">
        <v>32</v>
      </c>
      <c r="I47" s="1">
        <v>30</v>
      </c>
      <c r="J47" s="1">
        <v>7</v>
      </c>
      <c r="K47" s="1">
        <v>0</v>
      </c>
      <c r="L47" s="1" t="s">
        <v>96</v>
      </c>
      <c r="M47" s="1" t="s">
        <v>293</v>
      </c>
      <c r="N47" s="1" t="s">
        <v>20</v>
      </c>
      <c r="O47" s="5">
        <v>46367</v>
      </c>
    </row>
    <row r="48" spans="1:15">
      <c r="A48" s="1">
        <v>45</v>
      </c>
      <c r="B48" s="1" t="s">
        <v>459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254</v>
      </c>
      <c r="N48" s="1" t="s">
        <v>54</v>
      </c>
      <c r="O48" s="5">
        <v>46402</v>
      </c>
    </row>
    <row r="49" spans="1:15">
      <c r="A49" s="1">
        <v>46</v>
      </c>
      <c r="B49" s="1" t="s">
        <v>460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293</v>
      </c>
      <c r="N49" s="1" t="s">
        <v>64</v>
      </c>
      <c r="O49" s="5">
        <v>46391</v>
      </c>
    </row>
    <row r="50" spans="1:15">
      <c r="A50" s="1">
        <v>47</v>
      </c>
      <c r="B50" s="1" t="s">
        <v>461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254</v>
      </c>
      <c r="N50" s="1" t="s">
        <v>38</v>
      </c>
      <c r="O50" s="5">
        <v>46390</v>
      </c>
    </row>
    <row r="51" spans="1:15">
      <c r="A51" s="1">
        <v>48</v>
      </c>
      <c r="B51" s="1" t="s">
        <v>462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254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464</v>
      </c>
      <c r="C4" s="5">
        <v>46024</v>
      </c>
      <c r="D4" s="1" t="s">
        <v>3</v>
      </c>
      <c r="E4" s="6" t="s">
        <v>21</v>
      </c>
      <c r="F4" s="6" t="s">
        <v>89</v>
      </c>
      <c r="G4" s="1" t="s">
        <v>80</v>
      </c>
      <c r="H4" s="1" t="s">
        <v>78</v>
      </c>
      <c r="I4" s="1">
        <v>48</v>
      </c>
      <c r="J4" s="1">
        <v>4</v>
      </c>
      <c r="K4" s="1">
        <v>2</v>
      </c>
      <c r="L4" s="1" t="s">
        <v>10</v>
      </c>
      <c r="M4" s="1" t="s">
        <v>297</v>
      </c>
      <c r="N4" s="1" t="s">
        <v>57</v>
      </c>
      <c r="O4" s="5">
        <v>46031</v>
      </c>
    </row>
    <row r="5" spans="1:17">
      <c r="A5" s="1">
        <v>2</v>
      </c>
      <c r="B5" s="1" t="s">
        <v>465</v>
      </c>
      <c r="C5" s="5">
        <v>46026</v>
      </c>
      <c r="D5" s="1" t="s">
        <v>3</v>
      </c>
      <c r="E5" s="6" t="s">
        <v>95</v>
      </c>
      <c r="F5" s="6" t="s">
        <v>46</v>
      </c>
      <c r="G5" s="1" t="s">
        <v>51</v>
      </c>
      <c r="H5" s="1" t="s">
        <v>70</v>
      </c>
      <c r="I5" s="1">
        <v>44</v>
      </c>
      <c r="J5" s="1">
        <v>2</v>
      </c>
      <c r="K5" s="1">
        <v>2</v>
      </c>
      <c r="L5" s="1" t="s">
        <v>17</v>
      </c>
      <c r="M5" s="1" t="s">
        <v>254</v>
      </c>
      <c r="N5" s="1" t="s">
        <v>26</v>
      </c>
      <c r="O5" s="5">
        <v>46068</v>
      </c>
    </row>
    <row r="6" spans="1:17">
      <c r="A6" s="1">
        <v>3</v>
      </c>
      <c r="B6" s="1" t="s">
        <v>466</v>
      </c>
      <c r="C6" s="5">
        <v>46045</v>
      </c>
      <c r="D6" s="1" t="s">
        <v>3</v>
      </c>
      <c r="E6" s="6" t="s">
        <v>40</v>
      </c>
      <c r="F6" s="6" t="s">
        <v>39</v>
      </c>
      <c r="G6" s="1" t="s">
        <v>80</v>
      </c>
      <c r="H6" s="1" t="s">
        <v>32</v>
      </c>
      <c r="I6" s="1">
        <v>32</v>
      </c>
      <c r="J6" s="1">
        <v>0</v>
      </c>
      <c r="K6" s="1">
        <v>8</v>
      </c>
      <c r="L6" s="1" t="s">
        <v>10</v>
      </c>
      <c r="M6" s="1" t="s">
        <v>293</v>
      </c>
      <c r="N6" s="1" t="s">
        <v>61</v>
      </c>
      <c r="O6" s="5">
        <v>46071</v>
      </c>
    </row>
    <row r="7" spans="1:17">
      <c r="A7" s="1">
        <v>4</v>
      </c>
      <c r="B7" s="1" t="s">
        <v>467</v>
      </c>
      <c r="C7" s="5">
        <v>46037</v>
      </c>
      <c r="D7" s="1" t="s">
        <v>3</v>
      </c>
      <c r="E7" s="6" t="s">
        <v>82</v>
      </c>
      <c r="F7" s="6" t="s">
        <v>92</v>
      </c>
      <c r="G7" s="1" t="s">
        <v>31</v>
      </c>
      <c r="H7" s="1" t="s">
        <v>104</v>
      </c>
      <c r="I7" s="1">
        <v>34</v>
      </c>
      <c r="J7" s="1">
        <v>3</v>
      </c>
      <c r="K7" s="1">
        <v>6</v>
      </c>
      <c r="L7" s="1" t="s">
        <v>24</v>
      </c>
      <c r="M7" s="1" t="s">
        <v>293</v>
      </c>
      <c r="N7" s="1" t="s">
        <v>16</v>
      </c>
      <c r="O7" s="5">
        <v>46071</v>
      </c>
    </row>
    <row r="8" spans="1:17">
      <c r="A8" s="1">
        <v>5</v>
      </c>
      <c r="B8" s="1" t="s">
        <v>468</v>
      </c>
      <c r="C8" s="5">
        <v>46023</v>
      </c>
      <c r="D8" s="1" t="s">
        <v>3</v>
      </c>
      <c r="E8" s="6" t="s">
        <v>80</v>
      </c>
      <c r="F8" s="6" t="s">
        <v>5</v>
      </c>
      <c r="G8" s="1" t="s">
        <v>40</v>
      </c>
      <c r="H8" s="1" t="s">
        <v>41</v>
      </c>
      <c r="I8" s="1">
        <v>50</v>
      </c>
      <c r="J8" s="1">
        <v>6</v>
      </c>
      <c r="K8" s="1">
        <v>5</v>
      </c>
      <c r="L8" s="1" t="s">
        <v>24</v>
      </c>
      <c r="M8" s="1" t="s">
        <v>293</v>
      </c>
      <c r="N8" s="1" t="s">
        <v>64</v>
      </c>
      <c r="O8" s="5">
        <v>46053</v>
      </c>
    </row>
    <row r="9" spans="1:17">
      <c r="A9" s="1">
        <v>6</v>
      </c>
      <c r="B9" s="1" t="s">
        <v>469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293</v>
      </c>
      <c r="N9" s="1" t="s">
        <v>26</v>
      </c>
      <c r="O9" s="5">
        <v>46082</v>
      </c>
    </row>
    <row r="10" spans="1:17">
      <c r="A10" s="1">
        <v>7</v>
      </c>
      <c r="B10" s="1" t="s">
        <v>470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293</v>
      </c>
      <c r="N10" s="1" t="s">
        <v>91</v>
      </c>
      <c r="O10" s="5">
        <v>46107</v>
      </c>
    </row>
    <row r="11" spans="1:17">
      <c r="A11" s="1">
        <v>8</v>
      </c>
      <c r="B11" s="1" t="s">
        <v>471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293</v>
      </c>
      <c r="N11" s="1" t="s">
        <v>20</v>
      </c>
      <c r="O11" s="5">
        <v>46097</v>
      </c>
    </row>
    <row r="12" spans="1:17">
      <c r="A12" s="1">
        <v>9</v>
      </c>
      <c r="B12" s="1" t="s">
        <v>472</v>
      </c>
      <c r="C12" s="5">
        <v>46084</v>
      </c>
      <c r="D12" s="1" t="s">
        <v>44</v>
      </c>
      <c r="E12" s="6" t="s">
        <v>95</v>
      </c>
      <c r="F12" s="6" t="s">
        <v>50</v>
      </c>
      <c r="G12" s="1" t="s">
        <v>77</v>
      </c>
      <c r="H12" s="1" t="s">
        <v>36</v>
      </c>
      <c r="I12" s="1">
        <v>31</v>
      </c>
      <c r="J12" s="1">
        <v>6</v>
      </c>
      <c r="K12" s="1">
        <v>1</v>
      </c>
      <c r="L12" s="1" t="s">
        <v>42</v>
      </c>
      <c r="M12" s="1" t="s">
        <v>293</v>
      </c>
      <c r="N12" s="1" t="s">
        <v>4</v>
      </c>
      <c r="O12" s="5">
        <v>46128</v>
      </c>
    </row>
    <row r="13" spans="1:17">
      <c r="A13" s="1">
        <v>10</v>
      </c>
      <c r="B13" s="1" t="s">
        <v>473</v>
      </c>
      <c r="C13" s="5">
        <v>46103</v>
      </c>
      <c r="D13" s="1" t="s">
        <v>44</v>
      </c>
      <c r="E13" s="6" t="s">
        <v>80</v>
      </c>
      <c r="F13" s="6" t="s">
        <v>27</v>
      </c>
      <c r="G13" s="1" t="s">
        <v>40</v>
      </c>
      <c r="H13" s="1" t="s">
        <v>62</v>
      </c>
      <c r="I13" s="1">
        <v>46</v>
      </c>
      <c r="J13" s="1">
        <v>0</v>
      </c>
      <c r="K13" s="1">
        <v>1</v>
      </c>
      <c r="L13" s="1" t="s">
        <v>10</v>
      </c>
      <c r="M13" s="1" t="s">
        <v>293</v>
      </c>
      <c r="N13" s="1" t="s">
        <v>45</v>
      </c>
      <c r="O13" s="5">
        <v>46129</v>
      </c>
    </row>
    <row r="14" spans="1:17">
      <c r="A14" s="1">
        <v>11</v>
      </c>
      <c r="B14" s="1" t="s">
        <v>474</v>
      </c>
      <c r="C14" s="5">
        <v>46114</v>
      </c>
      <c r="D14" s="1" t="s">
        <v>53</v>
      </c>
      <c r="E14" s="6" t="s">
        <v>87</v>
      </c>
      <c r="F14" s="6" t="s">
        <v>46</v>
      </c>
      <c r="G14" s="1" t="s">
        <v>35</v>
      </c>
      <c r="H14" s="1" t="s">
        <v>68</v>
      </c>
      <c r="I14" s="1">
        <v>15</v>
      </c>
      <c r="J14" s="1">
        <v>1</v>
      </c>
      <c r="K14" s="1">
        <v>5</v>
      </c>
      <c r="L14" s="1" t="s">
        <v>42</v>
      </c>
      <c r="M14" s="1" t="s">
        <v>293</v>
      </c>
      <c r="N14" s="1" t="s">
        <v>26</v>
      </c>
      <c r="O14" s="5">
        <v>46125</v>
      </c>
    </row>
    <row r="15" spans="1:17">
      <c r="A15" s="1">
        <v>12</v>
      </c>
      <c r="B15" s="1" t="s">
        <v>475</v>
      </c>
      <c r="C15" s="5">
        <v>46117</v>
      </c>
      <c r="D15" s="1" t="s">
        <v>53</v>
      </c>
      <c r="E15" s="6" t="s">
        <v>35</v>
      </c>
      <c r="F15" s="6" t="s">
        <v>92</v>
      </c>
      <c r="G15" s="1" t="s">
        <v>87</v>
      </c>
      <c r="H15" s="1" t="s">
        <v>28</v>
      </c>
      <c r="I15" s="1">
        <v>44</v>
      </c>
      <c r="J15" s="1">
        <v>2</v>
      </c>
      <c r="K15" s="1">
        <v>5</v>
      </c>
      <c r="L15" s="1" t="s">
        <v>96</v>
      </c>
      <c r="M15" s="1" t="s">
        <v>293</v>
      </c>
      <c r="N15" s="1" t="s">
        <v>12</v>
      </c>
      <c r="O15" s="5">
        <v>46124</v>
      </c>
    </row>
    <row r="16" spans="1:17">
      <c r="A16" s="1">
        <v>13</v>
      </c>
      <c r="B16" s="1" t="s">
        <v>476</v>
      </c>
      <c r="C16" s="5">
        <v>46140</v>
      </c>
      <c r="D16" s="1" t="s">
        <v>53</v>
      </c>
      <c r="E16" s="6" t="s">
        <v>82</v>
      </c>
      <c r="F16" s="6" t="s">
        <v>50</v>
      </c>
      <c r="G16" s="1" t="s">
        <v>80</v>
      </c>
      <c r="H16" s="1" t="s">
        <v>22</v>
      </c>
      <c r="I16" s="1">
        <v>38</v>
      </c>
      <c r="J16" s="1">
        <v>4</v>
      </c>
      <c r="K16" s="1">
        <v>6</v>
      </c>
      <c r="L16" s="1" t="s">
        <v>42</v>
      </c>
      <c r="M16" s="1" t="s">
        <v>254</v>
      </c>
      <c r="N16" s="1" t="s">
        <v>20</v>
      </c>
      <c r="O16" s="5">
        <v>46166</v>
      </c>
    </row>
    <row r="17" spans="1:15">
      <c r="A17" s="1">
        <v>14</v>
      </c>
      <c r="B17" s="1" t="s">
        <v>477</v>
      </c>
      <c r="C17" s="5">
        <v>46133</v>
      </c>
      <c r="D17" s="1" t="s">
        <v>53</v>
      </c>
      <c r="E17" s="6" t="s">
        <v>14</v>
      </c>
      <c r="F17" s="6" t="s">
        <v>50</v>
      </c>
      <c r="G17" s="1" t="s">
        <v>21</v>
      </c>
      <c r="H17" s="1" t="s">
        <v>93</v>
      </c>
      <c r="I17" s="1">
        <v>40</v>
      </c>
      <c r="J17" s="1">
        <v>5</v>
      </c>
      <c r="K17" s="1">
        <v>3</v>
      </c>
      <c r="L17" s="1" t="s">
        <v>24</v>
      </c>
      <c r="M17" s="1" t="s">
        <v>293</v>
      </c>
      <c r="N17" s="1" t="s">
        <v>20</v>
      </c>
      <c r="O17" s="5">
        <v>46146</v>
      </c>
    </row>
    <row r="18" spans="1:15">
      <c r="A18" s="1">
        <v>15</v>
      </c>
      <c r="B18" s="1" t="s">
        <v>478</v>
      </c>
      <c r="C18" s="5">
        <v>46128</v>
      </c>
      <c r="D18" s="1" t="s">
        <v>53</v>
      </c>
      <c r="E18" s="6" t="s">
        <v>6</v>
      </c>
      <c r="F18" s="6" t="s">
        <v>50</v>
      </c>
      <c r="G18" s="1" t="s">
        <v>31</v>
      </c>
      <c r="H18" s="1" t="s">
        <v>22</v>
      </c>
      <c r="I18" s="1">
        <v>49</v>
      </c>
      <c r="J18" s="1">
        <v>3</v>
      </c>
      <c r="K18" s="1">
        <v>4</v>
      </c>
      <c r="L18" s="1" t="s">
        <v>42</v>
      </c>
      <c r="M18" s="1" t="s">
        <v>297</v>
      </c>
      <c r="N18" s="1" t="s">
        <v>12</v>
      </c>
      <c r="O18" s="5">
        <v>46156</v>
      </c>
    </row>
    <row r="19" spans="1:15">
      <c r="A19" s="1">
        <v>16</v>
      </c>
      <c r="B19" s="1" t="s">
        <v>479</v>
      </c>
      <c r="C19" s="5">
        <v>46130</v>
      </c>
      <c r="D19" s="1" t="s">
        <v>53</v>
      </c>
      <c r="E19" s="6" t="s">
        <v>95</v>
      </c>
      <c r="F19" s="6" t="s">
        <v>92</v>
      </c>
      <c r="G19" s="1" t="s">
        <v>14</v>
      </c>
      <c r="H19" s="1" t="s">
        <v>78</v>
      </c>
      <c r="I19" s="1">
        <v>30</v>
      </c>
      <c r="J19" s="1">
        <v>4</v>
      </c>
      <c r="K19" s="1">
        <v>7</v>
      </c>
      <c r="L19" s="1" t="s">
        <v>96</v>
      </c>
      <c r="M19" s="1" t="s">
        <v>254</v>
      </c>
      <c r="N19" s="1" t="s">
        <v>20</v>
      </c>
      <c r="O19" s="5">
        <v>46159</v>
      </c>
    </row>
    <row r="20" spans="1:15">
      <c r="A20" s="1">
        <v>17</v>
      </c>
      <c r="B20" s="1" t="s">
        <v>480</v>
      </c>
      <c r="C20" s="5">
        <v>46166</v>
      </c>
      <c r="D20" s="1" t="s">
        <v>60</v>
      </c>
      <c r="E20" s="6" t="s">
        <v>6</v>
      </c>
      <c r="F20" s="6" t="s">
        <v>89</v>
      </c>
      <c r="G20" s="1" t="s">
        <v>77</v>
      </c>
      <c r="H20" s="1" t="s">
        <v>41</v>
      </c>
      <c r="I20" s="1">
        <v>40</v>
      </c>
      <c r="J20" s="1">
        <v>4</v>
      </c>
      <c r="K20" s="1">
        <v>1</v>
      </c>
      <c r="L20" s="1" t="s">
        <v>10</v>
      </c>
      <c r="M20" s="1" t="s">
        <v>293</v>
      </c>
      <c r="N20" s="1" t="s">
        <v>57</v>
      </c>
      <c r="O20" s="5">
        <v>46173</v>
      </c>
    </row>
    <row r="21" spans="1:15">
      <c r="A21" s="1">
        <v>18</v>
      </c>
      <c r="B21" s="1" t="s">
        <v>481</v>
      </c>
      <c r="C21" s="5">
        <v>46162</v>
      </c>
      <c r="D21" s="1" t="s">
        <v>60</v>
      </c>
      <c r="E21" s="6" t="s">
        <v>6</v>
      </c>
      <c r="F21" s="6" t="s">
        <v>92</v>
      </c>
      <c r="G21" s="1" t="s">
        <v>6</v>
      </c>
      <c r="H21" s="1" t="s">
        <v>36</v>
      </c>
      <c r="I21" s="1">
        <v>46</v>
      </c>
      <c r="J21" s="1">
        <v>8</v>
      </c>
      <c r="K21" s="1">
        <v>5</v>
      </c>
      <c r="L21" s="1" t="s">
        <v>17</v>
      </c>
      <c r="M21" s="1" t="s">
        <v>254</v>
      </c>
      <c r="N21" s="1" t="s">
        <v>30</v>
      </c>
      <c r="O21" s="5">
        <v>46175</v>
      </c>
    </row>
    <row r="22" spans="1:15">
      <c r="A22" s="1">
        <v>19</v>
      </c>
      <c r="B22" s="1" t="s">
        <v>482</v>
      </c>
      <c r="C22" s="5">
        <v>46144</v>
      </c>
      <c r="D22" s="1" t="s">
        <v>60</v>
      </c>
      <c r="E22" s="6" t="s">
        <v>51</v>
      </c>
      <c r="F22" s="6" t="s">
        <v>5</v>
      </c>
      <c r="G22" s="1" t="s">
        <v>80</v>
      </c>
      <c r="H22" s="1" t="s">
        <v>36</v>
      </c>
      <c r="I22" s="1">
        <v>33</v>
      </c>
      <c r="J22" s="1">
        <v>8</v>
      </c>
      <c r="K22" s="1">
        <v>6</v>
      </c>
      <c r="L22" s="1" t="s">
        <v>10</v>
      </c>
      <c r="M22" s="1" t="s">
        <v>293</v>
      </c>
      <c r="N22" s="1" t="s">
        <v>45</v>
      </c>
      <c r="O22" s="5">
        <v>46186</v>
      </c>
    </row>
    <row r="23" spans="1:15">
      <c r="A23" s="1">
        <v>20</v>
      </c>
      <c r="B23" s="1" t="s">
        <v>483</v>
      </c>
      <c r="C23" s="5">
        <v>46153</v>
      </c>
      <c r="D23" s="1" t="s">
        <v>60</v>
      </c>
      <c r="E23" s="6" t="s">
        <v>87</v>
      </c>
      <c r="F23" s="6" t="s">
        <v>89</v>
      </c>
      <c r="G23" s="1" t="s">
        <v>95</v>
      </c>
      <c r="H23" s="1" t="s">
        <v>41</v>
      </c>
      <c r="I23" s="1">
        <v>34</v>
      </c>
      <c r="J23" s="1">
        <v>4</v>
      </c>
      <c r="K23" s="1">
        <v>1</v>
      </c>
      <c r="L23" s="1" t="s">
        <v>42</v>
      </c>
      <c r="M23" s="1" t="s">
        <v>293</v>
      </c>
      <c r="N23" s="1" t="s">
        <v>45</v>
      </c>
      <c r="O23" s="5">
        <v>46188</v>
      </c>
    </row>
    <row r="24" spans="1:15">
      <c r="A24" s="1">
        <v>21</v>
      </c>
      <c r="B24" s="1" t="s">
        <v>484</v>
      </c>
      <c r="C24" s="5">
        <v>46186</v>
      </c>
      <c r="D24" s="1" t="s">
        <v>73</v>
      </c>
      <c r="E24" s="6" t="s">
        <v>21</v>
      </c>
      <c r="F24" s="6" t="s">
        <v>39</v>
      </c>
      <c r="G24" s="1" t="s">
        <v>35</v>
      </c>
      <c r="H24" s="1" t="s">
        <v>7</v>
      </c>
      <c r="I24" s="1">
        <v>18</v>
      </c>
      <c r="J24" s="1">
        <v>1</v>
      </c>
      <c r="K24" s="1">
        <v>1</v>
      </c>
      <c r="L24" s="1" t="s">
        <v>10</v>
      </c>
      <c r="M24" s="1" t="s">
        <v>293</v>
      </c>
      <c r="N24" s="1" t="s">
        <v>54</v>
      </c>
      <c r="O24" s="5">
        <v>46211</v>
      </c>
    </row>
    <row r="25" spans="1:15">
      <c r="A25" s="1">
        <v>22</v>
      </c>
      <c r="B25" s="1" t="s">
        <v>485</v>
      </c>
      <c r="C25" s="5">
        <v>46182</v>
      </c>
      <c r="D25" s="1" t="s">
        <v>73</v>
      </c>
      <c r="E25" s="6" t="s">
        <v>14</v>
      </c>
      <c r="F25" s="6" t="s">
        <v>13</v>
      </c>
      <c r="G25" s="1" t="s">
        <v>31</v>
      </c>
      <c r="H25" s="1" t="s">
        <v>22</v>
      </c>
      <c r="I25" s="1">
        <v>47</v>
      </c>
      <c r="J25" s="1">
        <v>6</v>
      </c>
      <c r="K25" s="1">
        <v>4</v>
      </c>
      <c r="L25" s="1" t="s">
        <v>42</v>
      </c>
      <c r="M25" s="1" t="s">
        <v>293</v>
      </c>
      <c r="N25" s="1" t="s">
        <v>64</v>
      </c>
      <c r="O25" s="5">
        <v>46222</v>
      </c>
    </row>
    <row r="26" spans="1:15">
      <c r="A26" s="1">
        <v>23</v>
      </c>
      <c r="B26" s="1" t="s">
        <v>486</v>
      </c>
      <c r="C26" s="5">
        <v>46178</v>
      </c>
      <c r="D26" s="1" t="s">
        <v>73</v>
      </c>
      <c r="E26" s="6" t="s">
        <v>35</v>
      </c>
      <c r="F26" s="6" t="s">
        <v>50</v>
      </c>
      <c r="G26" s="1" t="s">
        <v>6</v>
      </c>
      <c r="H26" s="1" t="s">
        <v>70</v>
      </c>
      <c r="I26" s="1">
        <v>47</v>
      </c>
      <c r="J26" s="1">
        <v>8</v>
      </c>
      <c r="K26" s="1">
        <v>1</v>
      </c>
      <c r="L26" s="1" t="s">
        <v>42</v>
      </c>
      <c r="M26" s="1" t="s">
        <v>293</v>
      </c>
      <c r="N26" s="1" t="s">
        <v>16</v>
      </c>
      <c r="O26" s="5">
        <v>46200</v>
      </c>
    </row>
    <row r="27" spans="1:15">
      <c r="A27" s="1">
        <v>24</v>
      </c>
      <c r="B27" s="1" t="s">
        <v>487</v>
      </c>
      <c r="C27" s="5">
        <v>46198</v>
      </c>
      <c r="D27" s="1" t="s">
        <v>73</v>
      </c>
      <c r="E27" s="6" t="s">
        <v>80</v>
      </c>
      <c r="F27" s="6" t="s">
        <v>92</v>
      </c>
      <c r="G27" s="1" t="s">
        <v>35</v>
      </c>
      <c r="H27" s="1" t="s">
        <v>66</v>
      </c>
      <c r="I27" s="1">
        <v>30</v>
      </c>
      <c r="J27" s="1">
        <v>0</v>
      </c>
      <c r="K27" s="1">
        <v>2</v>
      </c>
      <c r="L27" s="1" t="s">
        <v>17</v>
      </c>
      <c r="M27" s="1" t="s">
        <v>293</v>
      </c>
      <c r="N27" s="1" t="s">
        <v>20</v>
      </c>
      <c r="O27" s="5">
        <v>46203</v>
      </c>
    </row>
    <row r="28" spans="1:15">
      <c r="A28" s="1">
        <v>25</v>
      </c>
      <c r="B28" s="1" t="s">
        <v>488</v>
      </c>
      <c r="C28" s="5">
        <v>46218</v>
      </c>
      <c r="D28" s="1" t="s">
        <v>76</v>
      </c>
      <c r="E28" s="6" t="s">
        <v>31</v>
      </c>
      <c r="F28" s="6" t="s">
        <v>50</v>
      </c>
      <c r="G28" s="1" t="s">
        <v>87</v>
      </c>
      <c r="H28" s="1" t="s">
        <v>41</v>
      </c>
      <c r="I28" s="1">
        <v>24</v>
      </c>
      <c r="J28" s="1">
        <v>6</v>
      </c>
      <c r="K28" s="1">
        <v>5</v>
      </c>
      <c r="L28" s="1" t="s">
        <v>10</v>
      </c>
      <c r="M28" s="1" t="s">
        <v>254</v>
      </c>
      <c r="N28" s="1" t="s">
        <v>91</v>
      </c>
      <c r="O28" s="5">
        <v>46237</v>
      </c>
    </row>
    <row r="29" spans="1:15">
      <c r="A29" s="1">
        <v>26</v>
      </c>
      <c r="B29" s="1" t="s">
        <v>489</v>
      </c>
      <c r="C29" s="5">
        <v>46205</v>
      </c>
      <c r="D29" s="1" t="s">
        <v>76</v>
      </c>
      <c r="E29" s="6" t="s">
        <v>80</v>
      </c>
      <c r="F29" s="6" t="s">
        <v>89</v>
      </c>
      <c r="G29" s="1" t="s">
        <v>14</v>
      </c>
      <c r="H29" s="1" t="s">
        <v>78</v>
      </c>
      <c r="I29" s="1">
        <v>17</v>
      </c>
      <c r="J29" s="1">
        <v>2</v>
      </c>
      <c r="K29" s="1">
        <v>3</v>
      </c>
      <c r="L29" s="1" t="s">
        <v>96</v>
      </c>
      <c r="M29" s="1" t="s">
        <v>297</v>
      </c>
      <c r="N29" s="1" t="s">
        <v>38</v>
      </c>
      <c r="O29" s="5">
        <v>46248</v>
      </c>
    </row>
    <row r="30" spans="1:15">
      <c r="A30" s="1">
        <v>27</v>
      </c>
      <c r="B30" s="1" t="s">
        <v>490</v>
      </c>
      <c r="C30" s="5">
        <v>46231</v>
      </c>
      <c r="D30" s="1" t="s">
        <v>76</v>
      </c>
      <c r="E30" s="6" t="s">
        <v>82</v>
      </c>
      <c r="F30" s="6" t="s">
        <v>92</v>
      </c>
      <c r="G30" s="1" t="s">
        <v>77</v>
      </c>
      <c r="H30" s="1" t="s">
        <v>28</v>
      </c>
      <c r="I30" s="1">
        <v>49</v>
      </c>
      <c r="J30" s="1">
        <v>5</v>
      </c>
      <c r="K30" s="1">
        <v>7</v>
      </c>
      <c r="L30" s="1" t="s">
        <v>10</v>
      </c>
      <c r="M30" s="1" t="s">
        <v>297</v>
      </c>
      <c r="N30" s="1" t="s">
        <v>57</v>
      </c>
      <c r="O30" s="5">
        <v>46246</v>
      </c>
    </row>
    <row r="31" spans="1:15">
      <c r="A31" s="1">
        <v>28</v>
      </c>
      <c r="B31" s="1" t="s">
        <v>491</v>
      </c>
      <c r="C31" s="5">
        <v>46207</v>
      </c>
      <c r="D31" s="1" t="s">
        <v>76</v>
      </c>
      <c r="E31" s="6" t="s">
        <v>21</v>
      </c>
      <c r="F31" s="6" t="s">
        <v>50</v>
      </c>
      <c r="G31" s="1" t="s">
        <v>95</v>
      </c>
      <c r="H31" s="1" t="s">
        <v>41</v>
      </c>
      <c r="I31" s="1">
        <v>48</v>
      </c>
      <c r="J31" s="1">
        <v>6</v>
      </c>
      <c r="K31" s="1">
        <v>6</v>
      </c>
      <c r="L31" s="1" t="s">
        <v>17</v>
      </c>
      <c r="M31" s="1" t="s">
        <v>254</v>
      </c>
      <c r="N31" s="1" t="s">
        <v>38</v>
      </c>
      <c r="O31" s="5">
        <v>46232</v>
      </c>
    </row>
    <row r="32" spans="1:15">
      <c r="A32" s="1">
        <v>29</v>
      </c>
      <c r="B32" s="1" t="s">
        <v>492</v>
      </c>
      <c r="C32" s="5">
        <v>46212</v>
      </c>
      <c r="D32" s="1" t="s">
        <v>76</v>
      </c>
      <c r="E32" s="6" t="s">
        <v>51</v>
      </c>
      <c r="F32" s="6" t="s">
        <v>50</v>
      </c>
      <c r="G32" s="1" t="s">
        <v>6</v>
      </c>
      <c r="H32" s="1" t="s">
        <v>68</v>
      </c>
      <c r="I32" s="1">
        <v>29</v>
      </c>
      <c r="J32" s="1">
        <v>1</v>
      </c>
      <c r="K32" s="1">
        <v>8</v>
      </c>
      <c r="L32" s="1" t="s">
        <v>17</v>
      </c>
      <c r="M32" s="1" t="s">
        <v>293</v>
      </c>
      <c r="N32" s="1" t="s">
        <v>38</v>
      </c>
      <c r="O32" s="5">
        <v>46223</v>
      </c>
    </row>
    <row r="33" spans="1:15">
      <c r="A33" s="1">
        <v>30</v>
      </c>
      <c r="B33" s="1" t="s">
        <v>493</v>
      </c>
      <c r="C33" s="5">
        <v>46222</v>
      </c>
      <c r="D33" s="1" t="s">
        <v>76</v>
      </c>
      <c r="E33" s="6" t="s">
        <v>82</v>
      </c>
      <c r="F33" s="6" t="s">
        <v>27</v>
      </c>
      <c r="G33" s="1" t="s">
        <v>87</v>
      </c>
      <c r="H33" s="1" t="s">
        <v>28</v>
      </c>
      <c r="I33" s="1">
        <v>32</v>
      </c>
      <c r="J33" s="1">
        <v>8</v>
      </c>
      <c r="K33" s="1">
        <v>1</v>
      </c>
      <c r="L33" s="1" t="s">
        <v>24</v>
      </c>
      <c r="M33" s="1" t="s">
        <v>293</v>
      </c>
      <c r="N33" s="1" t="s">
        <v>12</v>
      </c>
      <c r="O33" s="5">
        <v>46232</v>
      </c>
    </row>
    <row r="34" spans="1:15">
      <c r="A34" s="1">
        <v>31</v>
      </c>
      <c r="B34" s="1" t="s">
        <v>494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297</v>
      </c>
      <c r="N34" s="1" t="s">
        <v>57</v>
      </c>
      <c r="O34" s="5">
        <v>46255</v>
      </c>
    </row>
    <row r="35" spans="1:15">
      <c r="A35" s="1">
        <v>32</v>
      </c>
      <c r="B35" s="1" t="s">
        <v>495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293</v>
      </c>
      <c r="N35" s="1" t="s">
        <v>4</v>
      </c>
      <c r="O35" s="5">
        <v>46276</v>
      </c>
    </row>
    <row r="36" spans="1:15">
      <c r="A36" s="1">
        <v>33</v>
      </c>
      <c r="B36" s="1" t="s">
        <v>496</v>
      </c>
      <c r="C36" s="5">
        <v>46245</v>
      </c>
      <c r="D36" s="1" t="s">
        <v>86</v>
      </c>
      <c r="E36" s="6" t="s">
        <v>95</v>
      </c>
      <c r="F36" s="6" t="s">
        <v>92</v>
      </c>
      <c r="G36" s="1" t="s">
        <v>95</v>
      </c>
      <c r="H36" s="1" t="s">
        <v>62</v>
      </c>
      <c r="I36" s="1">
        <v>16</v>
      </c>
      <c r="J36" s="1">
        <v>8</v>
      </c>
      <c r="K36" s="1">
        <v>5</v>
      </c>
      <c r="L36" s="1" t="s">
        <v>96</v>
      </c>
      <c r="M36" s="1" t="s">
        <v>254</v>
      </c>
      <c r="N36" s="1" t="s">
        <v>61</v>
      </c>
      <c r="O36" s="5">
        <v>46253</v>
      </c>
    </row>
    <row r="37" spans="1:15">
      <c r="A37" s="1">
        <v>34</v>
      </c>
      <c r="B37" s="1" t="s">
        <v>497</v>
      </c>
      <c r="C37" s="5">
        <v>46262</v>
      </c>
      <c r="D37" s="1" t="s">
        <v>86</v>
      </c>
      <c r="E37" s="6" t="s">
        <v>14</v>
      </c>
      <c r="F37" s="6" t="s">
        <v>13</v>
      </c>
      <c r="G37" s="1" t="s">
        <v>51</v>
      </c>
      <c r="H37" s="1" t="s">
        <v>15</v>
      </c>
      <c r="I37" s="1">
        <v>31</v>
      </c>
      <c r="J37" s="1">
        <v>8</v>
      </c>
      <c r="K37" s="1">
        <v>6</v>
      </c>
      <c r="L37" s="1" t="s">
        <v>17</v>
      </c>
      <c r="M37" s="1" t="s">
        <v>293</v>
      </c>
      <c r="N37" s="1" t="s">
        <v>30</v>
      </c>
      <c r="O37" s="5">
        <v>46292</v>
      </c>
    </row>
    <row r="38" spans="1:15">
      <c r="A38" s="1">
        <v>35</v>
      </c>
      <c r="B38" s="1" t="s">
        <v>498</v>
      </c>
      <c r="C38" s="5">
        <v>46238</v>
      </c>
      <c r="D38" s="1" t="s">
        <v>86</v>
      </c>
      <c r="E38" s="6" t="s">
        <v>35</v>
      </c>
      <c r="F38" s="6" t="s">
        <v>13</v>
      </c>
      <c r="G38" s="1" t="s">
        <v>40</v>
      </c>
      <c r="H38" s="1" t="s">
        <v>62</v>
      </c>
      <c r="I38" s="1">
        <v>31</v>
      </c>
      <c r="J38" s="1">
        <v>1</v>
      </c>
      <c r="K38" s="1">
        <v>6</v>
      </c>
      <c r="L38" s="1" t="s">
        <v>24</v>
      </c>
      <c r="M38" s="1" t="s">
        <v>238</v>
      </c>
      <c r="N38" s="1" t="s">
        <v>12</v>
      </c>
      <c r="O38" s="5">
        <v>46281</v>
      </c>
    </row>
    <row r="39" spans="1:15">
      <c r="A39" s="1">
        <v>36</v>
      </c>
      <c r="B39" s="1" t="s">
        <v>499</v>
      </c>
      <c r="C39" s="5">
        <v>46274</v>
      </c>
      <c r="D39" s="1" t="s">
        <v>102</v>
      </c>
      <c r="E39" s="6" t="s">
        <v>14</v>
      </c>
      <c r="F39" s="6" t="s">
        <v>58</v>
      </c>
      <c r="G39" s="1" t="s">
        <v>21</v>
      </c>
      <c r="H39" s="1" t="s">
        <v>66</v>
      </c>
      <c r="I39" s="1">
        <v>17</v>
      </c>
      <c r="J39" s="1">
        <v>4</v>
      </c>
      <c r="K39" s="1">
        <v>0</v>
      </c>
      <c r="L39" s="1" t="s">
        <v>17</v>
      </c>
      <c r="M39" s="1" t="s">
        <v>254</v>
      </c>
      <c r="N39" s="1" t="s">
        <v>61</v>
      </c>
      <c r="O39" s="5">
        <v>46283</v>
      </c>
    </row>
    <row r="40" spans="1:15">
      <c r="A40" s="1">
        <v>37</v>
      </c>
      <c r="B40" s="1" t="s">
        <v>500</v>
      </c>
      <c r="C40" s="5">
        <v>46266</v>
      </c>
      <c r="D40" s="1" t="s">
        <v>102</v>
      </c>
      <c r="E40" s="6" t="s">
        <v>21</v>
      </c>
      <c r="F40" s="6" t="s">
        <v>5</v>
      </c>
      <c r="G40" s="1" t="s">
        <v>82</v>
      </c>
      <c r="H40" s="1" t="s">
        <v>41</v>
      </c>
      <c r="I40" s="1">
        <v>17</v>
      </c>
      <c r="J40" s="1">
        <v>1</v>
      </c>
      <c r="K40" s="1">
        <v>1</v>
      </c>
      <c r="L40" s="1" t="s">
        <v>24</v>
      </c>
      <c r="M40" s="1" t="s">
        <v>254</v>
      </c>
      <c r="N40" s="1" t="s">
        <v>12</v>
      </c>
      <c r="O40" s="5">
        <v>46280</v>
      </c>
    </row>
    <row r="41" spans="1:15">
      <c r="A41" s="1">
        <v>38</v>
      </c>
      <c r="B41" s="1" t="s">
        <v>501</v>
      </c>
      <c r="C41" s="5">
        <v>46276</v>
      </c>
      <c r="D41" s="1" t="s">
        <v>102</v>
      </c>
      <c r="E41" s="6" t="s">
        <v>14</v>
      </c>
      <c r="F41" s="6" t="s">
        <v>89</v>
      </c>
      <c r="G41" s="1" t="s">
        <v>31</v>
      </c>
      <c r="H41" s="1" t="s">
        <v>93</v>
      </c>
      <c r="I41" s="1">
        <v>47</v>
      </c>
      <c r="J41" s="1">
        <v>3</v>
      </c>
      <c r="K41" s="1">
        <v>2</v>
      </c>
      <c r="L41" s="1" t="s">
        <v>42</v>
      </c>
      <c r="M41" s="1" t="s">
        <v>297</v>
      </c>
      <c r="N41" s="1" t="s">
        <v>61</v>
      </c>
      <c r="O41" s="5">
        <v>46294</v>
      </c>
    </row>
    <row r="42" spans="1:15">
      <c r="A42" s="1">
        <v>39</v>
      </c>
      <c r="B42" s="1" t="s">
        <v>502</v>
      </c>
      <c r="C42" s="5">
        <v>46305</v>
      </c>
      <c r="D42" s="1" t="s">
        <v>106</v>
      </c>
      <c r="E42" s="6" t="s">
        <v>87</v>
      </c>
      <c r="F42" s="6" t="s">
        <v>58</v>
      </c>
      <c r="G42" s="1" t="s">
        <v>80</v>
      </c>
      <c r="H42" s="1" t="s">
        <v>41</v>
      </c>
      <c r="I42" s="1">
        <v>24</v>
      </c>
      <c r="J42" s="1">
        <v>3</v>
      </c>
      <c r="K42" s="1">
        <v>1</v>
      </c>
      <c r="L42" s="1" t="s">
        <v>42</v>
      </c>
      <c r="M42" s="1" t="s">
        <v>293</v>
      </c>
      <c r="N42" s="1" t="s">
        <v>61</v>
      </c>
      <c r="O42" s="5">
        <v>46311</v>
      </c>
    </row>
    <row r="43" spans="1:15">
      <c r="A43" s="1">
        <v>40</v>
      </c>
      <c r="B43" s="1" t="s">
        <v>503</v>
      </c>
      <c r="C43" s="5">
        <v>46297</v>
      </c>
      <c r="D43" s="1" t="s">
        <v>106</v>
      </c>
      <c r="E43" s="6" t="s">
        <v>6</v>
      </c>
      <c r="F43" s="6" t="s">
        <v>27</v>
      </c>
      <c r="G43" s="1" t="s">
        <v>82</v>
      </c>
      <c r="H43" s="1" t="s">
        <v>7</v>
      </c>
      <c r="I43" s="1">
        <v>28</v>
      </c>
      <c r="J43" s="1">
        <v>4</v>
      </c>
      <c r="K43" s="1">
        <v>5</v>
      </c>
      <c r="L43" s="1" t="s">
        <v>17</v>
      </c>
      <c r="M43" s="1" t="s">
        <v>293</v>
      </c>
      <c r="N43" s="1" t="s">
        <v>12</v>
      </c>
      <c r="O43" s="5">
        <v>46311</v>
      </c>
    </row>
    <row r="44" spans="1:15">
      <c r="A44" s="1">
        <v>41</v>
      </c>
      <c r="B44" s="1" t="s">
        <v>504</v>
      </c>
      <c r="C44" s="5">
        <v>46310</v>
      </c>
      <c r="D44" s="1" t="s">
        <v>106</v>
      </c>
      <c r="E44" s="6" t="s">
        <v>87</v>
      </c>
      <c r="F44" s="6" t="s">
        <v>5</v>
      </c>
      <c r="G44" s="1" t="s">
        <v>51</v>
      </c>
      <c r="H44" s="1" t="s">
        <v>28</v>
      </c>
      <c r="I44" s="1">
        <v>43</v>
      </c>
      <c r="J44" s="1">
        <v>3</v>
      </c>
      <c r="K44" s="1">
        <v>4</v>
      </c>
      <c r="L44" s="1" t="s">
        <v>17</v>
      </c>
      <c r="M44" s="1" t="s">
        <v>254</v>
      </c>
      <c r="N44" s="1" t="s">
        <v>12</v>
      </c>
      <c r="O44" s="5">
        <v>46322</v>
      </c>
    </row>
    <row r="45" spans="1:15">
      <c r="A45" s="1">
        <v>42</v>
      </c>
      <c r="B45" s="1" t="s">
        <v>505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293</v>
      </c>
      <c r="N45" s="1" t="s">
        <v>57</v>
      </c>
      <c r="O45" s="5">
        <v>46380</v>
      </c>
    </row>
    <row r="46" spans="1:15">
      <c r="A46" s="1">
        <v>43</v>
      </c>
      <c r="B46" s="1" t="s">
        <v>506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297</v>
      </c>
      <c r="N46" s="1" t="s">
        <v>61</v>
      </c>
      <c r="O46" s="5">
        <v>46362</v>
      </c>
    </row>
    <row r="47" spans="1:15">
      <c r="A47" s="1">
        <v>44</v>
      </c>
      <c r="B47" s="1" t="s">
        <v>507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293</v>
      </c>
      <c r="N47" s="1" t="s">
        <v>16</v>
      </c>
      <c r="O47" s="5">
        <v>46361</v>
      </c>
    </row>
    <row r="48" spans="1:15">
      <c r="A48" s="1">
        <v>45</v>
      </c>
      <c r="B48" s="1" t="s">
        <v>508</v>
      </c>
      <c r="C48" s="5">
        <v>46351</v>
      </c>
      <c r="D48" s="1" t="s">
        <v>111</v>
      </c>
      <c r="E48" s="6" t="s">
        <v>87</v>
      </c>
      <c r="F48" s="6" t="s">
        <v>65</v>
      </c>
      <c r="G48" s="1" t="s">
        <v>31</v>
      </c>
      <c r="H48" s="1" t="s">
        <v>41</v>
      </c>
      <c r="I48" s="1">
        <v>32</v>
      </c>
      <c r="J48" s="1">
        <v>5</v>
      </c>
      <c r="K48" s="1">
        <v>8</v>
      </c>
      <c r="L48" s="1" t="s">
        <v>24</v>
      </c>
      <c r="M48" s="1" t="s">
        <v>293</v>
      </c>
      <c r="N48" s="1" t="s">
        <v>91</v>
      </c>
      <c r="O48" s="5">
        <v>46374</v>
      </c>
    </row>
    <row r="49" spans="1:15">
      <c r="A49" s="1">
        <v>46</v>
      </c>
      <c r="B49" s="1" t="s">
        <v>509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254</v>
      </c>
      <c r="N49" s="1" t="s">
        <v>64</v>
      </c>
      <c r="O49" s="5">
        <v>46390</v>
      </c>
    </row>
    <row r="50" spans="1:15">
      <c r="A50" s="1">
        <v>47</v>
      </c>
      <c r="B50" s="1" t="s">
        <v>510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293</v>
      </c>
      <c r="N50" s="1" t="s">
        <v>91</v>
      </c>
      <c r="O50" s="5">
        <v>46403</v>
      </c>
    </row>
    <row r="51" spans="1:15">
      <c r="A51" s="1">
        <v>48</v>
      </c>
      <c r="B51" s="1" t="s">
        <v>511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293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565</v>
      </c>
      <c r="C3" s="1" t="s">
        <v>126</v>
      </c>
      <c r="D3" s="1" t="s">
        <v>127</v>
      </c>
      <c r="E3" s="1" t="s">
        <v>566</v>
      </c>
      <c r="F3" s="1" t="s">
        <v>567</v>
      </c>
      <c r="G3" s="1" t="s">
        <v>129</v>
      </c>
      <c r="H3" s="1" t="s">
        <v>568</v>
      </c>
      <c r="I3" s="1" t="s">
        <v>569</v>
      </c>
      <c r="J3" s="1" t="s">
        <v>570</v>
      </c>
      <c r="K3" s="2" t="s">
        <v>134</v>
      </c>
      <c r="L3" s="1" t="s">
        <v>135</v>
      </c>
      <c r="M3" s="1" t="s">
        <v>571</v>
      </c>
      <c r="N3" s="1" t="s">
        <v>572</v>
      </c>
      <c r="O3" s="2" t="s">
        <v>573</v>
      </c>
      <c r="P3" s="1" t="s">
        <v>574</v>
      </c>
    </row>
    <row r="4" spans="1:18">
      <c r="A4" s="1">
        <v>1</v>
      </c>
      <c r="B4" s="1" t="s">
        <v>513</v>
      </c>
      <c r="C4" s="5">
        <v>46031</v>
      </c>
      <c r="D4" s="1" t="s">
        <v>3</v>
      </c>
      <c r="E4" s="6" t="s">
        <v>514</v>
      </c>
      <c r="F4" s="6" t="s">
        <v>26</v>
      </c>
      <c r="G4" s="1" t="s">
        <v>27</v>
      </c>
      <c r="H4" s="1" t="s">
        <v>68</v>
      </c>
      <c r="I4" s="1">
        <v>26</v>
      </c>
      <c r="J4" s="1">
        <v>42</v>
      </c>
      <c r="K4" s="2">
        <f>IFERROR(J4/I4*100,0)</f>
        <v>0</v>
      </c>
      <c r="L4" s="1">
        <v>67</v>
      </c>
      <c r="M4" s="1">
        <v>1</v>
      </c>
      <c r="N4" s="1">
        <v>2</v>
      </c>
      <c r="O4" s="2">
        <f>IFERROR(N4/M4*100,0)</f>
        <v>0</v>
      </c>
      <c r="P4" s="1" t="s">
        <v>23</v>
      </c>
    </row>
    <row r="5" spans="1:18">
      <c r="A5" s="1">
        <v>2</v>
      </c>
      <c r="B5" s="1" t="s">
        <v>515</v>
      </c>
      <c r="C5" s="5">
        <v>46042</v>
      </c>
      <c r="D5" s="1" t="s">
        <v>3</v>
      </c>
      <c r="E5" s="6" t="s">
        <v>516</v>
      </c>
      <c r="F5" s="6" t="s">
        <v>64</v>
      </c>
      <c r="G5" s="1" t="s">
        <v>89</v>
      </c>
      <c r="H5" s="1" t="s">
        <v>66</v>
      </c>
      <c r="I5" s="1">
        <v>23</v>
      </c>
      <c r="J5" s="1">
        <v>11</v>
      </c>
      <c r="K5" s="2">
        <f>IFERROR(J5/I5*100,0)</f>
        <v>0</v>
      </c>
      <c r="L5" s="1">
        <v>51</v>
      </c>
      <c r="M5" s="1">
        <v>0</v>
      </c>
      <c r="N5" s="1">
        <v>5</v>
      </c>
      <c r="O5" s="2">
        <f>IFERROR(N5/M5*100,0)</f>
        <v>0</v>
      </c>
      <c r="P5" s="1" t="s">
        <v>23</v>
      </c>
    </row>
    <row r="6" spans="1:18">
      <c r="A6" s="1">
        <v>3</v>
      </c>
      <c r="B6" s="1" t="s">
        <v>517</v>
      </c>
      <c r="C6" s="5">
        <v>46032</v>
      </c>
      <c r="D6" s="1" t="s">
        <v>3</v>
      </c>
      <c r="E6" s="6" t="s">
        <v>518</v>
      </c>
      <c r="F6" s="6" t="s">
        <v>30</v>
      </c>
      <c r="G6" s="1" t="s">
        <v>13</v>
      </c>
      <c r="H6" s="1" t="s">
        <v>70</v>
      </c>
      <c r="I6" s="1">
        <v>40</v>
      </c>
      <c r="J6" s="1">
        <v>45</v>
      </c>
      <c r="K6" s="2">
        <f>IFERROR(J6/I6*100,0)</f>
        <v>0</v>
      </c>
      <c r="L6" s="1">
        <v>48</v>
      </c>
      <c r="M6" s="1">
        <v>0</v>
      </c>
      <c r="N6" s="1">
        <v>4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519</v>
      </c>
      <c r="C7" s="5">
        <v>46065</v>
      </c>
      <c r="D7" s="1" t="s">
        <v>19</v>
      </c>
      <c r="E7" s="6" t="s">
        <v>516</v>
      </c>
      <c r="F7" s="6" t="s">
        <v>4</v>
      </c>
      <c r="G7" s="1" t="s">
        <v>46</v>
      </c>
      <c r="H7" s="1" t="s">
        <v>68</v>
      </c>
      <c r="I7" s="1">
        <v>43</v>
      </c>
      <c r="J7" s="1">
        <v>55</v>
      </c>
      <c r="K7" s="2">
        <f>IFERROR(J7/I7*100,0)</f>
        <v>0</v>
      </c>
      <c r="L7" s="1">
        <v>101</v>
      </c>
      <c r="M7" s="1">
        <v>0</v>
      </c>
      <c r="N7" s="1">
        <v>3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520</v>
      </c>
      <c r="C8" s="5">
        <v>46072</v>
      </c>
      <c r="D8" s="1" t="s">
        <v>19</v>
      </c>
      <c r="E8" s="6" t="s">
        <v>518</v>
      </c>
      <c r="F8" s="6" t="s">
        <v>49</v>
      </c>
      <c r="G8" s="1" t="s">
        <v>39</v>
      </c>
      <c r="H8" s="1" t="s">
        <v>22</v>
      </c>
      <c r="I8" s="1">
        <v>26</v>
      </c>
      <c r="J8" s="1">
        <v>60</v>
      </c>
      <c r="K8" s="2">
        <f>IFERROR(J8/I8*100,0)</f>
        <v>0</v>
      </c>
      <c r="L8" s="1">
        <v>44</v>
      </c>
      <c r="M8" s="1">
        <v>2</v>
      </c>
      <c r="N8" s="1">
        <v>8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521</v>
      </c>
      <c r="C9" s="5">
        <v>46060</v>
      </c>
      <c r="D9" s="1" t="s">
        <v>19</v>
      </c>
      <c r="E9" s="6" t="s">
        <v>518</v>
      </c>
      <c r="F9" s="6" t="s">
        <v>26</v>
      </c>
      <c r="G9" s="1" t="s">
        <v>92</v>
      </c>
      <c r="H9" s="1" t="s">
        <v>7</v>
      </c>
      <c r="I9" s="1">
        <v>58</v>
      </c>
      <c r="J9" s="1">
        <v>48</v>
      </c>
      <c r="K9" s="2">
        <f>IFERROR(J9/I9*100,0)</f>
        <v>0</v>
      </c>
      <c r="L9" s="1">
        <v>21</v>
      </c>
      <c r="M9" s="1">
        <v>5</v>
      </c>
      <c r="N9" s="1">
        <v>7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522</v>
      </c>
      <c r="C10" s="5">
        <v>46070</v>
      </c>
      <c r="D10" s="1" t="s">
        <v>19</v>
      </c>
      <c r="E10" s="6" t="s">
        <v>523</v>
      </c>
      <c r="F10" s="6" t="s">
        <v>12</v>
      </c>
      <c r="G10" s="1" t="s">
        <v>46</v>
      </c>
      <c r="H10" s="1" t="s">
        <v>93</v>
      </c>
      <c r="I10" s="1">
        <v>20</v>
      </c>
      <c r="J10" s="1">
        <v>44</v>
      </c>
      <c r="K10" s="2">
        <f>IFERROR(J10/I10*100,0)</f>
        <v>0</v>
      </c>
      <c r="L10" s="1">
        <v>107</v>
      </c>
      <c r="M10" s="1">
        <v>4</v>
      </c>
      <c r="N10" s="1">
        <v>6</v>
      </c>
      <c r="O10" s="2">
        <f>IFERROR(N10/M10*100,0)</f>
        <v>0</v>
      </c>
      <c r="P10" s="1" t="s">
        <v>9</v>
      </c>
    </row>
    <row r="11" spans="1:18">
      <c r="A11" s="1">
        <v>8</v>
      </c>
      <c r="B11" s="1" t="s">
        <v>524</v>
      </c>
      <c r="C11" s="5">
        <v>46059</v>
      </c>
      <c r="D11" s="1" t="s">
        <v>19</v>
      </c>
      <c r="E11" s="6" t="s">
        <v>523</v>
      </c>
      <c r="F11" s="6" t="s">
        <v>54</v>
      </c>
      <c r="G11" s="1" t="s">
        <v>92</v>
      </c>
      <c r="H11" s="1" t="s">
        <v>15</v>
      </c>
      <c r="I11" s="1">
        <v>59</v>
      </c>
      <c r="J11" s="1">
        <v>40</v>
      </c>
      <c r="K11" s="2">
        <f>IFERROR(J11/I11*100,0)</f>
        <v>0</v>
      </c>
      <c r="L11" s="1">
        <v>90</v>
      </c>
      <c r="M11" s="1">
        <v>2</v>
      </c>
      <c r="N11" s="1">
        <v>6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525</v>
      </c>
      <c r="C12" s="5">
        <v>46078</v>
      </c>
      <c r="D12" s="1" t="s">
        <v>19</v>
      </c>
      <c r="E12" s="6" t="s">
        <v>514</v>
      </c>
      <c r="F12" s="6" t="s">
        <v>64</v>
      </c>
      <c r="G12" s="1" t="s">
        <v>5</v>
      </c>
      <c r="H12" s="1" t="s">
        <v>68</v>
      </c>
      <c r="I12" s="1">
        <v>37</v>
      </c>
      <c r="J12" s="1">
        <v>11</v>
      </c>
      <c r="K12" s="2">
        <f>IFERROR(J12/I12*100,0)</f>
        <v>0</v>
      </c>
      <c r="L12" s="1">
        <v>36</v>
      </c>
      <c r="M12" s="1">
        <v>1</v>
      </c>
      <c r="N12" s="1">
        <v>3</v>
      </c>
      <c r="O12" s="2">
        <f>IFERROR(N12/M12*100,0)</f>
        <v>0</v>
      </c>
      <c r="P12" s="1" t="s">
        <v>9</v>
      </c>
    </row>
    <row r="13" spans="1:18">
      <c r="A13" s="1">
        <v>10</v>
      </c>
      <c r="B13" s="1" t="s">
        <v>526</v>
      </c>
      <c r="C13" s="5">
        <v>46056</v>
      </c>
      <c r="D13" s="1" t="s">
        <v>19</v>
      </c>
      <c r="E13" s="6" t="s">
        <v>516</v>
      </c>
      <c r="F13" s="6" t="s">
        <v>12</v>
      </c>
      <c r="G13" s="1" t="s">
        <v>92</v>
      </c>
      <c r="H13" s="1" t="s">
        <v>36</v>
      </c>
      <c r="I13" s="1">
        <v>49</v>
      </c>
      <c r="J13" s="1">
        <v>29</v>
      </c>
      <c r="K13" s="2">
        <f>IFERROR(J13/I13*100,0)</f>
        <v>0</v>
      </c>
      <c r="L13" s="1">
        <v>111</v>
      </c>
      <c r="M13" s="1">
        <v>5</v>
      </c>
      <c r="N13" s="1">
        <v>7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527</v>
      </c>
      <c r="C14" s="5">
        <v>46080</v>
      </c>
      <c r="D14" s="1" t="s">
        <v>19</v>
      </c>
      <c r="E14" s="6" t="s">
        <v>523</v>
      </c>
      <c r="F14" s="6" t="s">
        <v>26</v>
      </c>
      <c r="G14" s="1" t="s">
        <v>46</v>
      </c>
      <c r="H14" s="1" t="s">
        <v>41</v>
      </c>
      <c r="I14" s="1">
        <v>41</v>
      </c>
      <c r="J14" s="1">
        <v>51</v>
      </c>
      <c r="K14" s="2">
        <f>IFERROR(J14/I14*100,0)</f>
        <v>0</v>
      </c>
      <c r="L14" s="1">
        <v>99</v>
      </c>
      <c r="M14" s="1">
        <v>2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528</v>
      </c>
      <c r="C15" s="5">
        <v>46054</v>
      </c>
      <c r="D15" s="1" t="s">
        <v>19</v>
      </c>
      <c r="E15" s="6" t="s">
        <v>523</v>
      </c>
      <c r="F15" s="6" t="s">
        <v>16</v>
      </c>
      <c r="G15" s="1" t="s">
        <v>92</v>
      </c>
      <c r="H15" s="1" t="s">
        <v>66</v>
      </c>
      <c r="I15" s="1">
        <v>41</v>
      </c>
      <c r="J15" s="1">
        <v>10</v>
      </c>
      <c r="K15" s="2">
        <f>IFERROR(J15/I15*100,0)</f>
        <v>0</v>
      </c>
      <c r="L15" s="1">
        <v>40</v>
      </c>
      <c r="M15" s="1">
        <v>0</v>
      </c>
      <c r="N15" s="1">
        <v>4</v>
      </c>
      <c r="O15" s="2">
        <f>IFERROR(N15/M15*100,0)</f>
        <v>0</v>
      </c>
      <c r="P15" s="1" t="s">
        <v>23</v>
      </c>
    </row>
    <row r="16" spans="1:18">
      <c r="A16" s="1">
        <v>13</v>
      </c>
      <c r="B16" s="1" t="s">
        <v>529</v>
      </c>
      <c r="C16" s="5">
        <v>46077</v>
      </c>
      <c r="D16" s="1" t="s">
        <v>19</v>
      </c>
      <c r="E16" s="6" t="s">
        <v>518</v>
      </c>
      <c r="F16" s="6" t="s">
        <v>16</v>
      </c>
      <c r="G16" s="1" t="s">
        <v>13</v>
      </c>
      <c r="H16" s="1" t="s">
        <v>93</v>
      </c>
      <c r="I16" s="1">
        <v>29</v>
      </c>
      <c r="J16" s="1">
        <v>15</v>
      </c>
      <c r="K16" s="2">
        <f>IFERROR(J16/I16*100,0)</f>
        <v>0</v>
      </c>
      <c r="L16" s="1">
        <v>55</v>
      </c>
      <c r="M16" s="1">
        <v>5</v>
      </c>
      <c r="N16" s="1">
        <v>3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530</v>
      </c>
      <c r="C17" s="5">
        <v>46092</v>
      </c>
      <c r="D17" s="1" t="s">
        <v>44</v>
      </c>
      <c r="E17" s="6" t="s">
        <v>514</v>
      </c>
      <c r="F17" s="6" t="s">
        <v>30</v>
      </c>
      <c r="G17" s="1" t="s">
        <v>89</v>
      </c>
      <c r="H17" s="1" t="s">
        <v>66</v>
      </c>
      <c r="I17" s="1">
        <v>10</v>
      </c>
      <c r="J17" s="1">
        <v>17</v>
      </c>
      <c r="K17" s="2">
        <f>IFERROR(J17/I17*100,0)</f>
        <v>0</v>
      </c>
      <c r="L17" s="1">
        <v>104</v>
      </c>
      <c r="M17" s="1">
        <v>4</v>
      </c>
      <c r="N17" s="1">
        <v>1</v>
      </c>
      <c r="O17" s="2">
        <f>IFERROR(N17/M17*100,0)</f>
        <v>0</v>
      </c>
      <c r="P17" s="1" t="s">
        <v>9</v>
      </c>
    </row>
    <row r="18" spans="1:16">
      <c r="A18" s="1">
        <v>15</v>
      </c>
      <c r="B18" s="1" t="s">
        <v>531</v>
      </c>
      <c r="C18" s="5">
        <v>46109</v>
      </c>
      <c r="D18" s="1" t="s">
        <v>44</v>
      </c>
      <c r="E18" s="6" t="s">
        <v>516</v>
      </c>
      <c r="F18" s="6" t="s">
        <v>61</v>
      </c>
      <c r="G18" s="1" t="s">
        <v>13</v>
      </c>
      <c r="H18" s="1" t="s">
        <v>62</v>
      </c>
      <c r="I18" s="1">
        <v>13</v>
      </c>
      <c r="J18" s="1">
        <v>39</v>
      </c>
      <c r="K18" s="2">
        <f>IFERROR(J18/I18*100,0)</f>
        <v>0</v>
      </c>
      <c r="L18" s="1">
        <v>116</v>
      </c>
      <c r="M18" s="1">
        <v>3</v>
      </c>
      <c r="N18" s="1">
        <v>0</v>
      </c>
      <c r="O18" s="2">
        <f>IFERROR(N18/M18*100,0)</f>
        <v>0</v>
      </c>
      <c r="P18" s="1" t="s">
        <v>23</v>
      </c>
    </row>
    <row r="19" spans="1:16">
      <c r="A19" s="1">
        <v>16</v>
      </c>
      <c r="B19" s="1" t="s">
        <v>532</v>
      </c>
      <c r="C19" s="5">
        <v>46108</v>
      </c>
      <c r="D19" s="1" t="s">
        <v>44</v>
      </c>
      <c r="E19" s="6" t="s">
        <v>523</v>
      </c>
      <c r="F19" s="6" t="s">
        <v>64</v>
      </c>
      <c r="G19" s="1" t="s">
        <v>89</v>
      </c>
      <c r="H19" s="1" t="s">
        <v>41</v>
      </c>
      <c r="I19" s="1">
        <v>13</v>
      </c>
      <c r="J19" s="1">
        <v>14</v>
      </c>
      <c r="K19" s="2">
        <f>IFERROR(J19/I19*100,0)</f>
        <v>0</v>
      </c>
      <c r="L19" s="1">
        <v>109</v>
      </c>
      <c r="M19" s="1">
        <v>7</v>
      </c>
      <c r="N19" s="1">
        <v>8</v>
      </c>
      <c r="O19" s="2">
        <f>IFERROR(N19/M19*100,0)</f>
        <v>0</v>
      </c>
      <c r="P19" s="1" t="s">
        <v>9</v>
      </c>
    </row>
    <row r="20" spans="1:16">
      <c r="A20" s="1">
        <v>17</v>
      </c>
      <c r="B20" s="1" t="s">
        <v>533</v>
      </c>
      <c r="C20" s="5">
        <v>46082</v>
      </c>
      <c r="D20" s="1" t="s">
        <v>44</v>
      </c>
      <c r="E20" s="6" t="s">
        <v>518</v>
      </c>
      <c r="F20" s="6" t="s">
        <v>64</v>
      </c>
      <c r="G20" s="1" t="s">
        <v>46</v>
      </c>
      <c r="H20" s="1" t="s">
        <v>68</v>
      </c>
      <c r="I20" s="1">
        <v>46</v>
      </c>
      <c r="J20" s="1">
        <v>26</v>
      </c>
      <c r="K20" s="2">
        <f>IFERROR(J20/I20*100,0)</f>
        <v>0</v>
      </c>
      <c r="L20" s="1">
        <v>30</v>
      </c>
      <c r="M20" s="1">
        <v>6</v>
      </c>
      <c r="N20" s="1">
        <v>5</v>
      </c>
      <c r="O20" s="2">
        <f>IFERROR(N20/M20*100,0)</f>
        <v>0</v>
      </c>
      <c r="P20" s="1" t="s">
        <v>23</v>
      </c>
    </row>
    <row r="21" spans="1:16">
      <c r="A21" s="1">
        <v>18</v>
      </c>
      <c r="B21" s="1" t="s">
        <v>534</v>
      </c>
      <c r="C21" s="5">
        <v>46109</v>
      </c>
      <c r="D21" s="1" t="s">
        <v>44</v>
      </c>
      <c r="E21" s="6" t="s">
        <v>516</v>
      </c>
      <c r="F21" s="6" t="s">
        <v>30</v>
      </c>
      <c r="G21" s="1" t="s">
        <v>92</v>
      </c>
      <c r="H21" s="1" t="s">
        <v>36</v>
      </c>
      <c r="I21" s="1">
        <v>40</v>
      </c>
      <c r="J21" s="1">
        <v>40</v>
      </c>
      <c r="K21" s="2">
        <f>IFERROR(J21/I21*100,0)</f>
        <v>0</v>
      </c>
      <c r="L21" s="1">
        <v>108</v>
      </c>
      <c r="M21" s="1">
        <v>1</v>
      </c>
      <c r="N21" s="1">
        <v>2</v>
      </c>
      <c r="O21" s="2">
        <f>IFERROR(N21/M21*100,0)</f>
        <v>0</v>
      </c>
      <c r="P21" s="1" t="s">
        <v>23</v>
      </c>
    </row>
    <row r="22" spans="1:16">
      <c r="A22" s="1">
        <v>19</v>
      </c>
      <c r="B22" s="1" t="s">
        <v>535</v>
      </c>
      <c r="C22" s="5">
        <v>46118</v>
      </c>
      <c r="D22" s="1" t="s">
        <v>53</v>
      </c>
      <c r="E22" s="6" t="s">
        <v>516</v>
      </c>
      <c r="F22" s="6" t="s">
        <v>16</v>
      </c>
      <c r="G22" s="1" t="s">
        <v>65</v>
      </c>
      <c r="H22" s="1" t="s">
        <v>41</v>
      </c>
      <c r="I22" s="1">
        <v>10</v>
      </c>
      <c r="J22" s="1">
        <v>30</v>
      </c>
      <c r="K22" s="2">
        <f>IFERROR(J22/I22*100,0)</f>
        <v>0</v>
      </c>
      <c r="L22" s="1">
        <v>48</v>
      </c>
      <c r="M22" s="1">
        <v>3</v>
      </c>
      <c r="N22" s="1">
        <v>4</v>
      </c>
      <c r="O22" s="2">
        <f>IFERROR(N22/M22*100,0)</f>
        <v>0</v>
      </c>
      <c r="P22" s="1" t="s">
        <v>23</v>
      </c>
    </row>
    <row r="23" spans="1:16">
      <c r="A23" s="1">
        <v>20</v>
      </c>
      <c r="B23" s="1" t="s">
        <v>536</v>
      </c>
      <c r="C23" s="5">
        <v>46139</v>
      </c>
      <c r="D23" s="1" t="s">
        <v>53</v>
      </c>
      <c r="E23" s="6" t="s">
        <v>523</v>
      </c>
      <c r="F23" s="6" t="s">
        <v>4</v>
      </c>
      <c r="G23" s="1" t="s">
        <v>89</v>
      </c>
      <c r="H23" s="1" t="s">
        <v>15</v>
      </c>
      <c r="I23" s="1">
        <v>57</v>
      </c>
      <c r="J23" s="1">
        <v>57</v>
      </c>
      <c r="K23" s="2">
        <f>IFERROR(J23/I23*100,0)</f>
        <v>0</v>
      </c>
      <c r="L23" s="1">
        <v>35</v>
      </c>
      <c r="M23" s="1">
        <v>8</v>
      </c>
      <c r="N23" s="1">
        <v>3</v>
      </c>
      <c r="O23" s="2">
        <f>IFERROR(N23/M23*100,0)</f>
        <v>0</v>
      </c>
      <c r="P23" s="1" t="s">
        <v>23</v>
      </c>
    </row>
    <row r="24" spans="1:16">
      <c r="A24" s="1">
        <v>21</v>
      </c>
      <c r="B24" s="1" t="s">
        <v>537</v>
      </c>
      <c r="C24" s="5">
        <v>46130</v>
      </c>
      <c r="D24" s="1" t="s">
        <v>53</v>
      </c>
      <c r="E24" s="6" t="s">
        <v>514</v>
      </c>
      <c r="F24" s="6" t="s">
        <v>20</v>
      </c>
      <c r="G24" s="1" t="s">
        <v>89</v>
      </c>
      <c r="H24" s="1" t="s">
        <v>68</v>
      </c>
      <c r="I24" s="1">
        <v>29</v>
      </c>
      <c r="J24" s="1">
        <v>16</v>
      </c>
      <c r="K24" s="2">
        <f>IFERROR(J24/I24*100,0)</f>
        <v>0</v>
      </c>
      <c r="L24" s="1">
        <v>70</v>
      </c>
      <c r="M24" s="1">
        <v>4</v>
      </c>
      <c r="N24" s="1">
        <v>4</v>
      </c>
      <c r="O24" s="2">
        <f>IFERROR(N24/M24*100,0)</f>
        <v>0</v>
      </c>
      <c r="P24" s="1" t="s">
        <v>9</v>
      </c>
    </row>
    <row r="25" spans="1:16">
      <c r="A25" s="1">
        <v>22</v>
      </c>
      <c r="B25" s="1" t="s">
        <v>538</v>
      </c>
      <c r="C25" s="5">
        <v>46124</v>
      </c>
      <c r="D25" s="1" t="s">
        <v>53</v>
      </c>
      <c r="E25" s="6" t="s">
        <v>514</v>
      </c>
      <c r="F25" s="6" t="s">
        <v>30</v>
      </c>
      <c r="G25" s="1" t="s">
        <v>89</v>
      </c>
      <c r="H25" s="1" t="s">
        <v>78</v>
      </c>
      <c r="I25" s="1">
        <v>58</v>
      </c>
      <c r="J25" s="1">
        <v>16</v>
      </c>
      <c r="K25" s="2">
        <f>IFERROR(J25/I25*100,0)</f>
        <v>0</v>
      </c>
      <c r="L25" s="1">
        <v>111</v>
      </c>
      <c r="M25" s="1">
        <v>7</v>
      </c>
      <c r="N25" s="1">
        <v>5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539</v>
      </c>
      <c r="C26" s="5">
        <v>46118</v>
      </c>
      <c r="D26" s="1" t="s">
        <v>53</v>
      </c>
      <c r="E26" s="6" t="s">
        <v>516</v>
      </c>
      <c r="F26" s="6" t="s">
        <v>57</v>
      </c>
      <c r="G26" s="1" t="s">
        <v>58</v>
      </c>
      <c r="H26" s="1" t="s">
        <v>36</v>
      </c>
      <c r="I26" s="1">
        <v>34</v>
      </c>
      <c r="J26" s="1">
        <v>31</v>
      </c>
      <c r="K26" s="2">
        <f>IFERROR(J26/I26*100,0)</f>
        <v>0</v>
      </c>
      <c r="L26" s="1">
        <v>95</v>
      </c>
      <c r="M26" s="1">
        <v>3</v>
      </c>
      <c r="N26" s="1">
        <v>7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540</v>
      </c>
      <c r="C27" s="5">
        <v>46121</v>
      </c>
      <c r="D27" s="1" t="s">
        <v>53</v>
      </c>
      <c r="E27" s="6" t="s">
        <v>514</v>
      </c>
      <c r="F27" s="6" t="s">
        <v>91</v>
      </c>
      <c r="G27" s="1" t="s">
        <v>65</v>
      </c>
      <c r="H27" s="1" t="s">
        <v>66</v>
      </c>
      <c r="I27" s="1">
        <v>57</v>
      </c>
      <c r="J27" s="1">
        <v>23</v>
      </c>
      <c r="K27" s="2">
        <f>IFERROR(J27/I27*100,0)</f>
        <v>0</v>
      </c>
      <c r="L27" s="1">
        <v>87</v>
      </c>
      <c r="M27" s="1">
        <v>3</v>
      </c>
      <c r="N27" s="1">
        <v>5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541</v>
      </c>
      <c r="C28" s="5">
        <v>46118</v>
      </c>
      <c r="D28" s="1" t="s">
        <v>53</v>
      </c>
      <c r="E28" s="6" t="s">
        <v>516</v>
      </c>
      <c r="F28" s="6" t="s">
        <v>38</v>
      </c>
      <c r="G28" s="1" t="s">
        <v>58</v>
      </c>
      <c r="H28" s="1" t="s">
        <v>104</v>
      </c>
      <c r="I28" s="1">
        <v>56</v>
      </c>
      <c r="J28" s="1">
        <v>11</v>
      </c>
      <c r="K28" s="2">
        <f>IFERROR(J28/I28*100,0)</f>
        <v>0</v>
      </c>
      <c r="L28" s="1">
        <v>46</v>
      </c>
      <c r="M28" s="1">
        <v>0</v>
      </c>
      <c r="N28" s="1">
        <v>4</v>
      </c>
      <c r="O28" s="2">
        <f>IFERROR(N28/M28*100,0)</f>
        <v>0</v>
      </c>
      <c r="P28" s="1" t="s">
        <v>23</v>
      </c>
    </row>
    <row r="29" spans="1:16">
      <c r="A29" s="1">
        <v>26</v>
      </c>
      <c r="B29" s="1" t="s">
        <v>542</v>
      </c>
      <c r="C29" s="5">
        <v>46177</v>
      </c>
      <c r="D29" s="1" t="s">
        <v>73</v>
      </c>
      <c r="E29" s="6" t="s">
        <v>523</v>
      </c>
      <c r="F29" s="6" t="s">
        <v>61</v>
      </c>
      <c r="G29" s="1" t="s">
        <v>39</v>
      </c>
      <c r="H29" s="1" t="s">
        <v>66</v>
      </c>
      <c r="I29" s="1">
        <v>33</v>
      </c>
      <c r="J29" s="1">
        <v>56</v>
      </c>
      <c r="K29" s="2">
        <f>IFERROR(J29/I29*100,0)</f>
        <v>0</v>
      </c>
      <c r="L29" s="1">
        <v>77</v>
      </c>
      <c r="M29" s="1">
        <v>0</v>
      </c>
      <c r="N29" s="1">
        <v>8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543</v>
      </c>
      <c r="C30" s="5">
        <v>46195</v>
      </c>
      <c r="D30" s="1" t="s">
        <v>73</v>
      </c>
      <c r="E30" s="6" t="s">
        <v>518</v>
      </c>
      <c r="F30" s="6" t="s">
        <v>61</v>
      </c>
      <c r="G30" s="1" t="s">
        <v>65</v>
      </c>
      <c r="H30" s="1" t="s">
        <v>7</v>
      </c>
      <c r="I30" s="1">
        <v>59</v>
      </c>
      <c r="J30" s="1">
        <v>44</v>
      </c>
      <c r="K30" s="2">
        <f>IFERROR(J30/I30*100,0)</f>
        <v>0</v>
      </c>
      <c r="L30" s="1">
        <v>54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544</v>
      </c>
      <c r="C31" s="5">
        <v>46174</v>
      </c>
      <c r="D31" s="1" t="s">
        <v>73</v>
      </c>
      <c r="E31" s="6" t="s">
        <v>518</v>
      </c>
      <c r="F31" s="6" t="s">
        <v>49</v>
      </c>
      <c r="G31" s="1" t="s">
        <v>27</v>
      </c>
      <c r="H31" s="1" t="s">
        <v>22</v>
      </c>
      <c r="I31" s="1">
        <v>10</v>
      </c>
      <c r="J31" s="1">
        <v>16</v>
      </c>
      <c r="K31" s="2">
        <f>IFERROR(J31/I31*100,0)</f>
        <v>0</v>
      </c>
      <c r="L31" s="1">
        <v>41</v>
      </c>
      <c r="M31" s="1">
        <v>1</v>
      </c>
      <c r="N31" s="1">
        <v>4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545</v>
      </c>
      <c r="C32" s="5">
        <v>46228</v>
      </c>
      <c r="D32" s="1" t="s">
        <v>76</v>
      </c>
      <c r="E32" s="6" t="s">
        <v>523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546</v>
      </c>
      <c r="C33" s="5">
        <v>46236</v>
      </c>
      <c r="D33" s="1" t="s">
        <v>86</v>
      </c>
      <c r="E33" s="6" t="s">
        <v>523</v>
      </c>
      <c r="F33" s="6" t="s">
        <v>57</v>
      </c>
      <c r="G33" s="1" t="s">
        <v>50</v>
      </c>
      <c r="H33" s="1" t="s">
        <v>68</v>
      </c>
      <c r="I33" s="1">
        <v>17</v>
      </c>
      <c r="J33" s="1">
        <v>49</v>
      </c>
      <c r="K33" s="2">
        <f>IFERROR(J33/I33*100,0)</f>
        <v>0</v>
      </c>
      <c r="L33" s="1">
        <v>19</v>
      </c>
      <c r="M33" s="1">
        <v>3</v>
      </c>
      <c r="N33" s="1">
        <v>2</v>
      </c>
      <c r="O33" s="2">
        <f>IFERROR(N33/M33*100,0)</f>
        <v>0</v>
      </c>
      <c r="P33" s="1" t="s">
        <v>23</v>
      </c>
    </row>
    <row r="34" spans="1:16">
      <c r="A34" s="1">
        <v>31</v>
      </c>
      <c r="B34" s="1" t="s">
        <v>547</v>
      </c>
      <c r="C34" s="5">
        <v>46236</v>
      </c>
      <c r="D34" s="1" t="s">
        <v>86</v>
      </c>
      <c r="E34" s="6" t="s">
        <v>514</v>
      </c>
      <c r="F34" s="6" t="s">
        <v>54</v>
      </c>
      <c r="G34" s="1" t="s">
        <v>92</v>
      </c>
      <c r="H34" s="1" t="s">
        <v>28</v>
      </c>
      <c r="I34" s="1">
        <v>54</v>
      </c>
      <c r="J34" s="1">
        <v>52</v>
      </c>
      <c r="K34" s="2">
        <f>IFERROR(J34/I34*100,0)</f>
        <v>0</v>
      </c>
      <c r="L34" s="1">
        <v>119</v>
      </c>
      <c r="M34" s="1">
        <v>4</v>
      </c>
      <c r="N34" s="1">
        <v>4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548</v>
      </c>
      <c r="C35" s="5">
        <v>46242</v>
      </c>
      <c r="D35" s="1" t="s">
        <v>86</v>
      </c>
      <c r="E35" s="6" t="s">
        <v>523</v>
      </c>
      <c r="F35" s="6" t="s">
        <v>45</v>
      </c>
      <c r="G35" s="1" t="s">
        <v>50</v>
      </c>
      <c r="H35" s="1" t="s">
        <v>62</v>
      </c>
      <c r="I35" s="1">
        <v>26</v>
      </c>
      <c r="J35" s="1">
        <v>16</v>
      </c>
      <c r="K35" s="2">
        <f>IFERROR(J35/I35*100,0)</f>
        <v>0</v>
      </c>
      <c r="L35" s="1">
        <v>113</v>
      </c>
      <c r="M35" s="1">
        <v>5</v>
      </c>
      <c r="N35" s="1">
        <v>5</v>
      </c>
      <c r="O35" s="2">
        <f>IFERROR(N35/M35*100,0)</f>
        <v>0</v>
      </c>
      <c r="P35" s="1" t="s">
        <v>23</v>
      </c>
    </row>
    <row r="36" spans="1:16">
      <c r="A36" s="1">
        <v>33</v>
      </c>
      <c r="B36" s="1" t="s">
        <v>549</v>
      </c>
      <c r="C36" s="5">
        <v>46244</v>
      </c>
      <c r="D36" s="1" t="s">
        <v>86</v>
      </c>
      <c r="E36" s="6" t="s">
        <v>516</v>
      </c>
      <c r="F36" s="6" t="s">
        <v>91</v>
      </c>
      <c r="G36" s="1" t="s">
        <v>13</v>
      </c>
      <c r="H36" s="1" t="s">
        <v>22</v>
      </c>
      <c r="I36" s="1">
        <v>15</v>
      </c>
      <c r="J36" s="1">
        <v>21</v>
      </c>
      <c r="K36" s="2">
        <f>IFERROR(J36/I36*100,0)</f>
        <v>0</v>
      </c>
      <c r="L36" s="1">
        <v>37</v>
      </c>
      <c r="M36" s="1">
        <v>8</v>
      </c>
      <c r="N36" s="1">
        <v>2</v>
      </c>
      <c r="O36" s="2">
        <f>IFERROR(N36/M36*100,0)</f>
        <v>0</v>
      </c>
      <c r="P36" s="1" t="s">
        <v>9</v>
      </c>
    </row>
    <row r="37" spans="1:16">
      <c r="A37" s="1">
        <v>34</v>
      </c>
      <c r="B37" s="1" t="s">
        <v>550</v>
      </c>
      <c r="C37" s="5">
        <v>46239</v>
      </c>
      <c r="D37" s="1" t="s">
        <v>86</v>
      </c>
      <c r="E37" s="6" t="s">
        <v>516</v>
      </c>
      <c r="F37" s="6" t="s">
        <v>57</v>
      </c>
      <c r="G37" s="1" t="s">
        <v>13</v>
      </c>
      <c r="H37" s="1" t="s">
        <v>28</v>
      </c>
      <c r="I37" s="1">
        <v>35</v>
      </c>
      <c r="J37" s="1">
        <v>53</v>
      </c>
      <c r="K37" s="2">
        <f>IFERROR(J37/I37*100,0)</f>
        <v>0</v>
      </c>
      <c r="L37" s="1">
        <v>70</v>
      </c>
      <c r="M37" s="1">
        <v>7</v>
      </c>
      <c r="N37" s="1">
        <v>7</v>
      </c>
      <c r="O37" s="2">
        <f>IFERROR(N37/M37*100,0)</f>
        <v>0</v>
      </c>
      <c r="P37" s="1" t="s">
        <v>23</v>
      </c>
    </row>
    <row r="38" spans="1:16">
      <c r="A38" s="1">
        <v>35</v>
      </c>
      <c r="B38" s="1" t="s">
        <v>551</v>
      </c>
      <c r="C38" s="5">
        <v>46288</v>
      </c>
      <c r="D38" s="1" t="s">
        <v>102</v>
      </c>
      <c r="E38" s="6" t="s">
        <v>514</v>
      </c>
      <c r="F38" s="6" t="s">
        <v>38</v>
      </c>
      <c r="G38" s="1" t="s">
        <v>50</v>
      </c>
      <c r="H38" s="1" t="s">
        <v>62</v>
      </c>
      <c r="I38" s="1">
        <v>11</v>
      </c>
      <c r="J38" s="1">
        <v>51</v>
      </c>
      <c r="K38" s="2">
        <f>IFERROR(J38/I38*100,0)</f>
        <v>0</v>
      </c>
      <c r="L38" s="1">
        <v>100</v>
      </c>
      <c r="M38" s="1">
        <v>2</v>
      </c>
      <c r="N38" s="1">
        <v>2</v>
      </c>
      <c r="O38" s="2">
        <f>IFERROR(N38/M38*100,0)</f>
        <v>0</v>
      </c>
      <c r="P38" s="1" t="s">
        <v>9</v>
      </c>
    </row>
    <row r="39" spans="1:16">
      <c r="A39" s="1">
        <v>36</v>
      </c>
      <c r="B39" s="1" t="s">
        <v>552</v>
      </c>
      <c r="C39" s="5">
        <v>46268</v>
      </c>
      <c r="D39" s="1" t="s">
        <v>102</v>
      </c>
      <c r="E39" s="6" t="s">
        <v>516</v>
      </c>
      <c r="F39" s="6" t="s">
        <v>54</v>
      </c>
      <c r="G39" s="1" t="s">
        <v>50</v>
      </c>
      <c r="H39" s="1" t="s">
        <v>104</v>
      </c>
      <c r="I39" s="1">
        <v>24</v>
      </c>
      <c r="J39" s="1">
        <v>10</v>
      </c>
      <c r="K39" s="2">
        <f>IFERROR(J39/I39*100,0)</f>
        <v>0</v>
      </c>
      <c r="L39" s="1">
        <v>117</v>
      </c>
      <c r="M39" s="1">
        <v>8</v>
      </c>
      <c r="N39" s="1">
        <v>6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553</v>
      </c>
      <c r="C40" s="5">
        <v>46318</v>
      </c>
      <c r="D40" s="1" t="s">
        <v>106</v>
      </c>
      <c r="E40" s="6" t="s">
        <v>514</v>
      </c>
      <c r="F40" s="6" t="s">
        <v>54</v>
      </c>
      <c r="G40" s="1" t="s">
        <v>5</v>
      </c>
      <c r="H40" s="1" t="s">
        <v>104</v>
      </c>
      <c r="I40" s="1">
        <v>49</v>
      </c>
      <c r="J40" s="1">
        <v>58</v>
      </c>
      <c r="K40" s="2">
        <f>IFERROR(J40/I40*100,0)</f>
        <v>0</v>
      </c>
      <c r="L40" s="1">
        <v>37</v>
      </c>
      <c r="M40" s="1">
        <v>2</v>
      </c>
      <c r="N40" s="1">
        <v>3</v>
      </c>
      <c r="O40" s="2">
        <f>IFERROR(N40/M40*100,0)</f>
        <v>0</v>
      </c>
      <c r="P40" s="1" t="s">
        <v>9</v>
      </c>
    </row>
    <row r="41" spans="1:16">
      <c r="A41" s="1">
        <v>38</v>
      </c>
      <c r="B41" s="1" t="s">
        <v>554</v>
      </c>
      <c r="C41" s="5">
        <v>46304</v>
      </c>
      <c r="D41" s="1" t="s">
        <v>106</v>
      </c>
      <c r="E41" s="6" t="s">
        <v>523</v>
      </c>
      <c r="F41" s="6" t="s">
        <v>38</v>
      </c>
      <c r="G41" s="1" t="s">
        <v>89</v>
      </c>
      <c r="H41" s="1" t="s">
        <v>70</v>
      </c>
      <c r="I41" s="1">
        <v>59</v>
      </c>
      <c r="J41" s="1">
        <v>28</v>
      </c>
      <c r="K41" s="2">
        <f>IFERROR(J41/I41*100,0)</f>
        <v>0</v>
      </c>
      <c r="L41" s="1">
        <v>50</v>
      </c>
      <c r="M41" s="1">
        <v>5</v>
      </c>
      <c r="N41" s="1">
        <v>6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555</v>
      </c>
      <c r="C42" s="5">
        <v>46305</v>
      </c>
      <c r="D42" s="1" t="s">
        <v>106</v>
      </c>
      <c r="E42" s="6" t="s">
        <v>514</v>
      </c>
      <c r="F42" s="6" t="s">
        <v>16</v>
      </c>
      <c r="G42" s="1" t="s">
        <v>50</v>
      </c>
      <c r="H42" s="1" t="s">
        <v>41</v>
      </c>
      <c r="I42" s="1">
        <v>27</v>
      </c>
      <c r="J42" s="1">
        <v>18</v>
      </c>
      <c r="K42" s="2">
        <f>IFERROR(J42/I42*100,0)</f>
        <v>0</v>
      </c>
      <c r="L42" s="1">
        <v>68</v>
      </c>
      <c r="M42" s="1">
        <v>8</v>
      </c>
      <c r="N42" s="1">
        <v>1</v>
      </c>
      <c r="O42" s="2">
        <f>IFERROR(N42/M42*100,0)</f>
        <v>0</v>
      </c>
      <c r="P42" s="1" t="s">
        <v>23</v>
      </c>
    </row>
    <row r="43" spans="1:16">
      <c r="A43" s="1">
        <v>40</v>
      </c>
      <c r="B43" s="1" t="s">
        <v>556</v>
      </c>
      <c r="C43" s="5">
        <v>46347</v>
      </c>
      <c r="D43" s="1" t="s">
        <v>111</v>
      </c>
      <c r="E43" s="6" t="s">
        <v>518</v>
      </c>
      <c r="F43" s="6" t="s">
        <v>54</v>
      </c>
      <c r="G43" s="1" t="s">
        <v>13</v>
      </c>
      <c r="H43" s="1" t="s">
        <v>7</v>
      </c>
      <c r="I43" s="1">
        <v>25</v>
      </c>
      <c r="J43" s="1">
        <v>51</v>
      </c>
      <c r="K43" s="2">
        <f>IFERROR(J43/I43*100,0)</f>
        <v>0</v>
      </c>
      <c r="L43" s="1">
        <v>116</v>
      </c>
      <c r="M43" s="1">
        <v>6</v>
      </c>
      <c r="N43" s="1">
        <v>4</v>
      </c>
      <c r="O43" s="2">
        <f>IFERROR(N43/M43*100,0)</f>
        <v>0</v>
      </c>
      <c r="P43" s="1" t="s">
        <v>9</v>
      </c>
    </row>
    <row r="44" spans="1:16">
      <c r="A44" s="1">
        <v>41</v>
      </c>
      <c r="B44" s="1" t="s">
        <v>557</v>
      </c>
      <c r="C44" s="5">
        <v>46342</v>
      </c>
      <c r="D44" s="1" t="s">
        <v>111</v>
      </c>
      <c r="E44" s="6" t="s">
        <v>518</v>
      </c>
      <c r="F44" s="6" t="s">
        <v>64</v>
      </c>
      <c r="G44" s="1" t="s">
        <v>92</v>
      </c>
      <c r="H44" s="1" t="s">
        <v>78</v>
      </c>
      <c r="I44" s="1">
        <v>45</v>
      </c>
      <c r="J44" s="1">
        <v>22</v>
      </c>
      <c r="K44" s="2">
        <f>IFERROR(J44/I44*100,0)</f>
        <v>0</v>
      </c>
      <c r="L44" s="1">
        <v>30</v>
      </c>
      <c r="M44" s="1">
        <v>4</v>
      </c>
      <c r="N44" s="1">
        <v>8</v>
      </c>
      <c r="O44" s="2">
        <f>IFERROR(N44/M44*100,0)</f>
        <v>0</v>
      </c>
      <c r="P44" s="1" t="s">
        <v>23</v>
      </c>
    </row>
    <row r="45" spans="1:16">
      <c r="A45" s="1">
        <v>42</v>
      </c>
      <c r="B45" s="1" t="s">
        <v>558</v>
      </c>
      <c r="C45" s="5">
        <v>46331</v>
      </c>
      <c r="D45" s="1" t="s">
        <v>111</v>
      </c>
      <c r="E45" s="6" t="s">
        <v>523</v>
      </c>
      <c r="F45" s="6" t="s">
        <v>4</v>
      </c>
      <c r="G45" s="1" t="s">
        <v>50</v>
      </c>
      <c r="H45" s="1" t="s">
        <v>32</v>
      </c>
      <c r="I45" s="1">
        <v>60</v>
      </c>
      <c r="J45" s="1">
        <v>56</v>
      </c>
      <c r="K45" s="2">
        <f>IFERROR(J45/I45*100,0)</f>
        <v>0</v>
      </c>
      <c r="L45" s="1">
        <v>66</v>
      </c>
      <c r="M45" s="1">
        <v>8</v>
      </c>
      <c r="N45" s="1">
        <v>7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559</v>
      </c>
      <c r="C46" s="5">
        <v>46344</v>
      </c>
      <c r="D46" s="1" t="s">
        <v>111</v>
      </c>
      <c r="E46" s="6" t="s">
        <v>523</v>
      </c>
      <c r="F46" s="6" t="s">
        <v>30</v>
      </c>
      <c r="G46" s="1" t="s">
        <v>50</v>
      </c>
      <c r="H46" s="1" t="s">
        <v>41</v>
      </c>
      <c r="I46" s="1">
        <v>29</v>
      </c>
      <c r="J46" s="1">
        <v>28</v>
      </c>
      <c r="K46" s="2">
        <f>IFERROR(J46/I46*100,0)</f>
        <v>0</v>
      </c>
      <c r="L46" s="1">
        <v>69</v>
      </c>
      <c r="M46" s="1">
        <v>4</v>
      </c>
      <c r="N46" s="1">
        <v>4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560</v>
      </c>
      <c r="C47" s="5">
        <v>46350</v>
      </c>
      <c r="D47" s="1" t="s">
        <v>111</v>
      </c>
      <c r="E47" s="6" t="s">
        <v>518</v>
      </c>
      <c r="F47" s="6" t="s">
        <v>30</v>
      </c>
      <c r="G47" s="1" t="s">
        <v>65</v>
      </c>
      <c r="H47" s="1" t="s">
        <v>66</v>
      </c>
      <c r="I47" s="1">
        <v>19</v>
      </c>
      <c r="J47" s="1">
        <v>17</v>
      </c>
      <c r="K47" s="2">
        <f>IFERROR(J47/I47*100,0)</f>
        <v>0</v>
      </c>
      <c r="L47" s="1">
        <v>19</v>
      </c>
      <c r="M47" s="1">
        <v>2</v>
      </c>
      <c r="N47" s="1">
        <v>2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561</v>
      </c>
      <c r="C48" s="5">
        <v>46372</v>
      </c>
      <c r="D48" s="1" t="s">
        <v>122</v>
      </c>
      <c r="E48" s="6" t="s">
        <v>516</v>
      </c>
      <c r="F48" s="6" t="s">
        <v>54</v>
      </c>
      <c r="G48" s="1" t="s">
        <v>27</v>
      </c>
      <c r="H48" s="1" t="s">
        <v>22</v>
      </c>
      <c r="I48" s="1">
        <v>30</v>
      </c>
      <c r="J48" s="1">
        <v>30</v>
      </c>
      <c r="K48" s="2">
        <f>IFERROR(J48/I48*100,0)</f>
        <v>0</v>
      </c>
      <c r="L48" s="1">
        <v>50</v>
      </c>
      <c r="M48" s="1">
        <v>0</v>
      </c>
      <c r="N48" s="1">
        <v>8</v>
      </c>
      <c r="O48" s="2">
        <f>IFERROR(N48/M48*100,0)</f>
        <v>0</v>
      </c>
      <c r="P48" s="1" t="s">
        <v>9</v>
      </c>
    </row>
    <row r="49" spans="1:16">
      <c r="A49" s="1">
        <v>46</v>
      </c>
      <c r="B49" s="1" t="s">
        <v>562</v>
      </c>
      <c r="C49" s="5">
        <v>46363</v>
      </c>
      <c r="D49" s="1" t="s">
        <v>122</v>
      </c>
      <c r="E49" s="6" t="s">
        <v>514</v>
      </c>
      <c r="F49" s="6" t="s">
        <v>54</v>
      </c>
      <c r="G49" s="1" t="s">
        <v>39</v>
      </c>
      <c r="H49" s="1" t="s">
        <v>78</v>
      </c>
      <c r="I49" s="1">
        <v>33</v>
      </c>
      <c r="J49" s="1">
        <v>50</v>
      </c>
      <c r="K49" s="2">
        <f>IFERROR(J49/I49*100,0)</f>
        <v>0</v>
      </c>
      <c r="L49" s="1">
        <v>46</v>
      </c>
      <c r="M49" s="1">
        <v>6</v>
      </c>
      <c r="N49" s="1">
        <v>4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563</v>
      </c>
      <c r="C50" s="5">
        <v>46366</v>
      </c>
      <c r="D50" s="1" t="s">
        <v>122</v>
      </c>
      <c r="E50" s="6" t="s">
        <v>514</v>
      </c>
      <c r="F50" s="6" t="s">
        <v>54</v>
      </c>
      <c r="G50" s="1" t="s">
        <v>13</v>
      </c>
      <c r="H50" s="1" t="s">
        <v>68</v>
      </c>
      <c r="I50" s="1">
        <v>35</v>
      </c>
      <c r="J50" s="1">
        <v>56</v>
      </c>
      <c r="K50" s="2">
        <f>IFERROR(J50/I50*100,0)</f>
        <v>0</v>
      </c>
      <c r="L50" s="1">
        <v>107</v>
      </c>
      <c r="M50" s="1">
        <v>1</v>
      </c>
      <c r="N50" s="1">
        <v>3</v>
      </c>
      <c r="O50" s="2">
        <f>IFERROR(N50/M50*100,0)</f>
        <v>0</v>
      </c>
      <c r="P50" s="1" t="s">
        <v>23</v>
      </c>
    </row>
    <row r="51" spans="1:16">
      <c r="A51" s="1">
        <v>48</v>
      </c>
      <c r="B51" s="1" t="s">
        <v>564</v>
      </c>
      <c r="C51" s="5">
        <v>46363</v>
      </c>
      <c r="D51" s="1" t="s">
        <v>122</v>
      </c>
      <c r="E51" s="6" t="s">
        <v>516</v>
      </c>
      <c r="F51" s="6" t="s">
        <v>61</v>
      </c>
      <c r="G51" s="1" t="s">
        <v>5</v>
      </c>
      <c r="H51" s="1" t="s">
        <v>66</v>
      </c>
      <c r="I51" s="1">
        <v>37</v>
      </c>
      <c r="J51" s="1">
        <v>29</v>
      </c>
      <c r="K51" s="2">
        <f>IFERROR(J51/I51*100,0)</f>
        <v>0</v>
      </c>
      <c r="L51" s="1">
        <v>19</v>
      </c>
      <c r="M51" s="1">
        <v>8</v>
      </c>
      <c r="N51" s="1">
        <v>8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634</v>
      </c>
      <c r="C3" s="1" t="s">
        <v>635</v>
      </c>
      <c r="D3" s="1" t="s">
        <v>127</v>
      </c>
      <c r="E3" s="1" t="s">
        <v>636</v>
      </c>
      <c r="F3" s="1" t="s">
        <v>637</v>
      </c>
      <c r="G3" s="1" t="s">
        <v>638</v>
      </c>
      <c r="H3" s="1" t="s">
        <v>639</v>
      </c>
      <c r="I3" s="1" t="s">
        <v>640</v>
      </c>
      <c r="J3" s="1" t="s">
        <v>641</v>
      </c>
      <c r="K3" s="1" t="s">
        <v>287</v>
      </c>
      <c r="L3" s="1" t="s">
        <v>642</v>
      </c>
      <c r="M3" s="1" t="s">
        <v>643</v>
      </c>
      <c r="N3" s="2" t="s">
        <v>644</v>
      </c>
    </row>
    <row r="4" spans="1:16">
      <c r="A4" s="1">
        <v>1</v>
      </c>
      <c r="B4" s="1" t="s">
        <v>576</v>
      </c>
      <c r="C4" s="5">
        <v>46036</v>
      </c>
      <c r="D4" s="1" t="s">
        <v>3</v>
      </c>
      <c r="E4" s="6" t="s">
        <v>577</v>
      </c>
      <c r="F4" s="6" t="s">
        <v>4</v>
      </c>
      <c r="G4" s="1" t="s">
        <v>35</v>
      </c>
      <c r="H4" s="1" t="s">
        <v>7</v>
      </c>
      <c r="I4" s="1" t="s">
        <v>578</v>
      </c>
      <c r="J4" s="1" t="s">
        <v>154</v>
      </c>
      <c r="K4" s="1" t="s">
        <v>293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579</v>
      </c>
      <c r="C5" s="5">
        <v>46029</v>
      </c>
      <c r="D5" s="1" t="s">
        <v>3</v>
      </c>
      <c r="E5" s="6" t="s">
        <v>580</v>
      </c>
      <c r="F5" s="6" t="s">
        <v>64</v>
      </c>
      <c r="G5" s="1" t="s">
        <v>35</v>
      </c>
      <c r="H5" s="1" t="s">
        <v>32</v>
      </c>
      <c r="I5" s="1" t="s">
        <v>581</v>
      </c>
      <c r="J5" s="1" t="s">
        <v>154</v>
      </c>
      <c r="K5" s="1" t="s">
        <v>293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582</v>
      </c>
      <c r="C6" s="5">
        <v>46047</v>
      </c>
      <c r="D6" s="1" t="s">
        <v>3</v>
      </c>
      <c r="E6" s="6" t="s">
        <v>577</v>
      </c>
      <c r="F6" s="6" t="s">
        <v>12</v>
      </c>
      <c r="G6" s="1" t="s">
        <v>80</v>
      </c>
      <c r="H6" s="1" t="s">
        <v>104</v>
      </c>
      <c r="I6" s="1" t="s">
        <v>578</v>
      </c>
      <c r="J6" s="1" t="s">
        <v>142</v>
      </c>
      <c r="K6" s="1" t="s">
        <v>293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583</v>
      </c>
      <c r="C7" s="5">
        <v>46025</v>
      </c>
      <c r="D7" s="1" t="s">
        <v>3</v>
      </c>
      <c r="E7" s="6" t="s">
        <v>584</v>
      </c>
      <c r="F7" s="6" t="s">
        <v>4</v>
      </c>
      <c r="G7" s="1" t="s">
        <v>14</v>
      </c>
      <c r="H7" s="1" t="s">
        <v>28</v>
      </c>
      <c r="I7" s="1" t="s">
        <v>585</v>
      </c>
      <c r="J7" s="1" t="s">
        <v>162</v>
      </c>
      <c r="K7" s="1" t="s">
        <v>254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586</v>
      </c>
      <c r="C8" s="5">
        <v>46058</v>
      </c>
      <c r="D8" s="1" t="s">
        <v>19</v>
      </c>
      <c r="E8" s="6" t="s">
        <v>584</v>
      </c>
      <c r="F8" s="6" t="s">
        <v>64</v>
      </c>
      <c r="G8" s="1" t="s">
        <v>14</v>
      </c>
      <c r="H8" s="1" t="s">
        <v>7</v>
      </c>
      <c r="I8" s="1" t="s">
        <v>578</v>
      </c>
      <c r="J8" s="1" t="s">
        <v>159</v>
      </c>
      <c r="K8" s="1" t="s">
        <v>293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587</v>
      </c>
      <c r="C9" s="5">
        <v>46058</v>
      </c>
      <c r="D9" s="1" t="s">
        <v>19</v>
      </c>
      <c r="E9" s="6" t="s">
        <v>588</v>
      </c>
      <c r="F9" s="6" t="s">
        <v>49</v>
      </c>
      <c r="G9" s="1" t="s">
        <v>14</v>
      </c>
      <c r="H9" s="1" t="s">
        <v>93</v>
      </c>
      <c r="I9" s="1" t="s">
        <v>578</v>
      </c>
      <c r="J9" s="1" t="s">
        <v>159</v>
      </c>
      <c r="K9" s="1" t="s">
        <v>238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589</v>
      </c>
      <c r="C10" s="5">
        <v>46074</v>
      </c>
      <c r="D10" s="1" t="s">
        <v>19</v>
      </c>
      <c r="E10" s="6" t="s">
        <v>590</v>
      </c>
      <c r="F10" s="6" t="s">
        <v>49</v>
      </c>
      <c r="G10" s="1" t="s">
        <v>51</v>
      </c>
      <c r="H10" s="1" t="s">
        <v>93</v>
      </c>
      <c r="I10" s="1" t="s">
        <v>578</v>
      </c>
      <c r="J10" s="1" t="s">
        <v>162</v>
      </c>
      <c r="K10" s="1" t="s">
        <v>254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591</v>
      </c>
      <c r="C11" s="5">
        <v>46060</v>
      </c>
      <c r="D11" s="1" t="s">
        <v>19</v>
      </c>
      <c r="E11" s="6" t="s">
        <v>584</v>
      </c>
      <c r="F11" s="6" t="s">
        <v>26</v>
      </c>
      <c r="G11" s="1" t="s">
        <v>51</v>
      </c>
      <c r="H11" s="1" t="s">
        <v>70</v>
      </c>
      <c r="I11" s="1" t="s">
        <v>585</v>
      </c>
      <c r="J11" s="1" t="s">
        <v>154</v>
      </c>
      <c r="K11" s="1" t="s">
        <v>293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592</v>
      </c>
      <c r="C12" s="5">
        <v>46080</v>
      </c>
      <c r="D12" s="1" t="s">
        <v>19</v>
      </c>
      <c r="E12" s="6" t="s">
        <v>590</v>
      </c>
      <c r="F12" s="6" t="s">
        <v>54</v>
      </c>
      <c r="G12" s="1" t="s">
        <v>95</v>
      </c>
      <c r="H12" s="1" t="s">
        <v>7</v>
      </c>
      <c r="I12" s="1" t="s">
        <v>578</v>
      </c>
      <c r="J12" s="1" t="s">
        <v>162</v>
      </c>
      <c r="K12" s="1" t="s">
        <v>297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593</v>
      </c>
      <c r="C13" s="5">
        <v>46092</v>
      </c>
      <c r="D13" s="1" t="s">
        <v>44</v>
      </c>
      <c r="E13" s="6" t="s">
        <v>594</v>
      </c>
      <c r="F13" s="6" t="s">
        <v>20</v>
      </c>
      <c r="G13" s="1" t="s">
        <v>31</v>
      </c>
      <c r="H13" s="1" t="s">
        <v>70</v>
      </c>
      <c r="I13" s="1" t="s">
        <v>581</v>
      </c>
      <c r="J13" s="1" t="s">
        <v>159</v>
      </c>
      <c r="K13" s="1" t="s">
        <v>293</v>
      </c>
      <c r="L13" s="1">
        <v>44</v>
      </c>
      <c r="M13" s="1">
        <v>51</v>
      </c>
      <c r="N13" s="2">
        <f>IFERROR(M13/L13*100,0)</f>
        <v>0</v>
      </c>
    </row>
    <row r="14" spans="1:16">
      <c r="A14" s="1">
        <v>11</v>
      </c>
      <c r="B14" s="1" t="s">
        <v>595</v>
      </c>
      <c r="C14" s="5">
        <v>46098</v>
      </c>
      <c r="D14" s="1" t="s">
        <v>44</v>
      </c>
      <c r="E14" s="6" t="s">
        <v>584</v>
      </c>
      <c r="F14" s="6" t="s">
        <v>64</v>
      </c>
      <c r="G14" s="1" t="s">
        <v>40</v>
      </c>
      <c r="H14" s="1" t="s">
        <v>36</v>
      </c>
      <c r="I14" s="1" t="s">
        <v>578</v>
      </c>
      <c r="J14" s="1" t="s">
        <v>142</v>
      </c>
      <c r="K14" s="1" t="s">
        <v>293</v>
      </c>
      <c r="L14" s="1">
        <v>44</v>
      </c>
      <c r="M14" s="1">
        <v>53</v>
      </c>
      <c r="N14" s="2">
        <f>IFERROR(M14/L14*100,0)</f>
        <v>0</v>
      </c>
    </row>
    <row r="15" spans="1:16">
      <c r="A15" s="1">
        <v>12</v>
      </c>
      <c r="B15" s="1" t="s">
        <v>596</v>
      </c>
      <c r="C15" s="5">
        <v>46105</v>
      </c>
      <c r="D15" s="1" t="s">
        <v>44</v>
      </c>
      <c r="E15" s="6" t="s">
        <v>588</v>
      </c>
      <c r="F15" s="6" t="s">
        <v>64</v>
      </c>
      <c r="G15" s="1" t="s">
        <v>95</v>
      </c>
      <c r="H15" s="1" t="s">
        <v>93</v>
      </c>
      <c r="I15" s="1" t="s">
        <v>585</v>
      </c>
      <c r="J15" s="1" t="s">
        <v>162</v>
      </c>
      <c r="K15" s="1" t="s">
        <v>293</v>
      </c>
      <c r="L15" s="1">
        <v>40</v>
      </c>
      <c r="M15" s="1">
        <v>43</v>
      </c>
      <c r="N15" s="2">
        <f>IFERROR(M15/L15*100,0)</f>
        <v>0</v>
      </c>
    </row>
    <row r="16" spans="1:16">
      <c r="A16" s="1">
        <v>13</v>
      </c>
      <c r="B16" s="1" t="s">
        <v>597</v>
      </c>
      <c r="C16" s="5">
        <v>46096</v>
      </c>
      <c r="D16" s="1" t="s">
        <v>44</v>
      </c>
      <c r="E16" s="6" t="s">
        <v>590</v>
      </c>
      <c r="F16" s="6" t="s">
        <v>49</v>
      </c>
      <c r="G16" s="1" t="s">
        <v>31</v>
      </c>
      <c r="H16" s="1" t="s">
        <v>41</v>
      </c>
      <c r="I16" s="1" t="s">
        <v>581</v>
      </c>
      <c r="J16" s="1" t="s">
        <v>162</v>
      </c>
      <c r="K16" s="1" t="s">
        <v>293</v>
      </c>
      <c r="L16" s="1">
        <v>38</v>
      </c>
      <c r="M16" s="1">
        <v>23</v>
      </c>
      <c r="N16" s="2">
        <f>IFERROR(M16/L16*100,0)</f>
        <v>0</v>
      </c>
    </row>
    <row r="17" spans="1:14">
      <c r="A17" s="1">
        <v>14</v>
      </c>
      <c r="B17" s="1" t="s">
        <v>598</v>
      </c>
      <c r="C17" s="5">
        <v>46092</v>
      </c>
      <c r="D17" s="1" t="s">
        <v>44</v>
      </c>
      <c r="E17" s="6" t="s">
        <v>594</v>
      </c>
      <c r="F17" s="6" t="s">
        <v>64</v>
      </c>
      <c r="G17" s="1" t="s">
        <v>21</v>
      </c>
      <c r="H17" s="1" t="s">
        <v>68</v>
      </c>
      <c r="I17" s="1" t="s">
        <v>585</v>
      </c>
      <c r="J17" s="1" t="s">
        <v>142</v>
      </c>
      <c r="K17" s="1" t="s">
        <v>293</v>
      </c>
      <c r="L17" s="1">
        <v>44</v>
      </c>
      <c r="M17" s="1">
        <v>23</v>
      </c>
      <c r="N17" s="2">
        <f>IFERROR(M17/L17*100,0)</f>
        <v>0</v>
      </c>
    </row>
    <row r="18" spans="1:14">
      <c r="A18" s="1">
        <v>15</v>
      </c>
      <c r="B18" s="1" t="s">
        <v>599</v>
      </c>
      <c r="C18" s="5">
        <v>46099</v>
      </c>
      <c r="D18" s="1" t="s">
        <v>44</v>
      </c>
      <c r="E18" s="6" t="s">
        <v>590</v>
      </c>
      <c r="F18" s="6" t="s">
        <v>64</v>
      </c>
      <c r="G18" s="1" t="s">
        <v>51</v>
      </c>
      <c r="H18" s="1" t="s">
        <v>66</v>
      </c>
      <c r="I18" s="1" t="s">
        <v>581</v>
      </c>
      <c r="J18" s="1" t="s">
        <v>142</v>
      </c>
      <c r="K18" s="1" t="s">
        <v>297</v>
      </c>
      <c r="L18" s="1">
        <v>41</v>
      </c>
      <c r="M18" s="1">
        <v>53</v>
      </c>
      <c r="N18" s="2">
        <f>IFERROR(M18/L18*100,0)</f>
        <v>0</v>
      </c>
    </row>
    <row r="19" spans="1:14">
      <c r="A19" s="1">
        <v>16</v>
      </c>
      <c r="B19" s="1" t="s">
        <v>600</v>
      </c>
      <c r="C19" s="5">
        <v>46103</v>
      </c>
      <c r="D19" s="1" t="s">
        <v>44</v>
      </c>
      <c r="E19" s="6" t="s">
        <v>577</v>
      </c>
      <c r="F19" s="6" t="s">
        <v>38</v>
      </c>
      <c r="G19" s="1" t="s">
        <v>51</v>
      </c>
      <c r="H19" s="1" t="s">
        <v>66</v>
      </c>
      <c r="I19" s="1" t="s">
        <v>601</v>
      </c>
      <c r="J19" s="1" t="s">
        <v>154</v>
      </c>
      <c r="K19" s="1" t="s">
        <v>293</v>
      </c>
      <c r="L19" s="1">
        <v>41</v>
      </c>
      <c r="M19" s="1">
        <v>11</v>
      </c>
      <c r="N19" s="2">
        <f>IFERROR(M19/L19*100,0)</f>
        <v>0</v>
      </c>
    </row>
    <row r="20" spans="1:14">
      <c r="A20" s="1">
        <v>17</v>
      </c>
      <c r="B20" s="1" t="s">
        <v>602</v>
      </c>
      <c r="C20" s="5">
        <v>46119</v>
      </c>
      <c r="D20" s="1" t="s">
        <v>53</v>
      </c>
      <c r="E20" s="6" t="s">
        <v>584</v>
      </c>
      <c r="F20" s="6" t="s">
        <v>12</v>
      </c>
      <c r="G20" s="1" t="s">
        <v>31</v>
      </c>
      <c r="H20" s="1" t="s">
        <v>15</v>
      </c>
      <c r="I20" s="1" t="s">
        <v>585</v>
      </c>
      <c r="J20" s="1" t="s">
        <v>159</v>
      </c>
      <c r="K20" s="1" t="s">
        <v>293</v>
      </c>
      <c r="L20" s="1">
        <v>58</v>
      </c>
      <c r="M20" s="1">
        <v>39</v>
      </c>
      <c r="N20" s="2">
        <f>IFERROR(M20/L20*100,0)</f>
        <v>0</v>
      </c>
    </row>
    <row r="21" spans="1:14">
      <c r="A21" s="1">
        <v>18</v>
      </c>
      <c r="B21" s="1" t="s">
        <v>603</v>
      </c>
      <c r="C21" s="5">
        <v>46140</v>
      </c>
      <c r="D21" s="1" t="s">
        <v>53</v>
      </c>
      <c r="E21" s="6" t="s">
        <v>577</v>
      </c>
      <c r="F21" s="6" t="s">
        <v>57</v>
      </c>
      <c r="G21" s="1" t="s">
        <v>31</v>
      </c>
      <c r="H21" s="1" t="s">
        <v>22</v>
      </c>
      <c r="I21" s="1" t="s">
        <v>578</v>
      </c>
      <c r="J21" s="1" t="s">
        <v>154</v>
      </c>
      <c r="K21" s="1" t="s">
        <v>293</v>
      </c>
      <c r="L21" s="1">
        <v>49</v>
      </c>
      <c r="M21" s="1">
        <v>24</v>
      </c>
      <c r="N21" s="2">
        <f>IFERROR(M21/L21*100,0)</f>
        <v>0</v>
      </c>
    </row>
    <row r="22" spans="1:14">
      <c r="A22" s="1">
        <v>19</v>
      </c>
      <c r="B22" s="1" t="s">
        <v>604</v>
      </c>
      <c r="C22" s="5">
        <v>46140</v>
      </c>
      <c r="D22" s="1" t="s">
        <v>53</v>
      </c>
      <c r="E22" s="6" t="s">
        <v>594</v>
      </c>
      <c r="F22" s="6" t="s">
        <v>16</v>
      </c>
      <c r="G22" s="1" t="s">
        <v>95</v>
      </c>
      <c r="H22" s="1" t="s">
        <v>36</v>
      </c>
      <c r="I22" s="1" t="s">
        <v>578</v>
      </c>
      <c r="J22" s="1" t="s">
        <v>159</v>
      </c>
      <c r="K22" s="1" t="s">
        <v>293</v>
      </c>
      <c r="L22" s="1">
        <v>34</v>
      </c>
      <c r="M22" s="1">
        <v>59</v>
      </c>
      <c r="N22" s="2">
        <f>IFERROR(M22/L22*100,0)</f>
        <v>0</v>
      </c>
    </row>
    <row r="23" spans="1:14">
      <c r="A23" s="1">
        <v>20</v>
      </c>
      <c r="B23" s="1" t="s">
        <v>605</v>
      </c>
      <c r="C23" s="5">
        <v>46127</v>
      </c>
      <c r="D23" s="1" t="s">
        <v>53</v>
      </c>
      <c r="E23" s="6" t="s">
        <v>584</v>
      </c>
      <c r="F23" s="6" t="s">
        <v>26</v>
      </c>
      <c r="G23" s="1" t="s">
        <v>51</v>
      </c>
      <c r="H23" s="1" t="s">
        <v>62</v>
      </c>
      <c r="I23" s="1" t="s">
        <v>585</v>
      </c>
      <c r="J23" s="1" t="s">
        <v>162</v>
      </c>
      <c r="K23" s="1" t="s">
        <v>293</v>
      </c>
      <c r="L23" s="1">
        <v>30</v>
      </c>
      <c r="M23" s="1">
        <v>51</v>
      </c>
      <c r="N23" s="2">
        <f>IFERROR(M23/L23*100,0)</f>
        <v>0</v>
      </c>
    </row>
    <row r="24" spans="1:14">
      <c r="A24" s="1">
        <v>21</v>
      </c>
      <c r="B24" s="1" t="s">
        <v>606</v>
      </c>
      <c r="C24" s="5">
        <v>46163</v>
      </c>
      <c r="D24" s="1" t="s">
        <v>60</v>
      </c>
      <c r="E24" s="6" t="s">
        <v>588</v>
      </c>
      <c r="F24" s="6" t="s">
        <v>38</v>
      </c>
      <c r="G24" s="1" t="s">
        <v>21</v>
      </c>
      <c r="H24" s="1" t="s">
        <v>28</v>
      </c>
      <c r="I24" s="1" t="s">
        <v>581</v>
      </c>
      <c r="J24" s="1" t="s">
        <v>162</v>
      </c>
      <c r="K24" s="1" t="s">
        <v>293</v>
      </c>
      <c r="L24" s="1">
        <v>47</v>
      </c>
      <c r="M24" s="1">
        <v>41</v>
      </c>
      <c r="N24" s="2">
        <f>IFERROR(M24/L24*100,0)</f>
        <v>0</v>
      </c>
    </row>
    <row r="25" spans="1:14">
      <c r="A25" s="1">
        <v>22</v>
      </c>
      <c r="B25" s="1" t="s">
        <v>607</v>
      </c>
      <c r="C25" s="5">
        <v>46145</v>
      </c>
      <c r="D25" s="1" t="s">
        <v>60</v>
      </c>
      <c r="E25" s="6" t="s">
        <v>588</v>
      </c>
      <c r="F25" s="6" t="s">
        <v>64</v>
      </c>
      <c r="G25" s="1" t="s">
        <v>31</v>
      </c>
      <c r="H25" s="1" t="s">
        <v>7</v>
      </c>
      <c r="I25" s="1" t="s">
        <v>601</v>
      </c>
      <c r="J25" s="1" t="s">
        <v>154</v>
      </c>
      <c r="K25" s="1" t="s">
        <v>254</v>
      </c>
      <c r="L25" s="1">
        <v>29</v>
      </c>
      <c r="M25" s="1">
        <v>16</v>
      </c>
      <c r="N25" s="2">
        <f>IFERROR(M25/L25*100,0)</f>
        <v>0</v>
      </c>
    </row>
    <row r="26" spans="1:14">
      <c r="A26" s="1">
        <v>23</v>
      </c>
      <c r="B26" s="1" t="s">
        <v>608</v>
      </c>
      <c r="C26" s="5">
        <v>46175</v>
      </c>
      <c r="D26" s="1" t="s">
        <v>73</v>
      </c>
      <c r="E26" s="6" t="s">
        <v>594</v>
      </c>
      <c r="F26" s="6" t="s">
        <v>45</v>
      </c>
      <c r="G26" s="1" t="s">
        <v>87</v>
      </c>
      <c r="H26" s="1" t="s">
        <v>22</v>
      </c>
      <c r="I26" s="1" t="s">
        <v>578</v>
      </c>
      <c r="J26" s="1" t="s">
        <v>154</v>
      </c>
      <c r="K26" s="1" t="s">
        <v>293</v>
      </c>
      <c r="L26" s="1">
        <v>33</v>
      </c>
      <c r="M26" s="1">
        <v>47</v>
      </c>
      <c r="N26" s="2">
        <f>IFERROR(M26/L26*100,0)</f>
        <v>0</v>
      </c>
    </row>
    <row r="27" spans="1:14">
      <c r="A27" s="1">
        <v>24</v>
      </c>
      <c r="B27" s="1" t="s">
        <v>609</v>
      </c>
      <c r="C27" s="5">
        <v>46180</v>
      </c>
      <c r="D27" s="1" t="s">
        <v>73</v>
      </c>
      <c r="E27" s="6" t="s">
        <v>588</v>
      </c>
      <c r="F27" s="6" t="s">
        <v>91</v>
      </c>
      <c r="G27" s="1" t="s">
        <v>31</v>
      </c>
      <c r="H27" s="1" t="s">
        <v>93</v>
      </c>
      <c r="I27" s="1" t="s">
        <v>601</v>
      </c>
      <c r="J27" s="1" t="s">
        <v>159</v>
      </c>
      <c r="K27" s="1" t="s">
        <v>293</v>
      </c>
      <c r="L27" s="1">
        <v>41</v>
      </c>
      <c r="M27" s="1">
        <v>12</v>
      </c>
      <c r="N27" s="2">
        <f>IFERROR(M27/L27*100,0)</f>
        <v>0</v>
      </c>
    </row>
    <row r="28" spans="1:14">
      <c r="A28" s="1">
        <v>25</v>
      </c>
      <c r="B28" s="1" t="s">
        <v>610</v>
      </c>
      <c r="C28" s="5">
        <v>46189</v>
      </c>
      <c r="D28" s="1" t="s">
        <v>73</v>
      </c>
      <c r="E28" s="6" t="s">
        <v>588</v>
      </c>
      <c r="F28" s="6" t="s">
        <v>57</v>
      </c>
      <c r="G28" s="1" t="s">
        <v>35</v>
      </c>
      <c r="H28" s="1" t="s">
        <v>93</v>
      </c>
      <c r="I28" s="1" t="s">
        <v>585</v>
      </c>
      <c r="J28" s="1" t="s">
        <v>142</v>
      </c>
      <c r="K28" s="1" t="s">
        <v>297</v>
      </c>
      <c r="L28" s="1">
        <v>21</v>
      </c>
      <c r="M28" s="1">
        <v>58</v>
      </c>
      <c r="N28" s="2">
        <f>IFERROR(M28/L28*100,0)</f>
        <v>0</v>
      </c>
    </row>
    <row r="29" spans="1:14">
      <c r="A29" s="1">
        <v>26</v>
      </c>
      <c r="B29" s="1" t="s">
        <v>611</v>
      </c>
      <c r="C29" s="5">
        <v>46177</v>
      </c>
      <c r="D29" s="1" t="s">
        <v>73</v>
      </c>
      <c r="E29" s="6" t="s">
        <v>594</v>
      </c>
      <c r="F29" s="6" t="s">
        <v>12</v>
      </c>
      <c r="G29" s="1" t="s">
        <v>87</v>
      </c>
      <c r="H29" s="1" t="s">
        <v>62</v>
      </c>
      <c r="I29" s="1" t="s">
        <v>581</v>
      </c>
      <c r="J29" s="1" t="s">
        <v>154</v>
      </c>
      <c r="K29" s="1" t="s">
        <v>254</v>
      </c>
      <c r="L29" s="1">
        <v>20</v>
      </c>
      <c r="M29" s="1">
        <v>24</v>
      </c>
      <c r="N29" s="2">
        <f>IFERROR(M29/L29*100,0)</f>
        <v>0</v>
      </c>
    </row>
    <row r="30" spans="1:14">
      <c r="A30" s="1">
        <v>27</v>
      </c>
      <c r="B30" s="1" t="s">
        <v>612</v>
      </c>
      <c r="C30" s="5">
        <v>46198</v>
      </c>
      <c r="D30" s="1" t="s">
        <v>73</v>
      </c>
      <c r="E30" s="6" t="s">
        <v>588</v>
      </c>
      <c r="F30" s="6" t="s">
        <v>20</v>
      </c>
      <c r="G30" s="1" t="s">
        <v>51</v>
      </c>
      <c r="H30" s="1" t="s">
        <v>22</v>
      </c>
      <c r="I30" s="1" t="s">
        <v>581</v>
      </c>
      <c r="J30" s="1" t="s">
        <v>162</v>
      </c>
      <c r="K30" s="1" t="s">
        <v>293</v>
      </c>
      <c r="L30" s="1">
        <v>11</v>
      </c>
      <c r="M30" s="1">
        <v>38</v>
      </c>
      <c r="N30" s="2">
        <f>IFERROR(M30/L30*100,0)</f>
        <v>0</v>
      </c>
    </row>
    <row r="31" spans="1:14">
      <c r="A31" s="1">
        <v>28</v>
      </c>
      <c r="B31" s="1" t="s">
        <v>613</v>
      </c>
      <c r="C31" s="5">
        <v>46207</v>
      </c>
      <c r="D31" s="1" t="s">
        <v>76</v>
      </c>
      <c r="E31" s="6" t="s">
        <v>588</v>
      </c>
      <c r="F31" s="6" t="s">
        <v>16</v>
      </c>
      <c r="G31" s="1" t="s">
        <v>40</v>
      </c>
      <c r="H31" s="1" t="s">
        <v>66</v>
      </c>
      <c r="I31" s="1" t="s">
        <v>578</v>
      </c>
      <c r="J31" s="1" t="s">
        <v>159</v>
      </c>
      <c r="K31" s="1" t="s">
        <v>297</v>
      </c>
      <c r="L31" s="1">
        <v>30</v>
      </c>
      <c r="M31" s="1">
        <v>31</v>
      </c>
      <c r="N31" s="2">
        <f>IFERROR(M31/L31*100,0)</f>
        <v>0</v>
      </c>
    </row>
    <row r="32" spans="1:14">
      <c r="A32" s="1">
        <v>29</v>
      </c>
      <c r="B32" s="1" t="s">
        <v>614</v>
      </c>
      <c r="C32" s="5">
        <v>46242</v>
      </c>
      <c r="D32" s="1" t="s">
        <v>86</v>
      </c>
      <c r="E32" s="6" t="s">
        <v>580</v>
      </c>
      <c r="F32" s="6" t="s">
        <v>4</v>
      </c>
      <c r="G32" s="1" t="s">
        <v>40</v>
      </c>
      <c r="H32" s="1" t="s">
        <v>78</v>
      </c>
      <c r="I32" s="1" t="s">
        <v>578</v>
      </c>
      <c r="J32" s="1" t="s">
        <v>162</v>
      </c>
      <c r="K32" s="1" t="s">
        <v>297</v>
      </c>
      <c r="L32" s="1">
        <v>19</v>
      </c>
      <c r="M32" s="1">
        <v>49</v>
      </c>
      <c r="N32" s="2">
        <f>IFERROR(M32/L32*100,0)</f>
        <v>0</v>
      </c>
    </row>
    <row r="33" spans="1:14">
      <c r="A33" s="1">
        <v>30</v>
      </c>
      <c r="B33" s="1" t="s">
        <v>615</v>
      </c>
      <c r="C33" s="5">
        <v>46242</v>
      </c>
      <c r="D33" s="1" t="s">
        <v>86</v>
      </c>
      <c r="E33" s="6" t="s">
        <v>590</v>
      </c>
      <c r="F33" s="6" t="s">
        <v>49</v>
      </c>
      <c r="G33" s="1" t="s">
        <v>35</v>
      </c>
      <c r="H33" s="1" t="s">
        <v>22</v>
      </c>
      <c r="I33" s="1" t="s">
        <v>585</v>
      </c>
      <c r="J33" s="1" t="s">
        <v>162</v>
      </c>
      <c r="K33" s="1" t="s">
        <v>238</v>
      </c>
      <c r="L33" s="1">
        <v>60</v>
      </c>
      <c r="M33" s="1">
        <v>12</v>
      </c>
      <c r="N33" s="2">
        <f>IFERROR(M33/L33*100,0)</f>
        <v>0</v>
      </c>
    </row>
    <row r="34" spans="1:14">
      <c r="A34" s="1">
        <v>31</v>
      </c>
      <c r="B34" s="1" t="s">
        <v>616</v>
      </c>
      <c r="C34" s="5">
        <v>46262</v>
      </c>
      <c r="D34" s="1" t="s">
        <v>86</v>
      </c>
      <c r="E34" s="6" t="s">
        <v>588</v>
      </c>
      <c r="F34" s="6" t="s">
        <v>64</v>
      </c>
      <c r="G34" s="1" t="s">
        <v>87</v>
      </c>
      <c r="H34" s="1" t="s">
        <v>66</v>
      </c>
      <c r="I34" s="1" t="s">
        <v>581</v>
      </c>
      <c r="J34" s="1" t="s">
        <v>162</v>
      </c>
      <c r="K34" s="1" t="s">
        <v>297</v>
      </c>
      <c r="L34" s="1">
        <v>59</v>
      </c>
      <c r="M34" s="1">
        <v>59</v>
      </c>
      <c r="N34" s="2">
        <f>IFERROR(M34/L34*100,0)</f>
        <v>0</v>
      </c>
    </row>
    <row r="35" spans="1:14">
      <c r="A35" s="1">
        <v>32</v>
      </c>
      <c r="B35" s="1" t="s">
        <v>617</v>
      </c>
      <c r="C35" s="5">
        <v>46249</v>
      </c>
      <c r="D35" s="1" t="s">
        <v>86</v>
      </c>
      <c r="E35" s="6" t="s">
        <v>584</v>
      </c>
      <c r="F35" s="6" t="s">
        <v>64</v>
      </c>
      <c r="G35" s="1" t="s">
        <v>14</v>
      </c>
      <c r="H35" s="1" t="s">
        <v>104</v>
      </c>
      <c r="I35" s="1" t="s">
        <v>578</v>
      </c>
      <c r="J35" s="1" t="s">
        <v>159</v>
      </c>
      <c r="K35" s="1" t="s">
        <v>297</v>
      </c>
      <c r="L35" s="1">
        <v>36</v>
      </c>
      <c r="M35" s="1">
        <v>48</v>
      </c>
      <c r="N35" s="2">
        <f>IFERROR(M35/L35*100,0)</f>
        <v>0</v>
      </c>
    </row>
    <row r="36" spans="1:14">
      <c r="A36" s="1">
        <v>33</v>
      </c>
      <c r="B36" s="1" t="s">
        <v>618</v>
      </c>
      <c r="C36" s="5">
        <v>46250</v>
      </c>
      <c r="D36" s="1" t="s">
        <v>86</v>
      </c>
      <c r="E36" s="6" t="s">
        <v>580</v>
      </c>
      <c r="F36" s="6" t="s">
        <v>54</v>
      </c>
      <c r="G36" s="1" t="s">
        <v>80</v>
      </c>
      <c r="H36" s="1" t="s">
        <v>41</v>
      </c>
      <c r="I36" s="1" t="s">
        <v>585</v>
      </c>
      <c r="J36" s="1" t="s">
        <v>142</v>
      </c>
      <c r="K36" s="1" t="s">
        <v>297</v>
      </c>
      <c r="L36" s="1">
        <v>58</v>
      </c>
      <c r="M36" s="1">
        <v>11</v>
      </c>
      <c r="N36" s="2">
        <f>IFERROR(M36/L36*100,0)</f>
        <v>0</v>
      </c>
    </row>
    <row r="37" spans="1:14">
      <c r="A37" s="1">
        <v>34</v>
      </c>
      <c r="B37" s="1" t="s">
        <v>619</v>
      </c>
      <c r="C37" s="5">
        <v>46283</v>
      </c>
      <c r="D37" s="1" t="s">
        <v>102</v>
      </c>
      <c r="E37" s="6" t="s">
        <v>580</v>
      </c>
      <c r="F37" s="6" t="s">
        <v>26</v>
      </c>
      <c r="G37" s="1" t="s">
        <v>31</v>
      </c>
      <c r="H37" s="1" t="s">
        <v>70</v>
      </c>
      <c r="I37" s="1" t="s">
        <v>601</v>
      </c>
      <c r="J37" s="1" t="s">
        <v>159</v>
      </c>
      <c r="K37" s="1" t="s">
        <v>293</v>
      </c>
      <c r="L37" s="1">
        <v>19</v>
      </c>
      <c r="M37" s="1">
        <v>30</v>
      </c>
      <c r="N37" s="2">
        <f>IFERROR(M37/L37*100,0)</f>
        <v>0</v>
      </c>
    </row>
    <row r="38" spans="1:14">
      <c r="A38" s="1">
        <v>35</v>
      </c>
      <c r="B38" s="1" t="s">
        <v>620</v>
      </c>
      <c r="C38" s="5">
        <v>46288</v>
      </c>
      <c r="D38" s="1" t="s">
        <v>102</v>
      </c>
      <c r="E38" s="6" t="s">
        <v>590</v>
      </c>
      <c r="F38" s="6" t="s">
        <v>54</v>
      </c>
      <c r="G38" s="1" t="s">
        <v>40</v>
      </c>
      <c r="H38" s="1" t="s">
        <v>15</v>
      </c>
      <c r="I38" s="1" t="s">
        <v>581</v>
      </c>
      <c r="J38" s="1" t="s">
        <v>159</v>
      </c>
      <c r="K38" s="1" t="s">
        <v>293</v>
      </c>
      <c r="L38" s="1">
        <v>14</v>
      </c>
      <c r="M38" s="1">
        <v>31</v>
      </c>
      <c r="N38" s="2">
        <f>IFERROR(M38/L38*100,0)</f>
        <v>0</v>
      </c>
    </row>
    <row r="39" spans="1:14">
      <c r="A39" s="1">
        <v>36</v>
      </c>
      <c r="B39" s="1" t="s">
        <v>621</v>
      </c>
      <c r="C39" s="5">
        <v>46292</v>
      </c>
      <c r="D39" s="1" t="s">
        <v>102</v>
      </c>
      <c r="E39" s="6" t="s">
        <v>590</v>
      </c>
      <c r="F39" s="6" t="s">
        <v>45</v>
      </c>
      <c r="G39" s="1" t="s">
        <v>35</v>
      </c>
      <c r="H39" s="1" t="s">
        <v>62</v>
      </c>
      <c r="I39" s="1" t="s">
        <v>601</v>
      </c>
      <c r="J39" s="1" t="s">
        <v>162</v>
      </c>
      <c r="K39" s="1" t="s">
        <v>238</v>
      </c>
      <c r="L39" s="1">
        <v>35</v>
      </c>
      <c r="M39" s="1">
        <v>24</v>
      </c>
      <c r="N39" s="2">
        <f>IFERROR(M39/L39*100,0)</f>
        <v>0</v>
      </c>
    </row>
    <row r="40" spans="1:14">
      <c r="A40" s="1">
        <v>37</v>
      </c>
      <c r="B40" s="1" t="s">
        <v>622</v>
      </c>
      <c r="C40" s="5">
        <v>46280</v>
      </c>
      <c r="D40" s="1" t="s">
        <v>102</v>
      </c>
      <c r="E40" s="6" t="s">
        <v>590</v>
      </c>
      <c r="F40" s="6" t="s">
        <v>38</v>
      </c>
      <c r="G40" s="1" t="s">
        <v>82</v>
      </c>
      <c r="H40" s="1" t="s">
        <v>22</v>
      </c>
      <c r="I40" s="1" t="s">
        <v>581</v>
      </c>
      <c r="J40" s="1" t="s">
        <v>142</v>
      </c>
      <c r="K40" s="1" t="s">
        <v>297</v>
      </c>
      <c r="L40" s="1">
        <v>29</v>
      </c>
      <c r="M40" s="1">
        <v>23</v>
      </c>
      <c r="N40" s="2">
        <f>IFERROR(M40/L40*100,0)</f>
        <v>0</v>
      </c>
    </row>
    <row r="41" spans="1:14">
      <c r="A41" s="1">
        <v>38</v>
      </c>
      <c r="B41" s="1" t="s">
        <v>623</v>
      </c>
      <c r="C41" s="5">
        <v>46304</v>
      </c>
      <c r="D41" s="1" t="s">
        <v>106</v>
      </c>
      <c r="E41" s="6" t="s">
        <v>580</v>
      </c>
      <c r="F41" s="6" t="s">
        <v>4</v>
      </c>
      <c r="G41" s="1" t="s">
        <v>21</v>
      </c>
      <c r="H41" s="1" t="s">
        <v>22</v>
      </c>
      <c r="I41" s="1" t="s">
        <v>581</v>
      </c>
      <c r="J41" s="1" t="s">
        <v>142</v>
      </c>
      <c r="K41" s="1" t="s">
        <v>293</v>
      </c>
      <c r="L41" s="1">
        <v>29</v>
      </c>
      <c r="M41" s="1">
        <v>36</v>
      </c>
      <c r="N41" s="2">
        <f>IFERROR(M41/L41*100,0)</f>
        <v>0</v>
      </c>
    </row>
    <row r="42" spans="1:14">
      <c r="A42" s="1">
        <v>39</v>
      </c>
      <c r="B42" s="1" t="s">
        <v>624</v>
      </c>
      <c r="C42" s="5">
        <v>46338</v>
      </c>
      <c r="D42" s="1" t="s">
        <v>111</v>
      </c>
      <c r="E42" s="6" t="s">
        <v>584</v>
      </c>
      <c r="F42" s="6" t="s">
        <v>20</v>
      </c>
      <c r="G42" s="1" t="s">
        <v>82</v>
      </c>
      <c r="H42" s="1" t="s">
        <v>66</v>
      </c>
      <c r="I42" s="1" t="s">
        <v>581</v>
      </c>
      <c r="J42" s="1" t="s">
        <v>159</v>
      </c>
      <c r="K42" s="1" t="s">
        <v>297</v>
      </c>
      <c r="L42" s="1">
        <v>24</v>
      </c>
      <c r="M42" s="1">
        <v>14</v>
      </c>
      <c r="N42" s="2">
        <f>IFERROR(M42/L42*100,0)</f>
        <v>0</v>
      </c>
    </row>
    <row r="43" spans="1:14">
      <c r="A43" s="1">
        <v>40</v>
      </c>
      <c r="B43" s="1" t="s">
        <v>625</v>
      </c>
      <c r="C43" s="5">
        <v>46342</v>
      </c>
      <c r="D43" s="1" t="s">
        <v>111</v>
      </c>
      <c r="E43" s="6" t="s">
        <v>588</v>
      </c>
      <c r="F43" s="6" t="s">
        <v>45</v>
      </c>
      <c r="G43" s="1" t="s">
        <v>51</v>
      </c>
      <c r="H43" s="1" t="s">
        <v>66</v>
      </c>
      <c r="I43" s="1" t="s">
        <v>581</v>
      </c>
      <c r="J43" s="1" t="s">
        <v>159</v>
      </c>
      <c r="K43" s="1" t="s">
        <v>293</v>
      </c>
      <c r="L43" s="1">
        <v>26</v>
      </c>
      <c r="M43" s="1">
        <v>48</v>
      </c>
      <c r="N43" s="2">
        <f>IFERROR(M43/L43*100,0)</f>
        <v>0</v>
      </c>
    </row>
    <row r="44" spans="1:14">
      <c r="A44" s="1">
        <v>41</v>
      </c>
      <c r="B44" s="1" t="s">
        <v>626</v>
      </c>
      <c r="C44" s="5">
        <v>46330</v>
      </c>
      <c r="D44" s="1" t="s">
        <v>111</v>
      </c>
      <c r="E44" s="6" t="s">
        <v>588</v>
      </c>
      <c r="F44" s="6" t="s">
        <v>30</v>
      </c>
      <c r="G44" s="1" t="s">
        <v>31</v>
      </c>
      <c r="H44" s="1" t="s">
        <v>62</v>
      </c>
      <c r="I44" s="1" t="s">
        <v>581</v>
      </c>
      <c r="J44" s="1" t="s">
        <v>154</v>
      </c>
      <c r="K44" s="1" t="s">
        <v>293</v>
      </c>
      <c r="L44" s="1">
        <v>22</v>
      </c>
      <c r="M44" s="1">
        <v>32</v>
      </c>
      <c r="N44" s="2">
        <f>IFERROR(M44/L44*100,0)</f>
        <v>0</v>
      </c>
    </row>
    <row r="45" spans="1:14">
      <c r="A45" s="1">
        <v>42</v>
      </c>
      <c r="B45" s="1" t="s">
        <v>627</v>
      </c>
      <c r="C45" s="5">
        <v>46354</v>
      </c>
      <c r="D45" s="1" t="s">
        <v>111</v>
      </c>
      <c r="E45" s="6" t="s">
        <v>584</v>
      </c>
      <c r="F45" s="6" t="s">
        <v>91</v>
      </c>
      <c r="G45" s="1" t="s">
        <v>21</v>
      </c>
      <c r="H45" s="1" t="s">
        <v>78</v>
      </c>
      <c r="I45" s="1" t="s">
        <v>601</v>
      </c>
      <c r="J45" s="1" t="s">
        <v>154</v>
      </c>
      <c r="K45" s="1" t="s">
        <v>293</v>
      </c>
      <c r="L45" s="1">
        <v>18</v>
      </c>
      <c r="M45" s="1">
        <v>26</v>
      </c>
      <c r="N45" s="2">
        <f>IFERROR(M45/L45*100,0)</f>
        <v>0</v>
      </c>
    </row>
    <row r="46" spans="1:14">
      <c r="A46" s="1">
        <v>43</v>
      </c>
      <c r="B46" s="1" t="s">
        <v>628</v>
      </c>
      <c r="C46" s="5">
        <v>46331</v>
      </c>
      <c r="D46" s="1" t="s">
        <v>111</v>
      </c>
      <c r="E46" s="6" t="s">
        <v>590</v>
      </c>
      <c r="F46" s="6" t="s">
        <v>45</v>
      </c>
      <c r="G46" s="1" t="s">
        <v>82</v>
      </c>
      <c r="H46" s="1" t="s">
        <v>66</v>
      </c>
      <c r="I46" s="1" t="s">
        <v>581</v>
      </c>
      <c r="J46" s="1" t="s">
        <v>159</v>
      </c>
      <c r="K46" s="1" t="s">
        <v>297</v>
      </c>
      <c r="L46" s="1">
        <v>29</v>
      </c>
      <c r="M46" s="1">
        <v>13</v>
      </c>
      <c r="N46" s="2">
        <f>IFERROR(M46/L46*100,0)</f>
        <v>0</v>
      </c>
    </row>
    <row r="47" spans="1:14">
      <c r="A47" s="1">
        <v>44</v>
      </c>
      <c r="B47" s="1" t="s">
        <v>629</v>
      </c>
      <c r="C47" s="5">
        <v>46341</v>
      </c>
      <c r="D47" s="1" t="s">
        <v>111</v>
      </c>
      <c r="E47" s="6" t="s">
        <v>594</v>
      </c>
      <c r="F47" s="6" t="s">
        <v>57</v>
      </c>
      <c r="G47" s="1" t="s">
        <v>95</v>
      </c>
      <c r="H47" s="1" t="s">
        <v>36</v>
      </c>
      <c r="I47" s="1" t="s">
        <v>601</v>
      </c>
      <c r="J47" s="1" t="s">
        <v>142</v>
      </c>
      <c r="K47" s="1" t="s">
        <v>254</v>
      </c>
      <c r="L47" s="1">
        <v>37</v>
      </c>
      <c r="M47" s="1">
        <v>42</v>
      </c>
      <c r="N47" s="2">
        <f>IFERROR(M47/L47*100,0)</f>
        <v>0</v>
      </c>
    </row>
    <row r="48" spans="1:14">
      <c r="A48" s="1">
        <v>45</v>
      </c>
      <c r="B48" s="1" t="s">
        <v>630</v>
      </c>
      <c r="C48" s="5">
        <v>46342</v>
      </c>
      <c r="D48" s="1" t="s">
        <v>111</v>
      </c>
      <c r="E48" s="6" t="s">
        <v>590</v>
      </c>
      <c r="F48" s="6" t="s">
        <v>12</v>
      </c>
      <c r="G48" s="1" t="s">
        <v>77</v>
      </c>
      <c r="H48" s="1" t="s">
        <v>41</v>
      </c>
      <c r="I48" s="1" t="s">
        <v>601</v>
      </c>
      <c r="J48" s="1" t="s">
        <v>154</v>
      </c>
      <c r="K48" s="1" t="s">
        <v>254</v>
      </c>
      <c r="L48" s="1">
        <v>40</v>
      </c>
      <c r="M48" s="1">
        <v>21</v>
      </c>
      <c r="N48" s="2">
        <f>IFERROR(M48/L48*100,0)</f>
        <v>0</v>
      </c>
    </row>
    <row r="49" spans="1:14">
      <c r="A49" s="1">
        <v>46</v>
      </c>
      <c r="B49" s="1" t="s">
        <v>631</v>
      </c>
      <c r="C49" s="5">
        <v>46341</v>
      </c>
      <c r="D49" s="1" t="s">
        <v>111</v>
      </c>
      <c r="E49" s="6" t="s">
        <v>577</v>
      </c>
      <c r="F49" s="6" t="s">
        <v>16</v>
      </c>
      <c r="G49" s="1" t="s">
        <v>31</v>
      </c>
      <c r="H49" s="1" t="s">
        <v>78</v>
      </c>
      <c r="I49" s="1" t="s">
        <v>581</v>
      </c>
      <c r="J49" s="1" t="s">
        <v>142</v>
      </c>
      <c r="K49" s="1" t="s">
        <v>293</v>
      </c>
      <c r="L49" s="1">
        <v>54</v>
      </c>
      <c r="M49" s="1">
        <v>20</v>
      </c>
      <c r="N49" s="2">
        <f>IFERROR(M49/L49*100,0)</f>
        <v>0</v>
      </c>
    </row>
    <row r="50" spans="1:14">
      <c r="A50" s="1">
        <v>47</v>
      </c>
      <c r="B50" s="1" t="s">
        <v>632</v>
      </c>
      <c r="C50" s="5">
        <v>46371</v>
      </c>
      <c r="D50" s="1" t="s">
        <v>122</v>
      </c>
      <c r="E50" s="6" t="s">
        <v>584</v>
      </c>
      <c r="F50" s="6" t="s">
        <v>38</v>
      </c>
      <c r="G50" s="1" t="s">
        <v>21</v>
      </c>
      <c r="H50" s="1" t="s">
        <v>93</v>
      </c>
      <c r="I50" s="1" t="s">
        <v>601</v>
      </c>
      <c r="J50" s="1" t="s">
        <v>162</v>
      </c>
      <c r="K50" s="1" t="s">
        <v>293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633</v>
      </c>
      <c r="C51" s="5">
        <v>46371</v>
      </c>
      <c r="D51" s="1" t="s">
        <v>122</v>
      </c>
      <c r="E51" s="6" t="s">
        <v>590</v>
      </c>
      <c r="F51" s="6" t="s">
        <v>20</v>
      </c>
      <c r="G51" s="1" t="s">
        <v>82</v>
      </c>
      <c r="H51" s="1" t="s">
        <v>93</v>
      </c>
      <c r="I51" s="1" t="s">
        <v>585</v>
      </c>
      <c r="J51" s="1" t="s">
        <v>142</v>
      </c>
      <c r="K51" s="1" t="s">
        <v>293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645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700</v>
      </c>
      <c r="C3" s="1" t="s">
        <v>126</v>
      </c>
      <c r="D3" s="1" t="s">
        <v>127</v>
      </c>
      <c r="E3" s="1" t="s">
        <v>701</v>
      </c>
      <c r="F3" s="1" t="s">
        <v>130</v>
      </c>
      <c r="G3" s="1" t="s">
        <v>702</v>
      </c>
      <c r="H3" s="1" t="s">
        <v>703</v>
      </c>
      <c r="I3" s="1" t="s">
        <v>704</v>
      </c>
      <c r="J3" s="2" t="s">
        <v>705</v>
      </c>
      <c r="K3" s="1" t="s">
        <v>706</v>
      </c>
      <c r="L3" s="1" t="s">
        <v>707</v>
      </c>
      <c r="M3" s="1" t="s">
        <v>412</v>
      </c>
      <c r="N3" s="1" t="s">
        <v>708</v>
      </c>
      <c r="O3" s="1" t="s">
        <v>287</v>
      </c>
    </row>
    <row r="4" spans="1:17">
      <c r="A4" s="1">
        <v>1</v>
      </c>
      <c r="B4" s="1" t="s">
        <v>646</v>
      </c>
      <c r="C4" s="5">
        <v>46029</v>
      </c>
      <c r="D4" s="1" t="s">
        <v>3</v>
      </c>
      <c r="E4" s="6" t="s">
        <v>647</v>
      </c>
      <c r="F4" s="6" t="s">
        <v>14</v>
      </c>
      <c r="G4" s="1" t="s">
        <v>28</v>
      </c>
      <c r="H4" s="1">
        <v>37</v>
      </c>
      <c r="I4" s="1">
        <v>58</v>
      </c>
      <c r="J4" s="2">
        <f>IFERROR(I4/H4*100,0)</f>
        <v>0</v>
      </c>
      <c r="K4" s="1">
        <v>21</v>
      </c>
      <c r="L4" s="1">
        <v>4</v>
      </c>
      <c r="M4" s="1" t="s">
        <v>17</v>
      </c>
      <c r="N4" s="1" t="s">
        <v>40</v>
      </c>
      <c r="O4" s="1" t="s">
        <v>254</v>
      </c>
    </row>
    <row r="5" spans="1:17">
      <c r="A5" s="1">
        <v>2</v>
      </c>
      <c r="B5" s="1" t="s">
        <v>648</v>
      </c>
      <c r="C5" s="5">
        <v>46029</v>
      </c>
      <c r="D5" s="1" t="s">
        <v>3</v>
      </c>
      <c r="E5" s="6" t="s">
        <v>649</v>
      </c>
      <c r="F5" s="6" t="s">
        <v>51</v>
      </c>
      <c r="G5" s="1" t="s">
        <v>15</v>
      </c>
      <c r="H5" s="1">
        <v>13</v>
      </c>
      <c r="I5" s="1">
        <v>29</v>
      </c>
      <c r="J5" s="2">
        <f>IFERROR(I5/H5*100,0)</f>
        <v>0</v>
      </c>
      <c r="K5" s="1">
        <v>6</v>
      </c>
      <c r="L5" s="1">
        <v>11</v>
      </c>
      <c r="M5" s="1" t="s">
        <v>17</v>
      </c>
      <c r="N5" s="1" t="s">
        <v>40</v>
      </c>
      <c r="O5" s="1" t="s">
        <v>293</v>
      </c>
    </row>
    <row r="6" spans="1:17">
      <c r="A6" s="1">
        <v>3</v>
      </c>
      <c r="B6" s="1" t="s">
        <v>650</v>
      </c>
      <c r="C6" s="5">
        <v>46050</v>
      </c>
      <c r="D6" s="1" t="s">
        <v>3</v>
      </c>
      <c r="E6" s="6" t="s">
        <v>651</v>
      </c>
      <c r="F6" s="6" t="s">
        <v>35</v>
      </c>
      <c r="G6" s="1" t="s">
        <v>41</v>
      </c>
      <c r="H6" s="1">
        <v>25</v>
      </c>
      <c r="I6" s="1">
        <v>53</v>
      </c>
      <c r="J6" s="2">
        <f>IFERROR(I6/H6*100,0)</f>
        <v>0</v>
      </c>
      <c r="K6" s="1">
        <v>0</v>
      </c>
      <c r="L6" s="1">
        <v>30</v>
      </c>
      <c r="M6" s="1" t="s">
        <v>24</v>
      </c>
      <c r="N6" s="1" t="s">
        <v>95</v>
      </c>
      <c r="O6" s="1" t="s">
        <v>293</v>
      </c>
    </row>
    <row r="7" spans="1:17">
      <c r="A7" s="1">
        <v>4</v>
      </c>
      <c r="B7" s="1" t="s">
        <v>652</v>
      </c>
      <c r="C7" s="5">
        <v>46038</v>
      </c>
      <c r="D7" s="1" t="s">
        <v>3</v>
      </c>
      <c r="E7" s="6" t="s">
        <v>651</v>
      </c>
      <c r="F7" s="6" t="s">
        <v>80</v>
      </c>
      <c r="G7" s="1" t="s">
        <v>66</v>
      </c>
      <c r="H7" s="1">
        <v>12</v>
      </c>
      <c r="I7" s="1">
        <v>35</v>
      </c>
      <c r="J7" s="2">
        <f>IFERROR(I7/H7*100,0)</f>
        <v>0</v>
      </c>
      <c r="K7" s="1">
        <v>3</v>
      </c>
      <c r="L7" s="1">
        <v>14</v>
      </c>
      <c r="M7" s="1" t="s">
        <v>96</v>
      </c>
      <c r="N7" s="1" t="s">
        <v>40</v>
      </c>
      <c r="O7" s="1" t="s">
        <v>293</v>
      </c>
    </row>
    <row r="8" spans="1:17">
      <c r="A8" s="1">
        <v>5</v>
      </c>
      <c r="B8" s="1" t="s">
        <v>653</v>
      </c>
      <c r="C8" s="5">
        <v>46049</v>
      </c>
      <c r="D8" s="1" t="s">
        <v>3</v>
      </c>
      <c r="E8" s="6" t="s">
        <v>654</v>
      </c>
      <c r="F8" s="6" t="s">
        <v>40</v>
      </c>
      <c r="G8" s="1" t="s">
        <v>15</v>
      </c>
      <c r="H8" s="1">
        <v>26</v>
      </c>
      <c r="I8" s="1">
        <v>29</v>
      </c>
      <c r="J8" s="2">
        <f>IFERROR(I8/H8*100,0)</f>
        <v>0</v>
      </c>
      <c r="K8" s="1">
        <v>20</v>
      </c>
      <c r="L8" s="1">
        <v>18</v>
      </c>
      <c r="M8" s="1" t="s">
        <v>17</v>
      </c>
      <c r="N8" s="1" t="s">
        <v>14</v>
      </c>
      <c r="O8" s="1" t="s">
        <v>293</v>
      </c>
    </row>
    <row r="9" spans="1:17">
      <c r="A9" s="1">
        <v>6</v>
      </c>
      <c r="B9" s="1" t="s">
        <v>655</v>
      </c>
      <c r="C9" s="5">
        <v>46065</v>
      </c>
      <c r="D9" s="1" t="s">
        <v>19</v>
      </c>
      <c r="E9" s="6" t="s">
        <v>651</v>
      </c>
      <c r="F9" s="6" t="s">
        <v>31</v>
      </c>
      <c r="G9" s="1" t="s">
        <v>7</v>
      </c>
      <c r="H9" s="1">
        <v>55</v>
      </c>
      <c r="I9" s="1">
        <v>39</v>
      </c>
      <c r="J9" s="2">
        <f>IFERROR(I9/H9*100,0)</f>
        <v>0</v>
      </c>
      <c r="K9" s="1">
        <v>10</v>
      </c>
      <c r="L9" s="1">
        <v>14</v>
      </c>
      <c r="M9" s="1" t="s">
        <v>42</v>
      </c>
      <c r="N9" s="1" t="s">
        <v>77</v>
      </c>
      <c r="O9" s="1" t="s">
        <v>293</v>
      </c>
    </row>
    <row r="10" spans="1:17">
      <c r="A10" s="1">
        <v>7</v>
      </c>
      <c r="B10" s="1" t="s">
        <v>656</v>
      </c>
      <c r="C10" s="5">
        <v>46057</v>
      </c>
      <c r="D10" s="1" t="s">
        <v>19</v>
      </c>
      <c r="E10" s="6" t="s">
        <v>657</v>
      </c>
      <c r="F10" s="6" t="s">
        <v>31</v>
      </c>
      <c r="G10" s="1" t="s">
        <v>32</v>
      </c>
      <c r="H10" s="1">
        <v>38</v>
      </c>
      <c r="I10" s="1">
        <v>25</v>
      </c>
      <c r="J10" s="2">
        <f>IFERROR(I10/H10*100,0)</f>
        <v>0</v>
      </c>
      <c r="K10" s="1">
        <v>26</v>
      </c>
      <c r="L10" s="1">
        <v>12</v>
      </c>
      <c r="M10" s="1" t="s">
        <v>10</v>
      </c>
      <c r="N10" s="1" t="s">
        <v>51</v>
      </c>
      <c r="O10" s="1" t="s">
        <v>254</v>
      </c>
    </row>
    <row r="11" spans="1:17">
      <c r="A11" s="1">
        <v>8</v>
      </c>
      <c r="B11" s="1" t="s">
        <v>658</v>
      </c>
      <c r="C11" s="5">
        <v>46091</v>
      </c>
      <c r="D11" s="1" t="s">
        <v>44</v>
      </c>
      <c r="E11" s="6" t="s">
        <v>659</v>
      </c>
      <c r="F11" s="6" t="s">
        <v>40</v>
      </c>
      <c r="G11" s="1" t="s">
        <v>32</v>
      </c>
      <c r="H11" s="1">
        <v>35</v>
      </c>
      <c r="I11" s="1">
        <v>39</v>
      </c>
      <c r="J11" s="2">
        <f>IFERROR(I11/H11*100,0)</f>
        <v>0</v>
      </c>
      <c r="K11" s="1">
        <v>8</v>
      </c>
      <c r="L11" s="1">
        <v>10</v>
      </c>
      <c r="M11" s="1" t="s">
        <v>42</v>
      </c>
      <c r="N11" s="1" t="s">
        <v>51</v>
      </c>
      <c r="O11" s="1" t="s">
        <v>293</v>
      </c>
    </row>
    <row r="12" spans="1:17">
      <c r="A12" s="1">
        <v>9</v>
      </c>
      <c r="B12" s="1" t="s">
        <v>660</v>
      </c>
      <c r="C12" s="5">
        <v>46097</v>
      </c>
      <c r="D12" s="1" t="s">
        <v>44</v>
      </c>
      <c r="E12" s="6" t="s">
        <v>657</v>
      </c>
      <c r="F12" s="6" t="s">
        <v>87</v>
      </c>
      <c r="G12" s="1" t="s">
        <v>93</v>
      </c>
      <c r="H12" s="1">
        <v>50</v>
      </c>
      <c r="I12" s="1">
        <v>21</v>
      </c>
      <c r="J12" s="2">
        <f>IFERROR(I12/H12*100,0)</f>
        <v>0</v>
      </c>
      <c r="K12" s="1">
        <v>4</v>
      </c>
      <c r="L12" s="1">
        <v>25</v>
      </c>
      <c r="M12" s="1" t="s">
        <v>96</v>
      </c>
      <c r="N12" s="1" t="s">
        <v>35</v>
      </c>
      <c r="O12" s="1" t="s">
        <v>293</v>
      </c>
    </row>
    <row r="13" spans="1:17">
      <c r="A13" s="1">
        <v>10</v>
      </c>
      <c r="B13" s="1" t="s">
        <v>661</v>
      </c>
      <c r="C13" s="5">
        <v>46109</v>
      </c>
      <c r="D13" s="1" t="s">
        <v>44</v>
      </c>
      <c r="E13" s="6" t="s">
        <v>657</v>
      </c>
      <c r="F13" s="6" t="s">
        <v>35</v>
      </c>
      <c r="G13" s="1" t="s">
        <v>93</v>
      </c>
      <c r="H13" s="1">
        <v>26</v>
      </c>
      <c r="I13" s="1">
        <v>36</v>
      </c>
      <c r="J13" s="2">
        <f>IFERROR(I13/H13*100,0)</f>
        <v>0</v>
      </c>
      <c r="K13" s="1">
        <v>10</v>
      </c>
      <c r="L13" s="1">
        <v>24</v>
      </c>
      <c r="M13" s="1" t="s">
        <v>42</v>
      </c>
      <c r="N13" s="1" t="s">
        <v>82</v>
      </c>
      <c r="O13" s="1" t="s">
        <v>293</v>
      </c>
    </row>
    <row r="14" spans="1:17">
      <c r="A14" s="1">
        <v>11</v>
      </c>
      <c r="B14" s="1" t="s">
        <v>662</v>
      </c>
      <c r="C14" s="5">
        <v>46093</v>
      </c>
      <c r="D14" s="1" t="s">
        <v>44</v>
      </c>
      <c r="E14" s="6" t="s">
        <v>651</v>
      </c>
      <c r="F14" s="6" t="s">
        <v>21</v>
      </c>
      <c r="G14" s="1" t="s">
        <v>7</v>
      </c>
      <c r="H14" s="1">
        <v>26</v>
      </c>
      <c r="I14" s="1">
        <v>58</v>
      </c>
      <c r="J14" s="2">
        <f>IFERROR(I14/H14*100,0)</f>
        <v>0</v>
      </c>
      <c r="K14" s="1">
        <v>1</v>
      </c>
      <c r="L14" s="1">
        <v>4</v>
      </c>
      <c r="M14" s="1" t="s">
        <v>96</v>
      </c>
      <c r="N14" s="1" t="s">
        <v>21</v>
      </c>
      <c r="O14" s="1" t="s">
        <v>254</v>
      </c>
    </row>
    <row r="15" spans="1:17">
      <c r="A15" s="1">
        <v>12</v>
      </c>
      <c r="B15" s="1" t="s">
        <v>663</v>
      </c>
      <c r="C15" s="5">
        <v>46098</v>
      </c>
      <c r="D15" s="1" t="s">
        <v>44</v>
      </c>
      <c r="E15" s="6" t="s">
        <v>657</v>
      </c>
      <c r="F15" s="6" t="s">
        <v>40</v>
      </c>
      <c r="G15" s="1" t="s">
        <v>32</v>
      </c>
      <c r="H15" s="1">
        <v>53</v>
      </c>
      <c r="I15" s="1">
        <v>35</v>
      </c>
      <c r="J15" s="2">
        <f>IFERROR(I15/H15*100,0)</f>
        <v>0</v>
      </c>
      <c r="K15" s="1">
        <v>22</v>
      </c>
      <c r="L15" s="1">
        <v>19</v>
      </c>
      <c r="M15" s="1" t="s">
        <v>96</v>
      </c>
      <c r="N15" s="1" t="s">
        <v>31</v>
      </c>
      <c r="O15" s="1" t="s">
        <v>293</v>
      </c>
    </row>
    <row r="16" spans="1:17">
      <c r="A16" s="1">
        <v>13</v>
      </c>
      <c r="B16" s="1" t="s">
        <v>664</v>
      </c>
      <c r="C16" s="5">
        <v>46120</v>
      </c>
      <c r="D16" s="1" t="s">
        <v>53</v>
      </c>
      <c r="E16" s="6" t="s">
        <v>657</v>
      </c>
      <c r="F16" s="6" t="s">
        <v>77</v>
      </c>
      <c r="G16" s="1" t="s">
        <v>93</v>
      </c>
      <c r="H16" s="1">
        <v>35</v>
      </c>
      <c r="I16" s="1">
        <v>11</v>
      </c>
      <c r="J16" s="2">
        <f>IFERROR(I16/H16*100,0)</f>
        <v>0</v>
      </c>
      <c r="K16" s="1">
        <v>2</v>
      </c>
      <c r="L16" s="1">
        <v>6</v>
      </c>
      <c r="M16" s="1" t="s">
        <v>17</v>
      </c>
      <c r="N16" s="1" t="s">
        <v>87</v>
      </c>
      <c r="O16" s="1" t="s">
        <v>293</v>
      </c>
    </row>
    <row r="17" spans="1:15">
      <c r="A17" s="1">
        <v>14</v>
      </c>
      <c r="B17" s="1" t="s">
        <v>665</v>
      </c>
      <c r="C17" s="5">
        <v>46117</v>
      </c>
      <c r="D17" s="1" t="s">
        <v>53</v>
      </c>
      <c r="E17" s="6" t="s">
        <v>649</v>
      </c>
      <c r="F17" s="6" t="s">
        <v>14</v>
      </c>
      <c r="G17" s="1" t="s">
        <v>68</v>
      </c>
      <c r="H17" s="1">
        <v>34</v>
      </c>
      <c r="I17" s="1">
        <v>58</v>
      </c>
      <c r="J17" s="2">
        <f>IFERROR(I17/H17*100,0)</f>
        <v>0</v>
      </c>
      <c r="K17" s="1">
        <v>15</v>
      </c>
      <c r="L17" s="1">
        <v>1</v>
      </c>
      <c r="M17" s="1" t="s">
        <v>96</v>
      </c>
      <c r="N17" s="1" t="s">
        <v>21</v>
      </c>
      <c r="O17" s="1" t="s">
        <v>293</v>
      </c>
    </row>
    <row r="18" spans="1:15">
      <c r="A18" s="1">
        <v>15</v>
      </c>
      <c r="B18" s="1" t="s">
        <v>666</v>
      </c>
      <c r="C18" s="5">
        <v>46136</v>
      </c>
      <c r="D18" s="1" t="s">
        <v>53</v>
      </c>
      <c r="E18" s="6" t="s">
        <v>659</v>
      </c>
      <c r="F18" s="6" t="s">
        <v>14</v>
      </c>
      <c r="G18" s="1" t="s">
        <v>93</v>
      </c>
      <c r="H18" s="1">
        <v>42</v>
      </c>
      <c r="I18" s="1">
        <v>57</v>
      </c>
      <c r="J18" s="2">
        <f>IFERROR(I18/H18*100,0)</f>
        <v>0</v>
      </c>
      <c r="K18" s="1">
        <v>14</v>
      </c>
      <c r="L18" s="1">
        <v>30</v>
      </c>
      <c r="M18" s="1" t="s">
        <v>96</v>
      </c>
      <c r="N18" s="1" t="s">
        <v>51</v>
      </c>
      <c r="O18" s="1" t="s">
        <v>293</v>
      </c>
    </row>
    <row r="19" spans="1:15">
      <c r="A19" s="1">
        <v>16</v>
      </c>
      <c r="B19" s="1" t="s">
        <v>667</v>
      </c>
      <c r="C19" s="5">
        <v>46132</v>
      </c>
      <c r="D19" s="1" t="s">
        <v>53</v>
      </c>
      <c r="E19" s="6" t="s">
        <v>659</v>
      </c>
      <c r="F19" s="6" t="s">
        <v>87</v>
      </c>
      <c r="G19" s="1" t="s">
        <v>78</v>
      </c>
      <c r="H19" s="1">
        <v>11</v>
      </c>
      <c r="I19" s="1">
        <v>44</v>
      </c>
      <c r="J19" s="2">
        <f>IFERROR(I19/H19*100,0)</f>
        <v>0</v>
      </c>
      <c r="K19" s="1">
        <v>29</v>
      </c>
      <c r="L19" s="1">
        <v>0</v>
      </c>
      <c r="M19" s="1" t="s">
        <v>17</v>
      </c>
      <c r="N19" s="1" t="s">
        <v>21</v>
      </c>
      <c r="O19" s="1" t="s">
        <v>254</v>
      </c>
    </row>
    <row r="20" spans="1:15">
      <c r="A20" s="1">
        <v>17</v>
      </c>
      <c r="B20" s="1" t="s">
        <v>668</v>
      </c>
      <c r="C20" s="5">
        <v>46147</v>
      </c>
      <c r="D20" s="1" t="s">
        <v>60</v>
      </c>
      <c r="E20" s="6" t="s">
        <v>651</v>
      </c>
      <c r="F20" s="6" t="s">
        <v>95</v>
      </c>
      <c r="G20" s="1" t="s">
        <v>7</v>
      </c>
      <c r="H20" s="1">
        <v>31</v>
      </c>
      <c r="I20" s="1">
        <v>25</v>
      </c>
      <c r="J20" s="2">
        <f>IFERROR(I20/H20*100,0)</f>
        <v>0</v>
      </c>
      <c r="K20" s="1">
        <v>8</v>
      </c>
      <c r="L20" s="1">
        <v>10</v>
      </c>
      <c r="M20" s="1" t="s">
        <v>17</v>
      </c>
      <c r="N20" s="1" t="s">
        <v>51</v>
      </c>
      <c r="O20" s="1" t="s">
        <v>293</v>
      </c>
    </row>
    <row r="21" spans="1:15">
      <c r="A21" s="1">
        <v>18</v>
      </c>
      <c r="B21" s="1" t="s">
        <v>669</v>
      </c>
      <c r="C21" s="5">
        <v>46168</v>
      </c>
      <c r="D21" s="1" t="s">
        <v>60</v>
      </c>
      <c r="E21" s="6" t="s">
        <v>649</v>
      </c>
      <c r="F21" s="6" t="s">
        <v>6</v>
      </c>
      <c r="G21" s="1" t="s">
        <v>28</v>
      </c>
      <c r="H21" s="1">
        <v>44</v>
      </c>
      <c r="I21" s="1">
        <v>30</v>
      </c>
      <c r="J21" s="2">
        <f>IFERROR(I21/H21*100,0)</f>
        <v>0</v>
      </c>
      <c r="K21" s="1">
        <v>18</v>
      </c>
      <c r="L21" s="1">
        <v>15</v>
      </c>
      <c r="M21" s="1" t="s">
        <v>10</v>
      </c>
      <c r="N21" s="1" t="s">
        <v>95</v>
      </c>
      <c r="O21" s="1" t="s">
        <v>297</v>
      </c>
    </row>
    <row r="22" spans="1:15">
      <c r="A22" s="1">
        <v>19</v>
      </c>
      <c r="B22" s="1" t="s">
        <v>670</v>
      </c>
      <c r="C22" s="5">
        <v>46144</v>
      </c>
      <c r="D22" s="1" t="s">
        <v>60</v>
      </c>
      <c r="E22" s="6" t="s">
        <v>649</v>
      </c>
      <c r="F22" s="6" t="s">
        <v>77</v>
      </c>
      <c r="G22" s="1" t="s">
        <v>78</v>
      </c>
      <c r="H22" s="1">
        <v>27</v>
      </c>
      <c r="I22" s="1">
        <v>45</v>
      </c>
      <c r="J22" s="2">
        <f>IFERROR(I22/H22*100,0)</f>
        <v>0</v>
      </c>
      <c r="K22" s="1">
        <v>28</v>
      </c>
      <c r="L22" s="1">
        <v>14</v>
      </c>
      <c r="M22" s="1" t="s">
        <v>42</v>
      </c>
      <c r="N22" s="1" t="s">
        <v>6</v>
      </c>
      <c r="O22" s="1" t="s">
        <v>297</v>
      </c>
    </row>
    <row r="23" spans="1:15">
      <c r="A23" s="1">
        <v>20</v>
      </c>
      <c r="B23" s="1" t="s">
        <v>671</v>
      </c>
      <c r="C23" s="5">
        <v>46158</v>
      </c>
      <c r="D23" s="1" t="s">
        <v>60</v>
      </c>
      <c r="E23" s="6" t="s">
        <v>657</v>
      </c>
      <c r="F23" s="6" t="s">
        <v>35</v>
      </c>
      <c r="G23" s="1" t="s">
        <v>22</v>
      </c>
      <c r="H23" s="1">
        <v>49</v>
      </c>
      <c r="I23" s="1">
        <v>28</v>
      </c>
      <c r="J23" s="2">
        <f>IFERROR(I23/H23*100,0)</f>
        <v>0</v>
      </c>
      <c r="K23" s="1">
        <v>4</v>
      </c>
      <c r="L23" s="1">
        <v>24</v>
      </c>
      <c r="M23" s="1" t="s">
        <v>17</v>
      </c>
      <c r="N23" s="1" t="s">
        <v>21</v>
      </c>
      <c r="O23" s="1" t="s">
        <v>293</v>
      </c>
    </row>
    <row r="24" spans="1:15">
      <c r="A24" s="1">
        <v>21</v>
      </c>
      <c r="B24" s="1" t="s">
        <v>672</v>
      </c>
      <c r="C24" s="5">
        <v>46189</v>
      </c>
      <c r="D24" s="1" t="s">
        <v>73</v>
      </c>
      <c r="E24" s="6" t="s">
        <v>654</v>
      </c>
      <c r="F24" s="6" t="s">
        <v>40</v>
      </c>
      <c r="G24" s="1" t="s">
        <v>62</v>
      </c>
      <c r="H24" s="1">
        <v>42</v>
      </c>
      <c r="I24" s="1">
        <v>33</v>
      </c>
      <c r="J24" s="2">
        <f>IFERROR(I24/H24*100,0)</f>
        <v>0</v>
      </c>
      <c r="K24" s="1">
        <v>8</v>
      </c>
      <c r="L24" s="1">
        <v>23</v>
      </c>
      <c r="M24" s="1" t="s">
        <v>96</v>
      </c>
      <c r="N24" s="1" t="s">
        <v>87</v>
      </c>
      <c r="O24" s="1" t="s">
        <v>254</v>
      </c>
    </row>
    <row r="25" spans="1:15">
      <c r="A25" s="1">
        <v>22</v>
      </c>
      <c r="B25" s="1" t="s">
        <v>673</v>
      </c>
      <c r="C25" s="5">
        <v>46179</v>
      </c>
      <c r="D25" s="1" t="s">
        <v>73</v>
      </c>
      <c r="E25" s="6" t="s">
        <v>647</v>
      </c>
      <c r="F25" s="6" t="s">
        <v>87</v>
      </c>
      <c r="G25" s="1" t="s">
        <v>78</v>
      </c>
      <c r="H25" s="1">
        <v>16</v>
      </c>
      <c r="I25" s="1">
        <v>41</v>
      </c>
      <c r="J25" s="2">
        <f>IFERROR(I25/H25*100,0)</f>
        <v>0</v>
      </c>
      <c r="K25" s="1">
        <v>21</v>
      </c>
      <c r="L25" s="1">
        <v>12</v>
      </c>
      <c r="M25" s="1" t="s">
        <v>17</v>
      </c>
      <c r="N25" s="1" t="s">
        <v>35</v>
      </c>
      <c r="O25" s="1" t="s">
        <v>293</v>
      </c>
    </row>
    <row r="26" spans="1:15">
      <c r="A26" s="1">
        <v>23</v>
      </c>
      <c r="B26" s="1" t="s">
        <v>674</v>
      </c>
      <c r="C26" s="5">
        <v>46189</v>
      </c>
      <c r="D26" s="1" t="s">
        <v>73</v>
      </c>
      <c r="E26" s="6" t="s">
        <v>651</v>
      </c>
      <c r="F26" s="6" t="s">
        <v>82</v>
      </c>
      <c r="G26" s="1" t="s">
        <v>32</v>
      </c>
      <c r="H26" s="1">
        <v>56</v>
      </c>
      <c r="I26" s="1">
        <v>16</v>
      </c>
      <c r="J26" s="2">
        <f>IFERROR(I26/H26*100,0)</f>
        <v>0</v>
      </c>
      <c r="K26" s="1">
        <v>3</v>
      </c>
      <c r="L26" s="1">
        <v>25</v>
      </c>
      <c r="M26" s="1" t="s">
        <v>17</v>
      </c>
      <c r="N26" s="1" t="s">
        <v>31</v>
      </c>
      <c r="O26" s="1" t="s">
        <v>254</v>
      </c>
    </row>
    <row r="27" spans="1:15">
      <c r="A27" s="1">
        <v>24</v>
      </c>
      <c r="B27" s="1" t="s">
        <v>675</v>
      </c>
      <c r="C27" s="5">
        <v>46183</v>
      </c>
      <c r="D27" s="1" t="s">
        <v>73</v>
      </c>
      <c r="E27" s="6" t="s">
        <v>649</v>
      </c>
      <c r="F27" s="6" t="s">
        <v>95</v>
      </c>
      <c r="G27" s="1" t="s">
        <v>7</v>
      </c>
      <c r="H27" s="1">
        <v>43</v>
      </c>
      <c r="I27" s="1">
        <v>12</v>
      </c>
      <c r="J27" s="2">
        <f>IFERROR(I27/H27*100,0)</f>
        <v>0</v>
      </c>
      <c r="K27" s="1">
        <v>22</v>
      </c>
      <c r="L27" s="1">
        <v>27</v>
      </c>
      <c r="M27" s="1" t="s">
        <v>24</v>
      </c>
      <c r="N27" s="1" t="s">
        <v>82</v>
      </c>
      <c r="O27" s="1" t="s">
        <v>293</v>
      </c>
    </row>
    <row r="28" spans="1:15">
      <c r="A28" s="1">
        <v>25</v>
      </c>
      <c r="B28" s="1" t="s">
        <v>676</v>
      </c>
      <c r="C28" s="5">
        <v>46196</v>
      </c>
      <c r="D28" s="1" t="s">
        <v>73</v>
      </c>
      <c r="E28" s="6" t="s">
        <v>651</v>
      </c>
      <c r="F28" s="6" t="s">
        <v>21</v>
      </c>
      <c r="G28" s="1" t="s">
        <v>15</v>
      </c>
      <c r="H28" s="1">
        <v>52</v>
      </c>
      <c r="I28" s="1">
        <v>16</v>
      </c>
      <c r="J28" s="2">
        <f>IFERROR(I28/H28*100,0)</f>
        <v>0</v>
      </c>
      <c r="K28" s="1">
        <v>23</v>
      </c>
      <c r="L28" s="1">
        <v>0</v>
      </c>
      <c r="M28" s="1" t="s">
        <v>24</v>
      </c>
      <c r="N28" s="1" t="s">
        <v>14</v>
      </c>
      <c r="O28" s="1" t="s">
        <v>293</v>
      </c>
    </row>
    <row r="29" spans="1:15">
      <c r="A29" s="1">
        <v>26</v>
      </c>
      <c r="B29" s="1" t="s">
        <v>677</v>
      </c>
      <c r="C29" s="5">
        <v>46182</v>
      </c>
      <c r="D29" s="1" t="s">
        <v>73</v>
      </c>
      <c r="E29" s="6" t="s">
        <v>657</v>
      </c>
      <c r="F29" s="6" t="s">
        <v>87</v>
      </c>
      <c r="G29" s="1" t="s">
        <v>104</v>
      </c>
      <c r="H29" s="1">
        <v>22</v>
      </c>
      <c r="I29" s="1">
        <v>11</v>
      </c>
      <c r="J29" s="2">
        <f>IFERROR(I29/H29*100,0)</f>
        <v>0</v>
      </c>
      <c r="K29" s="1">
        <v>23</v>
      </c>
      <c r="L29" s="1">
        <v>24</v>
      </c>
      <c r="M29" s="1" t="s">
        <v>42</v>
      </c>
      <c r="N29" s="1" t="s">
        <v>21</v>
      </c>
      <c r="O29" s="1" t="s">
        <v>297</v>
      </c>
    </row>
    <row r="30" spans="1:15">
      <c r="A30" s="1">
        <v>27</v>
      </c>
      <c r="B30" s="1" t="s">
        <v>678</v>
      </c>
      <c r="C30" s="5">
        <v>46194</v>
      </c>
      <c r="D30" s="1" t="s">
        <v>73</v>
      </c>
      <c r="E30" s="6" t="s">
        <v>651</v>
      </c>
      <c r="F30" s="6" t="s">
        <v>14</v>
      </c>
      <c r="G30" s="1" t="s">
        <v>70</v>
      </c>
      <c r="H30" s="1">
        <v>30</v>
      </c>
      <c r="I30" s="1">
        <v>45</v>
      </c>
      <c r="J30" s="2">
        <f>IFERROR(I30/H30*100,0)</f>
        <v>0</v>
      </c>
      <c r="K30" s="1">
        <v>19</v>
      </c>
      <c r="L30" s="1">
        <v>24</v>
      </c>
      <c r="M30" s="1" t="s">
        <v>42</v>
      </c>
      <c r="N30" s="1" t="s">
        <v>51</v>
      </c>
      <c r="O30" s="1" t="s">
        <v>297</v>
      </c>
    </row>
    <row r="31" spans="1:15">
      <c r="A31" s="1">
        <v>28</v>
      </c>
      <c r="B31" s="1" t="s">
        <v>679</v>
      </c>
      <c r="C31" s="5">
        <v>46226</v>
      </c>
      <c r="D31" s="1" t="s">
        <v>76</v>
      </c>
      <c r="E31" s="6" t="s">
        <v>657</v>
      </c>
      <c r="F31" s="6" t="s">
        <v>14</v>
      </c>
      <c r="G31" s="1" t="s">
        <v>22</v>
      </c>
      <c r="H31" s="1">
        <v>58</v>
      </c>
      <c r="I31" s="1">
        <v>48</v>
      </c>
      <c r="J31" s="2">
        <f>IFERROR(I31/H31*100,0)</f>
        <v>0</v>
      </c>
      <c r="K31" s="1">
        <v>21</v>
      </c>
      <c r="L31" s="1">
        <v>30</v>
      </c>
      <c r="M31" s="1" t="s">
        <v>96</v>
      </c>
      <c r="N31" s="1" t="s">
        <v>95</v>
      </c>
      <c r="O31" s="1" t="s">
        <v>293</v>
      </c>
    </row>
    <row r="32" spans="1:15">
      <c r="A32" s="1">
        <v>29</v>
      </c>
      <c r="B32" s="1" t="s">
        <v>680</v>
      </c>
      <c r="C32" s="5">
        <v>46210</v>
      </c>
      <c r="D32" s="1" t="s">
        <v>76</v>
      </c>
      <c r="E32" s="6" t="s">
        <v>651</v>
      </c>
      <c r="F32" s="6" t="s">
        <v>51</v>
      </c>
      <c r="G32" s="1" t="s">
        <v>104</v>
      </c>
      <c r="H32" s="1">
        <v>38</v>
      </c>
      <c r="I32" s="1">
        <v>55</v>
      </c>
      <c r="J32" s="2">
        <f>IFERROR(I32/H32*100,0)</f>
        <v>0</v>
      </c>
      <c r="K32" s="1">
        <v>30</v>
      </c>
      <c r="L32" s="1">
        <v>16</v>
      </c>
      <c r="M32" s="1" t="s">
        <v>17</v>
      </c>
      <c r="N32" s="1" t="s">
        <v>82</v>
      </c>
      <c r="O32" s="1" t="s">
        <v>293</v>
      </c>
    </row>
    <row r="33" spans="1:15">
      <c r="A33" s="1">
        <v>30</v>
      </c>
      <c r="B33" s="1" t="s">
        <v>681</v>
      </c>
      <c r="C33" s="5">
        <v>46218</v>
      </c>
      <c r="D33" s="1" t="s">
        <v>76</v>
      </c>
      <c r="E33" s="6" t="s">
        <v>657</v>
      </c>
      <c r="F33" s="6" t="s">
        <v>35</v>
      </c>
      <c r="G33" s="1" t="s">
        <v>68</v>
      </c>
      <c r="H33" s="1">
        <v>18</v>
      </c>
      <c r="I33" s="1">
        <v>27</v>
      </c>
      <c r="J33" s="2">
        <f>IFERROR(I33/H33*100,0)</f>
        <v>0</v>
      </c>
      <c r="K33" s="1">
        <v>22</v>
      </c>
      <c r="L33" s="1">
        <v>15</v>
      </c>
      <c r="M33" s="1" t="s">
        <v>17</v>
      </c>
      <c r="N33" s="1" t="s">
        <v>87</v>
      </c>
      <c r="O33" s="1" t="s">
        <v>293</v>
      </c>
    </row>
    <row r="34" spans="1:15">
      <c r="A34" s="1">
        <v>31</v>
      </c>
      <c r="B34" s="1" t="s">
        <v>682</v>
      </c>
      <c r="C34" s="5">
        <v>46249</v>
      </c>
      <c r="D34" s="1" t="s">
        <v>86</v>
      </c>
      <c r="E34" s="6" t="s">
        <v>649</v>
      </c>
      <c r="F34" s="6" t="s">
        <v>31</v>
      </c>
      <c r="G34" s="1" t="s">
        <v>28</v>
      </c>
      <c r="H34" s="1">
        <v>35</v>
      </c>
      <c r="I34" s="1">
        <v>56</v>
      </c>
      <c r="J34" s="2">
        <f>IFERROR(I34/H34*100,0)</f>
        <v>0</v>
      </c>
      <c r="K34" s="1">
        <v>25</v>
      </c>
      <c r="L34" s="1">
        <v>8</v>
      </c>
      <c r="M34" s="1" t="s">
        <v>10</v>
      </c>
      <c r="N34" s="1" t="s">
        <v>6</v>
      </c>
      <c r="O34" s="1" t="s">
        <v>293</v>
      </c>
    </row>
    <row r="35" spans="1:15">
      <c r="A35" s="1">
        <v>32</v>
      </c>
      <c r="B35" s="1" t="s">
        <v>683</v>
      </c>
      <c r="C35" s="5">
        <v>46254</v>
      </c>
      <c r="D35" s="1" t="s">
        <v>86</v>
      </c>
      <c r="E35" s="6" t="s">
        <v>657</v>
      </c>
      <c r="F35" s="6" t="s">
        <v>95</v>
      </c>
      <c r="G35" s="1" t="s">
        <v>93</v>
      </c>
      <c r="H35" s="1">
        <v>10</v>
      </c>
      <c r="I35" s="1">
        <v>40</v>
      </c>
      <c r="J35" s="2">
        <f>IFERROR(I35/H35*100,0)</f>
        <v>0</v>
      </c>
      <c r="K35" s="1">
        <v>14</v>
      </c>
      <c r="L35" s="1">
        <v>15</v>
      </c>
      <c r="M35" s="1" t="s">
        <v>96</v>
      </c>
      <c r="N35" s="1" t="s">
        <v>95</v>
      </c>
      <c r="O35" s="1" t="s">
        <v>293</v>
      </c>
    </row>
    <row r="36" spans="1:15">
      <c r="A36" s="1">
        <v>33</v>
      </c>
      <c r="B36" s="1" t="s">
        <v>684</v>
      </c>
      <c r="C36" s="5">
        <v>46238</v>
      </c>
      <c r="D36" s="1" t="s">
        <v>86</v>
      </c>
      <c r="E36" s="6" t="s">
        <v>651</v>
      </c>
      <c r="F36" s="6" t="s">
        <v>40</v>
      </c>
      <c r="G36" s="1" t="s">
        <v>36</v>
      </c>
      <c r="H36" s="1">
        <v>50</v>
      </c>
      <c r="I36" s="1">
        <v>26</v>
      </c>
      <c r="J36" s="2">
        <f>IFERROR(I36/H36*100,0)</f>
        <v>0</v>
      </c>
      <c r="K36" s="1">
        <v>14</v>
      </c>
      <c r="L36" s="1">
        <v>5</v>
      </c>
      <c r="M36" s="1" t="s">
        <v>96</v>
      </c>
      <c r="N36" s="1" t="s">
        <v>40</v>
      </c>
      <c r="O36" s="1" t="s">
        <v>293</v>
      </c>
    </row>
    <row r="37" spans="1:15">
      <c r="A37" s="1">
        <v>34</v>
      </c>
      <c r="B37" s="1" t="s">
        <v>685</v>
      </c>
      <c r="C37" s="5">
        <v>46247</v>
      </c>
      <c r="D37" s="1" t="s">
        <v>86</v>
      </c>
      <c r="E37" s="6" t="s">
        <v>654</v>
      </c>
      <c r="F37" s="6" t="s">
        <v>14</v>
      </c>
      <c r="G37" s="1" t="s">
        <v>104</v>
      </c>
      <c r="H37" s="1">
        <v>60</v>
      </c>
      <c r="I37" s="1">
        <v>53</v>
      </c>
      <c r="J37" s="2">
        <f>IFERROR(I37/H37*100,0)</f>
        <v>0</v>
      </c>
      <c r="K37" s="1">
        <v>29</v>
      </c>
      <c r="L37" s="1">
        <v>10</v>
      </c>
      <c r="M37" s="1" t="s">
        <v>10</v>
      </c>
      <c r="N37" s="1" t="s">
        <v>35</v>
      </c>
      <c r="O37" s="1" t="s">
        <v>254</v>
      </c>
    </row>
    <row r="38" spans="1:15">
      <c r="A38" s="1">
        <v>35</v>
      </c>
      <c r="B38" s="1" t="s">
        <v>686</v>
      </c>
      <c r="C38" s="5">
        <v>46255</v>
      </c>
      <c r="D38" s="1" t="s">
        <v>86</v>
      </c>
      <c r="E38" s="6" t="s">
        <v>651</v>
      </c>
      <c r="F38" s="6" t="s">
        <v>14</v>
      </c>
      <c r="G38" s="1" t="s">
        <v>32</v>
      </c>
      <c r="H38" s="1">
        <v>17</v>
      </c>
      <c r="I38" s="1">
        <v>17</v>
      </c>
      <c r="J38" s="2">
        <f>IFERROR(I38/H38*100,0)</f>
        <v>0</v>
      </c>
      <c r="K38" s="1">
        <v>4</v>
      </c>
      <c r="L38" s="1">
        <v>6</v>
      </c>
      <c r="M38" s="1" t="s">
        <v>17</v>
      </c>
      <c r="N38" s="1" t="s">
        <v>95</v>
      </c>
      <c r="O38" s="1" t="s">
        <v>293</v>
      </c>
    </row>
    <row r="39" spans="1:15">
      <c r="A39" s="1">
        <v>36</v>
      </c>
      <c r="B39" s="1" t="s">
        <v>687</v>
      </c>
      <c r="C39" s="5">
        <v>46288</v>
      </c>
      <c r="D39" s="1" t="s">
        <v>102</v>
      </c>
      <c r="E39" s="6" t="s">
        <v>657</v>
      </c>
      <c r="F39" s="6" t="s">
        <v>6</v>
      </c>
      <c r="G39" s="1" t="s">
        <v>66</v>
      </c>
      <c r="H39" s="1">
        <v>45</v>
      </c>
      <c r="I39" s="1">
        <v>30</v>
      </c>
      <c r="J39" s="2">
        <f>IFERROR(I39/H39*100,0)</f>
        <v>0</v>
      </c>
      <c r="K39" s="1">
        <v>27</v>
      </c>
      <c r="L39" s="1">
        <v>14</v>
      </c>
      <c r="M39" s="1" t="s">
        <v>42</v>
      </c>
      <c r="N39" s="1" t="s">
        <v>82</v>
      </c>
      <c r="O39" s="1" t="s">
        <v>293</v>
      </c>
    </row>
    <row r="40" spans="1:15">
      <c r="A40" s="1">
        <v>37</v>
      </c>
      <c r="B40" s="1" t="s">
        <v>688</v>
      </c>
      <c r="C40" s="5">
        <v>46279</v>
      </c>
      <c r="D40" s="1" t="s">
        <v>102</v>
      </c>
      <c r="E40" s="6" t="s">
        <v>657</v>
      </c>
      <c r="F40" s="6" t="s">
        <v>6</v>
      </c>
      <c r="G40" s="1" t="s">
        <v>66</v>
      </c>
      <c r="H40" s="1">
        <v>12</v>
      </c>
      <c r="I40" s="1">
        <v>29</v>
      </c>
      <c r="J40" s="2">
        <f>IFERROR(I40/H40*100,0)</f>
        <v>0</v>
      </c>
      <c r="K40" s="1">
        <v>15</v>
      </c>
      <c r="L40" s="1">
        <v>5</v>
      </c>
      <c r="M40" s="1" t="s">
        <v>24</v>
      </c>
      <c r="N40" s="1" t="s">
        <v>77</v>
      </c>
      <c r="O40" s="1" t="s">
        <v>293</v>
      </c>
    </row>
    <row r="41" spans="1:15">
      <c r="A41" s="1">
        <v>38</v>
      </c>
      <c r="B41" s="1" t="s">
        <v>689</v>
      </c>
      <c r="C41" s="5">
        <v>46290</v>
      </c>
      <c r="D41" s="1" t="s">
        <v>102</v>
      </c>
      <c r="E41" s="6" t="s">
        <v>649</v>
      </c>
      <c r="F41" s="6" t="s">
        <v>6</v>
      </c>
      <c r="G41" s="1" t="s">
        <v>7</v>
      </c>
      <c r="H41" s="1">
        <v>14</v>
      </c>
      <c r="I41" s="1">
        <v>50</v>
      </c>
      <c r="J41" s="2">
        <f>IFERROR(I41/H41*100,0)</f>
        <v>0</v>
      </c>
      <c r="K41" s="1">
        <v>26</v>
      </c>
      <c r="L41" s="1">
        <v>2</v>
      </c>
      <c r="M41" s="1" t="s">
        <v>42</v>
      </c>
      <c r="N41" s="1" t="s">
        <v>31</v>
      </c>
      <c r="O41" s="1" t="s">
        <v>238</v>
      </c>
    </row>
    <row r="42" spans="1:15">
      <c r="A42" s="1">
        <v>39</v>
      </c>
      <c r="B42" s="1" t="s">
        <v>690</v>
      </c>
      <c r="C42" s="5">
        <v>46282</v>
      </c>
      <c r="D42" s="1" t="s">
        <v>102</v>
      </c>
      <c r="E42" s="6" t="s">
        <v>654</v>
      </c>
      <c r="F42" s="6" t="s">
        <v>95</v>
      </c>
      <c r="G42" s="1" t="s">
        <v>70</v>
      </c>
      <c r="H42" s="1">
        <v>16</v>
      </c>
      <c r="I42" s="1">
        <v>33</v>
      </c>
      <c r="J42" s="2">
        <f>IFERROR(I42/H42*100,0)</f>
        <v>0</v>
      </c>
      <c r="K42" s="1">
        <v>4</v>
      </c>
      <c r="L42" s="1">
        <v>30</v>
      </c>
      <c r="M42" s="1" t="s">
        <v>96</v>
      </c>
      <c r="N42" s="1" t="s">
        <v>82</v>
      </c>
      <c r="O42" s="1" t="s">
        <v>297</v>
      </c>
    </row>
    <row r="43" spans="1:15">
      <c r="A43" s="1">
        <v>40</v>
      </c>
      <c r="B43" s="1" t="s">
        <v>691</v>
      </c>
      <c r="C43" s="5">
        <v>46287</v>
      </c>
      <c r="D43" s="1" t="s">
        <v>102</v>
      </c>
      <c r="E43" s="6" t="s">
        <v>651</v>
      </c>
      <c r="F43" s="6" t="s">
        <v>77</v>
      </c>
      <c r="G43" s="1" t="s">
        <v>7</v>
      </c>
      <c r="H43" s="1">
        <v>21</v>
      </c>
      <c r="I43" s="1">
        <v>25</v>
      </c>
      <c r="J43" s="2">
        <f>IFERROR(I43/H43*100,0)</f>
        <v>0</v>
      </c>
      <c r="K43" s="1">
        <v>23</v>
      </c>
      <c r="L43" s="1">
        <v>19</v>
      </c>
      <c r="M43" s="1" t="s">
        <v>42</v>
      </c>
      <c r="N43" s="1" t="s">
        <v>95</v>
      </c>
      <c r="O43" s="1" t="s">
        <v>293</v>
      </c>
    </row>
    <row r="44" spans="1:15">
      <c r="A44" s="1">
        <v>41</v>
      </c>
      <c r="B44" s="1" t="s">
        <v>692</v>
      </c>
      <c r="C44" s="5">
        <v>46281</v>
      </c>
      <c r="D44" s="1" t="s">
        <v>102</v>
      </c>
      <c r="E44" s="6" t="s">
        <v>649</v>
      </c>
      <c r="F44" s="6" t="s">
        <v>77</v>
      </c>
      <c r="G44" s="1" t="s">
        <v>41</v>
      </c>
      <c r="H44" s="1">
        <v>43</v>
      </c>
      <c r="I44" s="1">
        <v>33</v>
      </c>
      <c r="J44" s="2">
        <f>IFERROR(I44/H44*100,0)</f>
        <v>0</v>
      </c>
      <c r="K44" s="1">
        <v>22</v>
      </c>
      <c r="L44" s="1">
        <v>13</v>
      </c>
      <c r="M44" s="1" t="s">
        <v>10</v>
      </c>
      <c r="N44" s="1" t="s">
        <v>31</v>
      </c>
      <c r="O44" s="1" t="s">
        <v>293</v>
      </c>
    </row>
    <row r="45" spans="1:15">
      <c r="A45" s="1">
        <v>42</v>
      </c>
      <c r="B45" s="1" t="s">
        <v>693</v>
      </c>
      <c r="C45" s="5">
        <v>46267</v>
      </c>
      <c r="D45" s="1" t="s">
        <v>102</v>
      </c>
      <c r="E45" s="6" t="s">
        <v>649</v>
      </c>
      <c r="F45" s="6" t="s">
        <v>95</v>
      </c>
      <c r="G45" s="1" t="s">
        <v>7</v>
      </c>
      <c r="H45" s="1">
        <v>45</v>
      </c>
      <c r="I45" s="1">
        <v>60</v>
      </c>
      <c r="J45" s="2">
        <f>IFERROR(I45/H45*100,0)</f>
        <v>0</v>
      </c>
      <c r="K45" s="1">
        <v>24</v>
      </c>
      <c r="L45" s="1">
        <v>7</v>
      </c>
      <c r="M45" s="1" t="s">
        <v>10</v>
      </c>
      <c r="N45" s="1" t="s">
        <v>77</v>
      </c>
      <c r="O45" s="1" t="s">
        <v>293</v>
      </c>
    </row>
    <row r="46" spans="1:15">
      <c r="A46" s="1">
        <v>43</v>
      </c>
      <c r="B46" s="1" t="s">
        <v>694</v>
      </c>
      <c r="C46" s="5">
        <v>46317</v>
      </c>
      <c r="D46" s="1" t="s">
        <v>106</v>
      </c>
      <c r="E46" s="6" t="s">
        <v>649</v>
      </c>
      <c r="F46" s="6" t="s">
        <v>87</v>
      </c>
      <c r="G46" s="1" t="s">
        <v>15</v>
      </c>
      <c r="H46" s="1">
        <v>49</v>
      </c>
      <c r="I46" s="1">
        <v>28</v>
      </c>
      <c r="J46" s="2">
        <f>IFERROR(I46/H46*100,0)</f>
        <v>0</v>
      </c>
      <c r="K46" s="1">
        <v>29</v>
      </c>
      <c r="L46" s="1">
        <v>27</v>
      </c>
      <c r="M46" s="1" t="s">
        <v>24</v>
      </c>
      <c r="N46" s="1" t="s">
        <v>95</v>
      </c>
      <c r="O46" s="1" t="s">
        <v>254</v>
      </c>
    </row>
    <row r="47" spans="1:15">
      <c r="A47" s="1">
        <v>44</v>
      </c>
      <c r="B47" s="1" t="s">
        <v>695</v>
      </c>
      <c r="C47" s="5">
        <v>46296</v>
      </c>
      <c r="D47" s="1" t="s">
        <v>106</v>
      </c>
      <c r="E47" s="6" t="s">
        <v>654</v>
      </c>
      <c r="F47" s="6" t="s">
        <v>14</v>
      </c>
      <c r="G47" s="1" t="s">
        <v>66</v>
      </c>
      <c r="H47" s="1">
        <v>30</v>
      </c>
      <c r="I47" s="1">
        <v>37</v>
      </c>
      <c r="J47" s="2">
        <f>IFERROR(I47/H47*100,0)</f>
        <v>0</v>
      </c>
      <c r="K47" s="1">
        <v>10</v>
      </c>
      <c r="L47" s="1">
        <v>14</v>
      </c>
      <c r="M47" s="1" t="s">
        <v>10</v>
      </c>
      <c r="N47" s="1" t="s">
        <v>6</v>
      </c>
      <c r="O47" s="1" t="s">
        <v>293</v>
      </c>
    </row>
    <row r="48" spans="1:15">
      <c r="A48" s="1">
        <v>45</v>
      </c>
      <c r="B48" s="1" t="s">
        <v>696</v>
      </c>
      <c r="C48" s="5">
        <v>46306</v>
      </c>
      <c r="D48" s="1" t="s">
        <v>106</v>
      </c>
      <c r="E48" s="6" t="s">
        <v>659</v>
      </c>
      <c r="F48" s="6" t="s">
        <v>77</v>
      </c>
      <c r="G48" s="1" t="s">
        <v>32</v>
      </c>
      <c r="H48" s="1">
        <v>55</v>
      </c>
      <c r="I48" s="1">
        <v>31</v>
      </c>
      <c r="J48" s="2">
        <f>IFERROR(I48/H48*100,0)</f>
        <v>0</v>
      </c>
      <c r="K48" s="1">
        <v>6</v>
      </c>
      <c r="L48" s="1">
        <v>29</v>
      </c>
      <c r="M48" s="1" t="s">
        <v>96</v>
      </c>
      <c r="N48" s="1" t="s">
        <v>80</v>
      </c>
      <c r="O48" s="1" t="s">
        <v>293</v>
      </c>
    </row>
    <row r="49" spans="1:15">
      <c r="A49" s="1">
        <v>46</v>
      </c>
      <c r="B49" s="1" t="s">
        <v>697</v>
      </c>
      <c r="C49" s="5">
        <v>46345</v>
      </c>
      <c r="D49" s="1" t="s">
        <v>111</v>
      </c>
      <c r="E49" s="6" t="s">
        <v>657</v>
      </c>
      <c r="F49" s="6" t="s">
        <v>31</v>
      </c>
      <c r="G49" s="1" t="s">
        <v>32</v>
      </c>
      <c r="H49" s="1">
        <v>58</v>
      </c>
      <c r="I49" s="1">
        <v>43</v>
      </c>
      <c r="J49" s="2">
        <f>IFERROR(I49/H49*100,0)</f>
        <v>0</v>
      </c>
      <c r="K49" s="1">
        <v>4</v>
      </c>
      <c r="L49" s="1">
        <v>15</v>
      </c>
      <c r="M49" s="1" t="s">
        <v>17</v>
      </c>
      <c r="N49" s="1" t="s">
        <v>6</v>
      </c>
      <c r="O49" s="1" t="s">
        <v>293</v>
      </c>
    </row>
    <row r="50" spans="1:15">
      <c r="A50" s="1">
        <v>47</v>
      </c>
      <c r="B50" s="1" t="s">
        <v>698</v>
      </c>
      <c r="C50" s="5">
        <v>46350</v>
      </c>
      <c r="D50" s="1" t="s">
        <v>111</v>
      </c>
      <c r="E50" s="6" t="s">
        <v>654</v>
      </c>
      <c r="F50" s="6" t="s">
        <v>14</v>
      </c>
      <c r="G50" s="1" t="s">
        <v>41</v>
      </c>
      <c r="H50" s="1">
        <v>29</v>
      </c>
      <c r="I50" s="1">
        <v>58</v>
      </c>
      <c r="J50" s="2">
        <f>IFERROR(I50/H50*100,0)</f>
        <v>0</v>
      </c>
      <c r="K50" s="1">
        <v>3</v>
      </c>
      <c r="L50" s="1">
        <v>9</v>
      </c>
      <c r="M50" s="1" t="s">
        <v>24</v>
      </c>
      <c r="N50" s="1" t="s">
        <v>31</v>
      </c>
      <c r="O50" s="1" t="s">
        <v>293</v>
      </c>
    </row>
    <row r="51" spans="1:15">
      <c r="A51" s="1">
        <v>48</v>
      </c>
      <c r="B51" s="1" t="s">
        <v>699</v>
      </c>
      <c r="C51" s="5">
        <v>46367</v>
      </c>
      <c r="D51" s="1" t="s">
        <v>122</v>
      </c>
      <c r="E51" s="6" t="s">
        <v>659</v>
      </c>
      <c r="F51" s="6" t="s">
        <v>82</v>
      </c>
      <c r="G51" s="1" t="s">
        <v>70</v>
      </c>
      <c r="H51" s="1">
        <v>59</v>
      </c>
      <c r="I51" s="1">
        <v>45</v>
      </c>
      <c r="J51" s="2">
        <f>IFERROR(I51/H51*100,0)</f>
        <v>0</v>
      </c>
      <c r="K51" s="1">
        <v>1</v>
      </c>
      <c r="L51" s="1">
        <v>12</v>
      </c>
      <c r="M51" s="1" t="s">
        <v>24</v>
      </c>
      <c r="N51" s="1" t="s">
        <v>6</v>
      </c>
      <c r="O51" s="1" t="s">
        <v>293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709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764</v>
      </c>
      <c r="C3" s="1" t="s">
        <v>126</v>
      </c>
      <c r="D3" s="1" t="s">
        <v>127</v>
      </c>
      <c r="E3" s="1" t="s">
        <v>765</v>
      </c>
      <c r="F3" s="1" t="s">
        <v>766</v>
      </c>
      <c r="G3" s="1" t="s">
        <v>129</v>
      </c>
      <c r="H3" s="1" t="s">
        <v>130</v>
      </c>
      <c r="I3" s="1" t="s">
        <v>767</v>
      </c>
      <c r="J3" s="1" t="s">
        <v>209</v>
      </c>
      <c r="K3" s="1" t="s">
        <v>768</v>
      </c>
      <c r="L3" s="1" t="s">
        <v>769</v>
      </c>
      <c r="M3" s="1" t="s">
        <v>770</v>
      </c>
      <c r="N3" s="1" t="s">
        <v>771</v>
      </c>
      <c r="O3" s="1" t="s">
        <v>772</v>
      </c>
      <c r="P3" s="1" t="s">
        <v>287</v>
      </c>
    </row>
    <row r="4" spans="1:18">
      <c r="A4" s="1">
        <v>1</v>
      </c>
      <c r="B4" s="1" t="s">
        <v>710</v>
      </c>
      <c r="C4" s="5">
        <v>46031</v>
      </c>
      <c r="D4" s="1" t="s">
        <v>3</v>
      </c>
      <c r="E4" s="6" t="s">
        <v>45</v>
      </c>
      <c r="F4" s="6" t="s">
        <v>711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238</v>
      </c>
    </row>
    <row r="5" spans="1:18">
      <c r="A5" s="1">
        <v>2</v>
      </c>
      <c r="B5" s="1" t="s">
        <v>712</v>
      </c>
      <c r="C5" s="5">
        <v>46042</v>
      </c>
      <c r="D5" s="1" t="s">
        <v>3</v>
      </c>
      <c r="E5" s="6" t="s">
        <v>4</v>
      </c>
      <c r="F5" s="6" t="s">
        <v>713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293</v>
      </c>
    </row>
    <row r="6" spans="1:18">
      <c r="A6" s="1">
        <v>3</v>
      </c>
      <c r="B6" s="1" t="s">
        <v>714</v>
      </c>
      <c r="C6" s="5">
        <v>46026</v>
      </c>
      <c r="D6" s="1" t="s">
        <v>3</v>
      </c>
      <c r="E6" s="6" t="s">
        <v>26</v>
      </c>
      <c r="F6" s="6" t="s">
        <v>715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293</v>
      </c>
    </row>
    <row r="7" spans="1:18">
      <c r="A7" s="1">
        <v>4</v>
      </c>
      <c r="B7" s="1" t="s">
        <v>716</v>
      </c>
      <c r="C7" s="5">
        <v>46037</v>
      </c>
      <c r="D7" s="1" t="s">
        <v>3</v>
      </c>
      <c r="E7" s="6" t="s">
        <v>57</v>
      </c>
      <c r="F7" s="6" t="s">
        <v>717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293</v>
      </c>
    </row>
    <row r="8" spans="1:18">
      <c r="A8" s="1">
        <v>5</v>
      </c>
      <c r="B8" s="1" t="s">
        <v>718</v>
      </c>
      <c r="C8" s="5">
        <v>46047</v>
      </c>
      <c r="D8" s="1" t="s">
        <v>3</v>
      </c>
      <c r="E8" s="6" t="s">
        <v>30</v>
      </c>
      <c r="F8" s="6" t="s">
        <v>717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293</v>
      </c>
    </row>
    <row r="9" spans="1:18">
      <c r="A9" s="1">
        <v>6</v>
      </c>
      <c r="B9" s="1" t="s">
        <v>719</v>
      </c>
      <c r="C9" s="5">
        <v>46067</v>
      </c>
      <c r="D9" s="1" t="s">
        <v>19</v>
      </c>
      <c r="E9" s="6" t="s">
        <v>61</v>
      </c>
      <c r="F9" s="6" t="s">
        <v>711</v>
      </c>
      <c r="G9" s="1" t="s">
        <v>5</v>
      </c>
      <c r="H9" s="1" t="s">
        <v>82</v>
      </c>
      <c r="I9" s="1" t="s">
        <v>41</v>
      </c>
      <c r="J9" s="1" t="s">
        <v>36</v>
      </c>
      <c r="K9" s="1" t="s">
        <v>91</v>
      </c>
      <c r="L9" s="1">
        <v>5</v>
      </c>
      <c r="M9" s="1">
        <v>0</v>
      </c>
      <c r="N9" s="1">
        <v>2</v>
      </c>
      <c r="O9" s="1">
        <v>5</v>
      </c>
      <c r="P9" s="1" t="s">
        <v>293</v>
      </c>
    </row>
    <row r="10" spans="1:18">
      <c r="A10" s="1">
        <v>7</v>
      </c>
      <c r="B10" s="1" t="s">
        <v>720</v>
      </c>
      <c r="C10" s="5">
        <v>46075</v>
      </c>
      <c r="D10" s="1" t="s">
        <v>19</v>
      </c>
      <c r="E10" s="6" t="s">
        <v>91</v>
      </c>
      <c r="F10" s="6" t="s">
        <v>711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254</v>
      </c>
    </row>
    <row r="11" spans="1:18">
      <c r="A11" s="1">
        <v>8</v>
      </c>
      <c r="B11" s="1" t="s">
        <v>721</v>
      </c>
      <c r="C11" s="5">
        <v>46068</v>
      </c>
      <c r="D11" s="1" t="s">
        <v>19</v>
      </c>
      <c r="E11" s="6" t="s">
        <v>61</v>
      </c>
      <c r="F11" s="6" t="s">
        <v>722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238</v>
      </c>
    </row>
    <row r="12" spans="1:18">
      <c r="A12" s="1">
        <v>9</v>
      </c>
      <c r="B12" s="1" t="s">
        <v>723</v>
      </c>
      <c r="C12" s="5">
        <v>46080</v>
      </c>
      <c r="D12" s="1" t="s">
        <v>19</v>
      </c>
      <c r="E12" s="6" t="s">
        <v>26</v>
      </c>
      <c r="F12" s="6" t="s">
        <v>717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254</v>
      </c>
    </row>
    <row r="13" spans="1:18">
      <c r="A13" s="1">
        <v>10</v>
      </c>
      <c r="B13" s="1" t="s">
        <v>724</v>
      </c>
      <c r="C13" s="5">
        <v>46104</v>
      </c>
      <c r="D13" s="1" t="s">
        <v>44</v>
      </c>
      <c r="E13" s="6" t="s">
        <v>49</v>
      </c>
      <c r="F13" s="6" t="s">
        <v>717</v>
      </c>
      <c r="G13" s="1" t="s">
        <v>5</v>
      </c>
      <c r="H13" s="1" t="s">
        <v>31</v>
      </c>
      <c r="I13" s="1" t="s">
        <v>28</v>
      </c>
      <c r="J13" s="1" t="s">
        <v>104</v>
      </c>
      <c r="K13" s="1" t="s">
        <v>49</v>
      </c>
      <c r="L13" s="1">
        <v>1</v>
      </c>
      <c r="M13" s="1">
        <v>4</v>
      </c>
      <c r="N13" s="1">
        <v>7</v>
      </c>
      <c r="O13" s="1">
        <v>5</v>
      </c>
      <c r="P13" s="1" t="s">
        <v>254</v>
      </c>
    </row>
    <row r="14" spans="1:18">
      <c r="A14" s="1">
        <v>11</v>
      </c>
      <c r="B14" s="1" t="s">
        <v>725</v>
      </c>
      <c r="C14" s="5">
        <v>46092</v>
      </c>
      <c r="D14" s="1" t="s">
        <v>44</v>
      </c>
      <c r="E14" s="6" t="s">
        <v>26</v>
      </c>
      <c r="F14" s="6" t="s">
        <v>713</v>
      </c>
      <c r="G14" s="1" t="s">
        <v>50</v>
      </c>
      <c r="H14" s="1" t="s">
        <v>31</v>
      </c>
      <c r="I14" s="1" t="s">
        <v>36</v>
      </c>
      <c r="J14" s="1" t="s">
        <v>7</v>
      </c>
      <c r="K14" s="1" t="s">
        <v>64</v>
      </c>
      <c r="L14" s="1">
        <v>5</v>
      </c>
      <c r="M14" s="1">
        <v>5</v>
      </c>
      <c r="N14" s="1">
        <v>4</v>
      </c>
      <c r="O14" s="1">
        <v>7</v>
      </c>
      <c r="P14" s="1" t="s">
        <v>254</v>
      </c>
    </row>
    <row r="15" spans="1:18">
      <c r="A15" s="1">
        <v>12</v>
      </c>
      <c r="B15" s="1" t="s">
        <v>726</v>
      </c>
      <c r="C15" s="5">
        <v>46087</v>
      </c>
      <c r="D15" s="1" t="s">
        <v>44</v>
      </c>
      <c r="E15" s="6" t="s">
        <v>91</v>
      </c>
      <c r="F15" s="6" t="s">
        <v>717</v>
      </c>
      <c r="G15" s="1" t="s">
        <v>92</v>
      </c>
      <c r="H15" s="1" t="s">
        <v>21</v>
      </c>
      <c r="I15" s="1" t="s">
        <v>15</v>
      </c>
      <c r="J15" s="1" t="s">
        <v>15</v>
      </c>
      <c r="K15" s="1" t="s">
        <v>61</v>
      </c>
      <c r="L15" s="1">
        <v>7</v>
      </c>
      <c r="M15" s="1">
        <v>8</v>
      </c>
      <c r="N15" s="1">
        <v>0</v>
      </c>
      <c r="O15" s="1">
        <v>5</v>
      </c>
      <c r="P15" s="1" t="s">
        <v>293</v>
      </c>
    </row>
    <row r="16" spans="1:18">
      <c r="A16" s="1">
        <v>13</v>
      </c>
      <c r="B16" s="1" t="s">
        <v>727</v>
      </c>
      <c r="C16" s="5">
        <v>46086</v>
      </c>
      <c r="D16" s="1" t="s">
        <v>44</v>
      </c>
      <c r="E16" s="6" t="s">
        <v>49</v>
      </c>
      <c r="F16" s="6" t="s">
        <v>713</v>
      </c>
      <c r="G16" s="1" t="s">
        <v>5</v>
      </c>
      <c r="H16" s="1" t="s">
        <v>21</v>
      </c>
      <c r="I16" s="1" t="s">
        <v>78</v>
      </c>
      <c r="J16" s="1" t="s">
        <v>22</v>
      </c>
      <c r="K16" s="1" t="s">
        <v>12</v>
      </c>
      <c r="L16" s="1">
        <v>3</v>
      </c>
      <c r="M16" s="1">
        <v>6</v>
      </c>
      <c r="N16" s="1">
        <v>5</v>
      </c>
      <c r="O16" s="1">
        <v>4</v>
      </c>
      <c r="P16" s="1" t="s">
        <v>293</v>
      </c>
    </row>
    <row r="17" spans="1:16">
      <c r="A17" s="1">
        <v>14</v>
      </c>
      <c r="B17" s="1" t="s">
        <v>728</v>
      </c>
      <c r="C17" s="5">
        <v>46087</v>
      </c>
      <c r="D17" s="1" t="s">
        <v>44</v>
      </c>
      <c r="E17" s="6" t="s">
        <v>4</v>
      </c>
      <c r="F17" s="6" t="s">
        <v>722</v>
      </c>
      <c r="G17" s="1" t="s">
        <v>92</v>
      </c>
      <c r="H17" s="1" t="s">
        <v>51</v>
      </c>
      <c r="I17" s="1" t="s">
        <v>32</v>
      </c>
      <c r="J17" s="1" t="s">
        <v>78</v>
      </c>
      <c r="K17" s="1" t="s">
        <v>12</v>
      </c>
      <c r="L17" s="1">
        <v>1</v>
      </c>
      <c r="M17" s="1">
        <v>1</v>
      </c>
      <c r="N17" s="1">
        <v>8</v>
      </c>
      <c r="O17" s="1">
        <v>5</v>
      </c>
      <c r="P17" s="1" t="s">
        <v>238</v>
      </c>
    </row>
    <row r="18" spans="1:16">
      <c r="A18" s="1">
        <v>15</v>
      </c>
      <c r="B18" s="1" t="s">
        <v>729</v>
      </c>
      <c r="C18" s="5">
        <v>46122</v>
      </c>
      <c r="D18" s="1" t="s">
        <v>53</v>
      </c>
      <c r="E18" s="6" t="s">
        <v>20</v>
      </c>
      <c r="F18" s="6" t="s">
        <v>717</v>
      </c>
      <c r="G18" s="1" t="s">
        <v>13</v>
      </c>
      <c r="H18" s="1" t="s">
        <v>77</v>
      </c>
      <c r="I18" s="1" t="s">
        <v>15</v>
      </c>
      <c r="J18" s="1" t="s">
        <v>15</v>
      </c>
      <c r="K18" s="1" t="s">
        <v>91</v>
      </c>
      <c r="L18" s="1">
        <v>8</v>
      </c>
      <c r="M18" s="1">
        <v>5</v>
      </c>
      <c r="N18" s="1">
        <v>6</v>
      </c>
      <c r="O18" s="1">
        <v>2</v>
      </c>
      <c r="P18" s="1" t="s">
        <v>293</v>
      </c>
    </row>
    <row r="19" spans="1:16">
      <c r="A19" s="1">
        <v>16</v>
      </c>
      <c r="B19" s="1" t="s">
        <v>730</v>
      </c>
      <c r="C19" s="5">
        <v>46133</v>
      </c>
      <c r="D19" s="1" t="s">
        <v>53</v>
      </c>
      <c r="E19" s="6" t="s">
        <v>16</v>
      </c>
      <c r="F19" s="6" t="s">
        <v>715</v>
      </c>
      <c r="G19" s="1" t="s">
        <v>92</v>
      </c>
      <c r="H19" s="1" t="s">
        <v>31</v>
      </c>
      <c r="I19" s="1" t="s">
        <v>93</v>
      </c>
      <c r="J19" s="1" t="s">
        <v>78</v>
      </c>
      <c r="K19" s="1" t="s">
        <v>64</v>
      </c>
      <c r="L19" s="1">
        <v>8</v>
      </c>
      <c r="M19" s="1">
        <v>1</v>
      </c>
      <c r="N19" s="1">
        <v>3</v>
      </c>
      <c r="O19" s="1">
        <v>8</v>
      </c>
      <c r="P19" s="1" t="s">
        <v>293</v>
      </c>
    </row>
    <row r="20" spans="1:16">
      <c r="A20" s="1">
        <v>17</v>
      </c>
      <c r="B20" s="1" t="s">
        <v>731</v>
      </c>
      <c r="C20" s="5">
        <v>46120</v>
      </c>
      <c r="D20" s="1" t="s">
        <v>53</v>
      </c>
      <c r="E20" s="6" t="s">
        <v>12</v>
      </c>
      <c r="F20" s="6" t="s">
        <v>711</v>
      </c>
      <c r="G20" s="1" t="s">
        <v>5</v>
      </c>
      <c r="H20" s="1" t="s">
        <v>6</v>
      </c>
      <c r="I20" s="1" t="s">
        <v>68</v>
      </c>
      <c r="J20" s="1" t="s">
        <v>32</v>
      </c>
      <c r="K20" s="1" t="s">
        <v>38</v>
      </c>
      <c r="L20" s="1">
        <v>3</v>
      </c>
      <c r="M20" s="1">
        <v>5</v>
      </c>
      <c r="N20" s="1">
        <v>1</v>
      </c>
      <c r="O20" s="1">
        <v>0</v>
      </c>
      <c r="P20" s="1" t="s">
        <v>293</v>
      </c>
    </row>
    <row r="21" spans="1:16">
      <c r="A21" s="1">
        <v>18</v>
      </c>
      <c r="B21" s="1" t="s">
        <v>732</v>
      </c>
      <c r="C21" s="5">
        <v>46137</v>
      </c>
      <c r="D21" s="1" t="s">
        <v>53</v>
      </c>
      <c r="E21" s="6" t="s">
        <v>57</v>
      </c>
      <c r="F21" s="6" t="s">
        <v>717</v>
      </c>
      <c r="G21" s="1" t="s">
        <v>58</v>
      </c>
      <c r="H21" s="1" t="s">
        <v>95</v>
      </c>
      <c r="I21" s="1" t="s">
        <v>15</v>
      </c>
      <c r="J21" s="1" t="s">
        <v>104</v>
      </c>
      <c r="K21" s="1" t="s">
        <v>54</v>
      </c>
      <c r="L21" s="1">
        <v>5</v>
      </c>
      <c r="M21" s="1">
        <v>4</v>
      </c>
      <c r="N21" s="1">
        <v>0</v>
      </c>
      <c r="O21" s="1">
        <v>6</v>
      </c>
      <c r="P21" s="1" t="s">
        <v>297</v>
      </c>
    </row>
    <row r="22" spans="1:16">
      <c r="A22" s="1">
        <v>19</v>
      </c>
      <c r="B22" s="1" t="s">
        <v>733</v>
      </c>
      <c r="C22" s="5">
        <v>46122</v>
      </c>
      <c r="D22" s="1" t="s">
        <v>53</v>
      </c>
      <c r="E22" s="6" t="s">
        <v>30</v>
      </c>
      <c r="F22" s="6" t="s">
        <v>717</v>
      </c>
      <c r="G22" s="1" t="s">
        <v>39</v>
      </c>
      <c r="H22" s="1" t="s">
        <v>95</v>
      </c>
      <c r="I22" s="1" t="s">
        <v>78</v>
      </c>
      <c r="J22" s="1" t="s">
        <v>93</v>
      </c>
      <c r="K22" s="1" t="s">
        <v>26</v>
      </c>
      <c r="L22" s="1">
        <v>3</v>
      </c>
      <c r="M22" s="1">
        <v>0</v>
      </c>
      <c r="N22" s="1">
        <v>1</v>
      </c>
      <c r="O22" s="1">
        <v>0</v>
      </c>
      <c r="P22" s="1" t="s">
        <v>293</v>
      </c>
    </row>
    <row r="23" spans="1:16">
      <c r="A23" s="1">
        <v>20</v>
      </c>
      <c r="B23" s="1" t="s">
        <v>734</v>
      </c>
      <c r="C23" s="5">
        <v>46163</v>
      </c>
      <c r="D23" s="1" t="s">
        <v>60</v>
      </c>
      <c r="E23" s="6" t="s">
        <v>16</v>
      </c>
      <c r="F23" s="6" t="s">
        <v>713</v>
      </c>
      <c r="G23" s="1" t="s">
        <v>58</v>
      </c>
      <c r="H23" s="1" t="s">
        <v>31</v>
      </c>
      <c r="I23" s="1" t="s">
        <v>36</v>
      </c>
      <c r="J23" s="1" t="s">
        <v>7</v>
      </c>
      <c r="K23" s="1" t="s">
        <v>30</v>
      </c>
      <c r="L23" s="1">
        <v>7</v>
      </c>
      <c r="M23" s="1">
        <v>2</v>
      </c>
      <c r="N23" s="1">
        <v>1</v>
      </c>
      <c r="O23" s="1">
        <v>1</v>
      </c>
      <c r="P23" s="1" t="s">
        <v>297</v>
      </c>
    </row>
    <row r="24" spans="1:16">
      <c r="A24" s="1">
        <v>21</v>
      </c>
      <c r="B24" s="1" t="s">
        <v>735</v>
      </c>
      <c r="C24" s="5">
        <v>46168</v>
      </c>
      <c r="D24" s="1" t="s">
        <v>60</v>
      </c>
      <c r="E24" s="6" t="s">
        <v>57</v>
      </c>
      <c r="F24" s="6" t="s">
        <v>713</v>
      </c>
      <c r="G24" s="1" t="s">
        <v>50</v>
      </c>
      <c r="H24" s="1" t="s">
        <v>87</v>
      </c>
      <c r="I24" s="1" t="s">
        <v>66</v>
      </c>
      <c r="J24" s="1" t="s">
        <v>68</v>
      </c>
      <c r="K24" s="1" t="s">
        <v>26</v>
      </c>
      <c r="L24" s="1">
        <v>5</v>
      </c>
      <c r="M24" s="1">
        <v>5</v>
      </c>
      <c r="N24" s="1">
        <v>4</v>
      </c>
      <c r="O24" s="1">
        <v>8</v>
      </c>
      <c r="P24" s="1" t="s">
        <v>293</v>
      </c>
    </row>
    <row r="25" spans="1:16">
      <c r="A25" s="1">
        <v>22</v>
      </c>
      <c r="B25" s="1" t="s">
        <v>736</v>
      </c>
      <c r="C25" s="5">
        <v>46163</v>
      </c>
      <c r="D25" s="1" t="s">
        <v>60</v>
      </c>
      <c r="E25" s="6" t="s">
        <v>20</v>
      </c>
      <c r="F25" s="6" t="s">
        <v>715</v>
      </c>
      <c r="G25" s="1" t="s">
        <v>65</v>
      </c>
      <c r="H25" s="1" t="s">
        <v>95</v>
      </c>
      <c r="I25" s="1" t="s">
        <v>7</v>
      </c>
      <c r="J25" s="1" t="s">
        <v>32</v>
      </c>
      <c r="K25" s="1" t="s">
        <v>91</v>
      </c>
      <c r="L25" s="1">
        <v>8</v>
      </c>
      <c r="M25" s="1">
        <v>6</v>
      </c>
      <c r="N25" s="1">
        <v>2</v>
      </c>
      <c r="O25" s="1">
        <v>0</v>
      </c>
      <c r="P25" s="1" t="s">
        <v>293</v>
      </c>
    </row>
    <row r="26" spans="1:16">
      <c r="A26" s="1">
        <v>23</v>
      </c>
      <c r="B26" s="1" t="s">
        <v>737</v>
      </c>
      <c r="C26" s="5">
        <v>46195</v>
      </c>
      <c r="D26" s="1" t="s">
        <v>73</v>
      </c>
      <c r="E26" s="6" t="s">
        <v>30</v>
      </c>
      <c r="F26" s="6" t="s">
        <v>713</v>
      </c>
      <c r="G26" s="1" t="s">
        <v>46</v>
      </c>
      <c r="H26" s="1" t="s">
        <v>35</v>
      </c>
      <c r="I26" s="1" t="s">
        <v>32</v>
      </c>
      <c r="J26" s="1" t="s">
        <v>22</v>
      </c>
      <c r="K26" s="1" t="s">
        <v>38</v>
      </c>
      <c r="L26" s="1">
        <v>0</v>
      </c>
      <c r="M26" s="1">
        <v>2</v>
      </c>
      <c r="N26" s="1">
        <v>1</v>
      </c>
      <c r="O26" s="1">
        <v>1</v>
      </c>
      <c r="P26" s="1" t="s">
        <v>293</v>
      </c>
    </row>
    <row r="27" spans="1:16">
      <c r="A27" s="1">
        <v>24</v>
      </c>
      <c r="B27" s="1" t="s">
        <v>738</v>
      </c>
      <c r="C27" s="5">
        <v>46181</v>
      </c>
      <c r="D27" s="1" t="s">
        <v>73</v>
      </c>
      <c r="E27" s="6" t="s">
        <v>4</v>
      </c>
      <c r="F27" s="6" t="s">
        <v>715</v>
      </c>
      <c r="G27" s="1" t="s">
        <v>92</v>
      </c>
      <c r="H27" s="1" t="s">
        <v>6</v>
      </c>
      <c r="I27" s="1" t="s">
        <v>93</v>
      </c>
      <c r="J27" s="1" t="s">
        <v>68</v>
      </c>
      <c r="K27" s="1" t="s">
        <v>38</v>
      </c>
      <c r="L27" s="1">
        <v>8</v>
      </c>
      <c r="M27" s="1">
        <v>6</v>
      </c>
      <c r="N27" s="1">
        <v>1</v>
      </c>
      <c r="O27" s="1">
        <v>2</v>
      </c>
      <c r="P27" s="1" t="s">
        <v>293</v>
      </c>
    </row>
    <row r="28" spans="1:16">
      <c r="A28" s="1">
        <v>25</v>
      </c>
      <c r="B28" s="1" t="s">
        <v>739</v>
      </c>
      <c r="C28" s="5">
        <v>46184</v>
      </c>
      <c r="D28" s="1" t="s">
        <v>73</v>
      </c>
      <c r="E28" s="6" t="s">
        <v>57</v>
      </c>
      <c r="F28" s="6" t="s">
        <v>740</v>
      </c>
      <c r="G28" s="1" t="s">
        <v>46</v>
      </c>
      <c r="H28" s="1" t="s">
        <v>35</v>
      </c>
      <c r="I28" s="1" t="s">
        <v>104</v>
      </c>
      <c r="J28" s="1" t="s">
        <v>32</v>
      </c>
      <c r="K28" s="1" t="s">
        <v>4</v>
      </c>
      <c r="L28" s="1">
        <v>2</v>
      </c>
      <c r="M28" s="1">
        <v>5</v>
      </c>
      <c r="N28" s="1">
        <v>6</v>
      </c>
      <c r="O28" s="1">
        <v>7</v>
      </c>
      <c r="P28" s="1" t="s">
        <v>293</v>
      </c>
    </row>
    <row r="29" spans="1:16">
      <c r="A29" s="1">
        <v>26</v>
      </c>
      <c r="B29" s="1" t="s">
        <v>741</v>
      </c>
      <c r="C29" s="5">
        <v>46185</v>
      </c>
      <c r="D29" s="1" t="s">
        <v>73</v>
      </c>
      <c r="E29" s="6" t="s">
        <v>61</v>
      </c>
      <c r="F29" s="6" t="s">
        <v>717</v>
      </c>
      <c r="G29" s="1" t="s">
        <v>50</v>
      </c>
      <c r="H29" s="1" t="s">
        <v>82</v>
      </c>
      <c r="I29" s="1" t="s">
        <v>78</v>
      </c>
      <c r="J29" s="1" t="s">
        <v>41</v>
      </c>
      <c r="K29" s="1" t="s">
        <v>20</v>
      </c>
      <c r="L29" s="1">
        <v>1</v>
      </c>
      <c r="M29" s="1">
        <v>4</v>
      </c>
      <c r="N29" s="1">
        <v>3</v>
      </c>
      <c r="O29" s="1">
        <v>4</v>
      </c>
      <c r="P29" s="1" t="s">
        <v>293</v>
      </c>
    </row>
    <row r="30" spans="1:16">
      <c r="A30" s="1">
        <v>27</v>
      </c>
      <c r="B30" s="1" t="s">
        <v>742</v>
      </c>
      <c r="C30" s="5">
        <v>46188</v>
      </c>
      <c r="D30" s="1" t="s">
        <v>73</v>
      </c>
      <c r="E30" s="6" t="s">
        <v>61</v>
      </c>
      <c r="F30" s="6" t="s">
        <v>711</v>
      </c>
      <c r="G30" s="1" t="s">
        <v>5</v>
      </c>
      <c r="H30" s="1" t="s">
        <v>21</v>
      </c>
      <c r="I30" s="1" t="s">
        <v>15</v>
      </c>
      <c r="J30" s="1" t="s">
        <v>15</v>
      </c>
      <c r="K30" s="1" t="s">
        <v>38</v>
      </c>
      <c r="L30" s="1">
        <v>8</v>
      </c>
      <c r="M30" s="1">
        <v>5</v>
      </c>
      <c r="N30" s="1">
        <v>2</v>
      </c>
      <c r="O30" s="1">
        <v>8</v>
      </c>
      <c r="P30" s="1" t="s">
        <v>238</v>
      </c>
    </row>
    <row r="31" spans="1:16">
      <c r="A31" s="1">
        <v>28</v>
      </c>
      <c r="B31" s="1" t="s">
        <v>743</v>
      </c>
      <c r="C31" s="5">
        <v>46215</v>
      </c>
      <c r="D31" s="1" t="s">
        <v>76</v>
      </c>
      <c r="E31" s="6" t="s">
        <v>91</v>
      </c>
      <c r="F31" s="6" t="s">
        <v>715</v>
      </c>
      <c r="G31" s="1" t="s">
        <v>46</v>
      </c>
      <c r="H31" s="1" t="s">
        <v>82</v>
      </c>
      <c r="I31" s="1" t="s">
        <v>68</v>
      </c>
      <c r="J31" s="1" t="s">
        <v>36</v>
      </c>
      <c r="K31" s="1" t="s">
        <v>38</v>
      </c>
      <c r="L31" s="1">
        <v>7</v>
      </c>
      <c r="M31" s="1">
        <v>1</v>
      </c>
      <c r="N31" s="1">
        <v>0</v>
      </c>
      <c r="O31" s="1">
        <v>7</v>
      </c>
      <c r="P31" s="1" t="s">
        <v>293</v>
      </c>
    </row>
    <row r="32" spans="1:16">
      <c r="A32" s="1">
        <v>29</v>
      </c>
      <c r="B32" s="1" t="s">
        <v>744</v>
      </c>
      <c r="C32" s="5">
        <v>46256</v>
      </c>
      <c r="D32" s="1" t="s">
        <v>86</v>
      </c>
      <c r="E32" s="6" t="s">
        <v>12</v>
      </c>
      <c r="F32" s="6" t="s">
        <v>740</v>
      </c>
      <c r="G32" s="1" t="s">
        <v>92</v>
      </c>
      <c r="H32" s="1" t="s">
        <v>95</v>
      </c>
      <c r="I32" s="1" t="s">
        <v>104</v>
      </c>
      <c r="J32" s="1" t="s">
        <v>15</v>
      </c>
      <c r="K32" s="1" t="s">
        <v>49</v>
      </c>
      <c r="L32" s="1">
        <v>7</v>
      </c>
      <c r="M32" s="1">
        <v>4</v>
      </c>
      <c r="N32" s="1">
        <v>7</v>
      </c>
      <c r="O32" s="1">
        <v>4</v>
      </c>
      <c r="P32" s="1" t="s">
        <v>293</v>
      </c>
    </row>
    <row r="33" spans="1:16">
      <c r="A33" s="1">
        <v>30</v>
      </c>
      <c r="B33" s="1" t="s">
        <v>745</v>
      </c>
      <c r="C33" s="5">
        <v>46251</v>
      </c>
      <c r="D33" s="1" t="s">
        <v>86</v>
      </c>
      <c r="E33" s="6" t="s">
        <v>38</v>
      </c>
      <c r="F33" s="6" t="s">
        <v>715</v>
      </c>
      <c r="G33" s="1" t="s">
        <v>50</v>
      </c>
      <c r="H33" s="1" t="s">
        <v>21</v>
      </c>
      <c r="I33" s="1" t="s">
        <v>93</v>
      </c>
      <c r="J33" s="1" t="s">
        <v>36</v>
      </c>
      <c r="K33" s="1" t="s">
        <v>16</v>
      </c>
      <c r="L33" s="1">
        <v>2</v>
      </c>
      <c r="M33" s="1">
        <v>7</v>
      </c>
      <c r="N33" s="1">
        <v>2</v>
      </c>
      <c r="O33" s="1">
        <v>1</v>
      </c>
      <c r="P33" s="1" t="s">
        <v>293</v>
      </c>
    </row>
    <row r="34" spans="1:16">
      <c r="A34" s="1">
        <v>31</v>
      </c>
      <c r="B34" s="1" t="s">
        <v>746</v>
      </c>
      <c r="C34" s="5">
        <v>46237</v>
      </c>
      <c r="D34" s="1" t="s">
        <v>86</v>
      </c>
      <c r="E34" s="6" t="s">
        <v>16</v>
      </c>
      <c r="F34" s="6" t="s">
        <v>713</v>
      </c>
      <c r="G34" s="1" t="s">
        <v>13</v>
      </c>
      <c r="H34" s="1" t="s">
        <v>77</v>
      </c>
      <c r="I34" s="1" t="s">
        <v>68</v>
      </c>
      <c r="J34" s="1" t="s">
        <v>22</v>
      </c>
      <c r="K34" s="1" t="s">
        <v>38</v>
      </c>
      <c r="L34" s="1">
        <v>7</v>
      </c>
      <c r="M34" s="1">
        <v>0</v>
      </c>
      <c r="N34" s="1">
        <v>0</v>
      </c>
      <c r="O34" s="1">
        <v>4</v>
      </c>
      <c r="P34" s="1" t="s">
        <v>293</v>
      </c>
    </row>
    <row r="35" spans="1:16">
      <c r="A35" s="1">
        <v>32</v>
      </c>
      <c r="B35" s="1" t="s">
        <v>747</v>
      </c>
      <c r="C35" s="5">
        <v>46244</v>
      </c>
      <c r="D35" s="1" t="s">
        <v>86</v>
      </c>
      <c r="E35" s="6" t="s">
        <v>61</v>
      </c>
      <c r="F35" s="6" t="s">
        <v>717</v>
      </c>
      <c r="G35" s="1" t="s">
        <v>5</v>
      </c>
      <c r="H35" s="1" t="s">
        <v>87</v>
      </c>
      <c r="I35" s="1" t="s">
        <v>78</v>
      </c>
      <c r="J35" s="1" t="s">
        <v>70</v>
      </c>
      <c r="K35" s="1" t="s">
        <v>91</v>
      </c>
      <c r="L35" s="1">
        <v>8</v>
      </c>
      <c r="M35" s="1">
        <v>1</v>
      </c>
      <c r="N35" s="1">
        <v>8</v>
      </c>
      <c r="O35" s="1">
        <v>1</v>
      </c>
      <c r="P35" s="1" t="s">
        <v>293</v>
      </c>
    </row>
    <row r="36" spans="1:16">
      <c r="A36" s="1">
        <v>33</v>
      </c>
      <c r="B36" s="1" t="s">
        <v>748</v>
      </c>
      <c r="C36" s="5">
        <v>46239</v>
      </c>
      <c r="D36" s="1" t="s">
        <v>86</v>
      </c>
      <c r="E36" s="6" t="s">
        <v>49</v>
      </c>
      <c r="F36" s="6" t="s">
        <v>722</v>
      </c>
      <c r="G36" s="1" t="s">
        <v>39</v>
      </c>
      <c r="H36" s="1" t="s">
        <v>31</v>
      </c>
      <c r="I36" s="1" t="s">
        <v>36</v>
      </c>
      <c r="J36" s="1" t="s">
        <v>104</v>
      </c>
      <c r="K36" s="1" t="s">
        <v>64</v>
      </c>
      <c r="L36" s="1">
        <v>4</v>
      </c>
      <c r="M36" s="1">
        <v>1</v>
      </c>
      <c r="N36" s="1">
        <v>3</v>
      </c>
      <c r="O36" s="1">
        <v>3</v>
      </c>
      <c r="P36" s="1" t="s">
        <v>297</v>
      </c>
    </row>
    <row r="37" spans="1:16">
      <c r="A37" s="1">
        <v>34</v>
      </c>
      <c r="B37" s="1" t="s">
        <v>749</v>
      </c>
      <c r="C37" s="5">
        <v>46237</v>
      </c>
      <c r="D37" s="1" t="s">
        <v>86</v>
      </c>
      <c r="E37" s="6" t="s">
        <v>61</v>
      </c>
      <c r="F37" s="6" t="s">
        <v>713</v>
      </c>
      <c r="G37" s="1" t="s">
        <v>27</v>
      </c>
      <c r="H37" s="1" t="s">
        <v>31</v>
      </c>
      <c r="I37" s="1" t="s">
        <v>32</v>
      </c>
      <c r="J37" s="1" t="s">
        <v>66</v>
      </c>
      <c r="K37" s="1" t="s">
        <v>61</v>
      </c>
      <c r="L37" s="1">
        <v>5</v>
      </c>
      <c r="M37" s="1">
        <v>1</v>
      </c>
      <c r="N37" s="1">
        <v>4</v>
      </c>
      <c r="O37" s="1">
        <v>2</v>
      </c>
      <c r="P37" s="1" t="s">
        <v>254</v>
      </c>
    </row>
    <row r="38" spans="1:16">
      <c r="A38" s="1">
        <v>35</v>
      </c>
      <c r="B38" s="1" t="s">
        <v>750</v>
      </c>
      <c r="C38" s="5">
        <v>46243</v>
      </c>
      <c r="D38" s="1" t="s">
        <v>86</v>
      </c>
      <c r="E38" s="6" t="s">
        <v>49</v>
      </c>
      <c r="F38" s="6" t="s">
        <v>711</v>
      </c>
      <c r="G38" s="1" t="s">
        <v>89</v>
      </c>
      <c r="H38" s="1" t="s">
        <v>6</v>
      </c>
      <c r="I38" s="1" t="s">
        <v>68</v>
      </c>
      <c r="J38" s="1" t="s">
        <v>62</v>
      </c>
      <c r="K38" s="1" t="s">
        <v>4</v>
      </c>
      <c r="L38" s="1">
        <v>4</v>
      </c>
      <c r="M38" s="1">
        <v>7</v>
      </c>
      <c r="N38" s="1">
        <v>2</v>
      </c>
      <c r="O38" s="1">
        <v>2</v>
      </c>
      <c r="P38" s="1" t="s">
        <v>238</v>
      </c>
    </row>
    <row r="39" spans="1:16">
      <c r="A39" s="1">
        <v>36</v>
      </c>
      <c r="B39" s="1" t="s">
        <v>751</v>
      </c>
      <c r="C39" s="5">
        <v>46260</v>
      </c>
      <c r="D39" s="1" t="s">
        <v>86</v>
      </c>
      <c r="E39" s="6" t="s">
        <v>61</v>
      </c>
      <c r="F39" s="6" t="s">
        <v>715</v>
      </c>
      <c r="G39" s="1" t="s">
        <v>92</v>
      </c>
      <c r="H39" s="1" t="s">
        <v>87</v>
      </c>
      <c r="I39" s="1" t="s">
        <v>68</v>
      </c>
      <c r="J39" s="1" t="s">
        <v>70</v>
      </c>
      <c r="K39" s="1" t="s">
        <v>16</v>
      </c>
      <c r="L39" s="1">
        <v>7</v>
      </c>
      <c r="M39" s="1">
        <v>2</v>
      </c>
      <c r="N39" s="1">
        <v>1</v>
      </c>
      <c r="O39" s="1">
        <v>8</v>
      </c>
      <c r="P39" s="1" t="s">
        <v>254</v>
      </c>
    </row>
    <row r="40" spans="1:16">
      <c r="A40" s="1">
        <v>37</v>
      </c>
      <c r="B40" s="1" t="s">
        <v>752</v>
      </c>
      <c r="C40" s="5">
        <v>46237</v>
      </c>
      <c r="D40" s="1" t="s">
        <v>86</v>
      </c>
      <c r="E40" s="6" t="s">
        <v>54</v>
      </c>
      <c r="F40" s="6" t="s">
        <v>740</v>
      </c>
      <c r="G40" s="1" t="s">
        <v>46</v>
      </c>
      <c r="H40" s="1" t="s">
        <v>77</v>
      </c>
      <c r="I40" s="1" t="s">
        <v>70</v>
      </c>
      <c r="J40" s="1" t="s">
        <v>7</v>
      </c>
      <c r="K40" s="1" t="s">
        <v>12</v>
      </c>
      <c r="L40" s="1">
        <v>3</v>
      </c>
      <c r="M40" s="1">
        <v>0</v>
      </c>
      <c r="N40" s="1">
        <v>3</v>
      </c>
      <c r="O40" s="1">
        <v>0</v>
      </c>
      <c r="P40" s="1" t="s">
        <v>293</v>
      </c>
    </row>
    <row r="41" spans="1:16">
      <c r="A41" s="1">
        <v>38</v>
      </c>
      <c r="B41" s="1" t="s">
        <v>753</v>
      </c>
      <c r="C41" s="5">
        <v>46274</v>
      </c>
      <c r="D41" s="1" t="s">
        <v>102</v>
      </c>
      <c r="E41" s="6" t="s">
        <v>54</v>
      </c>
      <c r="F41" s="6" t="s">
        <v>715</v>
      </c>
      <c r="G41" s="1" t="s">
        <v>13</v>
      </c>
      <c r="H41" s="1" t="s">
        <v>35</v>
      </c>
      <c r="I41" s="1" t="s">
        <v>22</v>
      </c>
      <c r="J41" s="1" t="s">
        <v>15</v>
      </c>
      <c r="K41" s="1" t="s">
        <v>57</v>
      </c>
      <c r="L41" s="1">
        <v>5</v>
      </c>
      <c r="M41" s="1">
        <v>7</v>
      </c>
      <c r="N41" s="1">
        <v>7</v>
      </c>
      <c r="O41" s="1">
        <v>6</v>
      </c>
      <c r="P41" s="1" t="s">
        <v>297</v>
      </c>
    </row>
    <row r="42" spans="1:16">
      <c r="A42" s="1">
        <v>39</v>
      </c>
      <c r="B42" s="1" t="s">
        <v>754</v>
      </c>
      <c r="C42" s="5">
        <v>46278</v>
      </c>
      <c r="D42" s="1" t="s">
        <v>102</v>
      </c>
      <c r="E42" s="6" t="s">
        <v>12</v>
      </c>
      <c r="F42" s="6" t="s">
        <v>740</v>
      </c>
      <c r="G42" s="1" t="s">
        <v>27</v>
      </c>
      <c r="H42" s="1" t="s">
        <v>6</v>
      </c>
      <c r="I42" s="1" t="s">
        <v>7</v>
      </c>
      <c r="J42" s="1" t="s">
        <v>7</v>
      </c>
      <c r="K42" s="1" t="s">
        <v>49</v>
      </c>
      <c r="L42" s="1">
        <v>4</v>
      </c>
      <c r="M42" s="1">
        <v>3</v>
      </c>
      <c r="N42" s="1">
        <v>7</v>
      </c>
      <c r="O42" s="1">
        <v>1</v>
      </c>
      <c r="P42" s="1" t="s">
        <v>238</v>
      </c>
    </row>
    <row r="43" spans="1:16">
      <c r="A43" s="1">
        <v>40</v>
      </c>
      <c r="B43" s="1" t="s">
        <v>755</v>
      </c>
      <c r="C43" s="5">
        <v>46302</v>
      </c>
      <c r="D43" s="1" t="s">
        <v>106</v>
      </c>
      <c r="E43" s="6" t="s">
        <v>20</v>
      </c>
      <c r="F43" s="6" t="s">
        <v>711</v>
      </c>
      <c r="G43" s="1" t="s">
        <v>65</v>
      </c>
      <c r="H43" s="1" t="s">
        <v>21</v>
      </c>
      <c r="I43" s="1" t="s">
        <v>93</v>
      </c>
      <c r="J43" s="1" t="s">
        <v>68</v>
      </c>
      <c r="K43" s="1" t="s">
        <v>49</v>
      </c>
      <c r="L43" s="1">
        <v>7</v>
      </c>
      <c r="M43" s="1">
        <v>8</v>
      </c>
      <c r="N43" s="1">
        <v>5</v>
      </c>
      <c r="O43" s="1">
        <v>1</v>
      </c>
      <c r="P43" s="1" t="s">
        <v>293</v>
      </c>
    </row>
    <row r="44" spans="1:16">
      <c r="A44" s="1">
        <v>41</v>
      </c>
      <c r="B44" s="1" t="s">
        <v>756</v>
      </c>
      <c r="C44" s="5">
        <v>46328</v>
      </c>
      <c r="D44" s="1" t="s">
        <v>111</v>
      </c>
      <c r="E44" s="6" t="s">
        <v>64</v>
      </c>
      <c r="F44" s="6" t="s">
        <v>740</v>
      </c>
      <c r="G44" s="1" t="s">
        <v>65</v>
      </c>
      <c r="H44" s="1" t="s">
        <v>82</v>
      </c>
      <c r="I44" s="1" t="s">
        <v>15</v>
      </c>
      <c r="J44" s="1" t="s">
        <v>32</v>
      </c>
      <c r="K44" s="1" t="s">
        <v>64</v>
      </c>
      <c r="L44" s="1">
        <v>6</v>
      </c>
      <c r="M44" s="1">
        <v>1</v>
      </c>
      <c r="N44" s="1">
        <v>6</v>
      </c>
      <c r="O44" s="1">
        <v>4</v>
      </c>
      <c r="P44" s="1" t="s">
        <v>293</v>
      </c>
    </row>
    <row r="45" spans="1:16">
      <c r="A45" s="1">
        <v>42</v>
      </c>
      <c r="B45" s="1" t="s">
        <v>757</v>
      </c>
      <c r="C45" s="5">
        <v>46336</v>
      </c>
      <c r="D45" s="1" t="s">
        <v>111</v>
      </c>
      <c r="E45" s="6" t="s">
        <v>64</v>
      </c>
      <c r="F45" s="6" t="s">
        <v>711</v>
      </c>
      <c r="G45" s="1" t="s">
        <v>89</v>
      </c>
      <c r="H45" s="1" t="s">
        <v>40</v>
      </c>
      <c r="I45" s="1" t="s">
        <v>70</v>
      </c>
      <c r="J45" s="1" t="s">
        <v>41</v>
      </c>
      <c r="K45" s="1" t="s">
        <v>91</v>
      </c>
      <c r="L45" s="1">
        <v>8</v>
      </c>
      <c r="M45" s="1">
        <v>6</v>
      </c>
      <c r="N45" s="1">
        <v>1</v>
      </c>
      <c r="O45" s="1">
        <v>7</v>
      </c>
      <c r="P45" s="1" t="s">
        <v>293</v>
      </c>
    </row>
    <row r="46" spans="1:16">
      <c r="A46" s="1">
        <v>43</v>
      </c>
      <c r="B46" s="1" t="s">
        <v>758</v>
      </c>
      <c r="C46" s="5">
        <v>46347</v>
      </c>
      <c r="D46" s="1" t="s">
        <v>111</v>
      </c>
      <c r="E46" s="6" t="s">
        <v>61</v>
      </c>
      <c r="F46" s="6" t="s">
        <v>713</v>
      </c>
      <c r="G46" s="1" t="s">
        <v>65</v>
      </c>
      <c r="H46" s="1" t="s">
        <v>40</v>
      </c>
      <c r="I46" s="1" t="s">
        <v>22</v>
      </c>
      <c r="J46" s="1" t="s">
        <v>15</v>
      </c>
      <c r="K46" s="1" t="s">
        <v>4</v>
      </c>
      <c r="L46" s="1">
        <v>5</v>
      </c>
      <c r="M46" s="1">
        <v>5</v>
      </c>
      <c r="N46" s="1">
        <v>5</v>
      </c>
      <c r="O46" s="1">
        <v>6</v>
      </c>
      <c r="P46" s="1" t="s">
        <v>293</v>
      </c>
    </row>
    <row r="47" spans="1:16">
      <c r="A47" s="1">
        <v>44</v>
      </c>
      <c r="B47" s="1" t="s">
        <v>759</v>
      </c>
      <c r="C47" s="5">
        <v>46335</v>
      </c>
      <c r="D47" s="1" t="s">
        <v>111</v>
      </c>
      <c r="E47" s="6" t="s">
        <v>4</v>
      </c>
      <c r="F47" s="6" t="s">
        <v>717</v>
      </c>
      <c r="G47" s="1" t="s">
        <v>92</v>
      </c>
      <c r="H47" s="1" t="s">
        <v>87</v>
      </c>
      <c r="I47" s="1" t="s">
        <v>68</v>
      </c>
      <c r="J47" s="1" t="s">
        <v>70</v>
      </c>
      <c r="K47" s="1" t="s">
        <v>16</v>
      </c>
      <c r="L47" s="1">
        <v>4</v>
      </c>
      <c r="M47" s="1">
        <v>0</v>
      </c>
      <c r="N47" s="1">
        <v>5</v>
      </c>
      <c r="O47" s="1">
        <v>0</v>
      </c>
      <c r="P47" s="1" t="s">
        <v>293</v>
      </c>
    </row>
    <row r="48" spans="1:16">
      <c r="A48" s="1">
        <v>45</v>
      </c>
      <c r="B48" s="1" t="s">
        <v>760</v>
      </c>
      <c r="C48" s="5">
        <v>46336</v>
      </c>
      <c r="D48" s="1" t="s">
        <v>111</v>
      </c>
      <c r="E48" s="6" t="s">
        <v>64</v>
      </c>
      <c r="F48" s="6" t="s">
        <v>740</v>
      </c>
      <c r="G48" s="1" t="s">
        <v>92</v>
      </c>
      <c r="H48" s="1" t="s">
        <v>80</v>
      </c>
      <c r="I48" s="1" t="s">
        <v>32</v>
      </c>
      <c r="J48" s="1" t="s">
        <v>41</v>
      </c>
      <c r="K48" s="1" t="s">
        <v>57</v>
      </c>
      <c r="L48" s="1">
        <v>0</v>
      </c>
      <c r="M48" s="1">
        <v>7</v>
      </c>
      <c r="N48" s="1">
        <v>4</v>
      </c>
      <c r="O48" s="1">
        <v>3</v>
      </c>
      <c r="P48" s="1" t="s">
        <v>297</v>
      </c>
    </row>
    <row r="49" spans="1:16">
      <c r="A49" s="1">
        <v>46</v>
      </c>
      <c r="B49" s="1" t="s">
        <v>761</v>
      </c>
      <c r="C49" s="5">
        <v>46333</v>
      </c>
      <c r="D49" s="1" t="s">
        <v>111</v>
      </c>
      <c r="E49" s="6" t="s">
        <v>49</v>
      </c>
      <c r="F49" s="6" t="s">
        <v>722</v>
      </c>
      <c r="G49" s="1" t="s">
        <v>50</v>
      </c>
      <c r="H49" s="1" t="s">
        <v>80</v>
      </c>
      <c r="I49" s="1" t="s">
        <v>15</v>
      </c>
      <c r="J49" s="1" t="s">
        <v>68</v>
      </c>
      <c r="K49" s="1" t="s">
        <v>64</v>
      </c>
      <c r="L49" s="1">
        <v>0</v>
      </c>
      <c r="M49" s="1">
        <v>7</v>
      </c>
      <c r="N49" s="1">
        <v>3</v>
      </c>
      <c r="O49" s="1">
        <v>8</v>
      </c>
      <c r="P49" s="1" t="s">
        <v>254</v>
      </c>
    </row>
    <row r="50" spans="1:16">
      <c r="A50" s="1">
        <v>47</v>
      </c>
      <c r="B50" s="1" t="s">
        <v>762</v>
      </c>
      <c r="C50" s="5">
        <v>46350</v>
      </c>
      <c r="D50" s="1" t="s">
        <v>111</v>
      </c>
      <c r="E50" s="6" t="s">
        <v>4</v>
      </c>
      <c r="F50" s="6" t="s">
        <v>717</v>
      </c>
      <c r="G50" s="1" t="s">
        <v>50</v>
      </c>
      <c r="H50" s="1" t="s">
        <v>35</v>
      </c>
      <c r="I50" s="1" t="s">
        <v>78</v>
      </c>
      <c r="J50" s="1" t="s">
        <v>66</v>
      </c>
      <c r="K50" s="1" t="s">
        <v>57</v>
      </c>
      <c r="L50" s="1">
        <v>0</v>
      </c>
      <c r="M50" s="1">
        <v>1</v>
      </c>
      <c r="N50" s="1">
        <v>8</v>
      </c>
      <c r="O50" s="1">
        <v>8</v>
      </c>
      <c r="P50" s="1" t="s">
        <v>297</v>
      </c>
    </row>
    <row r="51" spans="1:16">
      <c r="A51" s="1">
        <v>48</v>
      </c>
      <c r="B51" s="1" t="s">
        <v>763</v>
      </c>
      <c r="C51" s="5">
        <v>46368</v>
      </c>
      <c r="D51" s="1" t="s">
        <v>122</v>
      </c>
      <c r="E51" s="6" t="s">
        <v>45</v>
      </c>
      <c r="F51" s="6" t="s">
        <v>713</v>
      </c>
      <c r="G51" s="1" t="s">
        <v>58</v>
      </c>
      <c r="H51" s="1" t="s">
        <v>82</v>
      </c>
      <c r="I51" s="1" t="s">
        <v>68</v>
      </c>
      <c r="J51" s="1" t="s">
        <v>62</v>
      </c>
      <c r="K51" s="1" t="s">
        <v>61</v>
      </c>
      <c r="L51" s="1">
        <v>0</v>
      </c>
      <c r="M51" s="1">
        <v>0</v>
      </c>
      <c r="N51" s="1">
        <v>1</v>
      </c>
      <c r="O51" s="1">
        <v>2</v>
      </c>
      <c r="P51" s="1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773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764</v>
      </c>
      <c r="C3" s="1" t="s">
        <v>126</v>
      </c>
      <c r="D3" s="1" t="s">
        <v>127</v>
      </c>
      <c r="E3" s="1" t="s">
        <v>765</v>
      </c>
      <c r="F3" s="1" t="s">
        <v>766</v>
      </c>
      <c r="G3" s="1" t="s">
        <v>129</v>
      </c>
      <c r="H3" s="1" t="s">
        <v>130</v>
      </c>
      <c r="I3" s="1" t="s">
        <v>767</v>
      </c>
      <c r="J3" s="1" t="s">
        <v>209</v>
      </c>
      <c r="K3" s="1" t="s">
        <v>768</v>
      </c>
      <c r="L3" s="1" t="s">
        <v>769</v>
      </c>
      <c r="M3" s="1" t="s">
        <v>770</v>
      </c>
      <c r="N3" s="1" t="s">
        <v>771</v>
      </c>
      <c r="O3" s="1" t="s">
        <v>772</v>
      </c>
      <c r="P3" s="1" t="s">
        <v>287</v>
      </c>
    </row>
    <row r="4" spans="1:18">
      <c r="A4" s="1">
        <v>1</v>
      </c>
      <c r="B4" s="1" t="s">
        <v>774</v>
      </c>
      <c r="C4" s="5">
        <v>46037</v>
      </c>
      <c r="D4" s="1" t="s">
        <v>3</v>
      </c>
      <c r="E4" s="6" t="s">
        <v>54</v>
      </c>
      <c r="F4" s="6" t="s">
        <v>717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293</v>
      </c>
    </row>
    <row r="5" spans="1:18">
      <c r="A5" s="1">
        <v>2</v>
      </c>
      <c r="B5" s="1" t="s">
        <v>775</v>
      </c>
      <c r="C5" s="5">
        <v>46050</v>
      </c>
      <c r="D5" s="1" t="s">
        <v>3</v>
      </c>
      <c r="E5" s="6" t="s">
        <v>45</v>
      </c>
      <c r="F5" s="6" t="s">
        <v>740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254</v>
      </c>
    </row>
    <row r="6" spans="1:18">
      <c r="A6" s="1">
        <v>3</v>
      </c>
      <c r="B6" s="1" t="s">
        <v>776</v>
      </c>
      <c r="C6" s="5">
        <v>46039</v>
      </c>
      <c r="D6" s="1" t="s">
        <v>3</v>
      </c>
      <c r="E6" s="6" t="s">
        <v>64</v>
      </c>
      <c r="F6" s="6" t="s">
        <v>717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293</v>
      </c>
    </row>
    <row r="7" spans="1:18">
      <c r="A7" s="1">
        <v>4</v>
      </c>
      <c r="B7" s="1" t="s">
        <v>777</v>
      </c>
      <c r="C7" s="5">
        <v>46044</v>
      </c>
      <c r="D7" s="1" t="s">
        <v>3</v>
      </c>
      <c r="E7" s="6" t="s">
        <v>16</v>
      </c>
      <c r="F7" s="6" t="s">
        <v>740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293</v>
      </c>
    </row>
    <row r="8" spans="1:18">
      <c r="A8" s="1">
        <v>5</v>
      </c>
      <c r="B8" s="1" t="s">
        <v>778</v>
      </c>
      <c r="C8" s="5">
        <v>46078</v>
      </c>
      <c r="D8" s="1" t="s">
        <v>19</v>
      </c>
      <c r="E8" s="6" t="s">
        <v>16</v>
      </c>
      <c r="F8" s="6" t="s">
        <v>722</v>
      </c>
      <c r="G8" s="1" t="s">
        <v>5</v>
      </c>
      <c r="H8" s="1" t="s">
        <v>95</v>
      </c>
      <c r="I8" s="1" t="s">
        <v>36</v>
      </c>
      <c r="J8" s="1" t="s">
        <v>15</v>
      </c>
      <c r="K8" s="1" t="s">
        <v>20</v>
      </c>
      <c r="L8" s="1">
        <v>6</v>
      </c>
      <c r="M8" s="1">
        <v>3</v>
      </c>
      <c r="N8" s="1">
        <v>3</v>
      </c>
      <c r="O8" s="1">
        <v>0</v>
      </c>
      <c r="P8" s="1" t="s">
        <v>293</v>
      </c>
    </row>
    <row r="9" spans="1:18">
      <c r="A9" s="1">
        <v>6</v>
      </c>
      <c r="B9" s="1" t="s">
        <v>779</v>
      </c>
      <c r="C9" s="5">
        <v>46060</v>
      </c>
      <c r="D9" s="1" t="s">
        <v>19</v>
      </c>
      <c r="E9" s="6" t="s">
        <v>30</v>
      </c>
      <c r="F9" s="6" t="s">
        <v>740</v>
      </c>
      <c r="G9" s="1" t="s">
        <v>5</v>
      </c>
      <c r="H9" s="1" t="s">
        <v>6</v>
      </c>
      <c r="I9" s="1" t="s">
        <v>62</v>
      </c>
      <c r="J9" s="1" t="s">
        <v>66</v>
      </c>
      <c r="K9" s="1" t="s">
        <v>16</v>
      </c>
      <c r="L9" s="1">
        <v>1</v>
      </c>
      <c r="M9" s="1">
        <v>8</v>
      </c>
      <c r="N9" s="1">
        <v>0</v>
      </c>
      <c r="O9" s="1">
        <v>6</v>
      </c>
      <c r="P9" s="1" t="s">
        <v>293</v>
      </c>
    </row>
    <row r="10" spans="1:18">
      <c r="A10" s="1">
        <v>7</v>
      </c>
      <c r="B10" s="1" t="s">
        <v>780</v>
      </c>
      <c r="C10" s="5">
        <v>46069</v>
      </c>
      <c r="D10" s="1" t="s">
        <v>19</v>
      </c>
      <c r="E10" s="6" t="s">
        <v>38</v>
      </c>
      <c r="F10" s="6" t="s">
        <v>717</v>
      </c>
      <c r="G10" s="1" t="s">
        <v>50</v>
      </c>
      <c r="H10" s="1" t="s">
        <v>51</v>
      </c>
      <c r="I10" s="1" t="s">
        <v>66</v>
      </c>
      <c r="J10" s="1" t="s">
        <v>22</v>
      </c>
      <c r="K10" s="1" t="s">
        <v>64</v>
      </c>
      <c r="L10" s="1">
        <v>3</v>
      </c>
      <c r="M10" s="1">
        <v>1</v>
      </c>
      <c r="N10" s="1">
        <v>5</v>
      </c>
      <c r="O10" s="1">
        <v>7</v>
      </c>
      <c r="P10" s="1" t="s">
        <v>293</v>
      </c>
    </row>
    <row r="11" spans="1:18">
      <c r="A11" s="1">
        <v>8</v>
      </c>
      <c r="B11" s="1" t="s">
        <v>781</v>
      </c>
      <c r="C11" s="5">
        <v>46100</v>
      </c>
      <c r="D11" s="1" t="s">
        <v>44</v>
      </c>
      <c r="E11" s="6" t="s">
        <v>30</v>
      </c>
      <c r="F11" s="6" t="s">
        <v>711</v>
      </c>
      <c r="G11" s="1" t="s">
        <v>50</v>
      </c>
      <c r="H11" s="1" t="s">
        <v>40</v>
      </c>
      <c r="I11" s="1" t="s">
        <v>78</v>
      </c>
      <c r="J11" s="1" t="s">
        <v>78</v>
      </c>
      <c r="K11" s="1" t="s">
        <v>4</v>
      </c>
      <c r="L11" s="1">
        <v>6</v>
      </c>
      <c r="M11" s="1">
        <v>4</v>
      </c>
      <c r="N11" s="1">
        <v>6</v>
      </c>
      <c r="O11" s="1">
        <v>0</v>
      </c>
      <c r="P11" s="1" t="s">
        <v>293</v>
      </c>
    </row>
    <row r="12" spans="1:18">
      <c r="A12" s="1">
        <v>9</v>
      </c>
      <c r="B12" s="1" t="s">
        <v>782</v>
      </c>
      <c r="C12" s="5">
        <v>46082</v>
      </c>
      <c r="D12" s="1" t="s">
        <v>44</v>
      </c>
      <c r="E12" s="6" t="s">
        <v>30</v>
      </c>
      <c r="F12" s="6" t="s">
        <v>713</v>
      </c>
      <c r="G12" s="1" t="s">
        <v>65</v>
      </c>
      <c r="H12" s="1" t="s">
        <v>31</v>
      </c>
      <c r="I12" s="1" t="s">
        <v>104</v>
      </c>
      <c r="J12" s="1" t="s">
        <v>32</v>
      </c>
      <c r="K12" s="1" t="s">
        <v>16</v>
      </c>
      <c r="L12" s="1">
        <v>2</v>
      </c>
      <c r="M12" s="1">
        <v>0</v>
      </c>
      <c r="N12" s="1">
        <v>8</v>
      </c>
      <c r="O12" s="1">
        <v>3</v>
      </c>
      <c r="P12" s="1" t="s">
        <v>293</v>
      </c>
    </row>
    <row r="13" spans="1:18">
      <c r="A13" s="1">
        <v>10</v>
      </c>
      <c r="B13" s="1" t="s">
        <v>783</v>
      </c>
      <c r="C13" s="5">
        <v>46089</v>
      </c>
      <c r="D13" s="1" t="s">
        <v>44</v>
      </c>
      <c r="E13" s="6" t="s">
        <v>45</v>
      </c>
      <c r="F13" s="6" t="s">
        <v>711</v>
      </c>
      <c r="G13" s="1" t="s">
        <v>92</v>
      </c>
      <c r="H13" s="1" t="s">
        <v>21</v>
      </c>
      <c r="I13" s="1" t="s">
        <v>28</v>
      </c>
      <c r="J13" s="1" t="s">
        <v>22</v>
      </c>
      <c r="K13" s="1" t="s">
        <v>38</v>
      </c>
      <c r="L13" s="1">
        <v>4</v>
      </c>
      <c r="M13" s="1">
        <v>2</v>
      </c>
      <c r="N13" s="1">
        <v>4</v>
      </c>
      <c r="O13" s="1">
        <v>2</v>
      </c>
      <c r="P13" s="1" t="s">
        <v>293</v>
      </c>
    </row>
    <row r="14" spans="1:18">
      <c r="A14" s="1">
        <v>11</v>
      </c>
      <c r="B14" s="1" t="s">
        <v>784</v>
      </c>
      <c r="C14" s="5">
        <v>46136</v>
      </c>
      <c r="D14" s="1" t="s">
        <v>53</v>
      </c>
      <c r="E14" s="6" t="s">
        <v>4</v>
      </c>
      <c r="F14" s="6" t="s">
        <v>740</v>
      </c>
      <c r="G14" s="1" t="s">
        <v>58</v>
      </c>
      <c r="H14" s="1" t="s">
        <v>95</v>
      </c>
      <c r="I14" s="1" t="s">
        <v>66</v>
      </c>
      <c r="J14" s="1" t="s">
        <v>22</v>
      </c>
      <c r="K14" s="1" t="s">
        <v>12</v>
      </c>
      <c r="L14" s="1">
        <v>0</v>
      </c>
      <c r="M14" s="1">
        <v>3</v>
      </c>
      <c r="N14" s="1">
        <v>2</v>
      </c>
      <c r="O14" s="1">
        <v>7</v>
      </c>
      <c r="P14" s="1" t="s">
        <v>293</v>
      </c>
    </row>
    <row r="15" spans="1:18">
      <c r="A15" s="1">
        <v>12</v>
      </c>
      <c r="B15" s="1" t="s">
        <v>785</v>
      </c>
      <c r="C15" s="5">
        <v>46131</v>
      </c>
      <c r="D15" s="1" t="s">
        <v>53</v>
      </c>
      <c r="E15" s="6" t="s">
        <v>64</v>
      </c>
      <c r="F15" s="6" t="s">
        <v>715</v>
      </c>
      <c r="G15" s="1" t="s">
        <v>92</v>
      </c>
      <c r="H15" s="1" t="s">
        <v>87</v>
      </c>
      <c r="I15" s="1" t="s">
        <v>36</v>
      </c>
      <c r="J15" s="1" t="s">
        <v>41</v>
      </c>
      <c r="K15" s="1" t="s">
        <v>54</v>
      </c>
      <c r="L15" s="1">
        <v>5</v>
      </c>
      <c r="M15" s="1">
        <v>5</v>
      </c>
      <c r="N15" s="1">
        <v>6</v>
      </c>
      <c r="O15" s="1">
        <v>0</v>
      </c>
      <c r="P15" s="1" t="s">
        <v>293</v>
      </c>
    </row>
    <row r="16" spans="1:18">
      <c r="A16" s="1">
        <v>13</v>
      </c>
      <c r="B16" s="1" t="s">
        <v>786</v>
      </c>
      <c r="C16" s="5">
        <v>46137</v>
      </c>
      <c r="D16" s="1" t="s">
        <v>53</v>
      </c>
      <c r="E16" s="6" t="s">
        <v>12</v>
      </c>
      <c r="F16" s="6" t="s">
        <v>717</v>
      </c>
      <c r="G16" s="1" t="s">
        <v>92</v>
      </c>
      <c r="H16" s="1" t="s">
        <v>40</v>
      </c>
      <c r="I16" s="1" t="s">
        <v>66</v>
      </c>
      <c r="J16" s="1" t="s">
        <v>32</v>
      </c>
      <c r="K16" s="1" t="s">
        <v>4</v>
      </c>
      <c r="L16" s="1">
        <v>7</v>
      </c>
      <c r="M16" s="1">
        <v>4</v>
      </c>
      <c r="N16" s="1">
        <v>6</v>
      </c>
      <c r="O16" s="1">
        <v>7</v>
      </c>
      <c r="P16" s="1" t="s">
        <v>293</v>
      </c>
    </row>
    <row r="17" spans="1:16">
      <c r="A17" s="1">
        <v>14</v>
      </c>
      <c r="B17" s="1" t="s">
        <v>787</v>
      </c>
      <c r="C17" s="5">
        <v>46139</v>
      </c>
      <c r="D17" s="1" t="s">
        <v>53</v>
      </c>
      <c r="E17" s="6" t="s">
        <v>20</v>
      </c>
      <c r="F17" s="6" t="s">
        <v>722</v>
      </c>
      <c r="G17" s="1" t="s">
        <v>89</v>
      </c>
      <c r="H17" s="1" t="s">
        <v>80</v>
      </c>
      <c r="I17" s="1" t="s">
        <v>22</v>
      </c>
      <c r="J17" s="1" t="s">
        <v>93</v>
      </c>
      <c r="K17" s="1" t="s">
        <v>91</v>
      </c>
      <c r="L17" s="1">
        <v>0</v>
      </c>
      <c r="M17" s="1">
        <v>6</v>
      </c>
      <c r="N17" s="1">
        <v>3</v>
      </c>
      <c r="O17" s="1">
        <v>1</v>
      </c>
      <c r="P17" s="1" t="s">
        <v>293</v>
      </c>
    </row>
    <row r="18" spans="1:16">
      <c r="A18" s="1">
        <v>15</v>
      </c>
      <c r="B18" s="1" t="s">
        <v>788</v>
      </c>
      <c r="C18" s="5">
        <v>46170</v>
      </c>
      <c r="D18" s="1" t="s">
        <v>60</v>
      </c>
      <c r="E18" s="6" t="s">
        <v>57</v>
      </c>
      <c r="F18" s="6" t="s">
        <v>722</v>
      </c>
      <c r="G18" s="1" t="s">
        <v>27</v>
      </c>
      <c r="H18" s="1" t="s">
        <v>82</v>
      </c>
      <c r="I18" s="1" t="s">
        <v>32</v>
      </c>
      <c r="J18" s="1" t="s">
        <v>15</v>
      </c>
      <c r="K18" s="1" t="s">
        <v>30</v>
      </c>
      <c r="L18" s="1">
        <v>5</v>
      </c>
      <c r="M18" s="1">
        <v>3</v>
      </c>
      <c r="N18" s="1">
        <v>6</v>
      </c>
      <c r="O18" s="1">
        <v>0</v>
      </c>
      <c r="P18" s="1" t="s">
        <v>293</v>
      </c>
    </row>
    <row r="19" spans="1:16">
      <c r="A19" s="1">
        <v>16</v>
      </c>
      <c r="B19" s="1" t="s">
        <v>789</v>
      </c>
      <c r="C19" s="5">
        <v>46146</v>
      </c>
      <c r="D19" s="1" t="s">
        <v>60</v>
      </c>
      <c r="E19" s="6" t="s">
        <v>16</v>
      </c>
      <c r="F19" s="6" t="s">
        <v>740</v>
      </c>
      <c r="G19" s="1" t="s">
        <v>50</v>
      </c>
      <c r="H19" s="1" t="s">
        <v>35</v>
      </c>
      <c r="I19" s="1" t="s">
        <v>62</v>
      </c>
      <c r="J19" s="1" t="s">
        <v>15</v>
      </c>
      <c r="K19" s="1" t="s">
        <v>91</v>
      </c>
      <c r="L19" s="1">
        <v>1</v>
      </c>
      <c r="M19" s="1">
        <v>2</v>
      </c>
      <c r="N19" s="1">
        <v>5</v>
      </c>
      <c r="O19" s="1">
        <v>1</v>
      </c>
      <c r="P19" s="1" t="s">
        <v>293</v>
      </c>
    </row>
    <row r="20" spans="1:16">
      <c r="A20" s="1">
        <v>17</v>
      </c>
      <c r="B20" s="1" t="s">
        <v>790</v>
      </c>
      <c r="C20" s="5">
        <v>46160</v>
      </c>
      <c r="D20" s="1" t="s">
        <v>60</v>
      </c>
      <c r="E20" s="6" t="s">
        <v>57</v>
      </c>
      <c r="F20" s="6" t="s">
        <v>715</v>
      </c>
      <c r="G20" s="1" t="s">
        <v>46</v>
      </c>
      <c r="H20" s="1" t="s">
        <v>6</v>
      </c>
      <c r="I20" s="1" t="s">
        <v>104</v>
      </c>
      <c r="J20" s="1" t="s">
        <v>41</v>
      </c>
      <c r="K20" s="1" t="s">
        <v>91</v>
      </c>
      <c r="L20" s="1">
        <v>8</v>
      </c>
      <c r="M20" s="1">
        <v>1</v>
      </c>
      <c r="N20" s="1">
        <v>7</v>
      </c>
      <c r="O20" s="1">
        <v>0</v>
      </c>
      <c r="P20" s="1" t="s">
        <v>297</v>
      </c>
    </row>
    <row r="21" spans="1:16">
      <c r="A21" s="1">
        <v>18</v>
      </c>
      <c r="B21" s="1" t="s">
        <v>791</v>
      </c>
      <c r="C21" s="5">
        <v>46170</v>
      </c>
      <c r="D21" s="1" t="s">
        <v>60</v>
      </c>
      <c r="E21" s="6" t="s">
        <v>49</v>
      </c>
      <c r="F21" s="6" t="s">
        <v>722</v>
      </c>
      <c r="G21" s="1" t="s">
        <v>92</v>
      </c>
      <c r="H21" s="1" t="s">
        <v>51</v>
      </c>
      <c r="I21" s="1" t="s">
        <v>104</v>
      </c>
      <c r="J21" s="1" t="s">
        <v>7</v>
      </c>
      <c r="K21" s="1" t="s">
        <v>54</v>
      </c>
      <c r="L21" s="1">
        <v>3</v>
      </c>
      <c r="M21" s="1">
        <v>5</v>
      </c>
      <c r="N21" s="1">
        <v>7</v>
      </c>
      <c r="O21" s="1">
        <v>7</v>
      </c>
      <c r="P21" s="1" t="s">
        <v>297</v>
      </c>
    </row>
    <row r="22" spans="1:16">
      <c r="A22" s="1">
        <v>19</v>
      </c>
      <c r="B22" s="1" t="s">
        <v>792</v>
      </c>
      <c r="C22" s="5">
        <v>46178</v>
      </c>
      <c r="D22" s="1" t="s">
        <v>73</v>
      </c>
      <c r="E22" s="6" t="s">
        <v>49</v>
      </c>
      <c r="F22" s="6" t="s">
        <v>722</v>
      </c>
      <c r="G22" s="1" t="s">
        <v>92</v>
      </c>
      <c r="H22" s="1" t="s">
        <v>31</v>
      </c>
      <c r="I22" s="1" t="s">
        <v>7</v>
      </c>
      <c r="J22" s="1" t="s">
        <v>22</v>
      </c>
      <c r="K22" s="1" t="s">
        <v>38</v>
      </c>
      <c r="L22" s="1">
        <v>0</v>
      </c>
      <c r="M22" s="1">
        <v>6</v>
      </c>
      <c r="N22" s="1">
        <v>2</v>
      </c>
      <c r="O22" s="1">
        <v>8</v>
      </c>
      <c r="P22" s="1" t="s">
        <v>254</v>
      </c>
    </row>
    <row r="23" spans="1:16">
      <c r="A23" s="1">
        <v>20</v>
      </c>
      <c r="B23" s="1" t="s">
        <v>793</v>
      </c>
      <c r="C23" s="5">
        <v>46183</v>
      </c>
      <c r="D23" s="1" t="s">
        <v>73</v>
      </c>
      <c r="E23" s="6" t="s">
        <v>54</v>
      </c>
      <c r="F23" s="6" t="s">
        <v>717</v>
      </c>
      <c r="G23" s="1" t="s">
        <v>89</v>
      </c>
      <c r="H23" s="1" t="s">
        <v>77</v>
      </c>
      <c r="I23" s="1" t="s">
        <v>22</v>
      </c>
      <c r="J23" s="1" t="s">
        <v>22</v>
      </c>
      <c r="K23" s="1" t="s">
        <v>57</v>
      </c>
      <c r="L23" s="1">
        <v>5</v>
      </c>
      <c r="M23" s="1">
        <v>8</v>
      </c>
      <c r="N23" s="1">
        <v>2</v>
      </c>
      <c r="O23" s="1">
        <v>1</v>
      </c>
      <c r="P23" s="1" t="s">
        <v>293</v>
      </c>
    </row>
    <row r="24" spans="1:16">
      <c r="A24" s="1">
        <v>21</v>
      </c>
      <c r="B24" s="1" t="s">
        <v>794</v>
      </c>
      <c r="C24" s="5">
        <v>46182</v>
      </c>
      <c r="D24" s="1" t="s">
        <v>73</v>
      </c>
      <c r="E24" s="6" t="s">
        <v>20</v>
      </c>
      <c r="F24" s="6" t="s">
        <v>740</v>
      </c>
      <c r="G24" s="1" t="s">
        <v>92</v>
      </c>
      <c r="H24" s="1" t="s">
        <v>87</v>
      </c>
      <c r="I24" s="1" t="s">
        <v>70</v>
      </c>
      <c r="J24" s="1" t="s">
        <v>66</v>
      </c>
      <c r="K24" s="1" t="s">
        <v>54</v>
      </c>
      <c r="L24" s="1">
        <v>4</v>
      </c>
      <c r="M24" s="1">
        <v>3</v>
      </c>
      <c r="N24" s="1">
        <v>5</v>
      </c>
      <c r="O24" s="1">
        <v>4</v>
      </c>
      <c r="P24" s="1" t="s">
        <v>297</v>
      </c>
    </row>
    <row r="25" spans="1:16">
      <c r="A25" s="1">
        <v>22</v>
      </c>
      <c r="B25" s="1" t="s">
        <v>795</v>
      </c>
      <c r="C25" s="5">
        <v>46176</v>
      </c>
      <c r="D25" s="1" t="s">
        <v>73</v>
      </c>
      <c r="E25" s="6" t="s">
        <v>57</v>
      </c>
      <c r="F25" s="6" t="s">
        <v>740</v>
      </c>
      <c r="G25" s="1" t="s">
        <v>58</v>
      </c>
      <c r="H25" s="1" t="s">
        <v>21</v>
      </c>
      <c r="I25" s="1" t="s">
        <v>68</v>
      </c>
      <c r="J25" s="1" t="s">
        <v>104</v>
      </c>
      <c r="K25" s="1" t="s">
        <v>54</v>
      </c>
      <c r="L25" s="1">
        <v>3</v>
      </c>
      <c r="M25" s="1">
        <v>0</v>
      </c>
      <c r="N25" s="1">
        <v>5</v>
      </c>
      <c r="O25" s="1">
        <v>8</v>
      </c>
      <c r="P25" s="1" t="s">
        <v>293</v>
      </c>
    </row>
    <row r="26" spans="1:16">
      <c r="A26" s="1">
        <v>23</v>
      </c>
      <c r="B26" s="1" t="s">
        <v>796</v>
      </c>
      <c r="C26" s="5">
        <v>46178</v>
      </c>
      <c r="D26" s="1" t="s">
        <v>73</v>
      </c>
      <c r="E26" s="6" t="s">
        <v>20</v>
      </c>
      <c r="F26" s="6" t="s">
        <v>717</v>
      </c>
      <c r="G26" s="1" t="s">
        <v>5</v>
      </c>
      <c r="H26" s="1" t="s">
        <v>14</v>
      </c>
      <c r="I26" s="1" t="s">
        <v>41</v>
      </c>
      <c r="J26" s="1" t="s">
        <v>36</v>
      </c>
      <c r="K26" s="1" t="s">
        <v>49</v>
      </c>
      <c r="L26" s="1">
        <v>3</v>
      </c>
      <c r="M26" s="1">
        <v>1</v>
      </c>
      <c r="N26" s="1">
        <v>5</v>
      </c>
      <c r="O26" s="1">
        <v>2</v>
      </c>
      <c r="P26" s="1" t="s">
        <v>293</v>
      </c>
    </row>
    <row r="27" spans="1:16">
      <c r="A27" s="1">
        <v>24</v>
      </c>
      <c r="B27" s="1" t="s">
        <v>797</v>
      </c>
      <c r="C27" s="5">
        <v>46178</v>
      </c>
      <c r="D27" s="1" t="s">
        <v>73</v>
      </c>
      <c r="E27" s="6" t="s">
        <v>45</v>
      </c>
      <c r="F27" s="6" t="s">
        <v>713</v>
      </c>
      <c r="G27" s="1" t="s">
        <v>65</v>
      </c>
      <c r="H27" s="1" t="s">
        <v>6</v>
      </c>
      <c r="I27" s="1" t="s">
        <v>93</v>
      </c>
      <c r="J27" s="1" t="s">
        <v>41</v>
      </c>
      <c r="K27" s="1" t="s">
        <v>61</v>
      </c>
      <c r="L27" s="1">
        <v>5</v>
      </c>
      <c r="M27" s="1">
        <v>5</v>
      </c>
      <c r="N27" s="1">
        <v>8</v>
      </c>
      <c r="O27" s="1">
        <v>7</v>
      </c>
      <c r="P27" s="1" t="s">
        <v>293</v>
      </c>
    </row>
    <row r="28" spans="1:16">
      <c r="A28" s="1">
        <v>25</v>
      </c>
      <c r="B28" s="1" t="s">
        <v>798</v>
      </c>
      <c r="C28" s="5">
        <v>46174</v>
      </c>
      <c r="D28" s="1" t="s">
        <v>73</v>
      </c>
      <c r="E28" s="6" t="s">
        <v>12</v>
      </c>
      <c r="F28" s="6" t="s">
        <v>713</v>
      </c>
      <c r="G28" s="1" t="s">
        <v>89</v>
      </c>
      <c r="H28" s="1" t="s">
        <v>77</v>
      </c>
      <c r="I28" s="1" t="s">
        <v>68</v>
      </c>
      <c r="J28" s="1" t="s">
        <v>7</v>
      </c>
      <c r="K28" s="1" t="s">
        <v>64</v>
      </c>
      <c r="L28" s="1">
        <v>8</v>
      </c>
      <c r="M28" s="1">
        <v>6</v>
      </c>
      <c r="N28" s="1">
        <v>4</v>
      </c>
      <c r="O28" s="1">
        <v>5</v>
      </c>
      <c r="P28" s="1" t="s">
        <v>297</v>
      </c>
    </row>
    <row r="29" spans="1:16">
      <c r="A29" s="1">
        <v>26</v>
      </c>
      <c r="B29" s="1" t="s">
        <v>799</v>
      </c>
      <c r="C29" s="5">
        <v>46177</v>
      </c>
      <c r="D29" s="1" t="s">
        <v>73</v>
      </c>
      <c r="E29" s="6" t="s">
        <v>30</v>
      </c>
      <c r="F29" s="6" t="s">
        <v>722</v>
      </c>
      <c r="G29" s="1" t="s">
        <v>27</v>
      </c>
      <c r="H29" s="1" t="s">
        <v>80</v>
      </c>
      <c r="I29" s="1" t="s">
        <v>68</v>
      </c>
      <c r="J29" s="1" t="s">
        <v>28</v>
      </c>
      <c r="K29" s="1" t="s">
        <v>16</v>
      </c>
      <c r="L29" s="1">
        <v>2</v>
      </c>
      <c r="M29" s="1">
        <v>7</v>
      </c>
      <c r="N29" s="1">
        <v>0</v>
      </c>
      <c r="O29" s="1">
        <v>5</v>
      </c>
      <c r="P29" s="1" t="s">
        <v>293</v>
      </c>
    </row>
    <row r="30" spans="1:16">
      <c r="A30" s="1">
        <v>27</v>
      </c>
      <c r="B30" s="1" t="s">
        <v>800</v>
      </c>
      <c r="C30" s="5">
        <v>46209</v>
      </c>
      <c r="D30" s="1" t="s">
        <v>76</v>
      </c>
      <c r="E30" s="6" t="s">
        <v>49</v>
      </c>
      <c r="F30" s="6" t="s">
        <v>715</v>
      </c>
      <c r="G30" s="1" t="s">
        <v>5</v>
      </c>
      <c r="H30" s="1" t="s">
        <v>21</v>
      </c>
      <c r="I30" s="1" t="s">
        <v>15</v>
      </c>
      <c r="J30" s="1" t="s">
        <v>7</v>
      </c>
      <c r="K30" s="1" t="s">
        <v>38</v>
      </c>
      <c r="L30" s="1">
        <v>3</v>
      </c>
      <c r="M30" s="1">
        <v>7</v>
      </c>
      <c r="N30" s="1">
        <v>0</v>
      </c>
      <c r="O30" s="1">
        <v>1</v>
      </c>
      <c r="P30" s="1" t="s">
        <v>293</v>
      </c>
    </row>
    <row r="31" spans="1:16">
      <c r="A31" s="1">
        <v>28</v>
      </c>
      <c r="B31" s="1" t="s">
        <v>801</v>
      </c>
      <c r="C31" s="5">
        <v>46215</v>
      </c>
      <c r="D31" s="1" t="s">
        <v>76</v>
      </c>
      <c r="E31" s="6" t="s">
        <v>26</v>
      </c>
      <c r="F31" s="6" t="s">
        <v>711</v>
      </c>
      <c r="G31" s="1" t="s">
        <v>58</v>
      </c>
      <c r="H31" s="1" t="s">
        <v>51</v>
      </c>
      <c r="I31" s="1" t="s">
        <v>36</v>
      </c>
      <c r="J31" s="1" t="s">
        <v>7</v>
      </c>
      <c r="K31" s="1" t="s">
        <v>54</v>
      </c>
      <c r="L31" s="1">
        <v>6</v>
      </c>
      <c r="M31" s="1">
        <v>0</v>
      </c>
      <c r="N31" s="1">
        <v>4</v>
      </c>
      <c r="O31" s="1">
        <v>0</v>
      </c>
      <c r="P31" s="1" t="s">
        <v>297</v>
      </c>
    </row>
    <row r="32" spans="1:16">
      <c r="A32" s="1">
        <v>29</v>
      </c>
      <c r="B32" s="1" t="s">
        <v>802</v>
      </c>
      <c r="C32" s="5">
        <v>46208</v>
      </c>
      <c r="D32" s="1" t="s">
        <v>76</v>
      </c>
      <c r="E32" s="6" t="s">
        <v>38</v>
      </c>
      <c r="F32" s="6" t="s">
        <v>713</v>
      </c>
      <c r="G32" s="1" t="s">
        <v>46</v>
      </c>
      <c r="H32" s="1" t="s">
        <v>95</v>
      </c>
      <c r="I32" s="1" t="s">
        <v>68</v>
      </c>
      <c r="J32" s="1" t="s">
        <v>28</v>
      </c>
      <c r="K32" s="1" t="s">
        <v>26</v>
      </c>
      <c r="L32" s="1">
        <v>4</v>
      </c>
      <c r="M32" s="1">
        <v>5</v>
      </c>
      <c r="N32" s="1">
        <v>0</v>
      </c>
      <c r="O32" s="1">
        <v>4</v>
      </c>
      <c r="P32" s="1" t="s">
        <v>238</v>
      </c>
    </row>
    <row r="33" spans="1:16">
      <c r="A33" s="1">
        <v>30</v>
      </c>
      <c r="B33" s="1" t="s">
        <v>803</v>
      </c>
      <c r="C33" s="5">
        <v>46241</v>
      </c>
      <c r="D33" s="1" t="s">
        <v>86</v>
      </c>
      <c r="E33" s="6" t="s">
        <v>45</v>
      </c>
      <c r="F33" s="6" t="s">
        <v>740</v>
      </c>
      <c r="G33" s="1" t="s">
        <v>50</v>
      </c>
      <c r="H33" s="1" t="s">
        <v>31</v>
      </c>
      <c r="I33" s="1" t="s">
        <v>93</v>
      </c>
      <c r="J33" s="1" t="s">
        <v>32</v>
      </c>
      <c r="K33" s="1" t="s">
        <v>49</v>
      </c>
      <c r="L33" s="1">
        <v>8</v>
      </c>
      <c r="M33" s="1">
        <v>1</v>
      </c>
      <c r="N33" s="1">
        <v>7</v>
      </c>
      <c r="O33" s="1">
        <v>3</v>
      </c>
      <c r="P33" s="1" t="s">
        <v>293</v>
      </c>
    </row>
    <row r="34" spans="1:16">
      <c r="A34" s="1">
        <v>31</v>
      </c>
      <c r="B34" s="1" t="s">
        <v>804</v>
      </c>
      <c r="C34" s="5">
        <v>46243</v>
      </c>
      <c r="D34" s="1" t="s">
        <v>86</v>
      </c>
      <c r="E34" s="6" t="s">
        <v>49</v>
      </c>
      <c r="F34" s="6" t="s">
        <v>715</v>
      </c>
      <c r="G34" s="1" t="s">
        <v>27</v>
      </c>
      <c r="H34" s="1" t="s">
        <v>6</v>
      </c>
      <c r="I34" s="1" t="s">
        <v>36</v>
      </c>
      <c r="J34" s="1" t="s">
        <v>104</v>
      </c>
      <c r="K34" s="1" t="s">
        <v>20</v>
      </c>
      <c r="L34" s="1">
        <v>5</v>
      </c>
      <c r="M34" s="1">
        <v>2</v>
      </c>
      <c r="N34" s="1">
        <v>2</v>
      </c>
      <c r="O34" s="1">
        <v>5</v>
      </c>
      <c r="P34" s="1" t="s">
        <v>297</v>
      </c>
    </row>
    <row r="35" spans="1:16">
      <c r="A35" s="1">
        <v>32</v>
      </c>
      <c r="B35" s="1" t="s">
        <v>805</v>
      </c>
      <c r="C35" s="5">
        <v>46278</v>
      </c>
      <c r="D35" s="1" t="s">
        <v>102</v>
      </c>
      <c r="E35" s="6" t="s">
        <v>45</v>
      </c>
      <c r="F35" s="6" t="s">
        <v>722</v>
      </c>
      <c r="G35" s="1" t="s">
        <v>50</v>
      </c>
      <c r="H35" s="1" t="s">
        <v>6</v>
      </c>
      <c r="I35" s="1" t="s">
        <v>22</v>
      </c>
      <c r="J35" s="1" t="s">
        <v>28</v>
      </c>
      <c r="K35" s="1" t="s">
        <v>16</v>
      </c>
      <c r="L35" s="1">
        <v>7</v>
      </c>
      <c r="M35" s="1">
        <v>5</v>
      </c>
      <c r="N35" s="1">
        <v>0</v>
      </c>
      <c r="O35" s="1">
        <v>4</v>
      </c>
      <c r="P35" s="1" t="s">
        <v>293</v>
      </c>
    </row>
    <row r="36" spans="1:16">
      <c r="A36" s="1">
        <v>33</v>
      </c>
      <c r="B36" s="1" t="s">
        <v>806</v>
      </c>
      <c r="C36" s="5">
        <v>46281</v>
      </c>
      <c r="D36" s="1" t="s">
        <v>102</v>
      </c>
      <c r="E36" s="6" t="s">
        <v>4</v>
      </c>
      <c r="F36" s="6" t="s">
        <v>740</v>
      </c>
      <c r="G36" s="1" t="s">
        <v>58</v>
      </c>
      <c r="H36" s="1" t="s">
        <v>40</v>
      </c>
      <c r="I36" s="1" t="s">
        <v>22</v>
      </c>
      <c r="J36" s="1" t="s">
        <v>28</v>
      </c>
      <c r="K36" s="1" t="s">
        <v>4</v>
      </c>
      <c r="L36" s="1">
        <v>1</v>
      </c>
      <c r="M36" s="1">
        <v>0</v>
      </c>
      <c r="N36" s="1">
        <v>6</v>
      </c>
      <c r="O36" s="1">
        <v>4</v>
      </c>
      <c r="P36" s="1" t="s">
        <v>238</v>
      </c>
    </row>
    <row r="37" spans="1:16">
      <c r="A37" s="1">
        <v>34</v>
      </c>
      <c r="B37" s="1" t="s">
        <v>807</v>
      </c>
      <c r="C37" s="5">
        <v>46272</v>
      </c>
      <c r="D37" s="1" t="s">
        <v>102</v>
      </c>
      <c r="E37" s="6" t="s">
        <v>26</v>
      </c>
      <c r="F37" s="6" t="s">
        <v>715</v>
      </c>
      <c r="G37" s="1" t="s">
        <v>39</v>
      </c>
      <c r="H37" s="1" t="s">
        <v>31</v>
      </c>
      <c r="I37" s="1" t="s">
        <v>32</v>
      </c>
      <c r="J37" s="1" t="s">
        <v>70</v>
      </c>
      <c r="K37" s="1" t="s">
        <v>61</v>
      </c>
      <c r="L37" s="1">
        <v>7</v>
      </c>
      <c r="M37" s="1">
        <v>5</v>
      </c>
      <c r="N37" s="1">
        <v>5</v>
      </c>
      <c r="O37" s="1">
        <v>2</v>
      </c>
      <c r="P37" s="1" t="s">
        <v>254</v>
      </c>
    </row>
    <row r="38" spans="1:16">
      <c r="A38" s="1">
        <v>35</v>
      </c>
      <c r="B38" s="1" t="s">
        <v>808</v>
      </c>
      <c r="C38" s="5">
        <v>46309</v>
      </c>
      <c r="D38" s="1" t="s">
        <v>106</v>
      </c>
      <c r="E38" s="6" t="s">
        <v>49</v>
      </c>
      <c r="F38" s="6" t="s">
        <v>711</v>
      </c>
      <c r="G38" s="1" t="s">
        <v>58</v>
      </c>
      <c r="H38" s="1" t="s">
        <v>40</v>
      </c>
      <c r="I38" s="1" t="s">
        <v>68</v>
      </c>
      <c r="J38" s="1" t="s">
        <v>15</v>
      </c>
      <c r="K38" s="1" t="s">
        <v>4</v>
      </c>
      <c r="L38" s="1">
        <v>5</v>
      </c>
      <c r="M38" s="1">
        <v>1</v>
      </c>
      <c r="N38" s="1">
        <v>8</v>
      </c>
      <c r="O38" s="1">
        <v>6</v>
      </c>
      <c r="P38" s="1" t="s">
        <v>293</v>
      </c>
    </row>
    <row r="39" spans="1:16">
      <c r="A39" s="1">
        <v>36</v>
      </c>
      <c r="B39" s="1" t="s">
        <v>809</v>
      </c>
      <c r="C39" s="5">
        <v>46297</v>
      </c>
      <c r="D39" s="1" t="s">
        <v>106</v>
      </c>
      <c r="E39" s="6" t="s">
        <v>38</v>
      </c>
      <c r="F39" s="6" t="s">
        <v>715</v>
      </c>
      <c r="G39" s="1" t="s">
        <v>89</v>
      </c>
      <c r="H39" s="1" t="s">
        <v>87</v>
      </c>
      <c r="I39" s="1" t="s">
        <v>62</v>
      </c>
      <c r="J39" s="1" t="s">
        <v>104</v>
      </c>
      <c r="K39" s="1" t="s">
        <v>49</v>
      </c>
      <c r="L39" s="1">
        <v>4</v>
      </c>
      <c r="M39" s="1">
        <v>5</v>
      </c>
      <c r="N39" s="1">
        <v>7</v>
      </c>
      <c r="O39" s="1">
        <v>5</v>
      </c>
      <c r="P39" s="1" t="s">
        <v>293</v>
      </c>
    </row>
    <row r="40" spans="1:16">
      <c r="A40" s="1">
        <v>37</v>
      </c>
      <c r="B40" s="1" t="s">
        <v>810</v>
      </c>
      <c r="C40" s="5">
        <v>46302</v>
      </c>
      <c r="D40" s="1" t="s">
        <v>106</v>
      </c>
      <c r="E40" s="6" t="s">
        <v>49</v>
      </c>
      <c r="F40" s="6" t="s">
        <v>722</v>
      </c>
      <c r="G40" s="1" t="s">
        <v>13</v>
      </c>
      <c r="H40" s="1" t="s">
        <v>77</v>
      </c>
      <c r="I40" s="1" t="s">
        <v>7</v>
      </c>
      <c r="J40" s="1" t="s">
        <v>104</v>
      </c>
      <c r="K40" s="1" t="s">
        <v>57</v>
      </c>
      <c r="L40" s="1">
        <v>7</v>
      </c>
      <c r="M40" s="1">
        <v>1</v>
      </c>
      <c r="N40" s="1">
        <v>2</v>
      </c>
      <c r="O40" s="1">
        <v>2</v>
      </c>
      <c r="P40" s="1" t="s">
        <v>293</v>
      </c>
    </row>
    <row r="41" spans="1:16">
      <c r="A41" s="1">
        <v>38</v>
      </c>
      <c r="B41" s="1" t="s">
        <v>811</v>
      </c>
      <c r="C41" s="5">
        <v>46297</v>
      </c>
      <c r="D41" s="1" t="s">
        <v>106</v>
      </c>
      <c r="E41" s="6" t="s">
        <v>30</v>
      </c>
      <c r="F41" s="6" t="s">
        <v>711</v>
      </c>
      <c r="G41" s="1" t="s">
        <v>50</v>
      </c>
      <c r="H41" s="1" t="s">
        <v>77</v>
      </c>
      <c r="I41" s="1" t="s">
        <v>22</v>
      </c>
      <c r="J41" s="1" t="s">
        <v>28</v>
      </c>
      <c r="K41" s="1" t="s">
        <v>61</v>
      </c>
      <c r="L41" s="1">
        <v>5</v>
      </c>
      <c r="M41" s="1">
        <v>5</v>
      </c>
      <c r="N41" s="1">
        <v>3</v>
      </c>
      <c r="O41" s="1">
        <v>2</v>
      </c>
      <c r="P41" s="1" t="s">
        <v>293</v>
      </c>
    </row>
    <row r="42" spans="1:16">
      <c r="A42" s="1">
        <v>39</v>
      </c>
      <c r="B42" s="1" t="s">
        <v>812</v>
      </c>
      <c r="C42" s="5">
        <v>46304</v>
      </c>
      <c r="D42" s="1" t="s">
        <v>106</v>
      </c>
      <c r="E42" s="6" t="s">
        <v>54</v>
      </c>
      <c r="F42" s="6" t="s">
        <v>717</v>
      </c>
      <c r="G42" s="1" t="s">
        <v>92</v>
      </c>
      <c r="H42" s="1" t="s">
        <v>40</v>
      </c>
      <c r="I42" s="1" t="s">
        <v>66</v>
      </c>
      <c r="J42" s="1" t="s">
        <v>15</v>
      </c>
      <c r="K42" s="1" t="s">
        <v>12</v>
      </c>
      <c r="L42" s="1">
        <v>0</v>
      </c>
      <c r="M42" s="1">
        <v>6</v>
      </c>
      <c r="N42" s="1">
        <v>5</v>
      </c>
      <c r="O42" s="1">
        <v>1</v>
      </c>
      <c r="P42" s="1" t="s">
        <v>254</v>
      </c>
    </row>
    <row r="43" spans="1:16">
      <c r="A43" s="1">
        <v>40</v>
      </c>
      <c r="B43" s="1" t="s">
        <v>813</v>
      </c>
      <c r="C43" s="5">
        <v>46334</v>
      </c>
      <c r="D43" s="1" t="s">
        <v>111</v>
      </c>
      <c r="E43" s="6" t="s">
        <v>57</v>
      </c>
      <c r="F43" s="6" t="s">
        <v>715</v>
      </c>
      <c r="G43" s="1" t="s">
        <v>27</v>
      </c>
      <c r="H43" s="1" t="s">
        <v>51</v>
      </c>
      <c r="I43" s="1" t="s">
        <v>15</v>
      </c>
      <c r="J43" s="1" t="s">
        <v>104</v>
      </c>
      <c r="K43" s="1" t="s">
        <v>4</v>
      </c>
      <c r="L43" s="1">
        <v>6</v>
      </c>
      <c r="M43" s="1">
        <v>0</v>
      </c>
      <c r="N43" s="1">
        <v>1</v>
      </c>
      <c r="O43" s="1">
        <v>3</v>
      </c>
      <c r="P43" s="1" t="s">
        <v>254</v>
      </c>
    </row>
    <row r="44" spans="1:16">
      <c r="A44" s="1">
        <v>41</v>
      </c>
      <c r="B44" s="1" t="s">
        <v>814</v>
      </c>
      <c r="C44" s="5">
        <v>46332</v>
      </c>
      <c r="D44" s="1" t="s">
        <v>111</v>
      </c>
      <c r="E44" s="6" t="s">
        <v>12</v>
      </c>
      <c r="F44" s="6" t="s">
        <v>715</v>
      </c>
      <c r="G44" s="1" t="s">
        <v>89</v>
      </c>
      <c r="H44" s="1" t="s">
        <v>40</v>
      </c>
      <c r="I44" s="1" t="s">
        <v>28</v>
      </c>
      <c r="J44" s="1" t="s">
        <v>28</v>
      </c>
      <c r="K44" s="1" t="s">
        <v>26</v>
      </c>
      <c r="L44" s="1">
        <v>6</v>
      </c>
      <c r="M44" s="1">
        <v>3</v>
      </c>
      <c r="N44" s="1">
        <v>3</v>
      </c>
      <c r="O44" s="1">
        <v>6</v>
      </c>
      <c r="P44" s="1" t="s">
        <v>293</v>
      </c>
    </row>
    <row r="45" spans="1:16">
      <c r="A45" s="1">
        <v>42</v>
      </c>
      <c r="B45" s="1" t="s">
        <v>815</v>
      </c>
      <c r="C45" s="5">
        <v>46353</v>
      </c>
      <c r="D45" s="1" t="s">
        <v>111</v>
      </c>
      <c r="E45" s="6" t="s">
        <v>12</v>
      </c>
      <c r="F45" s="6" t="s">
        <v>717</v>
      </c>
      <c r="G45" s="1" t="s">
        <v>13</v>
      </c>
      <c r="H45" s="1" t="s">
        <v>31</v>
      </c>
      <c r="I45" s="1" t="s">
        <v>7</v>
      </c>
      <c r="J45" s="1" t="s">
        <v>93</v>
      </c>
      <c r="K45" s="1" t="s">
        <v>16</v>
      </c>
      <c r="L45" s="1">
        <v>4</v>
      </c>
      <c r="M45" s="1">
        <v>5</v>
      </c>
      <c r="N45" s="1">
        <v>0</v>
      </c>
      <c r="O45" s="1">
        <v>3</v>
      </c>
      <c r="P45" s="1" t="s">
        <v>254</v>
      </c>
    </row>
    <row r="46" spans="1:16">
      <c r="A46" s="1">
        <v>43</v>
      </c>
      <c r="B46" s="1" t="s">
        <v>816</v>
      </c>
      <c r="C46" s="5">
        <v>46338</v>
      </c>
      <c r="D46" s="1" t="s">
        <v>111</v>
      </c>
      <c r="E46" s="6" t="s">
        <v>20</v>
      </c>
      <c r="F46" s="6" t="s">
        <v>713</v>
      </c>
      <c r="G46" s="1" t="s">
        <v>5</v>
      </c>
      <c r="H46" s="1" t="s">
        <v>40</v>
      </c>
      <c r="I46" s="1" t="s">
        <v>36</v>
      </c>
      <c r="J46" s="1" t="s">
        <v>78</v>
      </c>
      <c r="K46" s="1" t="s">
        <v>91</v>
      </c>
      <c r="L46" s="1">
        <v>5</v>
      </c>
      <c r="M46" s="1">
        <v>3</v>
      </c>
      <c r="N46" s="1">
        <v>3</v>
      </c>
      <c r="O46" s="1">
        <v>1</v>
      </c>
      <c r="P46" s="1" t="s">
        <v>297</v>
      </c>
    </row>
    <row r="47" spans="1:16">
      <c r="A47" s="1">
        <v>44</v>
      </c>
      <c r="B47" s="1" t="s">
        <v>817</v>
      </c>
      <c r="C47" s="5">
        <v>46361</v>
      </c>
      <c r="D47" s="1" t="s">
        <v>122</v>
      </c>
      <c r="E47" s="6" t="s">
        <v>30</v>
      </c>
      <c r="F47" s="6" t="s">
        <v>740</v>
      </c>
      <c r="G47" s="1" t="s">
        <v>5</v>
      </c>
      <c r="H47" s="1" t="s">
        <v>35</v>
      </c>
      <c r="I47" s="1" t="s">
        <v>15</v>
      </c>
      <c r="J47" s="1" t="s">
        <v>93</v>
      </c>
      <c r="K47" s="1" t="s">
        <v>12</v>
      </c>
      <c r="L47" s="1">
        <v>7</v>
      </c>
      <c r="M47" s="1">
        <v>7</v>
      </c>
      <c r="N47" s="1">
        <v>3</v>
      </c>
      <c r="O47" s="1">
        <v>3</v>
      </c>
      <c r="P47" s="1" t="s">
        <v>254</v>
      </c>
    </row>
    <row r="48" spans="1:16">
      <c r="A48" s="1">
        <v>45</v>
      </c>
      <c r="B48" s="1" t="s">
        <v>818</v>
      </c>
      <c r="C48" s="5">
        <v>46370</v>
      </c>
      <c r="D48" s="1" t="s">
        <v>122</v>
      </c>
      <c r="E48" s="6" t="s">
        <v>4</v>
      </c>
      <c r="F48" s="6" t="s">
        <v>715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293</v>
      </c>
    </row>
    <row r="49" spans="1:16">
      <c r="A49" s="1">
        <v>46</v>
      </c>
      <c r="B49" s="1" t="s">
        <v>819</v>
      </c>
      <c r="C49" s="5">
        <v>46372</v>
      </c>
      <c r="D49" s="1" t="s">
        <v>122</v>
      </c>
      <c r="E49" s="6" t="s">
        <v>12</v>
      </c>
      <c r="F49" s="6" t="s">
        <v>722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293</v>
      </c>
    </row>
    <row r="50" spans="1:16">
      <c r="A50" s="1">
        <v>47</v>
      </c>
      <c r="B50" s="1" t="s">
        <v>820</v>
      </c>
      <c r="C50" s="5">
        <v>46374</v>
      </c>
      <c r="D50" s="1" t="s">
        <v>122</v>
      </c>
      <c r="E50" s="6" t="s">
        <v>4</v>
      </c>
      <c r="F50" s="6" t="s">
        <v>713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293</v>
      </c>
    </row>
    <row r="51" spans="1:16">
      <c r="A51" s="1">
        <v>48</v>
      </c>
      <c r="B51" s="1" t="s">
        <v>821</v>
      </c>
      <c r="C51" s="5">
        <v>46378</v>
      </c>
      <c r="D51" s="1" t="s">
        <v>122</v>
      </c>
      <c r="E51" s="6" t="s">
        <v>64</v>
      </c>
      <c r="F51" s="6" t="s">
        <v>722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822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875</v>
      </c>
      <c r="C3" s="1" t="s">
        <v>126</v>
      </c>
      <c r="D3" s="1" t="s">
        <v>127</v>
      </c>
      <c r="E3" s="1" t="s">
        <v>876</v>
      </c>
      <c r="F3" s="1" t="s">
        <v>129</v>
      </c>
      <c r="G3" s="1" t="s">
        <v>130</v>
      </c>
      <c r="H3" s="1" t="s">
        <v>877</v>
      </c>
      <c r="I3" s="1" t="s">
        <v>135</v>
      </c>
      <c r="J3" s="1" t="s">
        <v>878</v>
      </c>
      <c r="K3" s="1" t="s">
        <v>879</v>
      </c>
      <c r="L3" s="1" t="s">
        <v>572</v>
      </c>
      <c r="M3" s="2" t="s">
        <v>573</v>
      </c>
      <c r="N3" s="1" t="s">
        <v>287</v>
      </c>
    </row>
    <row r="4" spans="1:16">
      <c r="A4" s="1">
        <v>1</v>
      </c>
      <c r="B4" s="1" t="s">
        <v>823</v>
      </c>
      <c r="C4" s="5">
        <v>46035</v>
      </c>
      <c r="D4" s="1" t="s">
        <v>3</v>
      </c>
      <c r="E4" s="6" t="s">
        <v>824</v>
      </c>
      <c r="F4" s="6" t="s">
        <v>92</v>
      </c>
      <c r="G4" s="1" t="s">
        <v>80</v>
      </c>
      <c r="H4" s="1" t="s">
        <v>62</v>
      </c>
      <c r="I4" s="1">
        <v>106</v>
      </c>
      <c r="J4" s="1">
        <v>5</v>
      </c>
      <c r="K4" s="1">
        <v>1</v>
      </c>
      <c r="L4" s="1">
        <v>4</v>
      </c>
      <c r="M4" s="2">
        <f>IFERROR(L4/K4*100,0)</f>
        <v>0</v>
      </c>
      <c r="N4" s="1" t="s">
        <v>254</v>
      </c>
    </row>
    <row r="5" spans="1:16">
      <c r="A5" s="1">
        <v>2</v>
      </c>
      <c r="B5" s="1" t="s">
        <v>825</v>
      </c>
      <c r="C5" s="5">
        <v>46046</v>
      </c>
      <c r="D5" s="1" t="s">
        <v>3</v>
      </c>
      <c r="E5" s="6" t="s">
        <v>826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293</v>
      </c>
    </row>
    <row r="6" spans="1:16">
      <c r="A6" s="1">
        <v>3</v>
      </c>
      <c r="B6" s="1" t="s">
        <v>827</v>
      </c>
      <c r="C6" s="5">
        <v>46065</v>
      </c>
      <c r="D6" s="1" t="s">
        <v>19</v>
      </c>
      <c r="E6" s="6" t="s">
        <v>824</v>
      </c>
      <c r="F6" s="6" t="s">
        <v>58</v>
      </c>
      <c r="G6" s="1" t="s">
        <v>51</v>
      </c>
      <c r="H6" s="1" t="s">
        <v>22</v>
      </c>
      <c r="I6" s="1">
        <v>37</v>
      </c>
      <c r="J6" s="1">
        <v>4</v>
      </c>
      <c r="K6" s="1">
        <v>0</v>
      </c>
      <c r="L6" s="1">
        <v>4</v>
      </c>
      <c r="M6" s="2">
        <f>IFERROR(L6/K6*100,0)</f>
        <v>0</v>
      </c>
      <c r="N6" s="1" t="s">
        <v>293</v>
      </c>
    </row>
    <row r="7" spans="1:16">
      <c r="A7" s="1">
        <v>4</v>
      </c>
      <c r="B7" s="1" t="s">
        <v>828</v>
      </c>
      <c r="C7" s="5">
        <v>46079</v>
      </c>
      <c r="D7" s="1" t="s">
        <v>19</v>
      </c>
      <c r="E7" s="6" t="s">
        <v>824</v>
      </c>
      <c r="F7" s="6" t="s">
        <v>58</v>
      </c>
      <c r="G7" s="1" t="s">
        <v>14</v>
      </c>
      <c r="H7" s="1" t="s">
        <v>22</v>
      </c>
      <c r="I7" s="1">
        <v>80</v>
      </c>
      <c r="J7" s="1">
        <v>7</v>
      </c>
      <c r="K7" s="1">
        <v>1</v>
      </c>
      <c r="L7" s="1">
        <v>5</v>
      </c>
      <c r="M7" s="2">
        <f>IFERROR(L7/K7*100,0)</f>
        <v>0</v>
      </c>
      <c r="N7" s="1" t="s">
        <v>293</v>
      </c>
    </row>
    <row r="8" spans="1:16">
      <c r="A8" s="1">
        <v>5</v>
      </c>
      <c r="B8" s="1" t="s">
        <v>829</v>
      </c>
      <c r="C8" s="5">
        <v>46079</v>
      </c>
      <c r="D8" s="1" t="s">
        <v>19</v>
      </c>
      <c r="E8" s="6" t="s">
        <v>826</v>
      </c>
      <c r="F8" s="6" t="s">
        <v>39</v>
      </c>
      <c r="G8" s="1" t="s">
        <v>80</v>
      </c>
      <c r="H8" s="1" t="s">
        <v>104</v>
      </c>
      <c r="I8" s="1">
        <v>113</v>
      </c>
      <c r="J8" s="1">
        <v>5</v>
      </c>
      <c r="K8" s="1">
        <v>2</v>
      </c>
      <c r="L8" s="1">
        <v>1</v>
      </c>
      <c r="M8" s="2">
        <f>IFERROR(L8/K8*100,0)</f>
        <v>0</v>
      </c>
      <c r="N8" s="1" t="s">
        <v>254</v>
      </c>
    </row>
    <row r="9" spans="1:16">
      <c r="A9" s="1">
        <v>6</v>
      </c>
      <c r="B9" s="1" t="s">
        <v>830</v>
      </c>
      <c r="C9" s="5">
        <v>46081</v>
      </c>
      <c r="D9" s="1" t="s">
        <v>19</v>
      </c>
      <c r="E9" s="6" t="s">
        <v>831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254</v>
      </c>
    </row>
    <row r="10" spans="1:16">
      <c r="A10" s="1">
        <v>7</v>
      </c>
      <c r="B10" s="1" t="s">
        <v>832</v>
      </c>
      <c r="C10" s="5">
        <v>46072</v>
      </c>
      <c r="D10" s="1" t="s">
        <v>19</v>
      </c>
      <c r="E10" s="6" t="s">
        <v>831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293</v>
      </c>
    </row>
    <row r="11" spans="1:16">
      <c r="A11" s="1">
        <v>8</v>
      </c>
      <c r="B11" s="1" t="s">
        <v>833</v>
      </c>
      <c r="C11" s="5">
        <v>46062</v>
      </c>
      <c r="D11" s="1" t="s">
        <v>19</v>
      </c>
      <c r="E11" s="6" t="s">
        <v>826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293</v>
      </c>
    </row>
    <row r="12" spans="1:16">
      <c r="A12" s="1">
        <v>9</v>
      </c>
      <c r="B12" s="1" t="s">
        <v>834</v>
      </c>
      <c r="C12" s="5">
        <v>46058</v>
      </c>
      <c r="D12" s="1" t="s">
        <v>19</v>
      </c>
      <c r="E12" s="6" t="s">
        <v>826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293</v>
      </c>
    </row>
    <row r="13" spans="1:16">
      <c r="A13" s="1">
        <v>10</v>
      </c>
      <c r="B13" s="1" t="s">
        <v>835</v>
      </c>
      <c r="C13" s="5">
        <v>46061</v>
      </c>
      <c r="D13" s="1" t="s">
        <v>19</v>
      </c>
      <c r="E13" s="6" t="s">
        <v>836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293</v>
      </c>
    </row>
    <row r="14" spans="1:16">
      <c r="A14" s="1">
        <v>11</v>
      </c>
      <c r="B14" s="1" t="s">
        <v>837</v>
      </c>
      <c r="C14" s="5">
        <v>46096</v>
      </c>
      <c r="D14" s="1" t="s">
        <v>44</v>
      </c>
      <c r="E14" s="6" t="s">
        <v>831</v>
      </c>
      <c r="F14" s="6" t="s">
        <v>58</v>
      </c>
      <c r="G14" s="1" t="s">
        <v>40</v>
      </c>
      <c r="H14" s="1" t="s">
        <v>70</v>
      </c>
      <c r="I14" s="1">
        <v>96</v>
      </c>
      <c r="J14" s="1">
        <v>7</v>
      </c>
      <c r="K14" s="1">
        <v>6</v>
      </c>
      <c r="L14" s="1">
        <v>1</v>
      </c>
      <c r="M14" s="2">
        <f>IFERROR(L14/K14*100,0)</f>
        <v>0</v>
      </c>
      <c r="N14" s="1" t="s">
        <v>254</v>
      </c>
    </row>
    <row r="15" spans="1:16">
      <c r="A15" s="1">
        <v>12</v>
      </c>
      <c r="B15" s="1" t="s">
        <v>838</v>
      </c>
      <c r="C15" s="5">
        <v>46082</v>
      </c>
      <c r="D15" s="1" t="s">
        <v>44</v>
      </c>
      <c r="E15" s="6" t="s">
        <v>824</v>
      </c>
      <c r="F15" s="6" t="s">
        <v>89</v>
      </c>
      <c r="G15" s="1" t="s">
        <v>14</v>
      </c>
      <c r="H15" s="1" t="s">
        <v>36</v>
      </c>
      <c r="I15" s="1">
        <v>96</v>
      </c>
      <c r="J15" s="1">
        <v>4</v>
      </c>
      <c r="K15" s="1">
        <v>6</v>
      </c>
      <c r="L15" s="1">
        <v>4</v>
      </c>
      <c r="M15" s="2">
        <f>IFERROR(L15/K15*100,0)</f>
        <v>0</v>
      </c>
      <c r="N15" s="1" t="s">
        <v>293</v>
      </c>
    </row>
    <row r="16" spans="1:16">
      <c r="A16" s="1">
        <v>13</v>
      </c>
      <c r="B16" s="1" t="s">
        <v>839</v>
      </c>
      <c r="C16" s="5">
        <v>46103</v>
      </c>
      <c r="D16" s="1" t="s">
        <v>44</v>
      </c>
      <c r="E16" s="6" t="s">
        <v>824</v>
      </c>
      <c r="F16" s="6" t="s">
        <v>5</v>
      </c>
      <c r="G16" s="1" t="s">
        <v>40</v>
      </c>
      <c r="H16" s="1" t="s">
        <v>15</v>
      </c>
      <c r="I16" s="1">
        <v>44</v>
      </c>
      <c r="J16" s="1">
        <v>7</v>
      </c>
      <c r="K16" s="1">
        <v>3</v>
      </c>
      <c r="L16" s="1">
        <v>2</v>
      </c>
      <c r="M16" s="2">
        <f>IFERROR(L16/K16*100,0)</f>
        <v>0</v>
      </c>
      <c r="N16" s="1" t="s">
        <v>238</v>
      </c>
    </row>
    <row r="17" spans="1:14">
      <c r="A17" s="1">
        <v>14</v>
      </c>
      <c r="B17" s="1" t="s">
        <v>840</v>
      </c>
      <c r="C17" s="5">
        <v>46101</v>
      </c>
      <c r="D17" s="1" t="s">
        <v>44</v>
      </c>
      <c r="E17" s="6" t="s">
        <v>826</v>
      </c>
      <c r="F17" s="6" t="s">
        <v>50</v>
      </c>
      <c r="G17" s="1" t="s">
        <v>82</v>
      </c>
      <c r="H17" s="1" t="s">
        <v>104</v>
      </c>
      <c r="I17" s="1">
        <v>89</v>
      </c>
      <c r="J17" s="1">
        <v>8</v>
      </c>
      <c r="K17" s="1">
        <v>4</v>
      </c>
      <c r="L17" s="1">
        <v>5</v>
      </c>
      <c r="M17" s="2">
        <f>IFERROR(L17/K17*100,0)</f>
        <v>0</v>
      </c>
      <c r="N17" s="1" t="s">
        <v>254</v>
      </c>
    </row>
    <row r="18" spans="1:14">
      <c r="A18" s="1">
        <v>15</v>
      </c>
      <c r="B18" s="1" t="s">
        <v>841</v>
      </c>
      <c r="C18" s="5">
        <v>46140</v>
      </c>
      <c r="D18" s="1" t="s">
        <v>53</v>
      </c>
      <c r="E18" s="6" t="s">
        <v>826</v>
      </c>
      <c r="F18" s="6" t="s">
        <v>89</v>
      </c>
      <c r="G18" s="1" t="s">
        <v>31</v>
      </c>
      <c r="H18" s="1" t="s">
        <v>104</v>
      </c>
      <c r="I18" s="1">
        <v>76</v>
      </c>
      <c r="J18" s="1">
        <v>6</v>
      </c>
      <c r="K18" s="1">
        <v>7</v>
      </c>
      <c r="L18" s="1">
        <v>4</v>
      </c>
      <c r="M18" s="2">
        <f>IFERROR(L18/K18*100,0)</f>
        <v>0</v>
      </c>
      <c r="N18" s="1" t="s">
        <v>293</v>
      </c>
    </row>
    <row r="19" spans="1:14">
      <c r="A19" s="1">
        <v>16</v>
      </c>
      <c r="B19" s="1" t="s">
        <v>842</v>
      </c>
      <c r="C19" s="5">
        <v>46136</v>
      </c>
      <c r="D19" s="1" t="s">
        <v>53</v>
      </c>
      <c r="E19" s="6" t="s">
        <v>831</v>
      </c>
      <c r="F19" s="6" t="s">
        <v>58</v>
      </c>
      <c r="G19" s="1" t="s">
        <v>95</v>
      </c>
      <c r="H19" s="1" t="s">
        <v>78</v>
      </c>
      <c r="I19" s="1">
        <v>45</v>
      </c>
      <c r="J19" s="1">
        <v>8</v>
      </c>
      <c r="K19" s="1">
        <v>7</v>
      </c>
      <c r="L19" s="1">
        <v>7</v>
      </c>
      <c r="M19" s="2">
        <f>IFERROR(L19/K19*100,0)</f>
        <v>0</v>
      </c>
      <c r="N19" s="1" t="s">
        <v>293</v>
      </c>
    </row>
    <row r="20" spans="1:14">
      <c r="A20" s="1">
        <v>17</v>
      </c>
      <c r="B20" s="1" t="s">
        <v>843</v>
      </c>
      <c r="C20" s="5">
        <v>46119</v>
      </c>
      <c r="D20" s="1" t="s">
        <v>53</v>
      </c>
      <c r="E20" s="6" t="s">
        <v>824</v>
      </c>
      <c r="F20" s="6" t="s">
        <v>46</v>
      </c>
      <c r="G20" s="1" t="s">
        <v>40</v>
      </c>
      <c r="H20" s="1" t="s">
        <v>78</v>
      </c>
      <c r="I20" s="1">
        <v>67</v>
      </c>
      <c r="J20" s="1">
        <v>0</v>
      </c>
      <c r="K20" s="1">
        <v>4</v>
      </c>
      <c r="L20" s="1">
        <v>0</v>
      </c>
      <c r="M20" s="2">
        <f>IFERROR(L20/K20*100,0)</f>
        <v>0</v>
      </c>
      <c r="N20" s="1" t="s">
        <v>293</v>
      </c>
    </row>
    <row r="21" spans="1:14">
      <c r="A21" s="1">
        <v>18</v>
      </c>
      <c r="B21" s="1" t="s">
        <v>844</v>
      </c>
      <c r="C21" s="5">
        <v>46118</v>
      </c>
      <c r="D21" s="1" t="s">
        <v>53</v>
      </c>
      <c r="E21" s="6" t="s">
        <v>826</v>
      </c>
      <c r="F21" s="6" t="s">
        <v>50</v>
      </c>
      <c r="G21" s="1" t="s">
        <v>6</v>
      </c>
      <c r="H21" s="1" t="s">
        <v>93</v>
      </c>
      <c r="I21" s="1">
        <v>90</v>
      </c>
      <c r="J21" s="1">
        <v>5</v>
      </c>
      <c r="K21" s="1">
        <v>5</v>
      </c>
      <c r="L21" s="1">
        <v>8</v>
      </c>
      <c r="M21" s="2">
        <f>IFERROR(L21/K21*100,0)</f>
        <v>0</v>
      </c>
      <c r="N21" s="1" t="s">
        <v>293</v>
      </c>
    </row>
    <row r="22" spans="1:14">
      <c r="A22" s="1">
        <v>19</v>
      </c>
      <c r="B22" s="1" t="s">
        <v>845</v>
      </c>
      <c r="C22" s="5">
        <v>46124</v>
      </c>
      <c r="D22" s="1" t="s">
        <v>53</v>
      </c>
      <c r="E22" s="6" t="s">
        <v>836</v>
      </c>
      <c r="F22" s="6" t="s">
        <v>65</v>
      </c>
      <c r="G22" s="1" t="s">
        <v>6</v>
      </c>
      <c r="H22" s="1" t="s">
        <v>62</v>
      </c>
      <c r="I22" s="1">
        <v>22</v>
      </c>
      <c r="J22" s="1">
        <v>3</v>
      </c>
      <c r="K22" s="1">
        <v>4</v>
      </c>
      <c r="L22" s="1">
        <v>3</v>
      </c>
      <c r="M22" s="2">
        <f>IFERROR(L22/K22*100,0)</f>
        <v>0</v>
      </c>
      <c r="N22" s="1" t="s">
        <v>254</v>
      </c>
    </row>
    <row r="23" spans="1:14">
      <c r="A23" s="1">
        <v>20</v>
      </c>
      <c r="B23" s="1" t="s">
        <v>846</v>
      </c>
      <c r="C23" s="5">
        <v>46118</v>
      </c>
      <c r="D23" s="1" t="s">
        <v>53</v>
      </c>
      <c r="E23" s="6" t="s">
        <v>836</v>
      </c>
      <c r="F23" s="6" t="s">
        <v>65</v>
      </c>
      <c r="G23" s="1" t="s">
        <v>95</v>
      </c>
      <c r="H23" s="1" t="s">
        <v>66</v>
      </c>
      <c r="I23" s="1">
        <v>59</v>
      </c>
      <c r="J23" s="1">
        <v>2</v>
      </c>
      <c r="K23" s="1">
        <v>5</v>
      </c>
      <c r="L23" s="1">
        <v>6</v>
      </c>
      <c r="M23" s="2">
        <f>IFERROR(L23/K23*100,0)</f>
        <v>0</v>
      </c>
      <c r="N23" s="1" t="s">
        <v>293</v>
      </c>
    </row>
    <row r="24" spans="1:14">
      <c r="A24" s="1">
        <v>21</v>
      </c>
      <c r="B24" s="1" t="s">
        <v>847</v>
      </c>
      <c r="C24" s="5">
        <v>46123</v>
      </c>
      <c r="D24" s="1" t="s">
        <v>53</v>
      </c>
      <c r="E24" s="6" t="s">
        <v>836</v>
      </c>
      <c r="F24" s="6" t="s">
        <v>65</v>
      </c>
      <c r="G24" s="1" t="s">
        <v>77</v>
      </c>
      <c r="H24" s="1" t="s">
        <v>70</v>
      </c>
      <c r="I24" s="1">
        <v>119</v>
      </c>
      <c r="J24" s="1">
        <v>4</v>
      </c>
      <c r="K24" s="1">
        <v>7</v>
      </c>
      <c r="L24" s="1">
        <v>1</v>
      </c>
      <c r="M24" s="2">
        <f>IFERROR(L24/K24*100,0)</f>
        <v>0</v>
      </c>
      <c r="N24" s="1" t="s">
        <v>293</v>
      </c>
    </row>
    <row r="25" spans="1:14">
      <c r="A25" s="1">
        <v>22</v>
      </c>
      <c r="B25" s="1" t="s">
        <v>848</v>
      </c>
      <c r="C25" s="5">
        <v>46114</v>
      </c>
      <c r="D25" s="1" t="s">
        <v>53</v>
      </c>
      <c r="E25" s="6" t="s">
        <v>826</v>
      </c>
      <c r="F25" s="6" t="s">
        <v>50</v>
      </c>
      <c r="G25" s="1" t="s">
        <v>31</v>
      </c>
      <c r="H25" s="1" t="s">
        <v>28</v>
      </c>
      <c r="I25" s="1">
        <v>106</v>
      </c>
      <c r="J25" s="1">
        <v>1</v>
      </c>
      <c r="K25" s="1">
        <v>1</v>
      </c>
      <c r="L25" s="1">
        <v>1</v>
      </c>
      <c r="M25" s="2">
        <f>IFERROR(L25/K25*100,0)</f>
        <v>0</v>
      </c>
      <c r="N25" s="1" t="s">
        <v>254</v>
      </c>
    </row>
    <row r="26" spans="1:14">
      <c r="A26" s="1">
        <v>23</v>
      </c>
      <c r="B26" s="1" t="s">
        <v>849</v>
      </c>
      <c r="C26" s="5">
        <v>46145</v>
      </c>
      <c r="D26" s="1" t="s">
        <v>60</v>
      </c>
      <c r="E26" s="6" t="s">
        <v>824</v>
      </c>
      <c r="F26" s="6" t="s">
        <v>92</v>
      </c>
      <c r="G26" s="1" t="s">
        <v>35</v>
      </c>
      <c r="H26" s="1" t="s">
        <v>70</v>
      </c>
      <c r="I26" s="1">
        <v>40</v>
      </c>
      <c r="J26" s="1">
        <v>2</v>
      </c>
      <c r="K26" s="1">
        <v>7</v>
      </c>
      <c r="L26" s="1">
        <v>2</v>
      </c>
      <c r="M26" s="2">
        <f>IFERROR(L26/K26*100,0)</f>
        <v>0</v>
      </c>
      <c r="N26" s="1" t="s">
        <v>254</v>
      </c>
    </row>
    <row r="27" spans="1:14">
      <c r="A27" s="1">
        <v>24</v>
      </c>
      <c r="B27" s="1" t="s">
        <v>850</v>
      </c>
      <c r="C27" s="5">
        <v>46143</v>
      </c>
      <c r="D27" s="1" t="s">
        <v>60</v>
      </c>
      <c r="E27" s="6" t="s">
        <v>831</v>
      </c>
      <c r="F27" s="6" t="s">
        <v>46</v>
      </c>
      <c r="G27" s="1" t="s">
        <v>51</v>
      </c>
      <c r="H27" s="1" t="s">
        <v>68</v>
      </c>
      <c r="I27" s="1">
        <v>34</v>
      </c>
      <c r="J27" s="1">
        <v>7</v>
      </c>
      <c r="K27" s="1">
        <v>5</v>
      </c>
      <c r="L27" s="1">
        <v>5</v>
      </c>
      <c r="M27" s="2">
        <f>IFERROR(L27/K27*100,0)</f>
        <v>0</v>
      </c>
      <c r="N27" s="1" t="s">
        <v>254</v>
      </c>
    </row>
    <row r="28" spans="1:14">
      <c r="A28" s="1">
        <v>25</v>
      </c>
      <c r="B28" s="1" t="s">
        <v>851</v>
      </c>
      <c r="C28" s="5">
        <v>46201</v>
      </c>
      <c r="D28" s="1" t="s">
        <v>73</v>
      </c>
      <c r="E28" s="6" t="s">
        <v>831</v>
      </c>
      <c r="F28" s="6" t="s">
        <v>92</v>
      </c>
      <c r="G28" s="1" t="s">
        <v>82</v>
      </c>
      <c r="H28" s="1" t="s">
        <v>66</v>
      </c>
      <c r="I28" s="1">
        <v>31</v>
      </c>
      <c r="J28" s="1">
        <v>4</v>
      </c>
      <c r="K28" s="1">
        <v>3</v>
      </c>
      <c r="L28" s="1">
        <v>8</v>
      </c>
      <c r="M28" s="2">
        <f>IFERROR(L28/K28*100,0)</f>
        <v>0</v>
      </c>
      <c r="N28" s="1" t="s">
        <v>293</v>
      </c>
    </row>
    <row r="29" spans="1:14">
      <c r="A29" s="1">
        <v>26</v>
      </c>
      <c r="B29" s="1" t="s">
        <v>852</v>
      </c>
      <c r="C29" s="5">
        <v>46197</v>
      </c>
      <c r="D29" s="1" t="s">
        <v>73</v>
      </c>
      <c r="E29" s="6" t="s">
        <v>831</v>
      </c>
      <c r="F29" s="6" t="s">
        <v>46</v>
      </c>
      <c r="G29" s="1" t="s">
        <v>80</v>
      </c>
      <c r="H29" s="1" t="s">
        <v>66</v>
      </c>
      <c r="I29" s="1">
        <v>76</v>
      </c>
      <c r="J29" s="1">
        <v>4</v>
      </c>
      <c r="K29" s="1">
        <v>5</v>
      </c>
      <c r="L29" s="1">
        <v>1</v>
      </c>
      <c r="M29" s="2">
        <f>IFERROR(L29/K29*100,0)</f>
        <v>0</v>
      </c>
      <c r="N29" s="1" t="s">
        <v>254</v>
      </c>
    </row>
    <row r="30" spans="1:14">
      <c r="A30" s="1">
        <v>27</v>
      </c>
      <c r="B30" s="1" t="s">
        <v>853</v>
      </c>
      <c r="C30" s="5">
        <v>46180</v>
      </c>
      <c r="D30" s="1" t="s">
        <v>73</v>
      </c>
      <c r="E30" s="6" t="s">
        <v>836</v>
      </c>
      <c r="F30" s="6" t="s">
        <v>50</v>
      </c>
      <c r="G30" s="1" t="s">
        <v>77</v>
      </c>
      <c r="H30" s="1" t="s">
        <v>68</v>
      </c>
      <c r="I30" s="1">
        <v>74</v>
      </c>
      <c r="J30" s="1">
        <v>3</v>
      </c>
      <c r="K30" s="1">
        <v>6</v>
      </c>
      <c r="L30" s="1">
        <v>5</v>
      </c>
      <c r="M30" s="2">
        <f>IFERROR(L30/K30*100,0)</f>
        <v>0</v>
      </c>
      <c r="N30" s="1" t="s">
        <v>297</v>
      </c>
    </row>
    <row r="31" spans="1:14">
      <c r="A31" s="1">
        <v>28</v>
      </c>
      <c r="B31" s="1" t="s">
        <v>854</v>
      </c>
      <c r="C31" s="5">
        <v>46189</v>
      </c>
      <c r="D31" s="1" t="s">
        <v>73</v>
      </c>
      <c r="E31" s="6" t="s">
        <v>836</v>
      </c>
      <c r="F31" s="6" t="s">
        <v>13</v>
      </c>
      <c r="G31" s="1" t="s">
        <v>95</v>
      </c>
      <c r="H31" s="1" t="s">
        <v>28</v>
      </c>
      <c r="I31" s="1">
        <v>43</v>
      </c>
      <c r="J31" s="1">
        <v>2</v>
      </c>
      <c r="K31" s="1">
        <v>1</v>
      </c>
      <c r="L31" s="1">
        <v>4</v>
      </c>
      <c r="M31" s="2">
        <f>IFERROR(L31/K31*100,0)</f>
        <v>0</v>
      </c>
      <c r="N31" s="1" t="s">
        <v>254</v>
      </c>
    </row>
    <row r="32" spans="1:14">
      <c r="A32" s="1">
        <v>29</v>
      </c>
      <c r="B32" s="1" t="s">
        <v>855</v>
      </c>
      <c r="C32" s="5">
        <v>46177</v>
      </c>
      <c r="D32" s="1" t="s">
        <v>73</v>
      </c>
      <c r="E32" s="6" t="s">
        <v>824</v>
      </c>
      <c r="F32" s="6" t="s">
        <v>65</v>
      </c>
      <c r="G32" s="1" t="s">
        <v>82</v>
      </c>
      <c r="H32" s="1" t="s">
        <v>15</v>
      </c>
      <c r="I32" s="1">
        <v>89</v>
      </c>
      <c r="J32" s="1">
        <v>6</v>
      </c>
      <c r="K32" s="1">
        <v>1</v>
      </c>
      <c r="L32" s="1">
        <v>2</v>
      </c>
      <c r="M32" s="2">
        <f>IFERROR(L32/K32*100,0)</f>
        <v>0</v>
      </c>
      <c r="N32" s="1" t="s">
        <v>293</v>
      </c>
    </row>
    <row r="33" spans="1:14">
      <c r="A33" s="1">
        <v>30</v>
      </c>
      <c r="B33" s="1" t="s">
        <v>856</v>
      </c>
      <c r="C33" s="5">
        <v>46210</v>
      </c>
      <c r="D33" s="1" t="s">
        <v>76</v>
      </c>
      <c r="E33" s="6" t="s">
        <v>836</v>
      </c>
      <c r="F33" s="6" t="s">
        <v>13</v>
      </c>
      <c r="G33" s="1" t="s">
        <v>21</v>
      </c>
      <c r="H33" s="1" t="s">
        <v>62</v>
      </c>
      <c r="I33" s="1">
        <v>51</v>
      </c>
      <c r="J33" s="1">
        <v>8</v>
      </c>
      <c r="K33" s="1">
        <v>2</v>
      </c>
      <c r="L33" s="1">
        <v>1</v>
      </c>
      <c r="M33" s="2">
        <f>IFERROR(L33/K33*100,0)</f>
        <v>0</v>
      </c>
      <c r="N33" s="1" t="s">
        <v>293</v>
      </c>
    </row>
    <row r="34" spans="1:14">
      <c r="A34" s="1">
        <v>31</v>
      </c>
      <c r="B34" s="1" t="s">
        <v>857</v>
      </c>
      <c r="C34" s="5">
        <v>46220</v>
      </c>
      <c r="D34" s="1" t="s">
        <v>76</v>
      </c>
      <c r="E34" s="6" t="s">
        <v>824</v>
      </c>
      <c r="F34" s="6" t="s">
        <v>89</v>
      </c>
      <c r="G34" s="1" t="s">
        <v>95</v>
      </c>
      <c r="H34" s="1" t="s">
        <v>22</v>
      </c>
      <c r="I34" s="1">
        <v>76</v>
      </c>
      <c r="J34" s="1">
        <v>2</v>
      </c>
      <c r="K34" s="1">
        <v>8</v>
      </c>
      <c r="L34" s="1">
        <v>8</v>
      </c>
      <c r="M34" s="2">
        <f>IFERROR(L34/K34*100,0)</f>
        <v>0</v>
      </c>
      <c r="N34" s="1" t="s">
        <v>293</v>
      </c>
    </row>
    <row r="35" spans="1:14">
      <c r="A35" s="1">
        <v>32</v>
      </c>
      <c r="B35" s="1" t="s">
        <v>858</v>
      </c>
      <c r="C35" s="5">
        <v>46204</v>
      </c>
      <c r="D35" s="1" t="s">
        <v>76</v>
      </c>
      <c r="E35" s="6" t="s">
        <v>824</v>
      </c>
      <c r="F35" s="6" t="s">
        <v>50</v>
      </c>
      <c r="G35" s="1" t="s">
        <v>31</v>
      </c>
      <c r="H35" s="1" t="s">
        <v>70</v>
      </c>
      <c r="I35" s="1">
        <v>27</v>
      </c>
      <c r="J35" s="1">
        <v>3</v>
      </c>
      <c r="K35" s="1">
        <v>2</v>
      </c>
      <c r="L35" s="1">
        <v>4</v>
      </c>
      <c r="M35" s="2">
        <f>IFERROR(L35/K35*100,0)</f>
        <v>0</v>
      </c>
      <c r="N35" s="1" t="s">
        <v>293</v>
      </c>
    </row>
    <row r="36" spans="1:14">
      <c r="A36" s="1">
        <v>33</v>
      </c>
      <c r="B36" s="1" t="s">
        <v>859</v>
      </c>
      <c r="C36" s="5">
        <v>46238</v>
      </c>
      <c r="D36" s="1" t="s">
        <v>86</v>
      </c>
      <c r="E36" s="6" t="s">
        <v>831</v>
      </c>
      <c r="F36" s="6" t="s">
        <v>65</v>
      </c>
      <c r="G36" s="1" t="s">
        <v>51</v>
      </c>
      <c r="H36" s="1" t="s">
        <v>62</v>
      </c>
      <c r="I36" s="1">
        <v>68</v>
      </c>
      <c r="J36" s="1">
        <v>6</v>
      </c>
      <c r="K36" s="1">
        <v>3</v>
      </c>
      <c r="L36" s="1">
        <v>8</v>
      </c>
      <c r="M36" s="2">
        <f>IFERROR(L36/K36*100,0)</f>
        <v>0</v>
      </c>
      <c r="N36" s="1" t="s">
        <v>293</v>
      </c>
    </row>
    <row r="37" spans="1:14">
      <c r="A37" s="1">
        <v>34</v>
      </c>
      <c r="B37" s="1" t="s">
        <v>860</v>
      </c>
      <c r="C37" s="5">
        <v>46250</v>
      </c>
      <c r="D37" s="1" t="s">
        <v>86</v>
      </c>
      <c r="E37" s="6" t="s">
        <v>831</v>
      </c>
      <c r="F37" s="6" t="s">
        <v>50</v>
      </c>
      <c r="G37" s="1" t="s">
        <v>21</v>
      </c>
      <c r="H37" s="1" t="s">
        <v>68</v>
      </c>
      <c r="I37" s="1">
        <v>101</v>
      </c>
      <c r="J37" s="1">
        <v>1</v>
      </c>
      <c r="K37" s="1">
        <v>2</v>
      </c>
      <c r="L37" s="1">
        <v>1</v>
      </c>
      <c r="M37" s="2">
        <f>IFERROR(L37/K37*100,0)</f>
        <v>0</v>
      </c>
      <c r="N37" s="1" t="s">
        <v>293</v>
      </c>
    </row>
    <row r="38" spans="1:14">
      <c r="A38" s="1">
        <v>35</v>
      </c>
      <c r="B38" s="1" t="s">
        <v>861</v>
      </c>
      <c r="C38" s="5">
        <v>46249</v>
      </c>
      <c r="D38" s="1" t="s">
        <v>86</v>
      </c>
      <c r="E38" s="6" t="s">
        <v>831</v>
      </c>
      <c r="F38" s="6" t="s">
        <v>92</v>
      </c>
      <c r="G38" s="1" t="s">
        <v>77</v>
      </c>
      <c r="H38" s="1" t="s">
        <v>36</v>
      </c>
      <c r="I38" s="1">
        <v>76</v>
      </c>
      <c r="J38" s="1">
        <v>2</v>
      </c>
      <c r="K38" s="1">
        <v>3</v>
      </c>
      <c r="L38" s="1">
        <v>0</v>
      </c>
      <c r="M38" s="2">
        <f>IFERROR(L38/K38*100,0)</f>
        <v>0</v>
      </c>
      <c r="N38" s="1" t="s">
        <v>293</v>
      </c>
    </row>
    <row r="39" spans="1:14">
      <c r="A39" s="1">
        <v>36</v>
      </c>
      <c r="B39" s="1" t="s">
        <v>862</v>
      </c>
      <c r="C39" s="5">
        <v>46254</v>
      </c>
      <c r="D39" s="1" t="s">
        <v>86</v>
      </c>
      <c r="E39" s="6" t="s">
        <v>824</v>
      </c>
      <c r="F39" s="6" t="s">
        <v>50</v>
      </c>
      <c r="G39" s="1" t="s">
        <v>87</v>
      </c>
      <c r="H39" s="1" t="s">
        <v>68</v>
      </c>
      <c r="I39" s="1">
        <v>28</v>
      </c>
      <c r="J39" s="1">
        <v>6</v>
      </c>
      <c r="K39" s="1">
        <v>6</v>
      </c>
      <c r="L39" s="1">
        <v>0</v>
      </c>
      <c r="M39" s="2">
        <f>IFERROR(L39/K39*100,0)</f>
        <v>0</v>
      </c>
      <c r="N39" s="1" t="s">
        <v>293</v>
      </c>
    </row>
    <row r="40" spans="1:14">
      <c r="A40" s="1">
        <v>37</v>
      </c>
      <c r="B40" s="1" t="s">
        <v>863</v>
      </c>
      <c r="C40" s="5">
        <v>46271</v>
      </c>
      <c r="D40" s="1" t="s">
        <v>102</v>
      </c>
      <c r="E40" s="6" t="s">
        <v>831</v>
      </c>
      <c r="F40" s="6" t="s">
        <v>39</v>
      </c>
      <c r="G40" s="1" t="s">
        <v>77</v>
      </c>
      <c r="H40" s="1" t="s">
        <v>32</v>
      </c>
      <c r="I40" s="1">
        <v>118</v>
      </c>
      <c r="J40" s="1">
        <v>3</v>
      </c>
      <c r="K40" s="1">
        <v>3</v>
      </c>
      <c r="L40" s="1">
        <v>3</v>
      </c>
      <c r="M40" s="2">
        <f>IFERROR(L40/K40*100,0)</f>
        <v>0</v>
      </c>
      <c r="N40" s="1" t="s">
        <v>297</v>
      </c>
    </row>
    <row r="41" spans="1:14">
      <c r="A41" s="1">
        <v>38</v>
      </c>
      <c r="B41" s="1" t="s">
        <v>864</v>
      </c>
      <c r="C41" s="5">
        <v>46281</v>
      </c>
      <c r="D41" s="1" t="s">
        <v>102</v>
      </c>
      <c r="E41" s="6" t="s">
        <v>836</v>
      </c>
      <c r="F41" s="6" t="s">
        <v>58</v>
      </c>
      <c r="G41" s="1" t="s">
        <v>77</v>
      </c>
      <c r="H41" s="1" t="s">
        <v>36</v>
      </c>
      <c r="I41" s="1">
        <v>35</v>
      </c>
      <c r="J41" s="1">
        <v>0</v>
      </c>
      <c r="K41" s="1">
        <v>4</v>
      </c>
      <c r="L41" s="1">
        <v>6</v>
      </c>
      <c r="M41" s="2">
        <f>IFERROR(L41/K41*100,0)</f>
        <v>0</v>
      </c>
      <c r="N41" s="1" t="s">
        <v>293</v>
      </c>
    </row>
    <row r="42" spans="1:14">
      <c r="A42" s="1">
        <v>39</v>
      </c>
      <c r="B42" s="1" t="s">
        <v>865</v>
      </c>
      <c r="C42" s="5">
        <v>46267</v>
      </c>
      <c r="D42" s="1" t="s">
        <v>102</v>
      </c>
      <c r="E42" s="6" t="s">
        <v>824</v>
      </c>
      <c r="F42" s="6" t="s">
        <v>50</v>
      </c>
      <c r="G42" s="1" t="s">
        <v>82</v>
      </c>
      <c r="H42" s="1" t="s">
        <v>93</v>
      </c>
      <c r="I42" s="1">
        <v>84</v>
      </c>
      <c r="J42" s="1">
        <v>2</v>
      </c>
      <c r="K42" s="1">
        <v>6</v>
      </c>
      <c r="L42" s="1">
        <v>5</v>
      </c>
      <c r="M42" s="2">
        <f>IFERROR(L42/K42*100,0)</f>
        <v>0</v>
      </c>
      <c r="N42" s="1" t="s">
        <v>293</v>
      </c>
    </row>
    <row r="43" spans="1:14">
      <c r="A43" s="1">
        <v>40</v>
      </c>
      <c r="B43" s="1" t="s">
        <v>866</v>
      </c>
      <c r="C43" s="5">
        <v>46305</v>
      </c>
      <c r="D43" s="1" t="s">
        <v>106</v>
      </c>
      <c r="E43" s="6" t="s">
        <v>831</v>
      </c>
      <c r="F43" s="6" t="s">
        <v>58</v>
      </c>
      <c r="G43" s="1" t="s">
        <v>6</v>
      </c>
      <c r="H43" s="1" t="s">
        <v>32</v>
      </c>
      <c r="I43" s="1">
        <v>26</v>
      </c>
      <c r="J43" s="1">
        <v>7</v>
      </c>
      <c r="K43" s="1">
        <v>1</v>
      </c>
      <c r="L43" s="1">
        <v>1</v>
      </c>
      <c r="M43" s="2">
        <f>IFERROR(L43/K43*100,0)</f>
        <v>0</v>
      </c>
      <c r="N43" s="1" t="s">
        <v>254</v>
      </c>
    </row>
    <row r="44" spans="1:14">
      <c r="A44" s="1">
        <v>41</v>
      </c>
      <c r="B44" s="1" t="s">
        <v>867</v>
      </c>
      <c r="C44" s="5">
        <v>46309</v>
      </c>
      <c r="D44" s="1" t="s">
        <v>106</v>
      </c>
      <c r="E44" s="6" t="s">
        <v>826</v>
      </c>
      <c r="F44" s="6" t="s">
        <v>46</v>
      </c>
      <c r="G44" s="1" t="s">
        <v>82</v>
      </c>
      <c r="H44" s="1" t="s">
        <v>32</v>
      </c>
      <c r="I44" s="1">
        <v>100</v>
      </c>
      <c r="J44" s="1">
        <v>0</v>
      </c>
      <c r="K44" s="1">
        <v>6</v>
      </c>
      <c r="L44" s="1">
        <v>2</v>
      </c>
      <c r="M44" s="2">
        <f>IFERROR(L44/K44*100,0)</f>
        <v>0</v>
      </c>
      <c r="N44" s="1" t="s">
        <v>254</v>
      </c>
    </row>
    <row r="45" spans="1:14">
      <c r="A45" s="1">
        <v>42</v>
      </c>
      <c r="B45" s="1" t="s">
        <v>868</v>
      </c>
      <c r="C45" s="5">
        <v>46315</v>
      </c>
      <c r="D45" s="1" t="s">
        <v>106</v>
      </c>
      <c r="E45" s="6" t="s">
        <v>836</v>
      </c>
      <c r="F45" s="6" t="s">
        <v>13</v>
      </c>
      <c r="G45" s="1" t="s">
        <v>80</v>
      </c>
      <c r="H45" s="1" t="s">
        <v>28</v>
      </c>
      <c r="I45" s="1">
        <v>81</v>
      </c>
      <c r="J45" s="1">
        <v>4</v>
      </c>
      <c r="K45" s="1">
        <v>0</v>
      </c>
      <c r="L45" s="1">
        <v>1</v>
      </c>
      <c r="M45" s="2">
        <f>IFERROR(L45/K45*100,0)</f>
        <v>0</v>
      </c>
      <c r="N45" s="1" t="s">
        <v>293</v>
      </c>
    </row>
    <row r="46" spans="1:14">
      <c r="A46" s="1">
        <v>43</v>
      </c>
      <c r="B46" s="1" t="s">
        <v>869</v>
      </c>
      <c r="C46" s="5">
        <v>46318</v>
      </c>
      <c r="D46" s="1" t="s">
        <v>106</v>
      </c>
      <c r="E46" s="6" t="s">
        <v>824</v>
      </c>
      <c r="F46" s="6" t="s">
        <v>50</v>
      </c>
      <c r="G46" s="1" t="s">
        <v>31</v>
      </c>
      <c r="H46" s="1" t="s">
        <v>32</v>
      </c>
      <c r="I46" s="1">
        <v>59</v>
      </c>
      <c r="J46" s="1">
        <v>1</v>
      </c>
      <c r="K46" s="1">
        <v>2</v>
      </c>
      <c r="L46" s="1">
        <v>1</v>
      </c>
      <c r="M46" s="2">
        <f>IFERROR(L46/K46*100,0)</f>
        <v>0</v>
      </c>
      <c r="N46" s="1" t="s">
        <v>254</v>
      </c>
    </row>
    <row r="47" spans="1:14">
      <c r="A47" s="1">
        <v>44</v>
      </c>
      <c r="B47" s="1" t="s">
        <v>870</v>
      </c>
      <c r="C47" s="5">
        <v>46335</v>
      </c>
      <c r="D47" s="1" t="s">
        <v>111</v>
      </c>
      <c r="E47" s="6" t="s">
        <v>824</v>
      </c>
      <c r="F47" s="6" t="s">
        <v>58</v>
      </c>
      <c r="G47" s="1" t="s">
        <v>31</v>
      </c>
      <c r="H47" s="1" t="s">
        <v>66</v>
      </c>
      <c r="I47" s="1">
        <v>16</v>
      </c>
      <c r="J47" s="1">
        <v>5</v>
      </c>
      <c r="K47" s="1">
        <v>4</v>
      </c>
      <c r="L47" s="1">
        <v>6</v>
      </c>
      <c r="M47" s="2">
        <f>IFERROR(L47/K47*100,0)</f>
        <v>0</v>
      </c>
      <c r="N47" s="1" t="s">
        <v>293</v>
      </c>
    </row>
    <row r="48" spans="1:14">
      <c r="A48" s="1">
        <v>45</v>
      </c>
      <c r="B48" s="1" t="s">
        <v>871</v>
      </c>
      <c r="C48" s="5">
        <v>46362</v>
      </c>
      <c r="D48" s="1" t="s">
        <v>122</v>
      </c>
      <c r="E48" s="6" t="s">
        <v>831</v>
      </c>
      <c r="F48" s="6" t="s">
        <v>39</v>
      </c>
      <c r="G48" s="1" t="s">
        <v>14</v>
      </c>
      <c r="H48" s="1" t="s">
        <v>7</v>
      </c>
      <c r="I48" s="1">
        <v>31</v>
      </c>
      <c r="J48" s="1">
        <v>8</v>
      </c>
      <c r="K48" s="1">
        <v>0</v>
      </c>
      <c r="L48" s="1">
        <v>6</v>
      </c>
      <c r="M48" s="2">
        <f>IFERROR(L48/K48*100,0)</f>
        <v>0</v>
      </c>
      <c r="N48" s="1" t="s">
        <v>293</v>
      </c>
    </row>
    <row r="49" spans="1:14">
      <c r="A49" s="1">
        <v>46</v>
      </c>
      <c r="B49" s="1" t="s">
        <v>872</v>
      </c>
      <c r="C49" s="5">
        <v>46366</v>
      </c>
      <c r="D49" s="1" t="s">
        <v>122</v>
      </c>
      <c r="E49" s="6" t="s">
        <v>826</v>
      </c>
      <c r="F49" s="6" t="s">
        <v>5</v>
      </c>
      <c r="G49" s="1" t="s">
        <v>31</v>
      </c>
      <c r="H49" s="1" t="s">
        <v>28</v>
      </c>
      <c r="I49" s="1">
        <v>97</v>
      </c>
      <c r="J49" s="1">
        <v>2</v>
      </c>
      <c r="K49" s="1">
        <v>7</v>
      </c>
      <c r="L49" s="1">
        <v>3</v>
      </c>
      <c r="M49" s="2">
        <f>IFERROR(L49/K49*100,0)</f>
        <v>0</v>
      </c>
      <c r="N49" s="1" t="s">
        <v>297</v>
      </c>
    </row>
    <row r="50" spans="1:14">
      <c r="A50" s="1">
        <v>47</v>
      </c>
      <c r="B50" s="1" t="s">
        <v>873</v>
      </c>
      <c r="C50" s="5">
        <v>46361</v>
      </c>
      <c r="D50" s="1" t="s">
        <v>122</v>
      </c>
      <c r="E50" s="6" t="s">
        <v>826</v>
      </c>
      <c r="F50" s="6" t="s">
        <v>46</v>
      </c>
      <c r="G50" s="1" t="s">
        <v>77</v>
      </c>
      <c r="H50" s="1" t="s">
        <v>104</v>
      </c>
      <c r="I50" s="1">
        <v>66</v>
      </c>
      <c r="J50" s="1">
        <v>5</v>
      </c>
      <c r="K50" s="1">
        <v>0</v>
      </c>
      <c r="L50" s="1">
        <v>2</v>
      </c>
      <c r="M50" s="2">
        <f>IFERROR(L50/K50*100,0)</f>
        <v>0</v>
      </c>
      <c r="N50" s="1" t="s">
        <v>293</v>
      </c>
    </row>
    <row r="51" spans="1:14">
      <c r="A51" s="1">
        <v>48</v>
      </c>
      <c r="B51" s="1" t="s">
        <v>874</v>
      </c>
      <c r="C51" s="5">
        <v>46370</v>
      </c>
      <c r="D51" s="1" t="s">
        <v>122</v>
      </c>
      <c r="E51" s="6" t="s">
        <v>826</v>
      </c>
      <c r="F51" s="6" t="s">
        <v>13</v>
      </c>
      <c r="G51" s="1" t="s">
        <v>87</v>
      </c>
      <c r="H51" s="1" t="s">
        <v>104</v>
      </c>
      <c r="I51" s="1">
        <v>85</v>
      </c>
      <c r="J51" s="1">
        <v>8</v>
      </c>
      <c r="K51" s="1">
        <v>0</v>
      </c>
      <c r="L51" s="1">
        <v>5</v>
      </c>
      <c r="M51" s="2">
        <f>IFERROR(L51/K51*100,0)</f>
        <v>0</v>
      </c>
      <c r="N51" s="1" t="s">
        <v>293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929</v>
      </c>
      <c r="C3" s="1" t="s">
        <v>126</v>
      </c>
      <c r="D3" s="1" t="s">
        <v>127</v>
      </c>
      <c r="E3" s="1" t="s">
        <v>930</v>
      </c>
      <c r="F3" s="1" t="s">
        <v>568</v>
      </c>
      <c r="G3" s="1" t="s">
        <v>931</v>
      </c>
      <c r="H3" s="1" t="s">
        <v>932</v>
      </c>
      <c r="I3" s="2" t="s">
        <v>134</v>
      </c>
      <c r="J3" s="1" t="s">
        <v>135</v>
      </c>
      <c r="K3" s="1" t="s">
        <v>933</v>
      </c>
      <c r="L3" s="1" t="s">
        <v>934</v>
      </c>
      <c r="M3" s="1" t="s">
        <v>573</v>
      </c>
      <c r="N3" s="1" t="s">
        <v>935</v>
      </c>
      <c r="O3" s="1" t="s">
        <v>287</v>
      </c>
    </row>
    <row r="4" spans="1:17">
      <c r="A4" s="1">
        <v>1</v>
      </c>
      <c r="B4" s="1" t="s">
        <v>881</v>
      </c>
      <c r="C4" s="5">
        <v>46034</v>
      </c>
      <c r="D4" s="1" t="s">
        <v>3</v>
      </c>
      <c r="E4" s="6" t="s">
        <v>20</v>
      </c>
      <c r="F4" s="6" t="s">
        <v>66</v>
      </c>
      <c r="G4" s="1">
        <v>12</v>
      </c>
      <c r="H4" s="1">
        <v>31</v>
      </c>
      <c r="I4" s="2">
        <f>IFERROR(H4/G4*100,0)</f>
        <v>0</v>
      </c>
      <c r="J4" s="1">
        <v>89</v>
      </c>
      <c r="K4" s="1">
        <v>5</v>
      </c>
      <c r="L4" s="1" t="s">
        <v>70</v>
      </c>
      <c r="M4" s="1"/>
      <c r="N4" s="1" t="s">
        <v>23</v>
      </c>
      <c r="O4" s="1" t="s">
        <v>238</v>
      </c>
    </row>
    <row r="5" spans="1:17">
      <c r="A5" s="1">
        <v>2</v>
      </c>
      <c r="B5" s="1" t="s">
        <v>882</v>
      </c>
      <c r="C5" s="5">
        <v>46033</v>
      </c>
      <c r="D5" s="1" t="s">
        <v>3</v>
      </c>
      <c r="E5" s="6" t="s">
        <v>16</v>
      </c>
      <c r="F5" s="6" t="s">
        <v>41</v>
      </c>
      <c r="G5" s="1">
        <v>13</v>
      </c>
      <c r="H5" s="1">
        <v>41</v>
      </c>
      <c r="I5" s="2">
        <f>IFERROR(H5/G5*100,0)</f>
        <v>0</v>
      </c>
      <c r="J5" s="1">
        <v>68</v>
      </c>
      <c r="K5" s="1">
        <v>6</v>
      </c>
      <c r="L5" s="1" t="s">
        <v>93</v>
      </c>
      <c r="M5" s="1"/>
      <c r="N5" s="1" t="s">
        <v>23</v>
      </c>
      <c r="O5" s="1" t="s">
        <v>254</v>
      </c>
    </row>
    <row r="6" spans="1:17">
      <c r="A6" s="1">
        <v>3</v>
      </c>
      <c r="B6" s="1" t="s">
        <v>883</v>
      </c>
      <c r="C6" s="5">
        <v>46033</v>
      </c>
      <c r="D6" s="1" t="s">
        <v>3</v>
      </c>
      <c r="E6" s="6" t="s">
        <v>91</v>
      </c>
      <c r="F6" s="6" t="s">
        <v>62</v>
      </c>
      <c r="G6" s="1">
        <v>39</v>
      </c>
      <c r="H6" s="1">
        <v>56</v>
      </c>
      <c r="I6" s="2">
        <f>IFERROR(H6/G6*100,0)</f>
        <v>0</v>
      </c>
      <c r="J6" s="1">
        <v>32</v>
      </c>
      <c r="K6" s="1">
        <v>6</v>
      </c>
      <c r="L6" s="1" t="s">
        <v>22</v>
      </c>
      <c r="M6" s="1"/>
      <c r="N6" s="1" t="s">
        <v>23</v>
      </c>
      <c r="O6" s="1" t="s">
        <v>254</v>
      </c>
    </row>
    <row r="7" spans="1:17">
      <c r="A7" s="1">
        <v>4</v>
      </c>
      <c r="B7" s="1" t="s">
        <v>884</v>
      </c>
      <c r="C7" s="5">
        <v>46028</v>
      </c>
      <c r="D7" s="1" t="s">
        <v>3</v>
      </c>
      <c r="E7" s="6" t="s">
        <v>64</v>
      </c>
      <c r="F7" s="6" t="s">
        <v>70</v>
      </c>
      <c r="G7" s="1">
        <v>45</v>
      </c>
      <c r="H7" s="1">
        <v>39</v>
      </c>
      <c r="I7" s="2">
        <f>IFERROR(H7/G7*100,0)</f>
        <v>0</v>
      </c>
      <c r="J7" s="1">
        <v>35</v>
      </c>
      <c r="K7" s="1">
        <v>1</v>
      </c>
      <c r="L7" s="1" t="s">
        <v>32</v>
      </c>
      <c r="M7" s="1"/>
      <c r="N7" s="1" t="s">
        <v>23</v>
      </c>
      <c r="O7" s="1" t="s">
        <v>254</v>
      </c>
    </row>
    <row r="8" spans="1:17">
      <c r="A8" s="1">
        <v>5</v>
      </c>
      <c r="B8" s="1" t="s">
        <v>885</v>
      </c>
      <c r="C8" s="5">
        <v>46028</v>
      </c>
      <c r="D8" s="1" t="s">
        <v>3</v>
      </c>
      <c r="E8" s="6" t="s">
        <v>12</v>
      </c>
      <c r="F8" s="6" t="s">
        <v>66</v>
      </c>
      <c r="G8" s="1">
        <v>58</v>
      </c>
      <c r="H8" s="1">
        <v>53</v>
      </c>
      <c r="I8" s="2">
        <f>IFERROR(H8/G8*100,0)</f>
        <v>0</v>
      </c>
      <c r="J8" s="1">
        <v>87</v>
      </c>
      <c r="K8" s="1">
        <v>2</v>
      </c>
      <c r="L8" s="1" t="s">
        <v>32</v>
      </c>
      <c r="M8" s="1"/>
      <c r="N8" s="1" t="s">
        <v>9</v>
      </c>
      <c r="O8" s="1" t="s">
        <v>293</v>
      </c>
    </row>
    <row r="9" spans="1:17">
      <c r="A9" s="1">
        <v>6</v>
      </c>
      <c r="B9" s="1" t="s">
        <v>886</v>
      </c>
      <c r="C9" s="5">
        <v>46056</v>
      </c>
      <c r="D9" s="1" t="s">
        <v>19</v>
      </c>
      <c r="E9" s="6" t="s">
        <v>57</v>
      </c>
      <c r="F9" s="6" t="s">
        <v>22</v>
      </c>
      <c r="G9" s="1">
        <v>50</v>
      </c>
      <c r="H9" s="1">
        <v>32</v>
      </c>
      <c r="I9" s="2">
        <f>IFERROR(H9/G9*100,0)</f>
        <v>0</v>
      </c>
      <c r="J9" s="1">
        <v>120</v>
      </c>
      <c r="K9" s="1">
        <v>8</v>
      </c>
      <c r="L9" s="1" t="s">
        <v>15</v>
      </c>
      <c r="M9" s="1"/>
      <c r="N9" s="1" t="s">
        <v>23</v>
      </c>
      <c r="O9" s="1" t="s">
        <v>293</v>
      </c>
    </row>
    <row r="10" spans="1:17">
      <c r="A10" s="1">
        <v>7</v>
      </c>
      <c r="B10" s="1" t="s">
        <v>887</v>
      </c>
      <c r="C10" s="5">
        <v>46065</v>
      </c>
      <c r="D10" s="1" t="s">
        <v>19</v>
      </c>
      <c r="E10" s="6" t="s">
        <v>57</v>
      </c>
      <c r="F10" s="6" t="s">
        <v>70</v>
      </c>
      <c r="G10" s="1">
        <v>29</v>
      </c>
      <c r="H10" s="1">
        <v>37</v>
      </c>
      <c r="I10" s="2">
        <f>IFERROR(H10/G10*100,0)</f>
        <v>0</v>
      </c>
      <c r="J10" s="1">
        <v>80</v>
      </c>
      <c r="K10" s="1">
        <v>0</v>
      </c>
      <c r="L10" s="1" t="s">
        <v>22</v>
      </c>
      <c r="M10" s="1"/>
      <c r="N10" s="1" t="s">
        <v>23</v>
      </c>
      <c r="O10" s="1" t="s">
        <v>293</v>
      </c>
    </row>
    <row r="11" spans="1:17">
      <c r="A11" s="1">
        <v>8</v>
      </c>
      <c r="B11" s="1" t="s">
        <v>888</v>
      </c>
      <c r="C11" s="5">
        <v>46070</v>
      </c>
      <c r="D11" s="1" t="s">
        <v>19</v>
      </c>
      <c r="E11" s="6" t="s">
        <v>61</v>
      </c>
      <c r="F11" s="6" t="s">
        <v>7</v>
      </c>
      <c r="G11" s="1">
        <v>20</v>
      </c>
      <c r="H11" s="1">
        <v>27</v>
      </c>
      <c r="I11" s="2">
        <f>IFERROR(H11/G11*100,0)</f>
        <v>0</v>
      </c>
      <c r="J11" s="1">
        <v>76</v>
      </c>
      <c r="K11" s="1">
        <v>2</v>
      </c>
      <c r="L11" s="1" t="s">
        <v>32</v>
      </c>
      <c r="M11" s="1"/>
      <c r="N11" s="1" t="s">
        <v>9</v>
      </c>
      <c r="O11" s="1" t="s">
        <v>297</v>
      </c>
    </row>
    <row r="12" spans="1:17">
      <c r="A12" s="1">
        <v>9</v>
      </c>
      <c r="B12" s="1" t="s">
        <v>889</v>
      </c>
      <c r="C12" s="5">
        <v>46069</v>
      </c>
      <c r="D12" s="1" t="s">
        <v>19</v>
      </c>
      <c r="E12" s="6" t="s">
        <v>49</v>
      </c>
      <c r="F12" s="6" t="s">
        <v>15</v>
      </c>
      <c r="G12" s="1">
        <v>57</v>
      </c>
      <c r="H12" s="1">
        <v>10</v>
      </c>
      <c r="I12" s="2">
        <f>IFERROR(H12/G12*100,0)</f>
        <v>0</v>
      </c>
      <c r="J12" s="1">
        <v>48</v>
      </c>
      <c r="K12" s="1">
        <v>6</v>
      </c>
      <c r="L12" s="1" t="s">
        <v>104</v>
      </c>
      <c r="M12" s="1"/>
      <c r="N12" s="1" t="s">
        <v>9</v>
      </c>
      <c r="O12" s="1" t="s">
        <v>293</v>
      </c>
    </row>
    <row r="13" spans="1:17">
      <c r="A13" s="1">
        <v>10</v>
      </c>
      <c r="B13" s="1" t="s">
        <v>890</v>
      </c>
      <c r="C13" s="5">
        <v>46082</v>
      </c>
      <c r="D13" s="1" t="s">
        <v>44</v>
      </c>
      <c r="E13" s="6" t="s">
        <v>4</v>
      </c>
      <c r="F13" s="6" t="s">
        <v>66</v>
      </c>
      <c r="G13" s="1">
        <v>50</v>
      </c>
      <c r="H13" s="1">
        <v>45</v>
      </c>
      <c r="I13" s="2">
        <f>IFERROR(H13/G13*100,0)</f>
        <v>0</v>
      </c>
      <c r="J13" s="1">
        <v>108</v>
      </c>
      <c r="K13" s="1">
        <v>8</v>
      </c>
      <c r="L13" s="1" t="s">
        <v>78</v>
      </c>
      <c r="M13" s="1"/>
      <c r="N13" s="1" t="s">
        <v>9</v>
      </c>
      <c r="O13" s="1" t="s">
        <v>293</v>
      </c>
    </row>
    <row r="14" spans="1:17">
      <c r="A14" s="1">
        <v>11</v>
      </c>
      <c r="B14" s="1" t="s">
        <v>891</v>
      </c>
      <c r="C14" s="5">
        <v>46085</v>
      </c>
      <c r="D14" s="1" t="s">
        <v>44</v>
      </c>
      <c r="E14" s="6" t="s">
        <v>16</v>
      </c>
      <c r="F14" s="6" t="s">
        <v>32</v>
      </c>
      <c r="G14" s="1">
        <v>19</v>
      </c>
      <c r="H14" s="1">
        <v>11</v>
      </c>
      <c r="I14" s="2">
        <f>IFERROR(H14/G14*100,0)</f>
        <v>0</v>
      </c>
      <c r="J14" s="1">
        <v>109</v>
      </c>
      <c r="K14" s="1">
        <v>7</v>
      </c>
      <c r="L14" s="1" t="s">
        <v>36</v>
      </c>
      <c r="M14" s="1"/>
      <c r="N14" s="1" t="s">
        <v>23</v>
      </c>
      <c r="O14" s="1" t="s">
        <v>293</v>
      </c>
    </row>
    <row r="15" spans="1:17">
      <c r="A15" s="1">
        <v>12</v>
      </c>
      <c r="B15" s="1" t="s">
        <v>892</v>
      </c>
      <c r="C15" s="5">
        <v>46091</v>
      </c>
      <c r="D15" s="1" t="s">
        <v>44</v>
      </c>
      <c r="E15" s="6" t="s">
        <v>12</v>
      </c>
      <c r="F15" s="6" t="s">
        <v>68</v>
      </c>
      <c r="G15" s="1">
        <v>20</v>
      </c>
      <c r="H15" s="1">
        <v>48</v>
      </c>
      <c r="I15" s="2">
        <f>IFERROR(H15/G15*100,0)</f>
        <v>0</v>
      </c>
      <c r="J15" s="1">
        <v>72</v>
      </c>
      <c r="K15" s="1">
        <v>5</v>
      </c>
      <c r="L15" s="1" t="s">
        <v>15</v>
      </c>
      <c r="M15" s="1"/>
      <c r="N15" s="1" t="s">
        <v>23</v>
      </c>
      <c r="O15" s="1" t="s">
        <v>293</v>
      </c>
    </row>
    <row r="16" spans="1:17">
      <c r="A16" s="1">
        <v>13</v>
      </c>
      <c r="B16" s="1" t="s">
        <v>893</v>
      </c>
      <c r="C16" s="5">
        <v>46094</v>
      </c>
      <c r="D16" s="1" t="s">
        <v>44</v>
      </c>
      <c r="E16" s="6" t="s">
        <v>54</v>
      </c>
      <c r="F16" s="6" t="s">
        <v>22</v>
      </c>
      <c r="G16" s="1">
        <v>42</v>
      </c>
      <c r="H16" s="1">
        <v>53</v>
      </c>
      <c r="I16" s="2">
        <f>IFERROR(H16/G16*100,0)</f>
        <v>0</v>
      </c>
      <c r="J16" s="1">
        <v>47</v>
      </c>
      <c r="K16" s="1">
        <v>4</v>
      </c>
      <c r="L16" s="1" t="s">
        <v>62</v>
      </c>
      <c r="M16" s="1"/>
      <c r="N16" s="1" t="s">
        <v>23</v>
      </c>
      <c r="O16" s="1" t="s">
        <v>293</v>
      </c>
    </row>
    <row r="17" spans="1:15">
      <c r="A17" s="1">
        <v>14</v>
      </c>
      <c r="B17" s="1" t="s">
        <v>894</v>
      </c>
      <c r="C17" s="5">
        <v>46101</v>
      </c>
      <c r="D17" s="1" t="s">
        <v>44</v>
      </c>
      <c r="E17" s="6" t="s">
        <v>38</v>
      </c>
      <c r="F17" s="6" t="s">
        <v>15</v>
      </c>
      <c r="G17" s="1">
        <v>40</v>
      </c>
      <c r="H17" s="1">
        <v>20</v>
      </c>
      <c r="I17" s="2">
        <f>IFERROR(H17/G17*100,0)</f>
        <v>0</v>
      </c>
      <c r="J17" s="1">
        <v>56</v>
      </c>
      <c r="K17" s="1">
        <v>7</v>
      </c>
      <c r="L17" s="1" t="s">
        <v>28</v>
      </c>
      <c r="M17" s="1"/>
      <c r="N17" s="1" t="s">
        <v>23</v>
      </c>
      <c r="O17" s="1" t="s">
        <v>293</v>
      </c>
    </row>
    <row r="18" spans="1:15">
      <c r="A18" s="1">
        <v>15</v>
      </c>
      <c r="B18" s="1" t="s">
        <v>895</v>
      </c>
      <c r="C18" s="5">
        <v>46086</v>
      </c>
      <c r="D18" s="1" t="s">
        <v>44</v>
      </c>
      <c r="E18" s="6" t="s">
        <v>57</v>
      </c>
      <c r="F18" s="6" t="s">
        <v>70</v>
      </c>
      <c r="G18" s="1">
        <v>39</v>
      </c>
      <c r="H18" s="1">
        <v>56</v>
      </c>
      <c r="I18" s="2">
        <f>IFERROR(H18/G18*100,0)</f>
        <v>0</v>
      </c>
      <c r="J18" s="1">
        <v>42</v>
      </c>
      <c r="K18" s="1">
        <v>0</v>
      </c>
      <c r="L18" s="1" t="s">
        <v>70</v>
      </c>
      <c r="M18" s="1"/>
      <c r="N18" s="1" t="s">
        <v>23</v>
      </c>
      <c r="O18" s="1" t="s">
        <v>293</v>
      </c>
    </row>
    <row r="19" spans="1:15">
      <c r="A19" s="1">
        <v>16</v>
      </c>
      <c r="B19" s="1" t="s">
        <v>896</v>
      </c>
      <c r="C19" s="5">
        <v>46113</v>
      </c>
      <c r="D19" s="1" t="s">
        <v>53</v>
      </c>
      <c r="E19" s="6" t="s">
        <v>12</v>
      </c>
      <c r="F19" s="6" t="s">
        <v>104</v>
      </c>
      <c r="G19" s="1">
        <v>46</v>
      </c>
      <c r="H19" s="1">
        <v>30</v>
      </c>
      <c r="I19" s="2">
        <f>IFERROR(H19/G19*100,0)</f>
        <v>0</v>
      </c>
      <c r="J19" s="1">
        <v>73</v>
      </c>
      <c r="K19" s="1">
        <v>2</v>
      </c>
      <c r="L19" s="1" t="s">
        <v>62</v>
      </c>
      <c r="M19" s="1"/>
      <c r="N19" s="1" t="s">
        <v>9</v>
      </c>
      <c r="O19" s="1" t="s">
        <v>293</v>
      </c>
    </row>
    <row r="20" spans="1:15">
      <c r="A20" s="1">
        <v>17</v>
      </c>
      <c r="B20" s="1" t="s">
        <v>897</v>
      </c>
      <c r="C20" s="5">
        <v>46138</v>
      </c>
      <c r="D20" s="1" t="s">
        <v>53</v>
      </c>
      <c r="E20" s="6" t="s">
        <v>45</v>
      </c>
      <c r="F20" s="6" t="s">
        <v>78</v>
      </c>
      <c r="G20" s="1">
        <v>23</v>
      </c>
      <c r="H20" s="1">
        <v>33</v>
      </c>
      <c r="I20" s="2">
        <f>IFERROR(H20/G20*100,0)</f>
        <v>0</v>
      </c>
      <c r="J20" s="1">
        <v>47</v>
      </c>
      <c r="K20" s="1">
        <v>4</v>
      </c>
      <c r="L20" s="1" t="s">
        <v>104</v>
      </c>
      <c r="M20" s="1"/>
      <c r="N20" s="1" t="s">
        <v>9</v>
      </c>
      <c r="O20" s="1" t="s">
        <v>238</v>
      </c>
    </row>
    <row r="21" spans="1:15">
      <c r="A21" s="1">
        <v>18</v>
      </c>
      <c r="B21" s="1" t="s">
        <v>898</v>
      </c>
      <c r="C21" s="5">
        <v>46137</v>
      </c>
      <c r="D21" s="1" t="s">
        <v>53</v>
      </c>
      <c r="E21" s="6" t="s">
        <v>38</v>
      </c>
      <c r="F21" s="6" t="s">
        <v>22</v>
      </c>
      <c r="G21" s="1">
        <v>47</v>
      </c>
      <c r="H21" s="1">
        <v>28</v>
      </c>
      <c r="I21" s="2">
        <f>IFERROR(H21/G21*100,0)</f>
        <v>0</v>
      </c>
      <c r="J21" s="1">
        <v>69</v>
      </c>
      <c r="K21" s="1">
        <v>8</v>
      </c>
      <c r="L21" s="1" t="s">
        <v>41</v>
      </c>
      <c r="M21" s="1"/>
      <c r="N21" s="1" t="s">
        <v>9</v>
      </c>
      <c r="O21" s="1" t="s">
        <v>293</v>
      </c>
    </row>
    <row r="22" spans="1:15">
      <c r="A22" s="1">
        <v>19</v>
      </c>
      <c r="B22" s="1" t="s">
        <v>899</v>
      </c>
      <c r="C22" s="5">
        <v>46140</v>
      </c>
      <c r="D22" s="1" t="s">
        <v>53</v>
      </c>
      <c r="E22" s="6" t="s">
        <v>54</v>
      </c>
      <c r="F22" s="6" t="s">
        <v>66</v>
      </c>
      <c r="G22" s="1">
        <v>46</v>
      </c>
      <c r="H22" s="1">
        <v>13</v>
      </c>
      <c r="I22" s="2">
        <f>IFERROR(H22/G22*100,0)</f>
        <v>0</v>
      </c>
      <c r="J22" s="1">
        <v>109</v>
      </c>
      <c r="K22" s="1">
        <v>4</v>
      </c>
      <c r="L22" s="1" t="s">
        <v>104</v>
      </c>
      <c r="M22" s="1"/>
      <c r="N22" s="1" t="s">
        <v>9</v>
      </c>
      <c r="O22" s="1" t="s">
        <v>293</v>
      </c>
    </row>
    <row r="23" spans="1:15">
      <c r="A23" s="1">
        <v>20</v>
      </c>
      <c r="B23" s="1" t="s">
        <v>900</v>
      </c>
      <c r="C23" s="5">
        <v>46162</v>
      </c>
      <c r="D23" s="1" t="s">
        <v>60</v>
      </c>
      <c r="E23" s="6" t="s">
        <v>4</v>
      </c>
      <c r="F23" s="6" t="s">
        <v>7</v>
      </c>
      <c r="G23" s="1">
        <v>49</v>
      </c>
      <c r="H23" s="1">
        <v>13</v>
      </c>
      <c r="I23" s="2">
        <f>IFERROR(H23/G23*100,0)</f>
        <v>0</v>
      </c>
      <c r="J23" s="1">
        <v>43</v>
      </c>
      <c r="K23" s="1">
        <v>2</v>
      </c>
      <c r="L23" s="1" t="s">
        <v>15</v>
      </c>
      <c r="M23" s="1"/>
      <c r="N23" s="1" t="s">
        <v>23</v>
      </c>
      <c r="O23" s="1" t="s">
        <v>293</v>
      </c>
    </row>
    <row r="24" spans="1:15">
      <c r="A24" s="1">
        <v>21</v>
      </c>
      <c r="B24" s="1" t="s">
        <v>901</v>
      </c>
      <c r="C24" s="5">
        <v>46147</v>
      </c>
      <c r="D24" s="1" t="s">
        <v>60</v>
      </c>
      <c r="E24" s="6" t="s">
        <v>91</v>
      </c>
      <c r="F24" s="6" t="s">
        <v>104</v>
      </c>
      <c r="G24" s="1">
        <v>16</v>
      </c>
      <c r="H24" s="1">
        <v>58</v>
      </c>
      <c r="I24" s="2">
        <f>IFERROR(H24/G24*100,0)</f>
        <v>0</v>
      </c>
      <c r="J24" s="1">
        <v>96</v>
      </c>
      <c r="K24" s="1">
        <v>4</v>
      </c>
      <c r="L24" s="1" t="s">
        <v>7</v>
      </c>
      <c r="M24" s="1"/>
      <c r="N24" s="1" t="s">
        <v>9</v>
      </c>
      <c r="O24" s="1" t="s">
        <v>293</v>
      </c>
    </row>
    <row r="25" spans="1:15">
      <c r="A25" s="1">
        <v>22</v>
      </c>
      <c r="B25" s="1" t="s">
        <v>902</v>
      </c>
      <c r="C25" s="5">
        <v>46145</v>
      </c>
      <c r="D25" s="1" t="s">
        <v>60</v>
      </c>
      <c r="E25" s="6" t="s">
        <v>57</v>
      </c>
      <c r="F25" s="6" t="s">
        <v>32</v>
      </c>
      <c r="G25" s="1">
        <v>56</v>
      </c>
      <c r="H25" s="1">
        <v>47</v>
      </c>
      <c r="I25" s="2">
        <f>IFERROR(H25/G25*100,0)</f>
        <v>0</v>
      </c>
      <c r="J25" s="1">
        <v>73</v>
      </c>
      <c r="K25" s="1">
        <v>3</v>
      </c>
      <c r="L25" s="1" t="s">
        <v>78</v>
      </c>
      <c r="M25" s="1"/>
      <c r="N25" s="1" t="s">
        <v>23</v>
      </c>
      <c r="O25" s="1" t="s">
        <v>293</v>
      </c>
    </row>
    <row r="26" spans="1:15">
      <c r="A26" s="1">
        <v>23</v>
      </c>
      <c r="B26" s="1" t="s">
        <v>903</v>
      </c>
      <c r="C26" s="5">
        <v>46193</v>
      </c>
      <c r="D26" s="1" t="s">
        <v>73</v>
      </c>
      <c r="E26" s="6" t="s">
        <v>12</v>
      </c>
      <c r="F26" s="6" t="s">
        <v>22</v>
      </c>
      <c r="G26" s="1">
        <v>57</v>
      </c>
      <c r="H26" s="1">
        <v>48</v>
      </c>
      <c r="I26" s="2">
        <f>IFERROR(H26/G26*100,0)</f>
        <v>0</v>
      </c>
      <c r="J26" s="1">
        <v>97</v>
      </c>
      <c r="K26" s="1">
        <v>0</v>
      </c>
      <c r="L26" s="1" t="s">
        <v>70</v>
      </c>
      <c r="M26" s="1"/>
      <c r="N26" s="1" t="s">
        <v>23</v>
      </c>
      <c r="O26" s="1" t="s">
        <v>293</v>
      </c>
    </row>
    <row r="27" spans="1:15">
      <c r="A27" s="1">
        <v>24</v>
      </c>
      <c r="B27" s="1" t="s">
        <v>904</v>
      </c>
      <c r="C27" s="5">
        <v>46186</v>
      </c>
      <c r="D27" s="1" t="s">
        <v>73</v>
      </c>
      <c r="E27" s="6" t="s">
        <v>30</v>
      </c>
      <c r="F27" s="6" t="s">
        <v>36</v>
      </c>
      <c r="G27" s="1">
        <v>18</v>
      </c>
      <c r="H27" s="1">
        <v>19</v>
      </c>
      <c r="I27" s="2">
        <f>IFERROR(H27/G27*100,0)</f>
        <v>0</v>
      </c>
      <c r="J27" s="1">
        <v>59</v>
      </c>
      <c r="K27" s="1">
        <v>6</v>
      </c>
      <c r="L27" s="1" t="s">
        <v>62</v>
      </c>
      <c r="M27" s="1"/>
      <c r="N27" s="1" t="s">
        <v>9</v>
      </c>
      <c r="O27" s="1" t="s">
        <v>293</v>
      </c>
    </row>
    <row r="28" spans="1:15">
      <c r="A28" s="1">
        <v>25</v>
      </c>
      <c r="B28" s="1" t="s">
        <v>905</v>
      </c>
      <c r="C28" s="5">
        <v>46177</v>
      </c>
      <c r="D28" s="1" t="s">
        <v>73</v>
      </c>
      <c r="E28" s="6" t="s">
        <v>4</v>
      </c>
      <c r="F28" s="6" t="s">
        <v>78</v>
      </c>
      <c r="G28" s="1">
        <v>37</v>
      </c>
      <c r="H28" s="1">
        <v>36</v>
      </c>
      <c r="I28" s="2">
        <f>IFERROR(H28/G28*100,0)</f>
        <v>0</v>
      </c>
      <c r="J28" s="1">
        <v>84</v>
      </c>
      <c r="K28" s="1">
        <v>3</v>
      </c>
      <c r="L28" s="1" t="s">
        <v>104</v>
      </c>
      <c r="M28" s="1"/>
      <c r="N28" s="1" t="s">
        <v>23</v>
      </c>
      <c r="O28" s="1" t="s">
        <v>293</v>
      </c>
    </row>
    <row r="29" spans="1:15">
      <c r="A29" s="1">
        <v>26</v>
      </c>
      <c r="B29" s="1" t="s">
        <v>906</v>
      </c>
      <c r="C29" s="5">
        <v>46210</v>
      </c>
      <c r="D29" s="1" t="s">
        <v>76</v>
      </c>
      <c r="E29" s="6" t="s">
        <v>54</v>
      </c>
      <c r="F29" s="6" t="s">
        <v>28</v>
      </c>
      <c r="G29" s="1">
        <v>49</v>
      </c>
      <c r="H29" s="1">
        <v>53</v>
      </c>
      <c r="I29" s="2">
        <f>IFERROR(H29/G29*100,0)</f>
        <v>0</v>
      </c>
      <c r="J29" s="1">
        <v>106</v>
      </c>
      <c r="K29" s="1">
        <v>2</v>
      </c>
      <c r="L29" s="1" t="s">
        <v>15</v>
      </c>
      <c r="M29" s="1"/>
      <c r="N29" s="1" t="s">
        <v>9</v>
      </c>
      <c r="O29" s="1" t="s">
        <v>254</v>
      </c>
    </row>
    <row r="30" spans="1:15">
      <c r="A30" s="1">
        <v>27</v>
      </c>
      <c r="B30" s="1" t="s">
        <v>907</v>
      </c>
      <c r="C30" s="5">
        <v>46216</v>
      </c>
      <c r="D30" s="1" t="s">
        <v>76</v>
      </c>
      <c r="E30" s="6" t="s">
        <v>57</v>
      </c>
      <c r="F30" s="6" t="s">
        <v>62</v>
      </c>
      <c r="G30" s="1">
        <v>51</v>
      </c>
      <c r="H30" s="1">
        <v>51</v>
      </c>
      <c r="I30" s="2">
        <f>IFERROR(H30/G30*100,0)</f>
        <v>0</v>
      </c>
      <c r="J30" s="1">
        <v>109</v>
      </c>
      <c r="K30" s="1">
        <v>3</v>
      </c>
      <c r="L30" s="1" t="s">
        <v>32</v>
      </c>
      <c r="M30" s="1"/>
      <c r="N30" s="1" t="s">
        <v>9</v>
      </c>
      <c r="O30" s="1" t="s">
        <v>238</v>
      </c>
    </row>
    <row r="31" spans="1:15">
      <c r="A31" s="1">
        <v>28</v>
      </c>
      <c r="B31" s="1" t="s">
        <v>908</v>
      </c>
      <c r="C31" s="5">
        <v>46206</v>
      </c>
      <c r="D31" s="1" t="s">
        <v>76</v>
      </c>
      <c r="E31" s="6" t="s">
        <v>20</v>
      </c>
      <c r="F31" s="6" t="s">
        <v>62</v>
      </c>
      <c r="G31" s="1">
        <v>55</v>
      </c>
      <c r="H31" s="1">
        <v>28</v>
      </c>
      <c r="I31" s="2">
        <f>IFERROR(H31/G31*100,0)</f>
        <v>0</v>
      </c>
      <c r="J31" s="1">
        <v>111</v>
      </c>
      <c r="K31" s="1">
        <v>0</v>
      </c>
      <c r="L31" s="1" t="s">
        <v>41</v>
      </c>
      <c r="M31" s="1"/>
      <c r="N31" s="1" t="s">
        <v>23</v>
      </c>
      <c r="O31" s="1" t="s">
        <v>297</v>
      </c>
    </row>
    <row r="32" spans="1:15">
      <c r="A32" s="1">
        <v>29</v>
      </c>
      <c r="B32" s="1" t="s">
        <v>909</v>
      </c>
      <c r="C32" s="5">
        <v>46250</v>
      </c>
      <c r="D32" s="1" t="s">
        <v>86</v>
      </c>
      <c r="E32" s="6" t="s">
        <v>30</v>
      </c>
      <c r="F32" s="6" t="s">
        <v>78</v>
      </c>
      <c r="G32" s="1">
        <v>41</v>
      </c>
      <c r="H32" s="1">
        <v>32</v>
      </c>
      <c r="I32" s="2">
        <f>IFERROR(H32/G32*100,0)</f>
        <v>0</v>
      </c>
      <c r="J32" s="1">
        <v>111</v>
      </c>
      <c r="K32" s="1">
        <v>6</v>
      </c>
      <c r="L32" s="1" t="s">
        <v>36</v>
      </c>
      <c r="M32" s="1"/>
      <c r="N32" s="1" t="s">
        <v>23</v>
      </c>
      <c r="O32" s="1" t="s">
        <v>254</v>
      </c>
    </row>
    <row r="33" spans="1:15">
      <c r="A33" s="1">
        <v>30</v>
      </c>
      <c r="B33" s="1" t="s">
        <v>910</v>
      </c>
      <c r="C33" s="5">
        <v>46235</v>
      </c>
      <c r="D33" s="1" t="s">
        <v>86</v>
      </c>
      <c r="E33" s="6" t="s">
        <v>20</v>
      </c>
      <c r="F33" s="6" t="s">
        <v>93</v>
      </c>
      <c r="G33" s="1">
        <v>28</v>
      </c>
      <c r="H33" s="1">
        <v>13</v>
      </c>
      <c r="I33" s="2">
        <f>IFERROR(H33/G33*100,0)</f>
        <v>0</v>
      </c>
      <c r="J33" s="1">
        <v>37</v>
      </c>
      <c r="K33" s="1">
        <v>8</v>
      </c>
      <c r="L33" s="1" t="s">
        <v>41</v>
      </c>
      <c r="M33" s="1"/>
      <c r="N33" s="1" t="s">
        <v>9</v>
      </c>
      <c r="O33" s="1" t="s">
        <v>254</v>
      </c>
    </row>
    <row r="34" spans="1:15">
      <c r="A34" s="1">
        <v>31</v>
      </c>
      <c r="B34" s="1" t="s">
        <v>911</v>
      </c>
      <c r="C34" s="5">
        <v>46240</v>
      </c>
      <c r="D34" s="1" t="s">
        <v>86</v>
      </c>
      <c r="E34" s="6" t="s">
        <v>49</v>
      </c>
      <c r="F34" s="6" t="s">
        <v>104</v>
      </c>
      <c r="G34" s="1">
        <v>44</v>
      </c>
      <c r="H34" s="1">
        <v>18</v>
      </c>
      <c r="I34" s="2">
        <f>IFERROR(H34/G34*100,0)</f>
        <v>0</v>
      </c>
      <c r="J34" s="1">
        <v>15</v>
      </c>
      <c r="K34" s="1">
        <v>7</v>
      </c>
      <c r="L34" s="1" t="s">
        <v>70</v>
      </c>
      <c r="M34" s="1"/>
      <c r="N34" s="1" t="s">
        <v>23</v>
      </c>
      <c r="O34" s="1" t="s">
        <v>297</v>
      </c>
    </row>
    <row r="35" spans="1:15">
      <c r="A35" s="1">
        <v>32</v>
      </c>
      <c r="B35" s="1" t="s">
        <v>912</v>
      </c>
      <c r="C35" s="5">
        <v>46240</v>
      </c>
      <c r="D35" s="1" t="s">
        <v>86</v>
      </c>
      <c r="E35" s="6" t="s">
        <v>20</v>
      </c>
      <c r="F35" s="6" t="s">
        <v>36</v>
      </c>
      <c r="G35" s="1">
        <v>49</v>
      </c>
      <c r="H35" s="1">
        <v>30</v>
      </c>
      <c r="I35" s="2">
        <f>IFERROR(H35/G35*100,0)</f>
        <v>0</v>
      </c>
      <c r="J35" s="1">
        <v>24</v>
      </c>
      <c r="K35" s="1">
        <v>5</v>
      </c>
      <c r="L35" s="1" t="s">
        <v>41</v>
      </c>
      <c r="M35" s="1"/>
      <c r="N35" s="1" t="s">
        <v>9</v>
      </c>
      <c r="O35" s="1" t="s">
        <v>293</v>
      </c>
    </row>
    <row r="36" spans="1:15">
      <c r="A36" s="1">
        <v>33</v>
      </c>
      <c r="B36" s="1" t="s">
        <v>913</v>
      </c>
      <c r="C36" s="5">
        <v>46252</v>
      </c>
      <c r="D36" s="1" t="s">
        <v>86</v>
      </c>
      <c r="E36" s="6" t="s">
        <v>4</v>
      </c>
      <c r="F36" s="6" t="s">
        <v>93</v>
      </c>
      <c r="G36" s="1">
        <v>10</v>
      </c>
      <c r="H36" s="1">
        <v>60</v>
      </c>
      <c r="I36" s="2">
        <f>IFERROR(H36/G36*100,0)</f>
        <v>0</v>
      </c>
      <c r="J36" s="1">
        <v>59</v>
      </c>
      <c r="K36" s="1">
        <v>7</v>
      </c>
      <c r="L36" s="1" t="s">
        <v>32</v>
      </c>
      <c r="M36" s="1"/>
      <c r="N36" s="1" t="s">
        <v>23</v>
      </c>
      <c r="O36" s="1" t="s">
        <v>293</v>
      </c>
    </row>
    <row r="37" spans="1:15">
      <c r="A37" s="1">
        <v>34</v>
      </c>
      <c r="B37" s="1" t="s">
        <v>914</v>
      </c>
      <c r="C37" s="5">
        <v>46268</v>
      </c>
      <c r="D37" s="1" t="s">
        <v>102</v>
      </c>
      <c r="E37" s="6" t="s">
        <v>20</v>
      </c>
      <c r="F37" s="6" t="s">
        <v>36</v>
      </c>
      <c r="G37" s="1">
        <v>30</v>
      </c>
      <c r="H37" s="1">
        <v>28</v>
      </c>
      <c r="I37" s="2">
        <f>IFERROR(H37/G37*100,0)</f>
        <v>0</v>
      </c>
      <c r="J37" s="1">
        <v>105</v>
      </c>
      <c r="K37" s="1">
        <v>5</v>
      </c>
      <c r="L37" s="1" t="s">
        <v>22</v>
      </c>
      <c r="M37" s="1"/>
      <c r="N37" s="1" t="s">
        <v>23</v>
      </c>
      <c r="O37" s="1" t="s">
        <v>293</v>
      </c>
    </row>
    <row r="38" spans="1:15">
      <c r="A38" s="1">
        <v>35</v>
      </c>
      <c r="B38" s="1" t="s">
        <v>915</v>
      </c>
      <c r="C38" s="5">
        <v>46284</v>
      </c>
      <c r="D38" s="1" t="s">
        <v>102</v>
      </c>
      <c r="E38" s="6" t="s">
        <v>4</v>
      </c>
      <c r="F38" s="6" t="s">
        <v>93</v>
      </c>
      <c r="G38" s="1">
        <v>51</v>
      </c>
      <c r="H38" s="1">
        <v>21</v>
      </c>
      <c r="I38" s="2">
        <f>IFERROR(H38/G38*100,0)</f>
        <v>0</v>
      </c>
      <c r="J38" s="1">
        <v>116</v>
      </c>
      <c r="K38" s="1">
        <v>5</v>
      </c>
      <c r="L38" s="1" t="s">
        <v>66</v>
      </c>
      <c r="M38" s="1"/>
      <c r="N38" s="1" t="s">
        <v>23</v>
      </c>
      <c r="O38" s="1" t="s">
        <v>293</v>
      </c>
    </row>
    <row r="39" spans="1:15">
      <c r="A39" s="1">
        <v>36</v>
      </c>
      <c r="B39" s="1" t="s">
        <v>916</v>
      </c>
      <c r="C39" s="5">
        <v>46274</v>
      </c>
      <c r="D39" s="1" t="s">
        <v>102</v>
      </c>
      <c r="E39" s="6" t="s">
        <v>12</v>
      </c>
      <c r="F39" s="6" t="s">
        <v>32</v>
      </c>
      <c r="G39" s="1">
        <v>12</v>
      </c>
      <c r="H39" s="1">
        <v>25</v>
      </c>
      <c r="I39" s="2">
        <f>IFERROR(H39/G39*100,0)</f>
        <v>0</v>
      </c>
      <c r="J39" s="1">
        <v>84</v>
      </c>
      <c r="K39" s="1">
        <v>2</v>
      </c>
      <c r="L39" s="1" t="s">
        <v>36</v>
      </c>
      <c r="M39" s="1"/>
      <c r="N39" s="1" t="s">
        <v>23</v>
      </c>
      <c r="O39" s="1" t="s">
        <v>254</v>
      </c>
    </row>
    <row r="40" spans="1:15">
      <c r="A40" s="1">
        <v>37</v>
      </c>
      <c r="B40" s="1" t="s">
        <v>917</v>
      </c>
      <c r="C40" s="5">
        <v>46323</v>
      </c>
      <c r="D40" s="1" t="s">
        <v>106</v>
      </c>
      <c r="E40" s="6" t="s">
        <v>64</v>
      </c>
      <c r="F40" s="6" t="s">
        <v>78</v>
      </c>
      <c r="G40" s="1">
        <v>21</v>
      </c>
      <c r="H40" s="1">
        <v>36</v>
      </c>
      <c r="I40" s="2">
        <f>IFERROR(H40/G40*100,0)</f>
        <v>0</v>
      </c>
      <c r="J40" s="1">
        <v>55</v>
      </c>
      <c r="K40" s="1">
        <v>5</v>
      </c>
      <c r="L40" s="1" t="s">
        <v>66</v>
      </c>
      <c r="M40" s="1"/>
      <c r="N40" s="1" t="s">
        <v>23</v>
      </c>
      <c r="O40" s="1" t="s">
        <v>293</v>
      </c>
    </row>
    <row r="41" spans="1:15">
      <c r="A41" s="1">
        <v>38</v>
      </c>
      <c r="B41" s="1" t="s">
        <v>918</v>
      </c>
      <c r="C41" s="5">
        <v>46298</v>
      </c>
      <c r="D41" s="1" t="s">
        <v>106</v>
      </c>
      <c r="E41" s="6" t="s">
        <v>91</v>
      </c>
      <c r="F41" s="6" t="s">
        <v>78</v>
      </c>
      <c r="G41" s="1">
        <v>17</v>
      </c>
      <c r="H41" s="1">
        <v>35</v>
      </c>
      <c r="I41" s="2">
        <f>IFERROR(H41/G41*100,0)</f>
        <v>0</v>
      </c>
      <c r="J41" s="1">
        <v>107</v>
      </c>
      <c r="K41" s="1">
        <v>2</v>
      </c>
      <c r="L41" s="1" t="s">
        <v>78</v>
      </c>
      <c r="M41" s="1"/>
      <c r="N41" s="1" t="s">
        <v>9</v>
      </c>
      <c r="O41" s="1" t="s">
        <v>254</v>
      </c>
    </row>
    <row r="42" spans="1:15">
      <c r="A42" s="1">
        <v>39</v>
      </c>
      <c r="B42" s="1" t="s">
        <v>919</v>
      </c>
      <c r="C42" s="5">
        <v>46320</v>
      </c>
      <c r="D42" s="1" t="s">
        <v>106</v>
      </c>
      <c r="E42" s="6" t="s">
        <v>49</v>
      </c>
      <c r="F42" s="6" t="s">
        <v>32</v>
      </c>
      <c r="G42" s="1">
        <v>55</v>
      </c>
      <c r="H42" s="1">
        <v>15</v>
      </c>
      <c r="I42" s="2">
        <f>IFERROR(H42/G42*100,0)</f>
        <v>0</v>
      </c>
      <c r="J42" s="1">
        <v>68</v>
      </c>
      <c r="K42" s="1">
        <v>8</v>
      </c>
      <c r="L42" s="1" t="s">
        <v>78</v>
      </c>
      <c r="M42" s="1"/>
      <c r="N42" s="1" t="s">
        <v>9</v>
      </c>
      <c r="O42" s="1" t="s">
        <v>297</v>
      </c>
    </row>
    <row r="43" spans="1:15">
      <c r="A43" s="1">
        <v>40</v>
      </c>
      <c r="B43" s="1" t="s">
        <v>920</v>
      </c>
      <c r="C43" s="5">
        <v>46297</v>
      </c>
      <c r="D43" s="1" t="s">
        <v>106</v>
      </c>
      <c r="E43" s="6" t="s">
        <v>49</v>
      </c>
      <c r="F43" s="6" t="s">
        <v>32</v>
      </c>
      <c r="G43" s="1">
        <v>57</v>
      </c>
      <c r="H43" s="1">
        <v>48</v>
      </c>
      <c r="I43" s="2">
        <f>IFERROR(H43/G43*100,0)</f>
        <v>0</v>
      </c>
      <c r="J43" s="1">
        <v>113</v>
      </c>
      <c r="K43" s="1">
        <v>0</v>
      </c>
      <c r="L43" s="1" t="s">
        <v>15</v>
      </c>
      <c r="M43" s="1"/>
      <c r="N43" s="1" t="s">
        <v>9</v>
      </c>
      <c r="O43" s="1" t="s">
        <v>293</v>
      </c>
    </row>
    <row r="44" spans="1:15">
      <c r="A44" s="1">
        <v>41</v>
      </c>
      <c r="B44" s="1" t="s">
        <v>921</v>
      </c>
      <c r="C44" s="5">
        <v>46318</v>
      </c>
      <c r="D44" s="1" t="s">
        <v>106</v>
      </c>
      <c r="E44" s="6" t="s">
        <v>64</v>
      </c>
      <c r="F44" s="6" t="s">
        <v>93</v>
      </c>
      <c r="G44" s="1">
        <v>31</v>
      </c>
      <c r="H44" s="1">
        <v>22</v>
      </c>
      <c r="I44" s="2">
        <f>IFERROR(H44/G44*100,0)</f>
        <v>0</v>
      </c>
      <c r="J44" s="1">
        <v>66</v>
      </c>
      <c r="K44" s="1">
        <v>5</v>
      </c>
      <c r="L44" s="1" t="s">
        <v>68</v>
      </c>
      <c r="M44" s="1"/>
      <c r="N44" s="1" t="s">
        <v>23</v>
      </c>
      <c r="O44" s="1" t="s">
        <v>293</v>
      </c>
    </row>
    <row r="45" spans="1:15">
      <c r="A45" s="1">
        <v>42</v>
      </c>
      <c r="B45" s="1" t="s">
        <v>922</v>
      </c>
      <c r="C45" s="5">
        <v>46300</v>
      </c>
      <c r="D45" s="1" t="s">
        <v>106</v>
      </c>
      <c r="E45" s="6" t="s">
        <v>30</v>
      </c>
      <c r="F45" s="6" t="s">
        <v>70</v>
      </c>
      <c r="G45" s="1">
        <v>37</v>
      </c>
      <c r="H45" s="1">
        <v>46</v>
      </c>
      <c r="I45" s="2">
        <f>IFERROR(H45/G45*100,0)</f>
        <v>0</v>
      </c>
      <c r="J45" s="1">
        <v>56</v>
      </c>
      <c r="K45" s="1">
        <v>2</v>
      </c>
      <c r="L45" s="1" t="s">
        <v>36</v>
      </c>
      <c r="M45" s="1"/>
      <c r="N45" s="1" t="s">
        <v>23</v>
      </c>
      <c r="O45" s="1" t="s">
        <v>293</v>
      </c>
    </row>
    <row r="46" spans="1:15">
      <c r="A46" s="1">
        <v>43</v>
      </c>
      <c r="B46" s="1" t="s">
        <v>923</v>
      </c>
      <c r="C46" s="5">
        <v>46316</v>
      </c>
      <c r="D46" s="1" t="s">
        <v>106</v>
      </c>
      <c r="E46" s="6" t="s">
        <v>57</v>
      </c>
      <c r="F46" s="6" t="s">
        <v>41</v>
      </c>
      <c r="G46" s="1">
        <v>50</v>
      </c>
      <c r="H46" s="1">
        <v>54</v>
      </c>
      <c r="I46" s="2">
        <f>IFERROR(H46/G46*100,0)</f>
        <v>0</v>
      </c>
      <c r="J46" s="1">
        <v>74</v>
      </c>
      <c r="K46" s="1">
        <v>7</v>
      </c>
      <c r="L46" s="1" t="s">
        <v>32</v>
      </c>
      <c r="M46" s="1"/>
      <c r="N46" s="1" t="s">
        <v>9</v>
      </c>
      <c r="O46" s="1" t="s">
        <v>254</v>
      </c>
    </row>
    <row r="47" spans="1:15">
      <c r="A47" s="1">
        <v>44</v>
      </c>
      <c r="B47" s="1" t="s">
        <v>924</v>
      </c>
      <c r="C47" s="5">
        <v>46305</v>
      </c>
      <c r="D47" s="1" t="s">
        <v>106</v>
      </c>
      <c r="E47" s="6" t="s">
        <v>20</v>
      </c>
      <c r="F47" s="6" t="s">
        <v>36</v>
      </c>
      <c r="G47" s="1">
        <v>10</v>
      </c>
      <c r="H47" s="1">
        <v>21</v>
      </c>
      <c r="I47" s="2">
        <f>IFERROR(H47/G47*100,0)</f>
        <v>0</v>
      </c>
      <c r="J47" s="1">
        <v>52</v>
      </c>
      <c r="K47" s="1">
        <v>0</v>
      </c>
      <c r="L47" s="1" t="s">
        <v>104</v>
      </c>
      <c r="M47" s="1"/>
      <c r="N47" s="1" t="s">
        <v>9</v>
      </c>
      <c r="O47" s="1" t="s">
        <v>293</v>
      </c>
    </row>
    <row r="48" spans="1:15">
      <c r="A48" s="1">
        <v>45</v>
      </c>
      <c r="B48" s="1" t="s">
        <v>925</v>
      </c>
      <c r="C48" s="5">
        <v>46320</v>
      </c>
      <c r="D48" s="1" t="s">
        <v>106</v>
      </c>
      <c r="E48" s="6" t="s">
        <v>38</v>
      </c>
      <c r="F48" s="6" t="s">
        <v>22</v>
      </c>
      <c r="G48" s="1">
        <v>34</v>
      </c>
      <c r="H48" s="1">
        <v>28</v>
      </c>
      <c r="I48" s="2">
        <f>IFERROR(H48/G48*100,0)</f>
        <v>0</v>
      </c>
      <c r="J48" s="1">
        <v>119</v>
      </c>
      <c r="K48" s="1">
        <v>7</v>
      </c>
      <c r="L48" s="1" t="s">
        <v>93</v>
      </c>
      <c r="M48" s="1"/>
      <c r="N48" s="1" t="s">
        <v>9</v>
      </c>
      <c r="O48" s="1" t="s">
        <v>293</v>
      </c>
    </row>
    <row r="49" spans="1:15">
      <c r="A49" s="1">
        <v>46</v>
      </c>
      <c r="B49" s="1" t="s">
        <v>926</v>
      </c>
      <c r="C49" s="5">
        <v>46303</v>
      </c>
      <c r="D49" s="1" t="s">
        <v>106</v>
      </c>
      <c r="E49" s="6" t="s">
        <v>61</v>
      </c>
      <c r="F49" s="6" t="s">
        <v>41</v>
      </c>
      <c r="G49" s="1">
        <v>36</v>
      </c>
      <c r="H49" s="1">
        <v>46</v>
      </c>
      <c r="I49" s="2">
        <f>IFERROR(H49/G49*100,0)</f>
        <v>0</v>
      </c>
      <c r="J49" s="1">
        <v>79</v>
      </c>
      <c r="K49" s="1">
        <v>7</v>
      </c>
      <c r="L49" s="1" t="s">
        <v>70</v>
      </c>
      <c r="M49" s="1"/>
      <c r="N49" s="1" t="s">
        <v>9</v>
      </c>
      <c r="O49" s="1" t="s">
        <v>293</v>
      </c>
    </row>
    <row r="50" spans="1:15">
      <c r="A50" s="1">
        <v>47</v>
      </c>
      <c r="B50" s="1" t="s">
        <v>927</v>
      </c>
      <c r="C50" s="5">
        <v>46331</v>
      </c>
      <c r="D50" s="1" t="s">
        <v>111</v>
      </c>
      <c r="E50" s="6" t="s">
        <v>16</v>
      </c>
      <c r="F50" s="6" t="s">
        <v>70</v>
      </c>
      <c r="G50" s="1">
        <v>20</v>
      </c>
      <c r="H50" s="1">
        <v>45</v>
      </c>
      <c r="I50" s="2">
        <f>IFERROR(H50/G50*100,0)</f>
        <v>0</v>
      </c>
      <c r="J50" s="1">
        <v>94</v>
      </c>
      <c r="K50" s="1">
        <v>6</v>
      </c>
      <c r="L50" s="1" t="s">
        <v>93</v>
      </c>
      <c r="M50" s="1"/>
      <c r="N50" s="1" t="s">
        <v>23</v>
      </c>
      <c r="O50" s="1" t="s">
        <v>293</v>
      </c>
    </row>
    <row r="51" spans="1:15">
      <c r="A51" s="1">
        <v>48</v>
      </c>
      <c r="B51" s="1" t="s">
        <v>928</v>
      </c>
      <c r="C51" s="5">
        <v>46337</v>
      </c>
      <c r="D51" s="1" t="s">
        <v>111</v>
      </c>
      <c r="E51" s="6" t="s">
        <v>12</v>
      </c>
      <c r="F51" s="6" t="s">
        <v>41</v>
      </c>
      <c r="G51" s="1">
        <v>32</v>
      </c>
      <c r="H51" s="1">
        <v>12</v>
      </c>
      <c r="I51" s="2">
        <f>IFERROR(H51/G51*100,0)</f>
        <v>0</v>
      </c>
      <c r="J51" s="1">
        <v>20</v>
      </c>
      <c r="K51" s="1">
        <v>2</v>
      </c>
      <c r="L51" s="1" t="s">
        <v>15</v>
      </c>
      <c r="M51" s="1"/>
      <c r="N51" s="1" t="s">
        <v>23</v>
      </c>
      <c r="O51" s="1" t="s">
        <v>238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936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994</v>
      </c>
      <c r="C3" s="1" t="s">
        <v>126</v>
      </c>
      <c r="D3" s="1" t="s">
        <v>127</v>
      </c>
      <c r="E3" s="1" t="s">
        <v>995</v>
      </c>
      <c r="F3" s="1" t="s">
        <v>129</v>
      </c>
      <c r="G3" s="1" t="s">
        <v>996</v>
      </c>
      <c r="H3" s="1" t="s">
        <v>356</v>
      </c>
      <c r="I3" s="1" t="s">
        <v>997</v>
      </c>
      <c r="J3" s="1" t="s">
        <v>209</v>
      </c>
      <c r="K3" s="1" t="s">
        <v>287</v>
      </c>
    </row>
    <row r="4" spans="1:13">
      <c r="A4" s="1">
        <v>1</v>
      </c>
      <c r="B4" s="1" t="s">
        <v>937</v>
      </c>
      <c r="C4" s="5">
        <v>46047</v>
      </c>
      <c r="D4" s="1" t="s">
        <v>3</v>
      </c>
      <c r="E4" s="6" t="s">
        <v>938</v>
      </c>
      <c r="F4" s="6" t="s">
        <v>58</v>
      </c>
      <c r="G4" s="1" t="s">
        <v>62</v>
      </c>
      <c r="H4" s="1" t="s">
        <v>313</v>
      </c>
      <c r="I4" s="1" t="s">
        <v>939</v>
      </c>
      <c r="J4" s="1" t="s">
        <v>41</v>
      </c>
      <c r="K4" s="1" t="s">
        <v>297</v>
      </c>
    </row>
    <row r="5" spans="1:13">
      <c r="A5" s="1">
        <v>2</v>
      </c>
      <c r="B5" s="1" t="s">
        <v>940</v>
      </c>
      <c r="C5" s="5">
        <v>46043</v>
      </c>
      <c r="D5" s="1" t="s">
        <v>3</v>
      </c>
      <c r="E5" s="6" t="s">
        <v>938</v>
      </c>
      <c r="F5" s="6" t="s">
        <v>5</v>
      </c>
      <c r="G5" s="1" t="s">
        <v>62</v>
      </c>
      <c r="H5" s="1" t="s">
        <v>298</v>
      </c>
      <c r="I5" s="1" t="s">
        <v>939</v>
      </c>
      <c r="J5" s="1" t="s">
        <v>7</v>
      </c>
      <c r="K5" s="1" t="s">
        <v>293</v>
      </c>
    </row>
    <row r="6" spans="1:13">
      <c r="A6" s="1">
        <v>3</v>
      </c>
      <c r="B6" s="1" t="s">
        <v>941</v>
      </c>
      <c r="C6" s="5">
        <v>46028</v>
      </c>
      <c r="D6" s="1" t="s">
        <v>3</v>
      </c>
      <c r="E6" s="6" t="s">
        <v>942</v>
      </c>
      <c r="F6" s="6" t="s">
        <v>58</v>
      </c>
      <c r="G6" s="1" t="s">
        <v>70</v>
      </c>
      <c r="H6" s="1" t="s">
        <v>313</v>
      </c>
      <c r="I6" s="1" t="s">
        <v>939</v>
      </c>
      <c r="J6" s="1" t="s">
        <v>7</v>
      </c>
      <c r="K6" s="1" t="s">
        <v>293</v>
      </c>
    </row>
    <row r="7" spans="1:13">
      <c r="A7" s="1">
        <v>4</v>
      </c>
      <c r="B7" s="1" t="s">
        <v>943</v>
      </c>
      <c r="C7" s="5">
        <v>46062</v>
      </c>
      <c r="D7" s="1" t="s">
        <v>19</v>
      </c>
      <c r="E7" s="6" t="s">
        <v>938</v>
      </c>
      <c r="F7" s="6" t="s">
        <v>27</v>
      </c>
      <c r="G7" s="1" t="s">
        <v>70</v>
      </c>
      <c r="H7" s="1" t="s">
        <v>310</v>
      </c>
      <c r="I7" s="1" t="s">
        <v>944</v>
      </c>
      <c r="J7" s="1" t="s">
        <v>41</v>
      </c>
      <c r="K7" s="1" t="s">
        <v>254</v>
      </c>
    </row>
    <row r="8" spans="1:13">
      <c r="A8" s="1">
        <v>5</v>
      </c>
      <c r="B8" s="1" t="s">
        <v>945</v>
      </c>
      <c r="C8" s="5">
        <v>46056</v>
      </c>
      <c r="D8" s="1" t="s">
        <v>19</v>
      </c>
      <c r="E8" s="6" t="s">
        <v>946</v>
      </c>
      <c r="F8" s="6" t="s">
        <v>58</v>
      </c>
      <c r="G8" s="1" t="s">
        <v>66</v>
      </c>
      <c r="H8" s="1" t="s">
        <v>298</v>
      </c>
      <c r="I8" s="1" t="s">
        <v>947</v>
      </c>
      <c r="J8" s="1" t="s">
        <v>66</v>
      </c>
      <c r="K8" s="1" t="s">
        <v>293</v>
      </c>
    </row>
    <row r="9" spans="1:13">
      <c r="A9" s="1">
        <v>6</v>
      </c>
      <c r="B9" s="1" t="s">
        <v>948</v>
      </c>
      <c r="C9" s="5">
        <v>46092</v>
      </c>
      <c r="D9" s="1" t="s">
        <v>44</v>
      </c>
      <c r="E9" s="6" t="s">
        <v>946</v>
      </c>
      <c r="F9" s="6" t="s">
        <v>50</v>
      </c>
      <c r="G9" s="1" t="s">
        <v>15</v>
      </c>
      <c r="H9" s="1" t="s">
        <v>310</v>
      </c>
      <c r="I9" s="1" t="s">
        <v>939</v>
      </c>
      <c r="J9" s="1" t="s">
        <v>22</v>
      </c>
      <c r="K9" s="1" t="s">
        <v>254</v>
      </c>
    </row>
    <row r="10" spans="1:13">
      <c r="A10" s="1">
        <v>7</v>
      </c>
      <c r="B10" s="1" t="s">
        <v>949</v>
      </c>
      <c r="C10" s="5">
        <v>46100</v>
      </c>
      <c r="D10" s="1" t="s">
        <v>44</v>
      </c>
      <c r="E10" s="6" t="s">
        <v>938</v>
      </c>
      <c r="F10" s="6" t="s">
        <v>65</v>
      </c>
      <c r="G10" s="1" t="s">
        <v>22</v>
      </c>
      <c r="H10" s="1" t="s">
        <v>313</v>
      </c>
      <c r="I10" s="1" t="s">
        <v>944</v>
      </c>
      <c r="J10" s="1" t="s">
        <v>22</v>
      </c>
      <c r="K10" s="1" t="s">
        <v>254</v>
      </c>
    </row>
    <row r="11" spans="1:13">
      <c r="A11" s="1">
        <v>8</v>
      </c>
      <c r="B11" s="1" t="s">
        <v>950</v>
      </c>
      <c r="C11" s="5">
        <v>46100</v>
      </c>
      <c r="D11" s="1" t="s">
        <v>44</v>
      </c>
      <c r="E11" s="6" t="s">
        <v>951</v>
      </c>
      <c r="F11" s="6" t="s">
        <v>5</v>
      </c>
      <c r="G11" s="1" t="s">
        <v>32</v>
      </c>
      <c r="H11" s="1" t="s">
        <v>313</v>
      </c>
      <c r="I11" s="1" t="s">
        <v>939</v>
      </c>
      <c r="J11" s="1" t="s">
        <v>104</v>
      </c>
      <c r="K11" s="1" t="s">
        <v>293</v>
      </c>
    </row>
    <row r="12" spans="1:13">
      <c r="A12" s="1">
        <v>9</v>
      </c>
      <c r="B12" s="1" t="s">
        <v>952</v>
      </c>
      <c r="C12" s="5">
        <v>46138</v>
      </c>
      <c r="D12" s="1" t="s">
        <v>53</v>
      </c>
      <c r="E12" s="6" t="s">
        <v>938</v>
      </c>
      <c r="F12" s="6" t="s">
        <v>92</v>
      </c>
      <c r="G12" s="1" t="s">
        <v>32</v>
      </c>
      <c r="H12" s="1" t="s">
        <v>294</v>
      </c>
      <c r="I12" s="1" t="s">
        <v>939</v>
      </c>
      <c r="J12" s="1" t="s">
        <v>15</v>
      </c>
      <c r="K12" s="1" t="s">
        <v>293</v>
      </c>
    </row>
    <row r="13" spans="1:13">
      <c r="A13" s="1">
        <v>10</v>
      </c>
      <c r="B13" s="1" t="s">
        <v>953</v>
      </c>
      <c r="C13" s="5">
        <v>46136</v>
      </c>
      <c r="D13" s="1" t="s">
        <v>53</v>
      </c>
      <c r="E13" s="6" t="s">
        <v>954</v>
      </c>
      <c r="F13" s="6" t="s">
        <v>89</v>
      </c>
      <c r="G13" s="1" t="s">
        <v>104</v>
      </c>
      <c r="H13" s="1" t="s">
        <v>310</v>
      </c>
      <c r="I13" s="1" t="s">
        <v>947</v>
      </c>
      <c r="J13" s="1" t="s">
        <v>66</v>
      </c>
      <c r="K13" s="1" t="s">
        <v>293</v>
      </c>
    </row>
    <row r="14" spans="1:13">
      <c r="A14" s="1">
        <v>11</v>
      </c>
      <c r="B14" s="1" t="s">
        <v>955</v>
      </c>
      <c r="C14" s="5">
        <v>46151</v>
      </c>
      <c r="D14" s="1" t="s">
        <v>60</v>
      </c>
      <c r="E14" s="6" t="s">
        <v>942</v>
      </c>
      <c r="F14" s="6" t="s">
        <v>46</v>
      </c>
      <c r="G14" s="1" t="s">
        <v>15</v>
      </c>
      <c r="H14" s="1" t="s">
        <v>298</v>
      </c>
      <c r="I14" s="1" t="s">
        <v>939</v>
      </c>
      <c r="J14" s="1" t="s">
        <v>28</v>
      </c>
      <c r="K14" s="1" t="s">
        <v>238</v>
      </c>
    </row>
    <row r="15" spans="1:13">
      <c r="A15" s="1">
        <v>12</v>
      </c>
      <c r="B15" s="1" t="s">
        <v>956</v>
      </c>
      <c r="C15" s="5">
        <v>46157</v>
      </c>
      <c r="D15" s="1" t="s">
        <v>60</v>
      </c>
      <c r="E15" s="6" t="s">
        <v>942</v>
      </c>
      <c r="F15" s="6" t="s">
        <v>27</v>
      </c>
      <c r="G15" s="1" t="s">
        <v>66</v>
      </c>
      <c r="H15" s="1" t="s">
        <v>310</v>
      </c>
      <c r="I15" s="1" t="s">
        <v>939</v>
      </c>
      <c r="J15" s="1" t="s">
        <v>15</v>
      </c>
      <c r="K15" s="1" t="s">
        <v>297</v>
      </c>
    </row>
    <row r="16" spans="1:13">
      <c r="A16" s="1">
        <v>13</v>
      </c>
      <c r="B16" s="1" t="s">
        <v>957</v>
      </c>
      <c r="C16" s="5">
        <v>46150</v>
      </c>
      <c r="D16" s="1" t="s">
        <v>60</v>
      </c>
      <c r="E16" s="6" t="s">
        <v>958</v>
      </c>
      <c r="F16" s="6" t="s">
        <v>13</v>
      </c>
      <c r="G16" s="1" t="s">
        <v>15</v>
      </c>
      <c r="H16" s="1" t="s">
        <v>303</v>
      </c>
      <c r="I16" s="1" t="s">
        <v>944</v>
      </c>
      <c r="J16" s="1" t="s">
        <v>62</v>
      </c>
      <c r="K16" s="1" t="s">
        <v>293</v>
      </c>
    </row>
    <row r="17" spans="1:11">
      <c r="A17" s="1">
        <v>14</v>
      </c>
      <c r="B17" s="1" t="s">
        <v>959</v>
      </c>
      <c r="C17" s="5">
        <v>46144</v>
      </c>
      <c r="D17" s="1" t="s">
        <v>60</v>
      </c>
      <c r="E17" s="6" t="s">
        <v>942</v>
      </c>
      <c r="F17" s="6" t="s">
        <v>58</v>
      </c>
      <c r="G17" s="1" t="s">
        <v>66</v>
      </c>
      <c r="H17" s="1" t="s">
        <v>310</v>
      </c>
      <c r="I17" s="1" t="s">
        <v>947</v>
      </c>
      <c r="J17" s="1" t="s">
        <v>28</v>
      </c>
      <c r="K17" s="1" t="s">
        <v>254</v>
      </c>
    </row>
    <row r="18" spans="1:11">
      <c r="A18" s="1">
        <v>15</v>
      </c>
      <c r="B18" s="1" t="s">
        <v>960</v>
      </c>
      <c r="C18" s="5">
        <v>46165</v>
      </c>
      <c r="D18" s="1" t="s">
        <v>60</v>
      </c>
      <c r="E18" s="6" t="s">
        <v>942</v>
      </c>
      <c r="F18" s="6" t="s">
        <v>13</v>
      </c>
      <c r="G18" s="1" t="s">
        <v>7</v>
      </c>
      <c r="H18" s="1" t="s">
        <v>313</v>
      </c>
      <c r="I18" s="1" t="s">
        <v>944</v>
      </c>
      <c r="J18" s="1" t="s">
        <v>32</v>
      </c>
      <c r="K18" s="1" t="s">
        <v>254</v>
      </c>
    </row>
    <row r="19" spans="1:11">
      <c r="A19" s="1">
        <v>16</v>
      </c>
      <c r="B19" s="1" t="s">
        <v>961</v>
      </c>
      <c r="C19" s="5">
        <v>46160</v>
      </c>
      <c r="D19" s="1" t="s">
        <v>60</v>
      </c>
      <c r="E19" s="6" t="s">
        <v>954</v>
      </c>
      <c r="F19" s="6" t="s">
        <v>39</v>
      </c>
      <c r="G19" s="1" t="s">
        <v>7</v>
      </c>
      <c r="H19" s="1" t="s">
        <v>294</v>
      </c>
      <c r="I19" s="1" t="s">
        <v>947</v>
      </c>
      <c r="J19" s="1" t="s">
        <v>66</v>
      </c>
      <c r="K19" s="1" t="s">
        <v>293</v>
      </c>
    </row>
    <row r="20" spans="1:11">
      <c r="A20" s="1">
        <v>17</v>
      </c>
      <c r="B20" s="1" t="s">
        <v>962</v>
      </c>
      <c r="C20" s="5">
        <v>46196</v>
      </c>
      <c r="D20" s="1" t="s">
        <v>73</v>
      </c>
      <c r="E20" s="6" t="s">
        <v>958</v>
      </c>
      <c r="F20" s="6" t="s">
        <v>5</v>
      </c>
      <c r="G20" s="1" t="s">
        <v>66</v>
      </c>
      <c r="H20" s="1" t="s">
        <v>294</v>
      </c>
      <c r="I20" s="1" t="s">
        <v>947</v>
      </c>
      <c r="J20" s="1" t="s">
        <v>15</v>
      </c>
      <c r="K20" s="1" t="s">
        <v>293</v>
      </c>
    </row>
    <row r="21" spans="1:11">
      <c r="A21" s="1">
        <v>18</v>
      </c>
      <c r="B21" s="1" t="s">
        <v>963</v>
      </c>
      <c r="C21" s="5">
        <v>46186</v>
      </c>
      <c r="D21" s="1" t="s">
        <v>73</v>
      </c>
      <c r="E21" s="6" t="s">
        <v>958</v>
      </c>
      <c r="F21" s="6" t="s">
        <v>65</v>
      </c>
      <c r="G21" s="1" t="s">
        <v>78</v>
      </c>
      <c r="H21" s="1" t="s">
        <v>294</v>
      </c>
      <c r="I21" s="1" t="s">
        <v>939</v>
      </c>
      <c r="J21" s="1" t="s">
        <v>36</v>
      </c>
      <c r="K21" s="1" t="s">
        <v>293</v>
      </c>
    </row>
    <row r="22" spans="1:11">
      <c r="A22" s="1">
        <v>19</v>
      </c>
      <c r="B22" s="1" t="s">
        <v>964</v>
      </c>
      <c r="C22" s="5">
        <v>46191</v>
      </c>
      <c r="D22" s="1" t="s">
        <v>73</v>
      </c>
      <c r="E22" s="6" t="s">
        <v>958</v>
      </c>
      <c r="F22" s="6" t="s">
        <v>27</v>
      </c>
      <c r="G22" s="1" t="s">
        <v>22</v>
      </c>
      <c r="H22" s="1" t="s">
        <v>294</v>
      </c>
      <c r="I22" s="1" t="s">
        <v>944</v>
      </c>
      <c r="J22" s="1" t="s">
        <v>93</v>
      </c>
      <c r="K22" s="1" t="s">
        <v>293</v>
      </c>
    </row>
    <row r="23" spans="1:11">
      <c r="A23" s="1">
        <v>20</v>
      </c>
      <c r="B23" s="1" t="s">
        <v>965</v>
      </c>
      <c r="C23" s="5">
        <v>46189</v>
      </c>
      <c r="D23" s="1" t="s">
        <v>73</v>
      </c>
      <c r="E23" s="6" t="s">
        <v>958</v>
      </c>
      <c r="F23" s="6" t="s">
        <v>50</v>
      </c>
      <c r="G23" s="1" t="s">
        <v>93</v>
      </c>
      <c r="H23" s="1" t="s">
        <v>310</v>
      </c>
      <c r="I23" s="1" t="s">
        <v>944</v>
      </c>
      <c r="J23" s="1" t="s">
        <v>15</v>
      </c>
      <c r="K23" s="1" t="s">
        <v>254</v>
      </c>
    </row>
    <row r="24" spans="1:11">
      <c r="A24" s="1">
        <v>21</v>
      </c>
      <c r="B24" s="1" t="s">
        <v>966</v>
      </c>
      <c r="C24" s="5">
        <v>46204</v>
      </c>
      <c r="D24" s="1" t="s">
        <v>76</v>
      </c>
      <c r="E24" s="6" t="s">
        <v>958</v>
      </c>
      <c r="F24" s="6" t="s">
        <v>46</v>
      </c>
      <c r="G24" s="1" t="s">
        <v>62</v>
      </c>
      <c r="H24" s="1" t="s">
        <v>298</v>
      </c>
      <c r="I24" s="1" t="s">
        <v>939</v>
      </c>
      <c r="J24" s="1" t="s">
        <v>70</v>
      </c>
      <c r="K24" s="1" t="s">
        <v>254</v>
      </c>
    </row>
    <row r="25" spans="1:11">
      <c r="A25" s="1">
        <v>22</v>
      </c>
      <c r="B25" s="1" t="s">
        <v>967</v>
      </c>
      <c r="C25" s="5">
        <v>46223</v>
      </c>
      <c r="D25" s="1" t="s">
        <v>76</v>
      </c>
      <c r="E25" s="6" t="s">
        <v>954</v>
      </c>
      <c r="F25" s="6" t="s">
        <v>13</v>
      </c>
      <c r="G25" s="1" t="s">
        <v>15</v>
      </c>
      <c r="H25" s="1" t="s">
        <v>294</v>
      </c>
      <c r="I25" s="1" t="s">
        <v>944</v>
      </c>
      <c r="J25" s="1" t="s">
        <v>104</v>
      </c>
      <c r="K25" s="1" t="s">
        <v>293</v>
      </c>
    </row>
    <row r="26" spans="1:11">
      <c r="A26" s="1">
        <v>23</v>
      </c>
      <c r="B26" s="1" t="s">
        <v>968</v>
      </c>
      <c r="C26" s="5">
        <v>46227</v>
      </c>
      <c r="D26" s="1" t="s">
        <v>76</v>
      </c>
      <c r="E26" s="6" t="s">
        <v>951</v>
      </c>
      <c r="F26" s="6" t="s">
        <v>50</v>
      </c>
      <c r="G26" s="1" t="s">
        <v>62</v>
      </c>
      <c r="H26" s="1" t="s">
        <v>294</v>
      </c>
      <c r="I26" s="1" t="s">
        <v>947</v>
      </c>
      <c r="J26" s="1" t="s">
        <v>62</v>
      </c>
      <c r="K26" s="1" t="s">
        <v>293</v>
      </c>
    </row>
    <row r="27" spans="1:11">
      <c r="A27" s="1">
        <v>24</v>
      </c>
      <c r="B27" s="1" t="s">
        <v>969</v>
      </c>
      <c r="C27" s="5">
        <v>46253</v>
      </c>
      <c r="D27" s="1" t="s">
        <v>86</v>
      </c>
      <c r="E27" s="6" t="s">
        <v>942</v>
      </c>
      <c r="F27" s="6" t="s">
        <v>13</v>
      </c>
      <c r="G27" s="1" t="s">
        <v>22</v>
      </c>
      <c r="H27" s="1" t="s">
        <v>298</v>
      </c>
      <c r="I27" s="1" t="s">
        <v>939</v>
      </c>
      <c r="J27" s="1" t="s">
        <v>93</v>
      </c>
      <c r="K27" s="1" t="s">
        <v>293</v>
      </c>
    </row>
    <row r="28" spans="1:11">
      <c r="A28" s="1">
        <v>25</v>
      </c>
      <c r="B28" s="1" t="s">
        <v>970</v>
      </c>
      <c r="C28" s="5">
        <v>46258</v>
      </c>
      <c r="D28" s="1" t="s">
        <v>86</v>
      </c>
      <c r="E28" s="6" t="s">
        <v>942</v>
      </c>
      <c r="F28" s="6" t="s">
        <v>65</v>
      </c>
      <c r="G28" s="1" t="s">
        <v>68</v>
      </c>
      <c r="H28" s="1" t="s">
        <v>313</v>
      </c>
      <c r="I28" s="1" t="s">
        <v>944</v>
      </c>
      <c r="J28" s="1" t="s">
        <v>68</v>
      </c>
      <c r="K28" s="1" t="s">
        <v>293</v>
      </c>
    </row>
    <row r="29" spans="1:11">
      <c r="A29" s="1">
        <v>26</v>
      </c>
      <c r="B29" s="1" t="s">
        <v>971</v>
      </c>
      <c r="C29" s="5">
        <v>46256</v>
      </c>
      <c r="D29" s="1" t="s">
        <v>86</v>
      </c>
      <c r="E29" s="6" t="s">
        <v>954</v>
      </c>
      <c r="F29" s="6" t="s">
        <v>13</v>
      </c>
      <c r="G29" s="1" t="s">
        <v>7</v>
      </c>
      <c r="H29" s="1" t="s">
        <v>313</v>
      </c>
      <c r="I29" s="1" t="s">
        <v>944</v>
      </c>
      <c r="J29" s="1" t="s">
        <v>68</v>
      </c>
      <c r="K29" s="1" t="s">
        <v>238</v>
      </c>
    </row>
    <row r="30" spans="1:11">
      <c r="A30" s="1">
        <v>27</v>
      </c>
      <c r="B30" s="1" t="s">
        <v>972</v>
      </c>
      <c r="C30" s="5">
        <v>46255</v>
      </c>
      <c r="D30" s="1" t="s">
        <v>86</v>
      </c>
      <c r="E30" s="6" t="s">
        <v>951</v>
      </c>
      <c r="F30" s="6" t="s">
        <v>27</v>
      </c>
      <c r="G30" s="1" t="s">
        <v>22</v>
      </c>
      <c r="H30" s="1" t="s">
        <v>303</v>
      </c>
      <c r="I30" s="1" t="s">
        <v>944</v>
      </c>
      <c r="J30" s="1" t="s">
        <v>62</v>
      </c>
      <c r="K30" s="1" t="s">
        <v>297</v>
      </c>
    </row>
    <row r="31" spans="1:11">
      <c r="A31" s="1">
        <v>28</v>
      </c>
      <c r="B31" s="1" t="s">
        <v>973</v>
      </c>
      <c r="C31" s="5">
        <v>46261</v>
      </c>
      <c r="D31" s="1" t="s">
        <v>86</v>
      </c>
      <c r="E31" s="6" t="s">
        <v>951</v>
      </c>
      <c r="F31" s="6" t="s">
        <v>13</v>
      </c>
      <c r="G31" s="1" t="s">
        <v>15</v>
      </c>
      <c r="H31" s="1" t="s">
        <v>298</v>
      </c>
      <c r="I31" s="1" t="s">
        <v>944</v>
      </c>
      <c r="J31" s="1" t="s">
        <v>7</v>
      </c>
      <c r="K31" s="1" t="s">
        <v>293</v>
      </c>
    </row>
    <row r="32" spans="1:11">
      <c r="A32" s="1">
        <v>29</v>
      </c>
      <c r="B32" s="1" t="s">
        <v>974</v>
      </c>
      <c r="C32" s="5">
        <v>46245</v>
      </c>
      <c r="D32" s="1" t="s">
        <v>86</v>
      </c>
      <c r="E32" s="6" t="s">
        <v>951</v>
      </c>
      <c r="F32" s="6" t="s">
        <v>89</v>
      </c>
      <c r="G32" s="1" t="s">
        <v>70</v>
      </c>
      <c r="H32" s="1" t="s">
        <v>310</v>
      </c>
      <c r="I32" s="1" t="s">
        <v>944</v>
      </c>
      <c r="J32" s="1" t="s">
        <v>68</v>
      </c>
      <c r="K32" s="1" t="s">
        <v>293</v>
      </c>
    </row>
    <row r="33" spans="1:11">
      <c r="A33" s="1">
        <v>30</v>
      </c>
      <c r="B33" s="1" t="s">
        <v>975</v>
      </c>
      <c r="C33" s="5">
        <v>46278</v>
      </c>
      <c r="D33" s="1" t="s">
        <v>102</v>
      </c>
      <c r="E33" s="6" t="s">
        <v>954</v>
      </c>
      <c r="F33" s="6" t="s">
        <v>50</v>
      </c>
      <c r="G33" s="1" t="s">
        <v>78</v>
      </c>
      <c r="H33" s="1" t="s">
        <v>303</v>
      </c>
      <c r="I33" s="1" t="s">
        <v>947</v>
      </c>
      <c r="J33" s="1" t="s">
        <v>62</v>
      </c>
      <c r="K33" s="1" t="s">
        <v>297</v>
      </c>
    </row>
    <row r="34" spans="1:11">
      <c r="A34" s="1">
        <v>31</v>
      </c>
      <c r="B34" s="1" t="s">
        <v>976</v>
      </c>
      <c r="C34" s="5">
        <v>46286</v>
      </c>
      <c r="D34" s="1" t="s">
        <v>102</v>
      </c>
      <c r="E34" s="6" t="s">
        <v>951</v>
      </c>
      <c r="F34" s="6" t="s">
        <v>27</v>
      </c>
      <c r="G34" s="1" t="s">
        <v>41</v>
      </c>
      <c r="H34" s="1" t="s">
        <v>303</v>
      </c>
      <c r="I34" s="1" t="s">
        <v>944</v>
      </c>
      <c r="J34" s="1" t="s">
        <v>22</v>
      </c>
      <c r="K34" s="1" t="s">
        <v>254</v>
      </c>
    </row>
    <row r="35" spans="1:11">
      <c r="A35" s="1">
        <v>32</v>
      </c>
      <c r="B35" s="1" t="s">
        <v>977</v>
      </c>
      <c r="C35" s="5">
        <v>46268</v>
      </c>
      <c r="D35" s="1" t="s">
        <v>102</v>
      </c>
      <c r="E35" s="6" t="s">
        <v>958</v>
      </c>
      <c r="F35" s="6" t="s">
        <v>92</v>
      </c>
      <c r="G35" s="1" t="s">
        <v>70</v>
      </c>
      <c r="H35" s="1" t="s">
        <v>298</v>
      </c>
      <c r="I35" s="1" t="s">
        <v>944</v>
      </c>
      <c r="J35" s="1" t="s">
        <v>36</v>
      </c>
      <c r="K35" s="1" t="s">
        <v>293</v>
      </c>
    </row>
    <row r="36" spans="1:11">
      <c r="A36" s="1">
        <v>33</v>
      </c>
      <c r="B36" s="1" t="s">
        <v>978</v>
      </c>
      <c r="C36" s="5">
        <v>46292</v>
      </c>
      <c r="D36" s="1" t="s">
        <v>102</v>
      </c>
      <c r="E36" s="6" t="s">
        <v>946</v>
      </c>
      <c r="F36" s="6" t="s">
        <v>50</v>
      </c>
      <c r="G36" s="1" t="s">
        <v>93</v>
      </c>
      <c r="H36" s="1" t="s">
        <v>298</v>
      </c>
      <c r="I36" s="1" t="s">
        <v>944</v>
      </c>
      <c r="J36" s="1" t="s">
        <v>28</v>
      </c>
      <c r="K36" s="1" t="s">
        <v>293</v>
      </c>
    </row>
    <row r="37" spans="1:11">
      <c r="A37" s="1">
        <v>34</v>
      </c>
      <c r="B37" s="1" t="s">
        <v>979</v>
      </c>
      <c r="C37" s="5">
        <v>46267</v>
      </c>
      <c r="D37" s="1" t="s">
        <v>102</v>
      </c>
      <c r="E37" s="6" t="s">
        <v>954</v>
      </c>
      <c r="F37" s="6" t="s">
        <v>13</v>
      </c>
      <c r="G37" s="1" t="s">
        <v>62</v>
      </c>
      <c r="H37" s="1" t="s">
        <v>294</v>
      </c>
      <c r="I37" s="1" t="s">
        <v>939</v>
      </c>
      <c r="J37" s="1" t="s">
        <v>32</v>
      </c>
      <c r="K37" s="1" t="s">
        <v>297</v>
      </c>
    </row>
    <row r="38" spans="1:11">
      <c r="A38" s="1">
        <v>35</v>
      </c>
      <c r="B38" s="1" t="s">
        <v>980</v>
      </c>
      <c r="C38" s="5">
        <v>46271</v>
      </c>
      <c r="D38" s="1" t="s">
        <v>102</v>
      </c>
      <c r="E38" s="6" t="s">
        <v>938</v>
      </c>
      <c r="F38" s="6" t="s">
        <v>92</v>
      </c>
      <c r="G38" s="1" t="s">
        <v>32</v>
      </c>
      <c r="H38" s="1" t="s">
        <v>303</v>
      </c>
      <c r="I38" s="1" t="s">
        <v>947</v>
      </c>
      <c r="J38" s="1" t="s">
        <v>7</v>
      </c>
      <c r="K38" s="1" t="s">
        <v>238</v>
      </c>
    </row>
    <row r="39" spans="1:11">
      <c r="A39" s="1">
        <v>36</v>
      </c>
      <c r="B39" s="1" t="s">
        <v>981</v>
      </c>
      <c r="C39" s="5">
        <v>46311</v>
      </c>
      <c r="D39" s="1" t="s">
        <v>106</v>
      </c>
      <c r="E39" s="6" t="s">
        <v>951</v>
      </c>
      <c r="F39" s="6" t="s">
        <v>13</v>
      </c>
      <c r="G39" s="1" t="s">
        <v>32</v>
      </c>
      <c r="H39" s="1" t="s">
        <v>313</v>
      </c>
      <c r="I39" s="1" t="s">
        <v>947</v>
      </c>
      <c r="J39" s="1" t="s">
        <v>62</v>
      </c>
      <c r="K39" s="1" t="s">
        <v>293</v>
      </c>
    </row>
    <row r="40" spans="1:11">
      <c r="A40" s="1">
        <v>37</v>
      </c>
      <c r="B40" s="1" t="s">
        <v>982</v>
      </c>
      <c r="C40" s="5">
        <v>46298</v>
      </c>
      <c r="D40" s="1" t="s">
        <v>106</v>
      </c>
      <c r="E40" s="6" t="s">
        <v>958</v>
      </c>
      <c r="F40" s="6" t="s">
        <v>92</v>
      </c>
      <c r="G40" s="1" t="s">
        <v>15</v>
      </c>
      <c r="H40" s="1" t="s">
        <v>303</v>
      </c>
      <c r="I40" s="1" t="s">
        <v>939</v>
      </c>
      <c r="J40" s="1" t="s">
        <v>68</v>
      </c>
      <c r="K40" s="1" t="s">
        <v>293</v>
      </c>
    </row>
    <row r="41" spans="1:11">
      <c r="A41" s="1">
        <v>38</v>
      </c>
      <c r="B41" s="1" t="s">
        <v>983</v>
      </c>
      <c r="C41" s="5">
        <v>46302</v>
      </c>
      <c r="D41" s="1" t="s">
        <v>106</v>
      </c>
      <c r="E41" s="6" t="s">
        <v>938</v>
      </c>
      <c r="F41" s="6" t="s">
        <v>50</v>
      </c>
      <c r="G41" s="1" t="s">
        <v>15</v>
      </c>
      <c r="H41" s="1" t="s">
        <v>294</v>
      </c>
      <c r="I41" s="1" t="s">
        <v>939</v>
      </c>
      <c r="J41" s="1" t="s">
        <v>15</v>
      </c>
      <c r="K41" s="1" t="s">
        <v>293</v>
      </c>
    </row>
    <row r="42" spans="1:11">
      <c r="A42" s="1">
        <v>39</v>
      </c>
      <c r="B42" s="1" t="s">
        <v>984</v>
      </c>
      <c r="C42" s="5">
        <v>46305</v>
      </c>
      <c r="D42" s="1" t="s">
        <v>106</v>
      </c>
      <c r="E42" s="6" t="s">
        <v>946</v>
      </c>
      <c r="F42" s="6" t="s">
        <v>65</v>
      </c>
      <c r="G42" s="1" t="s">
        <v>28</v>
      </c>
      <c r="H42" s="1" t="s">
        <v>313</v>
      </c>
      <c r="I42" s="1" t="s">
        <v>947</v>
      </c>
      <c r="J42" s="1" t="s">
        <v>32</v>
      </c>
      <c r="K42" s="1" t="s">
        <v>293</v>
      </c>
    </row>
    <row r="43" spans="1:11">
      <c r="A43" s="1">
        <v>40</v>
      </c>
      <c r="B43" s="1" t="s">
        <v>985</v>
      </c>
      <c r="C43" s="5">
        <v>46305</v>
      </c>
      <c r="D43" s="1" t="s">
        <v>106</v>
      </c>
      <c r="E43" s="6" t="s">
        <v>958</v>
      </c>
      <c r="F43" s="6" t="s">
        <v>65</v>
      </c>
      <c r="G43" s="1" t="s">
        <v>66</v>
      </c>
      <c r="H43" s="1" t="s">
        <v>298</v>
      </c>
      <c r="I43" s="1" t="s">
        <v>939</v>
      </c>
      <c r="J43" s="1" t="s">
        <v>70</v>
      </c>
      <c r="K43" s="1" t="s">
        <v>293</v>
      </c>
    </row>
    <row r="44" spans="1:11">
      <c r="A44" s="1">
        <v>41</v>
      </c>
      <c r="B44" s="1" t="s">
        <v>986</v>
      </c>
      <c r="C44" s="5">
        <v>46301</v>
      </c>
      <c r="D44" s="1" t="s">
        <v>106</v>
      </c>
      <c r="E44" s="6" t="s">
        <v>958</v>
      </c>
      <c r="F44" s="6" t="s">
        <v>27</v>
      </c>
      <c r="G44" s="1" t="s">
        <v>36</v>
      </c>
      <c r="H44" s="1" t="s">
        <v>313</v>
      </c>
      <c r="I44" s="1" t="s">
        <v>939</v>
      </c>
      <c r="J44" s="1" t="s">
        <v>104</v>
      </c>
      <c r="K44" s="1" t="s">
        <v>293</v>
      </c>
    </row>
    <row r="45" spans="1:11">
      <c r="A45" s="1">
        <v>42</v>
      </c>
      <c r="B45" s="1" t="s">
        <v>987</v>
      </c>
      <c r="C45" s="5">
        <v>46309</v>
      </c>
      <c r="D45" s="1" t="s">
        <v>106</v>
      </c>
      <c r="E45" s="6" t="s">
        <v>954</v>
      </c>
      <c r="F45" s="6" t="s">
        <v>46</v>
      </c>
      <c r="G45" s="1" t="s">
        <v>7</v>
      </c>
      <c r="H45" s="1" t="s">
        <v>303</v>
      </c>
      <c r="I45" s="1" t="s">
        <v>947</v>
      </c>
      <c r="J45" s="1" t="s">
        <v>78</v>
      </c>
      <c r="K45" s="1" t="s">
        <v>293</v>
      </c>
    </row>
    <row r="46" spans="1:11">
      <c r="A46" s="1">
        <v>43</v>
      </c>
      <c r="B46" s="1" t="s">
        <v>988</v>
      </c>
      <c r="C46" s="5">
        <v>46341</v>
      </c>
      <c r="D46" s="1" t="s">
        <v>111</v>
      </c>
      <c r="E46" s="6" t="s">
        <v>942</v>
      </c>
      <c r="F46" s="6" t="s">
        <v>39</v>
      </c>
      <c r="G46" s="1" t="s">
        <v>78</v>
      </c>
      <c r="H46" s="1" t="s">
        <v>298</v>
      </c>
      <c r="I46" s="1" t="s">
        <v>939</v>
      </c>
      <c r="J46" s="1" t="s">
        <v>78</v>
      </c>
      <c r="K46" s="1" t="s">
        <v>293</v>
      </c>
    </row>
    <row r="47" spans="1:11">
      <c r="A47" s="1">
        <v>44</v>
      </c>
      <c r="B47" s="1" t="s">
        <v>989</v>
      </c>
      <c r="C47" s="5">
        <v>46340</v>
      </c>
      <c r="D47" s="1" t="s">
        <v>111</v>
      </c>
      <c r="E47" s="6" t="s">
        <v>946</v>
      </c>
      <c r="F47" s="6" t="s">
        <v>13</v>
      </c>
      <c r="G47" s="1" t="s">
        <v>62</v>
      </c>
      <c r="H47" s="1" t="s">
        <v>294</v>
      </c>
      <c r="I47" s="1" t="s">
        <v>939</v>
      </c>
      <c r="J47" s="1" t="s">
        <v>68</v>
      </c>
      <c r="K47" s="1" t="s">
        <v>297</v>
      </c>
    </row>
    <row r="48" spans="1:11">
      <c r="A48" s="1">
        <v>45</v>
      </c>
      <c r="B48" s="1" t="s">
        <v>990</v>
      </c>
      <c r="C48" s="5">
        <v>46333</v>
      </c>
      <c r="D48" s="1" t="s">
        <v>111</v>
      </c>
      <c r="E48" s="6" t="s">
        <v>954</v>
      </c>
      <c r="F48" s="6" t="s">
        <v>50</v>
      </c>
      <c r="G48" s="1" t="s">
        <v>22</v>
      </c>
      <c r="H48" s="1" t="s">
        <v>313</v>
      </c>
      <c r="I48" s="1" t="s">
        <v>939</v>
      </c>
      <c r="J48" s="1" t="s">
        <v>66</v>
      </c>
      <c r="K48" s="1" t="s">
        <v>293</v>
      </c>
    </row>
    <row r="49" spans="1:11">
      <c r="A49" s="1">
        <v>46</v>
      </c>
      <c r="B49" s="1" t="s">
        <v>991</v>
      </c>
      <c r="C49" s="5">
        <v>46352</v>
      </c>
      <c r="D49" s="1" t="s">
        <v>111</v>
      </c>
      <c r="E49" s="6" t="s">
        <v>938</v>
      </c>
      <c r="F49" s="6" t="s">
        <v>46</v>
      </c>
      <c r="G49" s="1" t="s">
        <v>66</v>
      </c>
      <c r="H49" s="1" t="s">
        <v>313</v>
      </c>
      <c r="I49" s="1" t="s">
        <v>944</v>
      </c>
      <c r="J49" s="1" t="s">
        <v>78</v>
      </c>
      <c r="K49" s="1" t="s">
        <v>293</v>
      </c>
    </row>
    <row r="50" spans="1:11">
      <c r="A50" s="1">
        <v>47</v>
      </c>
      <c r="B50" s="1" t="s">
        <v>992</v>
      </c>
      <c r="C50" s="5">
        <v>46369</v>
      </c>
      <c r="D50" s="1" t="s">
        <v>122</v>
      </c>
      <c r="E50" s="6" t="s">
        <v>938</v>
      </c>
      <c r="F50" s="6" t="s">
        <v>65</v>
      </c>
      <c r="G50" s="1" t="s">
        <v>104</v>
      </c>
      <c r="H50" s="1" t="s">
        <v>310</v>
      </c>
      <c r="I50" s="1" t="s">
        <v>939</v>
      </c>
      <c r="J50" s="1" t="s">
        <v>78</v>
      </c>
      <c r="K50" s="1" t="s">
        <v>238</v>
      </c>
    </row>
    <row r="51" spans="1:11">
      <c r="A51" s="1">
        <v>48</v>
      </c>
      <c r="B51" s="1" t="s">
        <v>993</v>
      </c>
      <c r="C51" s="5">
        <v>46371</v>
      </c>
      <c r="D51" s="1" t="s">
        <v>122</v>
      </c>
      <c r="E51" s="6" t="s">
        <v>938</v>
      </c>
      <c r="F51" s="6" t="s">
        <v>13</v>
      </c>
      <c r="G51" s="1" t="s">
        <v>28</v>
      </c>
      <c r="H51" s="1" t="s">
        <v>310</v>
      </c>
      <c r="I51" s="1" t="s">
        <v>947</v>
      </c>
      <c r="J51" s="1" t="s">
        <v>36</v>
      </c>
      <c r="K51" s="1" t="s">
        <v>293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998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1058</v>
      </c>
      <c r="C3" s="1" t="s">
        <v>126</v>
      </c>
      <c r="D3" s="1" t="s">
        <v>127</v>
      </c>
      <c r="E3" s="1" t="s">
        <v>1059</v>
      </c>
      <c r="F3" s="1" t="s">
        <v>129</v>
      </c>
      <c r="G3" s="1" t="s">
        <v>1060</v>
      </c>
      <c r="H3" s="1" t="s">
        <v>1061</v>
      </c>
      <c r="I3" s="1" t="s">
        <v>1062</v>
      </c>
      <c r="J3" s="1" t="s">
        <v>287</v>
      </c>
    </row>
    <row r="4" spans="1:12">
      <c r="A4" s="1">
        <v>1</v>
      </c>
      <c r="B4" s="1" t="s">
        <v>999</v>
      </c>
      <c r="C4" s="5">
        <v>46044</v>
      </c>
      <c r="D4" s="1" t="s">
        <v>3</v>
      </c>
      <c r="E4" s="6" t="s">
        <v>1000</v>
      </c>
      <c r="F4" s="6" t="s">
        <v>89</v>
      </c>
      <c r="G4" s="1" t="s">
        <v>62</v>
      </c>
      <c r="H4" s="1" t="s">
        <v>1001</v>
      </c>
      <c r="I4" s="1" t="s">
        <v>66</v>
      </c>
      <c r="J4" s="1" t="s">
        <v>254</v>
      </c>
    </row>
    <row r="5" spans="1:12">
      <c r="A5" s="1">
        <v>2</v>
      </c>
      <c r="B5" s="1" t="s">
        <v>1002</v>
      </c>
      <c r="C5" s="5">
        <v>46024</v>
      </c>
      <c r="D5" s="1" t="s">
        <v>3</v>
      </c>
      <c r="E5" s="6" t="s">
        <v>1003</v>
      </c>
      <c r="F5" s="6" t="s">
        <v>65</v>
      </c>
      <c r="G5" s="1" t="s">
        <v>62</v>
      </c>
      <c r="H5" s="1" t="s">
        <v>1004</v>
      </c>
      <c r="I5" s="1" t="s">
        <v>22</v>
      </c>
      <c r="J5" s="1" t="s">
        <v>293</v>
      </c>
    </row>
    <row r="6" spans="1:12">
      <c r="A6" s="1">
        <v>3</v>
      </c>
      <c r="B6" s="1" t="s">
        <v>1005</v>
      </c>
      <c r="C6" s="5">
        <v>46026</v>
      </c>
      <c r="D6" s="1" t="s">
        <v>3</v>
      </c>
      <c r="E6" s="6" t="s">
        <v>1006</v>
      </c>
      <c r="F6" s="6" t="s">
        <v>92</v>
      </c>
      <c r="G6" s="1" t="s">
        <v>22</v>
      </c>
      <c r="H6" s="1" t="s">
        <v>1007</v>
      </c>
      <c r="I6" s="1" t="s">
        <v>66</v>
      </c>
      <c r="J6" s="1" t="s">
        <v>293</v>
      </c>
    </row>
    <row r="7" spans="1:12">
      <c r="A7" s="1">
        <v>4</v>
      </c>
      <c r="B7" s="1" t="s">
        <v>1008</v>
      </c>
      <c r="C7" s="5">
        <v>46065</v>
      </c>
      <c r="D7" s="1" t="s">
        <v>19</v>
      </c>
      <c r="E7" s="6" t="s">
        <v>1009</v>
      </c>
      <c r="F7" s="6" t="s">
        <v>92</v>
      </c>
      <c r="G7" s="1" t="s">
        <v>22</v>
      </c>
      <c r="H7" s="1" t="s">
        <v>1010</v>
      </c>
      <c r="I7" s="1" t="s">
        <v>7</v>
      </c>
      <c r="J7" s="1" t="s">
        <v>238</v>
      </c>
    </row>
    <row r="8" spans="1:12">
      <c r="A8" s="1">
        <v>5</v>
      </c>
      <c r="B8" s="1" t="s">
        <v>1011</v>
      </c>
      <c r="C8" s="5">
        <v>46069</v>
      </c>
      <c r="D8" s="1" t="s">
        <v>19</v>
      </c>
      <c r="E8" s="6" t="s">
        <v>1009</v>
      </c>
      <c r="F8" s="6" t="s">
        <v>39</v>
      </c>
      <c r="G8" s="1" t="s">
        <v>7</v>
      </c>
      <c r="H8" s="1" t="s">
        <v>1004</v>
      </c>
      <c r="I8" s="1" t="s">
        <v>32</v>
      </c>
      <c r="J8" s="1" t="s">
        <v>293</v>
      </c>
    </row>
    <row r="9" spans="1:12">
      <c r="A9" s="1">
        <v>6</v>
      </c>
      <c r="B9" s="1" t="s">
        <v>1012</v>
      </c>
      <c r="C9" s="5">
        <v>46065</v>
      </c>
      <c r="D9" s="1" t="s">
        <v>19</v>
      </c>
      <c r="E9" s="6" t="s">
        <v>1000</v>
      </c>
      <c r="F9" s="6" t="s">
        <v>13</v>
      </c>
      <c r="G9" s="1" t="s">
        <v>70</v>
      </c>
      <c r="H9" s="1" t="s">
        <v>1010</v>
      </c>
      <c r="I9" s="1" t="s">
        <v>70</v>
      </c>
      <c r="J9" s="1" t="s">
        <v>293</v>
      </c>
    </row>
    <row r="10" spans="1:12">
      <c r="A10" s="1">
        <v>7</v>
      </c>
      <c r="B10" s="1" t="s">
        <v>1013</v>
      </c>
      <c r="C10" s="5">
        <v>46064</v>
      </c>
      <c r="D10" s="1" t="s">
        <v>19</v>
      </c>
      <c r="E10" s="6" t="s">
        <v>1000</v>
      </c>
      <c r="F10" s="6" t="s">
        <v>58</v>
      </c>
      <c r="G10" s="1" t="s">
        <v>22</v>
      </c>
      <c r="H10" s="1" t="s">
        <v>1010</v>
      </c>
      <c r="I10" s="1" t="s">
        <v>62</v>
      </c>
      <c r="J10" s="1" t="s">
        <v>238</v>
      </c>
    </row>
    <row r="11" spans="1:12">
      <c r="A11" s="1">
        <v>8</v>
      </c>
      <c r="B11" s="1" t="s">
        <v>1014</v>
      </c>
      <c r="C11" s="5">
        <v>46055</v>
      </c>
      <c r="D11" s="1" t="s">
        <v>19</v>
      </c>
      <c r="E11" s="6" t="s">
        <v>1015</v>
      </c>
      <c r="F11" s="6" t="s">
        <v>58</v>
      </c>
      <c r="G11" s="1" t="s">
        <v>93</v>
      </c>
      <c r="H11" s="1" t="s">
        <v>1004</v>
      </c>
      <c r="I11" s="1" t="s">
        <v>22</v>
      </c>
      <c r="J11" s="1" t="s">
        <v>293</v>
      </c>
    </row>
    <row r="12" spans="1:12">
      <c r="A12" s="1">
        <v>9</v>
      </c>
      <c r="B12" s="1" t="s">
        <v>1016</v>
      </c>
      <c r="C12" s="5">
        <v>46091</v>
      </c>
      <c r="D12" s="1" t="s">
        <v>44</v>
      </c>
      <c r="E12" s="6" t="s">
        <v>1009</v>
      </c>
      <c r="F12" s="6" t="s">
        <v>65</v>
      </c>
      <c r="G12" s="1" t="s">
        <v>68</v>
      </c>
      <c r="H12" s="1" t="s">
        <v>1007</v>
      </c>
      <c r="I12" s="1" t="s">
        <v>68</v>
      </c>
      <c r="J12" s="1" t="s">
        <v>293</v>
      </c>
    </row>
    <row r="13" spans="1:12">
      <c r="A13" s="1">
        <v>10</v>
      </c>
      <c r="B13" s="1" t="s">
        <v>1017</v>
      </c>
      <c r="C13" s="5">
        <v>46108</v>
      </c>
      <c r="D13" s="1" t="s">
        <v>44</v>
      </c>
      <c r="E13" s="6" t="s">
        <v>1015</v>
      </c>
      <c r="F13" s="6" t="s">
        <v>46</v>
      </c>
      <c r="G13" s="1" t="s">
        <v>93</v>
      </c>
      <c r="H13" s="1" t="s">
        <v>1007</v>
      </c>
      <c r="I13" s="1" t="s">
        <v>41</v>
      </c>
      <c r="J13" s="1" t="s">
        <v>293</v>
      </c>
    </row>
    <row r="14" spans="1:12">
      <c r="A14" s="1">
        <v>11</v>
      </c>
      <c r="B14" s="1" t="s">
        <v>1018</v>
      </c>
      <c r="C14" s="5">
        <v>46093</v>
      </c>
      <c r="D14" s="1" t="s">
        <v>44</v>
      </c>
      <c r="E14" s="6" t="s">
        <v>1019</v>
      </c>
      <c r="F14" s="6" t="s">
        <v>46</v>
      </c>
      <c r="G14" s="1" t="s">
        <v>22</v>
      </c>
      <c r="H14" s="1" t="s">
        <v>1010</v>
      </c>
      <c r="I14" s="1" t="s">
        <v>68</v>
      </c>
      <c r="J14" s="1" t="s">
        <v>254</v>
      </c>
    </row>
    <row r="15" spans="1:12">
      <c r="A15" s="1">
        <v>12</v>
      </c>
      <c r="B15" s="1" t="s">
        <v>1020</v>
      </c>
      <c r="C15" s="5">
        <v>46119</v>
      </c>
      <c r="D15" s="1" t="s">
        <v>53</v>
      </c>
      <c r="E15" s="6" t="s">
        <v>1000</v>
      </c>
      <c r="F15" s="6" t="s">
        <v>5</v>
      </c>
      <c r="G15" s="1" t="s">
        <v>22</v>
      </c>
      <c r="H15" s="1" t="s">
        <v>1004</v>
      </c>
      <c r="I15" s="1" t="s">
        <v>15</v>
      </c>
      <c r="J15" s="1" t="s">
        <v>297</v>
      </c>
    </row>
    <row r="16" spans="1:12">
      <c r="A16" s="1">
        <v>13</v>
      </c>
      <c r="B16" s="1" t="s">
        <v>1021</v>
      </c>
      <c r="C16" s="5">
        <v>46128</v>
      </c>
      <c r="D16" s="1" t="s">
        <v>53</v>
      </c>
      <c r="E16" s="6" t="s">
        <v>1006</v>
      </c>
      <c r="F16" s="6" t="s">
        <v>58</v>
      </c>
      <c r="G16" s="1" t="s">
        <v>7</v>
      </c>
      <c r="H16" s="1" t="s">
        <v>1022</v>
      </c>
      <c r="I16" s="1" t="s">
        <v>93</v>
      </c>
      <c r="J16" s="1" t="s">
        <v>293</v>
      </c>
    </row>
    <row r="17" spans="1:10">
      <c r="A17" s="1">
        <v>14</v>
      </c>
      <c r="B17" s="1" t="s">
        <v>1023</v>
      </c>
      <c r="C17" s="5">
        <v>46134</v>
      </c>
      <c r="D17" s="1" t="s">
        <v>53</v>
      </c>
      <c r="E17" s="6" t="s">
        <v>1000</v>
      </c>
      <c r="F17" s="6" t="s">
        <v>13</v>
      </c>
      <c r="G17" s="1" t="s">
        <v>28</v>
      </c>
      <c r="H17" s="1" t="s">
        <v>1022</v>
      </c>
      <c r="I17" s="1" t="s">
        <v>104</v>
      </c>
      <c r="J17" s="1" t="s">
        <v>297</v>
      </c>
    </row>
    <row r="18" spans="1:10">
      <c r="A18" s="1">
        <v>15</v>
      </c>
      <c r="B18" s="1" t="s">
        <v>1024</v>
      </c>
      <c r="C18" s="5">
        <v>46123</v>
      </c>
      <c r="D18" s="1" t="s">
        <v>53</v>
      </c>
      <c r="E18" s="6" t="s">
        <v>1003</v>
      </c>
      <c r="F18" s="6" t="s">
        <v>5</v>
      </c>
      <c r="G18" s="1" t="s">
        <v>70</v>
      </c>
      <c r="H18" s="1" t="s">
        <v>1007</v>
      </c>
      <c r="I18" s="1" t="s">
        <v>22</v>
      </c>
      <c r="J18" s="1" t="s">
        <v>293</v>
      </c>
    </row>
    <row r="19" spans="1:10">
      <c r="A19" s="1">
        <v>16</v>
      </c>
      <c r="B19" s="1" t="s">
        <v>1025</v>
      </c>
      <c r="C19" s="5">
        <v>46135</v>
      </c>
      <c r="D19" s="1" t="s">
        <v>53</v>
      </c>
      <c r="E19" s="6" t="s">
        <v>1019</v>
      </c>
      <c r="F19" s="6" t="s">
        <v>92</v>
      </c>
      <c r="G19" s="1" t="s">
        <v>15</v>
      </c>
      <c r="H19" s="1" t="s">
        <v>1004</v>
      </c>
      <c r="I19" s="1" t="s">
        <v>32</v>
      </c>
      <c r="J19" s="1" t="s">
        <v>293</v>
      </c>
    </row>
    <row r="20" spans="1:10">
      <c r="A20" s="1">
        <v>17</v>
      </c>
      <c r="B20" s="1" t="s">
        <v>1026</v>
      </c>
      <c r="C20" s="5">
        <v>46119</v>
      </c>
      <c r="D20" s="1" t="s">
        <v>53</v>
      </c>
      <c r="E20" s="6" t="s">
        <v>1000</v>
      </c>
      <c r="F20" s="6" t="s">
        <v>13</v>
      </c>
      <c r="G20" s="1" t="s">
        <v>7</v>
      </c>
      <c r="H20" s="1" t="s">
        <v>1010</v>
      </c>
      <c r="I20" s="1" t="s">
        <v>41</v>
      </c>
      <c r="J20" s="1" t="s">
        <v>293</v>
      </c>
    </row>
    <row r="21" spans="1:10">
      <c r="A21" s="1">
        <v>18</v>
      </c>
      <c r="B21" s="1" t="s">
        <v>1027</v>
      </c>
      <c r="C21" s="5">
        <v>46124</v>
      </c>
      <c r="D21" s="1" t="s">
        <v>53</v>
      </c>
      <c r="E21" s="6" t="s">
        <v>1015</v>
      </c>
      <c r="F21" s="6" t="s">
        <v>65</v>
      </c>
      <c r="G21" s="1" t="s">
        <v>22</v>
      </c>
      <c r="H21" s="1" t="s">
        <v>1022</v>
      </c>
      <c r="I21" s="1" t="s">
        <v>41</v>
      </c>
      <c r="J21" s="1" t="s">
        <v>293</v>
      </c>
    </row>
    <row r="22" spans="1:10">
      <c r="A22" s="1">
        <v>19</v>
      </c>
      <c r="B22" s="1" t="s">
        <v>1028</v>
      </c>
      <c r="C22" s="5">
        <v>46143</v>
      </c>
      <c r="D22" s="1" t="s">
        <v>60</v>
      </c>
      <c r="E22" s="6" t="s">
        <v>1000</v>
      </c>
      <c r="F22" s="6" t="s">
        <v>58</v>
      </c>
      <c r="G22" s="1" t="s">
        <v>68</v>
      </c>
      <c r="H22" s="1" t="s">
        <v>1010</v>
      </c>
      <c r="I22" s="1" t="s">
        <v>78</v>
      </c>
      <c r="J22" s="1" t="s">
        <v>293</v>
      </c>
    </row>
    <row r="23" spans="1:10">
      <c r="A23" s="1">
        <v>20</v>
      </c>
      <c r="B23" s="1" t="s">
        <v>1029</v>
      </c>
      <c r="C23" s="5">
        <v>46145</v>
      </c>
      <c r="D23" s="1" t="s">
        <v>60</v>
      </c>
      <c r="E23" s="6" t="s">
        <v>1006</v>
      </c>
      <c r="F23" s="6" t="s">
        <v>27</v>
      </c>
      <c r="G23" s="1" t="s">
        <v>22</v>
      </c>
      <c r="H23" s="1" t="s">
        <v>1010</v>
      </c>
      <c r="I23" s="1" t="s">
        <v>104</v>
      </c>
      <c r="J23" s="1" t="s">
        <v>293</v>
      </c>
    </row>
    <row r="24" spans="1:10">
      <c r="A24" s="1">
        <v>21</v>
      </c>
      <c r="B24" s="1" t="s">
        <v>1030</v>
      </c>
      <c r="C24" s="5">
        <v>46166</v>
      </c>
      <c r="D24" s="1" t="s">
        <v>60</v>
      </c>
      <c r="E24" s="6" t="s">
        <v>1019</v>
      </c>
      <c r="F24" s="6" t="s">
        <v>50</v>
      </c>
      <c r="G24" s="1" t="s">
        <v>28</v>
      </c>
      <c r="H24" s="1" t="s">
        <v>1004</v>
      </c>
      <c r="I24" s="1" t="s">
        <v>62</v>
      </c>
      <c r="J24" s="1" t="s">
        <v>254</v>
      </c>
    </row>
    <row r="25" spans="1:10">
      <c r="A25" s="1">
        <v>22</v>
      </c>
      <c r="B25" s="1" t="s">
        <v>1031</v>
      </c>
      <c r="C25" s="5">
        <v>46167</v>
      </c>
      <c r="D25" s="1" t="s">
        <v>60</v>
      </c>
      <c r="E25" s="6" t="s">
        <v>1015</v>
      </c>
      <c r="F25" s="6" t="s">
        <v>39</v>
      </c>
      <c r="G25" s="1" t="s">
        <v>78</v>
      </c>
      <c r="H25" s="1" t="s">
        <v>1004</v>
      </c>
      <c r="I25" s="1" t="s">
        <v>36</v>
      </c>
      <c r="J25" s="1" t="s">
        <v>297</v>
      </c>
    </row>
    <row r="26" spans="1:10">
      <c r="A26" s="1">
        <v>23</v>
      </c>
      <c r="B26" s="1" t="s">
        <v>1032</v>
      </c>
      <c r="C26" s="5">
        <v>46185</v>
      </c>
      <c r="D26" s="1" t="s">
        <v>73</v>
      </c>
      <c r="E26" s="6" t="s">
        <v>1006</v>
      </c>
      <c r="F26" s="6" t="s">
        <v>89</v>
      </c>
      <c r="G26" s="1" t="s">
        <v>62</v>
      </c>
      <c r="H26" s="1" t="s">
        <v>1007</v>
      </c>
      <c r="I26" s="1" t="s">
        <v>93</v>
      </c>
      <c r="J26" s="1" t="s">
        <v>293</v>
      </c>
    </row>
    <row r="27" spans="1:10">
      <c r="A27" s="1">
        <v>24</v>
      </c>
      <c r="B27" s="1" t="s">
        <v>1033</v>
      </c>
      <c r="C27" s="5">
        <v>46189</v>
      </c>
      <c r="D27" s="1" t="s">
        <v>73</v>
      </c>
      <c r="E27" s="6" t="s">
        <v>1015</v>
      </c>
      <c r="F27" s="6" t="s">
        <v>58</v>
      </c>
      <c r="G27" s="1" t="s">
        <v>78</v>
      </c>
      <c r="H27" s="1" t="s">
        <v>1004</v>
      </c>
      <c r="I27" s="1" t="s">
        <v>104</v>
      </c>
      <c r="J27" s="1" t="s">
        <v>293</v>
      </c>
    </row>
    <row r="28" spans="1:10">
      <c r="A28" s="1">
        <v>25</v>
      </c>
      <c r="B28" s="1" t="s">
        <v>1034</v>
      </c>
      <c r="C28" s="5">
        <v>46189</v>
      </c>
      <c r="D28" s="1" t="s">
        <v>73</v>
      </c>
      <c r="E28" s="6" t="s">
        <v>1000</v>
      </c>
      <c r="F28" s="6" t="s">
        <v>27</v>
      </c>
      <c r="G28" s="1" t="s">
        <v>62</v>
      </c>
      <c r="H28" s="1" t="s">
        <v>1010</v>
      </c>
      <c r="I28" s="1" t="s">
        <v>70</v>
      </c>
      <c r="J28" s="1" t="s">
        <v>238</v>
      </c>
    </row>
    <row r="29" spans="1:10">
      <c r="A29" s="1">
        <v>26</v>
      </c>
      <c r="B29" s="1" t="s">
        <v>1035</v>
      </c>
      <c r="C29" s="5">
        <v>46180</v>
      </c>
      <c r="D29" s="1" t="s">
        <v>73</v>
      </c>
      <c r="E29" s="6" t="s">
        <v>1006</v>
      </c>
      <c r="F29" s="6" t="s">
        <v>50</v>
      </c>
      <c r="G29" s="1" t="s">
        <v>78</v>
      </c>
      <c r="H29" s="1" t="s">
        <v>1010</v>
      </c>
      <c r="I29" s="1" t="s">
        <v>62</v>
      </c>
      <c r="J29" s="1" t="s">
        <v>238</v>
      </c>
    </row>
    <row r="30" spans="1:10">
      <c r="A30" s="1">
        <v>27</v>
      </c>
      <c r="B30" s="1" t="s">
        <v>1036</v>
      </c>
      <c r="C30" s="5">
        <v>46196</v>
      </c>
      <c r="D30" s="1" t="s">
        <v>73</v>
      </c>
      <c r="E30" s="6" t="s">
        <v>1009</v>
      </c>
      <c r="F30" s="6" t="s">
        <v>5</v>
      </c>
      <c r="G30" s="1" t="s">
        <v>93</v>
      </c>
      <c r="H30" s="1" t="s">
        <v>1022</v>
      </c>
      <c r="I30" s="1" t="s">
        <v>41</v>
      </c>
      <c r="J30" s="1" t="s">
        <v>254</v>
      </c>
    </row>
    <row r="31" spans="1:10">
      <c r="A31" s="1">
        <v>28</v>
      </c>
      <c r="B31" s="1" t="s">
        <v>1037</v>
      </c>
      <c r="C31" s="5">
        <v>46178</v>
      </c>
      <c r="D31" s="1" t="s">
        <v>73</v>
      </c>
      <c r="E31" s="6" t="s">
        <v>1019</v>
      </c>
      <c r="F31" s="6" t="s">
        <v>65</v>
      </c>
      <c r="G31" s="1" t="s">
        <v>68</v>
      </c>
      <c r="H31" s="1" t="s">
        <v>1007</v>
      </c>
      <c r="I31" s="1" t="s">
        <v>104</v>
      </c>
      <c r="J31" s="1" t="s">
        <v>293</v>
      </c>
    </row>
    <row r="32" spans="1:10">
      <c r="A32" s="1">
        <v>29</v>
      </c>
      <c r="B32" s="1" t="s">
        <v>1038</v>
      </c>
      <c r="C32" s="5">
        <v>46215</v>
      </c>
      <c r="D32" s="1" t="s">
        <v>76</v>
      </c>
      <c r="E32" s="6" t="s">
        <v>1015</v>
      </c>
      <c r="F32" s="6" t="s">
        <v>13</v>
      </c>
      <c r="G32" s="1" t="s">
        <v>78</v>
      </c>
      <c r="H32" s="1" t="s">
        <v>1022</v>
      </c>
      <c r="I32" s="1" t="s">
        <v>70</v>
      </c>
      <c r="J32" s="1" t="s">
        <v>254</v>
      </c>
    </row>
    <row r="33" spans="1:10">
      <c r="A33" s="1">
        <v>30</v>
      </c>
      <c r="B33" s="1" t="s">
        <v>1039</v>
      </c>
      <c r="C33" s="5">
        <v>46218</v>
      </c>
      <c r="D33" s="1" t="s">
        <v>76</v>
      </c>
      <c r="E33" s="6" t="s">
        <v>1000</v>
      </c>
      <c r="F33" s="6" t="s">
        <v>50</v>
      </c>
      <c r="G33" s="1" t="s">
        <v>7</v>
      </c>
      <c r="H33" s="1" t="s">
        <v>1022</v>
      </c>
      <c r="I33" s="1" t="s">
        <v>70</v>
      </c>
      <c r="J33" s="1" t="s">
        <v>293</v>
      </c>
    </row>
    <row r="34" spans="1:10">
      <c r="A34" s="1">
        <v>31</v>
      </c>
      <c r="B34" s="1" t="s">
        <v>1040</v>
      </c>
      <c r="C34" s="5">
        <v>46229</v>
      </c>
      <c r="D34" s="1" t="s">
        <v>76</v>
      </c>
      <c r="E34" s="6" t="s">
        <v>1000</v>
      </c>
      <c r="F34" s="6" t="s">
        <v>5</v>
      </c>
      <c r="G34" s="1" t="s">
        <v>104</v>
      </c>
      <c r="H34" s="1" t="s">
        <v>1001</v>
      </c>
      <c r="I34" s="1" t="s">
        <v>70</v>
      </c>
      <c r="J34" s="1" t="s">
        <v>297</v>
      </c>
    </row>
    <row r="35" spans="1:10">
      <c r="A35" s="1">
        <v>32</v>
      </c>
      <c r="B35" s="1" t="s">
        <v>1041</v>
      </c>
      <c r="C35" s="5">
        <v>46247</v>
      </c>
      <c r="D35" s="1" t="s">
        <v>86</v>
      </c>
      <c r="E35" s="6" t="s">
        <v>1015</v>
      </c>
      <c r="F35" s="6" t="s">
        <v>50</v>
      </c>
      <c r="G35" s="1" t="s">
        <v>104</v>
      </c>
      <c r="H35" s="1" t="s">
        <v>1022</v>
      </c>
      <c r="I35" s="1" t="s">
        <v>78</v>
      </c>
      <c r="J35" s="1" t="s">
        <v>254</v>
      </c>
    </row>
    <row r="36" spans="1:10">
      <c r="A36" s="1">
        <v>33</v>
      </c>
      <c r="B36" s="1" t="s">
        <v>1042</v>
      </c>
      <c r="C36" s="5">
        <v>46243</v>
      </c>
      <c r="D36" s="1" t="s">
        <v>86</v>
      </c>
      <c r="E36" s="6" t="s">
        <v>1015</v>
      </c>
      <c r="F36" s="6" t="s">
        <v>5</v>
      </c>
      <c r="G36" s="1" t="s">
        <v>78</v>
      </c>
      <c r="H36" s="1" t="s">
        <v>1022</v>
      </c>
      <c r="I36" s="1" t="s">
        <v>68</v>
      </c>
      <c r="J36" s="1" t="s">
        <v>254</v>
      </c>
    </row>
    <row r="37" spans="1:10">
      <c r="A37" s="1">
        <v>34</v>
      </c>
      <c r="B37" s="1" t="s">
        <v>1043</v>
      </c>
      <c r="C37" s="5">
        <v>46279</v>
      </c>
      <c r="D37" s="1" t="s">
        <v>102</v>
      </c>
      <c r="E37" s="6" t="s">
        <v>1019</v>
      </c>
      <c r="F37" s="6" t="s">
        <v>27</v>
      </c>
      <c r="G37" s="1" t="s">
        <v>93</v>
      </c>
      <c r="H37" s="1" t="s">
        <v>1010</v>
      </c>
      <c r="I37" s="1" t="s">
        <v>32</v>
      </c>
      <c r="J37" s="1" t="s">
        <v>297</v>
      </c>
    </row>
    <row r="38" spans="1:10">
      <c r="A38" s="1">
        <v>35</v>
      </c>
      <c r="B38" s="1" t="s">
        <v>1044</v>
      </c>
      <c r="C38" s="5">
        <v>46278</v>
      </c>
      <c r="D38" s="1" t="s">
        <v>102</v>
      </c>
      <c r="E38" s="6" t="s">
        <v>1000</v>
      </c>
      <c r="F38" s="6" t="s">
        <v>65</v>
      </c>
      <c r="G38" s="1" t="s">
        <v>70</v>
      </c>
      <c r="H38" s="1" t="s">
        <v>1007</v>
      </c>
      <c r="I38" s="1" t="s">
        <v>32</v>
      </c>
      <c r="J38" s="1" t="s">
        <v>254</v>
      </c>
    </row>
    <row r="39" spans="1:10">
      <c r="A39" s="1">
        <v>36</v>
      </c>
      <c r="B39" s="1" t="s">
        <v>1045</v>
      </c>
      <c r="C39" s="5">
        <v>46317</v>
      </c>
      <c r="D39" s="1" t="s">
        <v>106</v>
      </c>
      <c r="E39" s="6" t="s">
        <v>1009</v>
      </c>
      <c r="F39" s="6" t="s">
        <v>65</v>
      </c>
      <c r="G39" s="1" t="s">
        <v>7</v>
      </c>
      <c r="H39" s="1" t="s">
        <v>1001</v>
      </c>
      <c r="I39" s="1" t="s">
        <v>68</v>
      </c>
      <c r="J39" s="1" t="s">
        <v>293</v>
      </c>
    </row>
    <row r="40" spans="1:10">
      <c r="A40" s="1">
        <v>37</v>
      </c>
      <c r="B40" s="1" t="s">
        <v>1046</v>
      </c>
      <c r="C40" s="5">
        <v>46300</v>
      </c>
      <c r="D40" s="1" t="s">
        <v>106</v>
      </c>
      <c r="E40" s="6" t="s">
        <v>1003</v>
      </c>
      <c r="F40" s="6" t="s">
        <v>46</v>
      </c>
      <c r="G40" s="1" t="s">
        <v>70</v>
      </c>
      <c r="H40" s="1" t="s">
        <v>1001</v>
      </c>
      <c r="I40" s="1" t="s">
        <v>22</v>
      </c>
      <c r="J40" s="1" t="s">
        <v>254</v>
      </c>
    </row>
    <row r="41" spans="1:10">
      <c r="A41" s="1">
        <v>38</v>
      </c>
      <c r="B41" s="1" t="s">
        <v>1047</v>
      </c>
      <c r="C41" s="5">
        <v>46342</v>
      </c>
      <c r="D41" s="1" t="s">
        <v>111</v>
      </c>
      <c r="E41" s="6" t="s">
        <v>1006</v>
      </c>
      <c r="F41" s="6" t="s">
        <v>46</v>
      </c>
      <c r="G41" s="1" t="s">
        <v>22</v>
      </c>
      <c r="H41" s="1" t="s">
        <v>1004</v>
      </c>
      <c r="I41" s="1" t="s">
        <v>62</v>
      </c>
      <c r="J41" s="1" t="s">
        <v>254</v>
      </c>
    </row>
    <row r="42" spans="1:10">
      <c r="A42" s="1">
        <v>39</v>
      </c>
      <c r="B42" s="1" t="s">
        <v>1048</v>
      </c>
      <c r="C42" s="5">
        <v>46335</v>
      </c>
      <c r="D42" s="1" t="s">
        <v>111</v>
      </c>
      <c r="E42" s="6" t="s">
        <v>1003</v>
      </c>
      <c r="F42" s="6" t="s">
        <v>46</v>
      </c>
      <c r="G42" s="1" t="s">
        <v>28</v>
      </c>
      <c r="H42" s="1" t="s">
        <v>1022</v>
      </c>
      <c r="I42" s="1" t="s">
        <v>36</v>
      </c>
      <c r="J42" s="1" t="s">
        <v>293</v>
      </c>
    </row>
    <row r="43" spans="1:10">
      <c r="A43" s="1">
        <v>40</v>
      </c>
      <c r="B43" s="1" t="s">
        <v>1049</v>
      </c>
      <c r="C43" s="5">
        <v>46335</v>
      </c>
      <c r="D43" s="1" t="s">
        <v>111</v>
      </c>
      <c r="E43" s="6" t="s">
        <v>1006</v>
      </c>
      <c r="F43" s="6" t="s">
        <v>65</v>
      </c>
      <c r="G43" s="1" t="s">
        <v>28</v>
      </c>
      <c r="H43" s="1" t="s">
        <v>1022</v>
      </c>
      <c r="I43" s="1" t="s">
        <v>66</v>
      </c>
      <c r="J43" s="1" t="s">
        <v>254</v>
      </c>
    </row>
    <row r="44" spans="1:10">
      <c r="A44" s="1">
        <v>41</v>
      </c>
      <c r="B44" s="1" t="s">
        <v>1050</v>
      </c>
      <c r="C44" s="5">
        <v>46347</v>
      </c>
      <c r="D44" s="1" t="s">
        <v>111</v>
      </c>
      <c r="E44" s="6" t="s">
        <v>1009</v>
      </c>
      <c r="F44" s="6" t="s">
        <v>92</v>
      </c>
      <c r="G44" s="1" t="s">
        <v>104</v>
      </c>
      <c r="H44" s="1" t="s">
        <v>1004</v>
      </c>
      <c r="I44" s="1" t="s">
        <v>78</v>
      </c>
      <c r="J44" s="1" t="s">
        <v>254</v>
      </c>
    </row>
    <row r="45" spans="1:10">
      <c r="A45" s="1">
        <v>42</v>
      </c>
      <c r="B45" s="1" t="s">
        <v>1051</v>
      </c>
      <c r="C45" s="5">
        <v>46336</v>
      </c>
      <c r="D45" s="1" t="s">
        <v>111</v>
      </c>
      <c r="E45" s="6" t="s">
        <v>1006</v>
      </c>
      <c r="F45" s="6" t="s">
        <v>27</v>
      </c>
      <c r="G45" s="1" t="s">
        <v>78</v>
      </c>
      <c r="H45" s="1" t="s">
        <v>1010</v>
      </c>
      <c r="I45" s="1" t="s">
        <v>15</v>
      </c>
      <c r="J45" s="1" t="s">
        <v>293</v>
      </c>
    </row>
    <row r="46" spans="1:10">
      <c r="A46" s="1">
        <v>43</v>
      </c>
      <c r="B46" s="1" t="s">
        <v>1052</v>
      </c>
      <c r="C46" s="5">
        <v>46339</v>
      </c>
      <c r="D46" s="1" t="s">
        <v>111</v>
      </c>
      <c r="E46" s="6" t="s">
        <v>1003</v>
      </c>
      <c r="F46" s="6" t="s">
        <v>46</v>
      </c>
      <c r="G46" s="1" t="s">
        <v>28</v>
      </c>
      <c r="H46" s="1" t="s">
        <v>1007</v>
      </c>
      <c r="I46" s="1" t="s">
        <v>32</v>
      </c>
      <c r="J46" s="1" t="s">
        <v>238</v>
      </c>
    </row>
    <row r="47" spans="1:10">
      <c r="A47" s="1">
        <v>44</v>
      </c>
      <c r="B47" s="1" t="s">
        <v>1053</v>
      </c>
      <c r="C47" s="5">
        <v>46353</v>
      </c>
      <c r="D47" s="1" t="s">
        <v>111</v>
      </c>
      <c r="E47" s="6" t="s">
        <v>1003</v>
      </c>
      <c r="F47" s="6" t="s">
        <v>92</v>
      </c>
      <c r="G47" s="1" t="s">
        <v>70</v>
      </c>
      <c r="H47" s="1" t="s">
        <v>1001</v>
      </c>
      <c r="I47" s="1" t="s">
        <v>7</v>
      </c>
      <c r="J47" s="1" t="s">
        <v>293</v>
      </c>
    </row>
    <row r="48" spans="1:10">
      <c r="A48" s="1">
        <v>45</v>
      </c>
      <c r="B48" s="1" t="s">
        <v>1054</v>
      </c>
      <c r="C48" s="5">
        <v>46360</v>
      </c>
      <c r="D48" s="1" t="s">
        <v>122</v>
      </c>
      <c r="E48" s="6" t="s">
        <v>1015</v>
      </c>
      <c r="F48" s="6" t="s">
        <v>5</v>
      </c>
      <c r="G48" s="1" t="s">
        <v>66</v>
      </c>
      <c r="H48" s="1" t="s">
        <v>1001</v>
      </c>
      <c r="I48" s="1" t="s">
        <v>22</v>
      </c>
      <c r="J48" s="1" t="s">
        <v>293</v>
      </c>
    </row>
    <row r="49" spans="1:10">
      <c r="A49" s="1">
        <v>46</v>
      </c>
      <c r="B49" s="1" t="s">
        <v>1055</v>
      </c>
      <c r="C49" s="5">
        <v>46369</v>
      </c>
      <c r="D49" s="1" t="s">
        <v>122</v>
      </c>
      <c r="E49" s="6" t="s">
        <v>1009</v>
      </c>
      <c r="F49" s="6" t="s">
        <v>5</v>
      </c>
      <c r="G49" s="1" t="s">
        <v>36</v>
      </c>
      <c r="H49" s="1" t="s">
        <v>1004</v>
      </c>
      <c r="I49" s="1" t="s">
        <v>28</v>
      </c>
      <c r="J49" s="1" t="s">
        <v>293</v>
      </c>
    </row>
    <row r="50" spans="1:10">
      <c r="A50" s="1">
        <v>47</v>
      </c>
      <c r="B50" s="1" t="s">
        <v>1056</v>
      </c>
      <c r="C50" s="5">
        <v>46365</v>
      </c>
      <c r="D50" s="1" t="s">
        <v>122</v>
      </c>
      <c r="E50" s="6" t="s">
        <v>1006</v>
      </c>
      <c r="F50" s="6" t="s">
        <v>65</v>
      </c>
      <c r="G50" s="1" t="s">
        <v>93</v>
      </c>
      <c r="H50" s="1" t="s">
        <v>1007</v>
      </c>
      <c r="I50" s="1" t="s">
        <v>62</v>
      </c>
      <c r="J50" s="1" t="s">
        <v>293</v>
      </c>
    </row>
    <row r="51" spans="1:10">
      <c r="A51" s="1">
        <v>48</v>
      </c>
      <c r="B51" s="1" t="s">
        <v>1057</v>
      </c>
      <c r="C51" s="5">
        <v>46370</v>
      </c>
      <c r="D51" s="1" t="s">
        <v>122</v>
      </c>
      <c r="E51" s="6" t="s">
        <v>1000</v>
      </c>
      <c r="F51" s="6" t="s">
        <v>89</v>
      </c>
      <c r="G51" s="1" t="s">
        <v>104</v>
      </c>
      <c r="H51" s="1" t="s">
        <v>1004</v>
      </c>
      <c r="I51" s="1" t="s">
        <v>7</v>
      </c>
      <c r="J51" s="1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1115</v>
      </c>
      <c r="C3" s="1" t="s">
        <v>126</v>
      </c>
      <c r="D3" s="1" t="s">
        <v>127</v>
      </c>
      <c r="E3" s="1" t="s">
        <v>1116</v>
      </c>
      <c r="F3" s="1" t="s">
        <v>129</v>
      </c>
      <c r="G3" s="1" t="s">
        <v>130</v>
      </c>
      <c r="H3" s="1" t="s">
        <v>1117</v>
      </c>
      <c r="I3" s="1" t="s">
        <v>1118</v>
      </c>
      <c r="J3" s="1" t="s">
        <v>1119</v>
      </c>
      <c r="K3" s="1" t="s">
        <v>1120</v>
      </c>
      <c r="L3" s="1" t="s">
        <v>1121</v>
      </c>
      <c r="M3" s="1" t="s">
        <v>1122</v>
      </c>
    </row>
    <row r="4" spans="1:15">
      <c r="A4" s="1">
        <v>1</v>
      </c>
      <c r="B4" s="1" t="s">
        <v>1064</v>
      </c>
      <c r="C4" s="5">
        <v>46073</v>
      </c>
      <c r="D4" s="1" t="s">
        <v>19</v>
      </c>
      <c r="E4" s="6" t="s">
        <v>49</v>
      </c>
      <c r="F4" s="6" t="s">
        <v>89</v>
      </c>
      <c r="G4" s="1" t="s">
        <v>31</v>
      </c>
      <c r="H4" s="1" t="s">
        <v>70</v>
      </c>
      <c r="I4" s="1" t="s">
        <v>93</v>
      </c>
      <c r="J4" s="1">
        <v>22</v>
      </c>
      <c r="K4" s="1" t="s">
        <v>142</v>
      </c>
      <c r="L4" s="1" t="s">
        <v>1065</v>
      </c>
      <c r="M4" s="1" t="s">
        <v>9</v>
      </c>
    </row>
    <row r="5" spans="1:15">
      <c r="A5" s="1">
        <v>2</v>
      </c>
      <c r="B5" s="1" t="s">
        <v>1066</v>
      </c>
      <c r="C5" s="5">
        <v>46060</v>
      </c>
      <c r="D5" s="1" t="s">
        <v>19</v>
      </c>
      <c r="E5" s="6" t="s">
        <v>16</v>
      </c>
      <c r="F5" s="6" t="s">
        <v>13</v>
      </c>
      <c r="G5" s="1" t="s">
        <v>87</v>
      </c>
      <c r="H5" s="1" t="s">
        <v>41</v>
      </c>
      <c r="I5" s="1" t="s">
        <v>70</v>
      </c>
      <c r="J5" s="1">
        <v>8</v>
      </c>
      <c r="K5" s="1" t="s">
        <v>142</v>
      </c>
      <c r="L5" s="1" t="s">
        <v>1067</v>
      </c>
      <c r="M5" s="1" t="s">
        <v>9</v>
      </c>
    </row>
    <row r="6" spans="1:15">
      <c r="A6" s="1">
        <v>3</v>
      </c>
      <c r="B6" s="1" t="s">
        <v>1068</v>
      </c>
      <c r="C6" s="5">
        <v>46057</v>
      </c>
      <c r="D6" s="1" t="s">
        <v>19</v>
      </c>
      <c r="E6" s="6" t="s">
        <v>38</v>
      </c>
      <c r="F6" s="6" t="s">
        <v>89</v>
      </c>
      <c r="G6" s="1" t="s">
        <v>14</v>
      </c>
      <c r="H6" s="1" t="s">
        <v>70</v>
      </c>
      <c r="I6" s="1" t="s">
        <v>15</v>
      </c>
      <c r="J6" s="1">
        <v>2</v>
      </c>
      <c r="K6" s="1" t="s">
        <v>159</v>
      </c>
      <c r="L6" s="1" t="s">
        <v>1065</v>
      </c>
      <c r="M6" s="1" t="s">
        <v>23</v>
      </c>
    </row>
    <row r="7" spans="1:15">
      <c r="A7" s="1">
        <v>4</v>
      </c>
      <c r="B7" s="1" t="s">
        <v>1069</v>
      </c>
      <c r="C7" s="5">
        <v>46059</v>
      </c>
      <c r="D7" s="1" t="s">
        <v>19</v>
      </c>
      <c r="E7" s="6" t="s">
        <v>26</v>
      </c>
      <c r="F7" s="6" t="s">
        <v>89</v>
      </c>
      <c r="G7" s="1" t="s">
        <v>82</v>
      </c>
      <c r="H7" s="1" t="s">
        <v>68</v>
      </c>
      <c r="I7" s="1" t="s">
        <v>15</v>
      </c>
      <c r="J7" s="1">
        <v>5</v>
      </c>
      <c r="K7" s="1" t="s">
        <v>154</v>
      </c>
      <c r="L7" s="1" t="s">
        <v>1070</v>
      </c>
      <c r="M7" s="1" t="s">
        <v>9</v>
      </c>
    </row>
    <row r="8" spans="1:15">
      <c r="A8" s="1">
        <v>5</v>
      </c>
      <c r="B8" s="1" t="s">
        <v>1071</v>
      </c>
      <c r="C8" s="5">
        <v>46068</v>
      </c>
      <c r="D8" s="1" t="s">
        <v>19</v>
      </c>
      <c r="E8" s="6" t="s">
        <v>26</v>
      </c>
      <c r="F8" s="6" t="s">
        <v>65</v>
      </c>
      <c r="G8" s="1" t="s">
        <v>80</v>
      </c>
      <c r="H8" s="1" t="s">
        <v>93</v>
      </c>
      <c r="I8" s="1" t="s">
        <v>93</v>
      </c>
      <c r="J8" s="1">
        <v>3</v>
      </c>
      <c r="K8" s="1" t="s">
        <v>159</v>
      </c>
      <c r="L8" s="1" t="s">
        <v>1067</v>
      </c>
      <c r="M8" s="1" t="s">
        <v>23</v>
      </c>
    </row>
    <row r="9" spans="1:15">
      <c r="A9" s="1">
        <v>6</v>
      </c>
      <c r="B9" s="1" t="s">
        <v>1072</v>
      </c>
      <c r="C9" s="5">
        <v>46078</v>
      </c>
      <c r="D9" s="1" t="s">
        <v>19</v>
      </c>
      <c r="E9" s="6" t="s">
        <v>26</v>
      </c>
      <c r="F9" s="6" t="s">
        <v>46</v>
      </c>
      <c r="G9" s="1" t="s">
        <v>80</v>
      </c>
      <c r="H9" s="1" t="s">
        <v>104</v>
      </c>
      <c r="I9" s="1" t="s">
        <v>41</v>
      </c>
      <c r="J9" s="1">
        <v>6</v>
      </c>
      <c r="K9" s="1" t="s">
        <v>154</v>
      </c>
      <c r="L9" s="1" t="s">
        <v>1067</v>
      </c>
      <c r="M9" s="1" t="s">
        <v>23</v>
      </c>
    </row>
    <row r="10" spans="1:15">
      <c r="A10" s="1">
        <v>7</v>
      </c>
      <c r="B10" s="1" t="s">
        <v>1073</v>
      </c>
      <c r="C10" s="5">
        <v>46097</v>
      </c>
      <c r="D10" s="1" t="s">
        <v>44</v>
      </c>
      <c r="E10" s="6" t="s">
        <v>30</v>
      </c>
      <c r="F10" s="6" t="s">
        <v>58</v>
      </c>
      <c r="G10" s="1" t="s">
        <v>40</v>
      </c>
      <c r="H10" s="1" t="s">
        <v>70</v>
      </c>
      <c r="I10" s="1" t="s">
        <v>70</v>
      </c>
      <c r="J10" s="1">
        <v>16</v>
      </c>
      <c r="K10" s="1" t="s">
        <v>159</v>
      </c>
      <c r="L10" s="1" t="s">
        <v>1070</v>
      </c>
      <c r="M10" s="1" t="s">
        <v>23</v>
      </c>
    </row>
    <row r="11" spans="1:15">
      <c r="A11" s="1">
        <v>8</v>
      </c>
      <c r="B11" s="1" t="s">
        <v>1074</v>
      </c>
      <c r="C11" s="5">
        <v>46097</v>
      </c>
      <c r="D11" s="1" t="s">
        <v>44</v>
      </c>
      <c r="E11" s="6" t="s">
        <v>16</v>
      </c>
      <c r="F11" s="6" t="s">
        <v>46</v>
      </c>
      <c r="G11" s="1" t="s">
        <v>31</v>
      </c>
      <c r="H11" s="1" t="s">
        <v>15</v>
      </c>
      <c r="I11" s="1" t="s">
        <v>28</v>
      </c>
      <c r="J11" s="1">
        <v>15</v>
      </c>
      <c r="K11" s="1" t="s">
        <v>162</v>
      </c>
      <c r="L11" s="1" t="s">
        <v>1065</v>
      </c>
      <c r="M11" s="1" t="s">
        <v>23</v>
      </c>
    </row>
    <row r="12" spans="1:15">
      <c r="A12" s="1">
        <v>9</v>
      </c>
      <c r="B12" s="1" t="s">
        <v>1075</v>
      </c>
      <c r="C12" s="5">
        <v>46097</v>
      </c>
      <c r="D12" s="1" t="s">
        <v>44</v>
      </c>
      <c r="E12" s="6" t="s">
        <v>91</v>
      </c>
      <c r="F12" s="6" t="s">
        <v>65</v>
      </c>
      <c r="G12" s="1" t="s">
        <v>95</v>
      </c>
      <c r="H12" s="1" t="s">
        <v>7</v>
      </c>
      <c r="I12" s="1" t="s">
        <v>32</v>
      </c>
      <c r="J12" s="1">
        <v>25</v>
      </c>
      <c r="K12" s="1" t="s">
        <v>154</v>
      </c>
      <c r="L12" s="1" t="s">
        <v>1070</v>
      </c>
      <c r="M12" s="1" t="s">
        <v>9</v>
      </c>
    </row>
    <row r="13" spans="1:15">
      <c r="A13" s="1">
        <v>10</v>
      </c>
      <c r="B13" s="1" t="s">
        <v>1076</v>
      </c>
      <c r="C13" s="5">
        <v>46099</v>
      </c>
      <c r="D13" s="1" t="s">
        <v>44</v>
      </c>
      <c r="E13" s="6" t="s">
        <v>64</v>
      </c>
      <c r="F13" s="6" t="s">
        <v>58</v>
      </c>
      <c r="G13" s="1" t="s">
        <v>31</v>
      </c>
      <c r="H13" s="1" t="s">
        <v>32</v>
      </c>
      <c r="I13" s="1" t="s">
        <v>22</v>
      </c>
      <c r="J13" s="1">
        <v>12</v>
      </c>
      <c r="K13" s="1" t="s">
        <v>154</v>
      </c>
      <c r="L13" s="1" t="s">
        <v>1065</v>
      </c>
      <c r="M13" s="1" t="s">
        <v>23</v>
      </c>
    </row>
    <row r="14" spans="1:15">
      <c r="A14" s="1">
        <v>11</v>
      </c>
      <c r="B14" s="1" t="s">
        <v>1077</v>
      </c>
      <c r="C14" s="5">
        <v>46119</v>
      </c>
      <c r="D14" s="1" t="s">
        <v>53</v>
      </c>
      <c r="E14" s="6" t="s">
        <v>49</v>
      </c>
      <c r="F14" s="6" t="s">
        <v>46</v>
      </c>
      <c r="G14" s="1" t="s">
        <v>87</v>
      </c>
      <c r="H14" s="1" t="s">
        <v>28</v>
      </c>
      <c r="I14" s="1" t="s">
        <v>78</v>
      </c>
      <c r="J14" s="1">
        <v>8</v>
      </c>
      <c r="K14" s="1" t="s">
        <v>162</v>
      </c>
      <c r="L14" s="1" t="s">
        <v>1070</v>
      </c>
      <c r="M14" s="1" t="s">
        <v>23</v>
      </c>
    </row>
    <row r="15" spans="1:15">
      <c r="A15" s="1">
        <v>12</v>
      </c>
      <c r="B15" s="1" t="s">
        <v>1078</v>
      </c>
      <c r="C15" s="5">
        <v>46119</v>
      </c>
      <c r="D15" s="1" t="s">
        <v>53</v>
      </c>
      <c r="E15" s="6" t="s">
        <v>57</v>
      </c>
      <c r="F15" s="6" t="s">
        <v>89</v>
      </c>
      <c r="G15" s="1" t="s">
        <v>35</v>
      </c>
      <c r="H15" s="1" t="s">
        <v>66</v>
      </c>
      <c r="I15" s="1" t="s">
        <v>15</v>
      </c>
      <c r="J15" s="1">
        <v>1</v>
      </c>
      <c r="K15" s="1" t="s">
        <v>154</v>
      </c>
      <c r="L15" s="1" t="s">
        <v>1065</v>
      </c>
      <c r="M15" s="1" t="s">
        <v>9</v>
      </c>
    </row>
    <row r="16" spans="1:15">
      <c r="A16" s="1">
        <v>13</v>
      </c>
      <c r="B16" s="1" t="s">
        <v>1079</v>
      </c>
      <c r="C16" s="5">
        <v>46121</v>
      </c>
      <c r="D16" s="1" t="s">
        <v>53</v>
      </c>
      <c r="E16" s="6" t="s">
        <v>91</v>
      </c>
      <c r="F16" s="6" t="s">
        <v>5</v>
      </c>
      <c r="G16" s="1" t="s">
        <v>14</v>
      </c>
      <c r="H16" s="1" t="s">
        <v>70</v>
      </c>
      <c r="I16" s="1" t="s">
        <v>93</v>
      </c>
      <c r="J16" s="1">
        <v>14</v>
      </c>
      <c r="K16" s="1" t="s">
        <v>154</v>
      </c>
      <c r="L16" s="1" t="s">
        <v>1065</v>
      </c>
      <c r="M16" s="1" t="s">
        <v>23</v>
      </c>
    </row>
    <row r="17" spans="1:13">
      <c r="A17" s="1">
        <v>14</v>
      </c>
      <c r="B17" s="1" t="s">
        <v>1080</v>
      </c>
      <c r="C17" s="5">
        <v>46131</v>
      </c>
      <c r="D17" s="1" t="s">
        <v>53</v>
      </c>
      <c r="E17" s="6" t="s">
        <v>57</v>
      </c>
      <c r="F17" s="6" t="s">
        <v>39</v>
      </c>
      <c r="G17" s="1" t="s">
        <v>21</v>
      </c>
      <c r="H17" s="1" t="s">
        <v>28</v>
      </c>
      <c r="I17" s="1" t="s">
        <v>68</v>
      </c>
      <c r="J17" s="1">
        <v>30</v>
      </c>
      <c r="K17" s="1" t="s">
        <v>142</v>
      </c>
      <c r="L17" s="1" t="s">
        <v>1065</v>
      </c>
      <c r="M17" s="1" t="s">
        <v>9</v>
      </c>
    </row>
    <row r="18" spans="1:13">
      <c r="A18" s="1">
        <v>15</v>
      </c>
      <c r="B18" s="1" t="s">
        <v>1081</v>
      </c>
      <c r="C18" s="5">
        <v>46132</v>
      </c>
      <c r="D18" s="1" t="s">
        <v>53</v>
      </c>
      <c r="E18" s="6" t="s">
        <v>61</v>
      </c>
      <c r="F18" s="6" t="s">
        <v>92</v>
      </c>
      <c r="G18" s="1" t="s">
        <v>31</v>
      </c>
      <c r="H18" s="1" t="s">
        <v>15</v>
      </c>
      <c r="I18" s="1" t="s">
        <v>62</v>
      </c>
      <c r="J18" s="1">
        <v>11</v>
      </c>
      <c r="K18" s="1" t="s">
        <v>159</v>
      </c>
      <c r="L18" s="1" t="s">
        <v>1067</v>
      </c>
      <c r="M18" s="1" t="s">
        <v>9</v>
      </c>
    </row>
    <row r="19" spans="1:13">
      <c r="A19" s="1">
        <v>16</v>
      </c>
      <c r="B19" s="1" t="s">
        <v>1082</v>
      </c>
      <c r="C19" s="5">
        <v>46150</v>
      </c>
      <c r="D19" s="1" t="s">
        <v>60</v>
      </c>
      <c r="E19" s="6" t="s">
        <v>61</v>
      </c>
      <c r="F19" s="6" t="s">
        <v>27</v>
      </c>
      <c r="G19" s="1" t="s">
        <v>40</v>
      </c>
      <c r="H19" s="1" t="s">
        <v>15</v>
      </c>
      <c r="I19" s="1" t="s">
        <v>22</v>
      </c>
      <c r="J19" s="1">
        <v>3</v>
      </c>
      <c r="K19" s="1" t="s">
        <v>154</v>
      </c>
      <c r="L19" s="1" t="s">
        <v>1067</v>
      </c>
      <c r="M19" s="1" t="s">
        <v>9</v>
      </c>
    </row>
    <row r="20" spans="1:13">
      <c r="A20" s="1">
        <v>17</v>
      </c>
      <c r="B20" s="1" t="s">
        <v>1083</v>
      </c>
      <c r="C20" s="5">
        <v>46152</v>
      </c>
      <c r="D20" s="1" t="s">
        <v>60</v>
      </c>
      <c r="E20" s="6" t="s">
        <v>91</v>
      </c>
      <c r="F20" s="6" t="s">
        <v>5</v>
      </c>
      <c r="G20" s="1" t="s">
        <v>6</v>
      </c>
      <c r="H20" s="1" t="s">
        <v>15</v>
      </c>
      <c r="I20" s="1" t="s">
        <v>66</v>
      </c>
      <c r="J20" s="1">
        <v>13</v>
      </c>
      <c r="K20" s="1" t="s">
        <v>162</v>
      </c>
      <c r="L20" s="1" t="s">
        <v>1070</v>
      </c>
      <c r="M20" s="1" t="s">
        <v>9</v>
      </c>
    </row>
    <row r="21" spans="1:13">
      <c r="A21" s="1">
        <v>18</v>
      </c>
      <c r="B21" s="1" t="s">
        <v>1084</v>
      </c>
      <c r="C21" s="5">
        <v>46175</v>
      </c>
      <c r="D21" s="1" t="s">
        <v>73</v>
      </c>
      <c r="E21" s="6" t="s">
        <v>16</v>
      </c>
      <c r="F21" s="6" t="s">
        <v>46</v>
      </c>
      <c r="G21" s="1" t="s">
        <v>87</v>
      </c>
      <c r="H21" s="1" t="s">
        <v>41</v>
      </c>
      <c r="I21" s="1" t="s">
        <v>93</v>
      </c>
      <c r="J21" s="1">
        <v>13</v>
      </c>
      <c r="K21" s="1" t="s">
        <v>142</v>
      </c>
      <c r="L21" s="1" t="s">
        <v>1065</v>
      </c>
      <c r="M21" s="1" t="s">
        <v>23</v>
      </c>
    </row>
    <row r="22" spans="1:13">
      <c r="A22" s="1">
        <v>19</v>
      </c>
      <c r="B22" s="1" t="s">
        <v>1085</v>
      </c>
      <c r="C22" s="5">
        <v>46186</v>
      </c>
      <c r="D22" s="1" t="s">
        <v>73</v>
      </c>
      <c r="E22" s="6" t="s">
        <v>38</v>
      </c>
      <c r="F22" s="6" t="s">
        <v>92</v>
      </c>
      <c r="G22" s="1" t="s">
        <v>40</v>
      </c>
      <c r="H22" s="1" t="s">
        <v>62</v>
      </c>
      <c r="I22" s="1" t="s">
        <v>22</v>
      </c>
      <c r="J22" s="1">
        <v>1</v>
      </c>
      <c r="K22" s="1" t="s">
        <v>159</v>
      </c>
      <c r="L22" s="1" t="s">
        <v>1065</v>
      </c>
      <c r="M22" s="1" t="s">
        <v>23</v>
      </c>
    </row>
    <row r="23" spans="1:13">
      <c r="A23" s="1">
        <v>20</v>
      </c>
      <c r="B23" s="1" t="s">
        <v>1086</v>
      </c>
      <c r="C23" s="5">
        <v>46182</v>
      </c>
      <c r="D23" s="1" t="s">
        <v>73</v>
      </c>
      <c r="E23" s="6" t="s">
        <v>26</v>
      </c>
      <c r="F23" s="6" t="s">
        <v>5</v>
      </c>
      <c r="G23" s="1" t="s">
        <v>82</v>
      </c>
      <c r="H23" s="1" t="s">
        <v>62</v>
      </c>
      <c r="I23" s="1" t="s">
        <v>7</v>
      </c>
      <c r="J23" s="1">
        <v>22</v>
      </c>
      <c r="K23" s="1" t="s">
        <v>154</v>
      </c>
      <c r="L23" s="1" t="s">
        <v>1070</v>
      </c>
      <c r="M23" s="1" t="s">
        <v>9</v>
      </c>
    </row>
    <row r="24" spans="1:13">
      <c r="A24" s="1">
        <v>21</v>
      </c>
      <c r="B24" s="1" t="s">
        <v>1087</v>
      </c>
      <c r="C24" s="5">
        <v>46201</v>
      </c>
      <c r="D24" s="1" t="s">
        <v>73</v>
      </c>
      <c r="E24" s="6" t="s">
        <v>12</v>
      </c>
      <c r="F24" s="6" t="s">
        <v>92</v>
      </c>
      <c r="G24" s="1" t="s">
        <v>31</v>
      </c>
      <c r="H24" s="1" t="s">
        <v>32</v>
      </c>
      <c r="I24" s="1" t="s">
        <v>70</v>
      </c>
      <c r="J24" s="1">
        <v>0</v>
      </c>
      <c r="K24" s="1" t="s">
        <v>159</v>
      </c>
      <c r="L24" s="1" t="s">
        <v>1067</v>
      </c>
      <c r="M24" s="1" t="s">
        <v>9</v>
      </c>
    </row>
    <row r="25" spans="1:13">
      <c r="A25" s="1">
        <v>22</v>
      </c>
      <c r="B25" s="1" t="s">
        <v>1088</v>
      </c>
      <c r="C25" s="5">
        <v>46205</v>
      </c>
      <c r="D25" s="1" t="s">
        <v>76</v>
      </c>
      <c r="E25" s="6" t="s">
        <v>38</v>
      </c>
      <c r="F25" s="6" t="s">
        <v>39</v>
      </c>
      <c r="G25" s="1" t="s">
        <v>40</v>
      </c>
      <c r="H25" s="1" t="s">
        <v>22</v>
      </c>
      <c r="I25" s="1" t="s">
        <v>32</v>
      </c>
      <c r="J25" s="1">
        <v>13</v>
      </c>
      <c r="K25" s="1" t="s">
        <v>154</v>
      </c>
      <c r="L25" s="1" t="s">
        <v>1070</v>
      </c>
      <c r="M25" s="1" t="s">
        <v>23</v>
      </c>
    </row>
    <row r="26" spans="1:13">
      <c r="A26" s="1">
        <v>23</v>
      </c>
      <c r="B26" s="1" t="s">
        <v>1089</v>
      </c>
      <c r="C26" s="5">
        <v>46213</v>
      </c>
      <c r="D26" s="1" t="s">
        <v>76</v>
      </c>
      <c r="E26" s="6" t="s">
        <v>64</v>
      </c>
      <c r="F26" s="6" t="s">
        <v>92</v>
      </c>
      <c r="G26" s="1" t="s">
        <v>80</v>
      </c>
      <c r="H26" s="1" t="s">
        <v>68</v>
      </c>
      <c r="I26" s="1" t="s">
        <v>22</v>
      </c>
      <c r="J26" s="1">
        <v>6</v>
      </c>
      <c r="K26" s="1" t="s">
        <v>142</v>
      </c>
      <c r="L26" s="1" t="s">
        <v>1070</v>
      </c>
      <c r="M26" s="1" t="s">
        <v>23</v>
      </c>
    </row>
    <row r="27" spans="1:13">
      <c r="A27" s="1">
        <v>24</v>
      </c>
      <c r="B27" s="1" t="s">
        <v>1090</v>
      </c>
      <c r="C27" s="5">
        <v>46227</v>
      </c>
      <c r="D27" s="1" t="s">
        <v>76</v>
      </c>
      <c r="E27" s="6" t="s">
        <v>64</v>
      </c>
      <c r="F27" s="6" t="s">
        <v>5</v>
      </c>
      <c r="G27" s="1" t="s">
        <v>14</v>
      </c>
      <c r="H27" s="1" t="s">
        <v>62</v>
      </c>
      <c r="I27" s="1" t="s">
        <v>93</v>
      </c>
      <c r="J27" s="1">
        <v>5</v>
      </c>
      <c r="K27" s="1" t="s">
        <v>142</v>
      </c>
      <c r="L27" s="1" t="s">
        <v>1070</v>
      </c>
      <c r="M27" s="1" t="s">
        <v>23</v>
      </c>
    </row>
    <row r="28" spans="1:13">
      <c r="A28" s="1">
        <v>25</v>
      </c>
      <c r="B28" s="1" t="s">
        <v>1091</v>
      </c>
      <c r="C28" s="5">
        <v>46208</v>
      </c>
      <c r="D28" s="1" t="s">
        <v>76</v>
      </c>
      <c r="E28" s="6" t="s">
        <v>38</v>
      </c>
      <c r="F28" s="6" t="s">
        <v>46</v>
      </c>
      <c r="G28" s="1" t="s">
        <v>51</v>
      </c>
      <c r="H28" s="1" t="s">
        <v>62</v>
      </c>
      <c r="I28" s="1" t="s">
        <v>68</v>
      </c>
      <c r="J28" s="1">
        <v>27</v>
      </c>
      <c r="K28" s="1" t="s">
        <v>154</v>
      </c>
      <c r="L28" s="1" t="s">
        <v>1067</v>
      </c>
      <c r="M28" s="1" t="s">
        <v>23</v>
      </c>
    </row>
    <row r="29" spans="1:13">
      <c r="A29" s="1">
        <v>26</v>
      </c>
      <c r="B29" s="1" t="s">
        <v>1092</v>
      </c>
      <c r="C29" s="5">
        <v>46207</v>
      </c>
      <c r="D29" s="1" t="s">
        <v>76</v>
      </c>
      <c r="E29" s="6" t="s">
        <v>16</v>
      </c>
      <c r="F29" s="6" t="s">
        <v>46</v>
      </c>
      <c r="G29" s="1" t="s">
        <v>6</v>
      </c>
      <c r="H29" s="1" t="s">
        <v>78</v>
      </c>
      <c r="I29" s="1" t="s">
        <v>32</v>
      </c>
      <c r="J29" s="1">
        <v>8</v>
      </c>
      <c r="K29" s="1" t="s">
        <v>142</v>
      </c>
      <c r="L29" s="1" t="s">
        <v>1065</v>
      </c>
      <c r="M29" s="1" t="s">
        <v>9</v>
      </c>
    </row>
    <row r="30" spans="1:13">
      <c r="A30" s="1">
        <v>27</v>
      </c>
      <c r="B30" s="1" t="s">
        <v>1093</v>
      </c>
      <c r="C30" s="5">
        <v>46227</v>
      </c>
      <c r="D30" s="1" t="s">
        <v>76</v>
      </c>
      <c r="E30" s="6" t="s">
        <v>49</v>
      </c>
      <c r="F30" s="6" t="s">
        <v>46</v>
      </c>
      <c r="G30" s="1" t="s">
        <v>87</v>
      </c>
      <c r="H30" s="1" t="s">
        <v>66</v>
      </c>
      <c r="I30" s="1" t="s">
        <v>70</v>
      </c>
      <c r="J30" s="1">
        <v>18</v>
      </c>
      <c r="K30" s="1" t="s">
        <v>142</v>
      </c>
      <c r="L30" s="1" t="s">
        <v>1067</v>
      </c>
      <c r="M30" s="1" t="s">
        <v>23</v>
      </c>
    </row>
    <row r="31" spans="1:13">
      <c r="A31" s="1">
        <v>28</v>
      </c>
      <c r="B31" s="1" t="s">
        <v>1094</v>
      </c>
      <c r="C31" s="5">
        <v>46218</v>
      </c>
      <c r="D31" s="1" t="s">
        <v>76</v>
      </c>
      <c r="E31" s="6" t="s">
        <v>57</v>
      </c>
      <c r="F31" s="6" t="s">
        <v>58</v>
      </c>
      <c r="G31" s="1" t="s">
        <v>82</v>
      </c>
      <c r="H31" s="1" t="s">
        <v>68</v>
      </c>
      <c r="I31" s="1" t="s">
        <v>62</v>
      </c>
      <c r="J31" s="1">
        <v>7</v>
      </c>
      <c r="K31" s="1" t="s">
        <v>159</v>
      </c>
      <c r="L31" s="1" t="s">
        <v>1070</v>
      </c>
      <c r="M31" s="1" t="s">
        <v>9</v>
      </c>
    </row>
    <row r="32" spans="1:13">
      <c r="A32" s="1">
        <v>29</v>
      </c>
      <c r="B32" s="1" t="s">
        <v>1095</v>
      </c>
      <c r="C32" s="5">
        <v>46211</v>
      </c>
      <c r="D32" s="1" t="s">
        <v>76</v>
      </c>
      <c r="E32" s="6" t="s">
        <v>4</v>
      </c>
      <c r="F32" s="6" t="s">
        <v>89</v>
      </c>
      <c r="G32" s="1" t="s">
        <v>51</v>
      </c>
      <c r="H32" s="1" t="s">
        <v>22</v>
      </c>
      <c r="I32" s="1" t="s">
        <v>15</v>
      </c>
      <c r="J32" s="1">
        <v>0</v>
      </c>
      <c r="K32" s="1" t="s">
        <v>142</v>
      </c>
      <c r="L32" s="1" t="s">
        <v>1067</v>
      </c>
      <c r="M32" s="1" t="s">
        <v>23</v>
      </c>
    </row>
    <row r="33" spans="1:13">
      <c r="A33" s="1">
        <v>30</v>
      </c>
      <c r="B33" s="1" t="s">
        <v>1096</v>
      </c>
      <c r="C33" s="5">
        <v>46206</v>
      </c>
      <c r="D33" s="1" t="s">
        <v>76</v>
      </c>
      <c r="E33" s="6" t="s">
        <v>16</v>
      </c>
      <c r="F33" s="6" t="s">
        <v>13</v>
      </c>
      <c r="G33" s="1" t="s">
        <v>77</v>
      </c>
      <c r="H33" s="1" t="s">
        <v>104</v>
      </c>
      <c r="I33" s="1" t="s">
        <v>93</v>
      </c>
      <c r="J33" s="1">
        <v>17</v>
      </c>
      <c r="K33" s="1" t="s">
        <v>162</v>
      </c>
      <c r="L33" s="1" t="s">
        <v>1065</v>
      </c>
      <c r="M33" s="1" t="s">
        <v>23</v>
      </c>
    </row>
    <row r="34" spans="1:13">
      <c r="A34" s="1">
        <v>31</v>
      </c>
      <c r="B34" s="1" t="s">
        <v>1097</v>
      </c>
      <c r="C34" s="5">
        <v>46212</v>
      </c>
      <c r="D34" s="1" t="s">
        <v>76</v>
      </c>
      <c r="E34" s="6" t="s">
        <v>57</v>
      </c>
      <c r="F34" s="6" t="s">
        <v>13</v>
      </c>
      <c r="G34" s="1" t="s">
        <v>40</v>
      </c>
      <c r="H34" s="1" t="s">
        <v>104</v>
      </c>
      <c r="I34" s="1" t="s">
        <v>41</v>
      </c>
      <c r="J34" s="1">
        <v>8</v>
      </c>
      <c r="K34" s="1" t="s">
        <v>159</v>
      </c>
      <c r="L34" s="1" t="s">
        <v>1070</v>
      </c>
      <c r="M34" s="1" t="s">
        <v>9</v>
      </c>
    </row>
    <row r="35" spans="1:13">
      <c r="A35" s="1">
        <v>32</v>
      </c>
      <c r="B35" s="1" t="s">
        <v>1098</v>
      </c>
      <c r="C35" s="5">
        <v>46240</v>
      </c>
      <c r="D35" s="1" t="s">
        <v>86</v>
      </c>
      <c r="E35" s="6" t="s">
        <v>64</v>
      </c>
      <c r="F35" s="6" t="s">
        <v>27</v>
      </c>
      <c r="G35" s="1" t="s">
        <v>80</v>
      </c>
      <c r="H35" s="1" t="s">
        <v>15</v>
      </c>
      <c r="I35" s="1" t="s">
        <v>68</v>
      </c>
      <c r="J35" s="1">
        <v>22</v>
      </c>
      <c r="K35" s="1" t="s">
        <v>142</v>
      </c>
      <c r="L35" s="1" t="s">
        <v>1065</v>
      </c>
      <c r="M35" s="1" t="s">
        <v>23</v>
      </c>
    </row>
    <row r="36" spans="1:13">
      <c r="A36" s="1">
        <v>33</v>
      </c>
      <c r="B36" s="1" t="s">
        <v>1099</v>
      </c>
      <c r="C36" s="5">
        <v>46250</v>
      </c>
      <c r="D36" s="1" t="s">
        <v>86</v>
      </c>
      <c r="E36" s="6" t="s">
        <v>26</v>
      </c>
      <c r="F36" s="6" t="s">
        <v>58</v>
      </c>
      <c r="G36" s="1" t="s">
        <v>51</v>
      </c>
      <c r="H36" s="1" t="s">
        <v>36</v>
      </c>
      <c r="I36" s="1" t="s">
        <v>7</v>
      </c>
      <c r="J36" s="1">
        <v>30</v>
      </c>
      <c r="K36" s="1" t="s">
        <v>159</v>
      </c>
      <c r="L36" s="1" t="s">
        <v>1067</v>
      </c>
      <c r="M36" s="1" t="s">
        <v>23</v>
      </c>
    </row>
    <row r="37" spans="1:13">
      <c r="A37" s="1">
        <v>34</v>
      </c>
      <c r="B37" s="1" t="s">
        <v>1100</v>
      </c>
      <c r="C37" s="5">
        <v>46237</v>
      </c>
      <c r="D37" s="1" t="s">
        <v>86</v>
      </c>
      <c r="E37" s="6" t="s">
        <v>61</v>
      </c>
      <c r="F37" s="6" t="s">
        <v>89</v>
      </c>
      <c r="G37" s="1" t="s">
        <v>31</v>
      </c>
      <c r="H37" s="1" t="s">
        <v>78</v>
      </c>
      <c r="I37" s="1" t="s">
        <v>62</v>
      </c>
      <c r="J37" s="1">
        <v>9</v>
      </c>
      <c r="K37" s="1" t="s">
        <v>154</v>
      </c>
      <c r="L37" s="1" t="s">
        <v>1067</v>
      </c>
      <c r="M37" s="1" t="s">
        <v>23</v>
      </c>
    </row>
    <row r="38" spans="1:13">
      <c r="A38" s="1">
        <v>35</v>
      </c>
      <c r="B38" s="1" t="s">
        <v>1101</v>
      </c>
      <c r="C38" s="5">
        <v>46243</v>
      </c>
      <c r="D38" s="1" t="s">
        <v>86</v>
      </c>
      <c r="E38" s="6" t="s">
        <v>26</v>
      </c>
      <c r="F38" s="6" t="s">
        <v>50</v>
      </c>
      <c r="G38" s="1" t="s">
        <v>35</v>
      </c>
      <c r="H38" s="1" t="s">
        <v>78</v>
      </c>
      <c r="I38" s="1" t="s">
        <v>62</v>
      </c>
      <c r="J38" s="1">
        <v>1</v>
      </c>
      <c r="K38" s="1" t="s">
        <v>142</v>
      </c>
      <c r="L38" s="1" t="s">
        <v>1067</v>
      </c>
      <c r="M38" s="1" t="s">
        <v>9</v>
      </c>
    </row>
    <row r="39" spans="1:13">
      <c r="A39" s="1">
        <v>36</v>
      </c>
      <c r="B39" s="1" t="s">
        <v>1102</v>
      </c>
      <c r="C39" s="5">
        <v>46272</v>
      </c>
      <c r="D39" s="1" t="s">
        <v>102</v>
      </c>
      <c r="E39" s="6" t="s">
        <v>26</v>
      </c>
      <c r="F39" s="6" t="s">
        <v>50</v>
      </c>
      <c r="G39" s="1" t="s">
        <v>40</v>
      </c>
      <c r="H39" s="1" t="s">
        <v>41</v>
      </c>
      <c r="I39" s="1" t="s">
        <v>62</v>
      </c>
      <c r="J39" s="1">
        <v>15</v>
      </c>
      <c r="K39" s="1" t="s">
        <v>142</v>
      </c>
      <c r="L39" s="1" t="s">
        <v>1070</v>
      </c>
      <c r="M39" s="1" t="s">
        <v>9</v>
      </c>
    </row>
    <row r="40" spans="1:13">
      <c r="A40" s="1">
        <v>37</v>
      </c>
      <c r="B40" s="1" t="s">
        <v>1103</v>
      </c>
      <c r="C40" s="5">
        <v>46291</v>
      </c>
      <c r="D40" s="1" t="s">
        <v>102</v>
      </c>
      <c r="E40" s="6" t="s">
        <v>30</v>
      </c>
      <c r="F40" s="6" t="s">
        <v>5</v>
      </c>
      <c r="G40" s="1" t="s">
        <v>21</v>
      </c>
      <c r="H40" s="1" t="s">
        <v>104</v>
      </c>
      <c r="I40" s="1" t="s">
        <v>62</v>
      </c>
      <c r="J40" s="1">
        <v>25</v>
      </c>
      <c r="K40" s="1" t="s">
        <v>142</v>
      </c>
      <c r="L40" s="1" t="s">
        <v>1065</v>
      </c>
      <c r="M40" s="1" t="s">
        <v>9</v>
      </c>
    </row>
    <row r="41" spans="1:13">
      <c r="A41" s="1">
        <v>38</v>
      </c>
      <c r="B41" s="1" t="s">
        <v>1104</v>
      </c>
      <c r="C41" s="5">
        <v>46274</v>
      </c>
      <c r="D41" s="1" t="s">
        <v>102</v>
      </c>
      <c r="E41" s="6" t="s">
        <v>30</v>
      </c>
      <c r="F41" s="6" t="s">
        <v>5</v>
      </c>
      <c r="G41" s="1" t="s">
        <v>51</v>
      </c>
      <c r="H41" s="1" t="s">
        <v>104</v>
      </c>
      <c r="I41" s="1" t="s">
        <v>22</v>
      </c>
      <c r="J41" s="1">
        <v>12</v>
      </c>
      <c r="K41" s="1" t="s">
        <v>162</v>
      </c>
      <c r="L41" s="1" t="s">
        <v>1065</v>
      </c>
      <c r="M41" s="1" t="s">
        <v>23</v>
      </c>
    </row>
    <row r="42" spans="1:13">
      <c r="A42" s="1">
        <v>39</v>
      </c>
      <c r="B42" s="1" t="s">
        <v>1105</v>
      </c>
      <c r="C42" s="5">
        <v>46310</v>
      </c>
      <c r="D42" s="1" t="s">
        <v>106</v>
      </c>
      <c r="E42" s="6" t="s">
        <v>54</v>
      </c>
      <c r="F42" s="6" t="s">
        <v>65</v>
      </c>
      <c r="G42" s="1" t="s">
        <v>80</v>
      </c>
      <c r="H42" s="1" t="s">
        <v>104</v>
      </c>
      <c r="I42" s="1" t="s">
        <v>32</v>
      </c>
      <c r="J42" s="1">
        <v>20</v>
      </c>
      <c r="K42" s="1" t="s">
        <v>154</v>
      </c>
      <c r="L42" s="1" t="s">
        <v>1067</v>
      </c>
      <c r="M42" s="1" t="s">
        <v>9</v>
      </c>
    </row>
    <row r="43" spans="1:13">
      <c r="A43" s="1">
        <v>40</v>
      </c>
      <c r="B43" s="1" t="s">
        <v>1106</v>
      </c>
      <c r="C43" s="5">
        <v>46299</v>
      </c>
      <c r="D43" s="1" t="s">
        <v>106</v>
      </c>
      <c r="E43" s="6" t="s">
        <v>91</v>
      </c>
      <c r="F43" s="6" t="s">
        <v>46</v>
      </c>
      <c r="G43" s="1" t="s">
        <v>95</v>
      </c>
      <c r="H43" s="1" t="s">
        <v>78</v>
      </c>
      <c r="I43" s="1" t="s">
        <v>36</v>
      </c>
      <c r="J43" s="1">
        <v>10</v>
      </c>
      <c r="K43" s="1" t="s">
        <v>142</v>
      </c>
      <c r="L43" s="1" t="s">
        <v>1070</v>
      </c>
      <c r="M43" s="1" t="s">
        <v>9</v>
      </c>
    </row>
    <row r="44" spans="1:13">
      <c r="A44" s="1">
        <v>41</v>
      </c>
      <c r="B44" s="1" t="s">
        <v>1107</v>
      </c>
      <c r="C44" s="5">
        <v>46345</v>
      </c>
      <c r="D44" s="1" t="s">
        <v>111</v>
      </c>
      <c r="E44" s="6" t="s">
        <v>54</v>
      </c>
      <c r="F44" s="6" t="s">
        <v>13</v>
      </c>
      <c r="G44" s="1" t="s">
        <v>14</v>
      </c>
      <c r="H44" s="1" t="s">
        <v>93</v>
      </c>
      <c r="I44" s="1" t="s">
        <v>28</v>
      </c>
      <c r="J44" s="1">
        <v>30</v>
      </c>
      <c r="K44" s="1" t="s">
        <v>154</v>
      </c>
      <c r="L44" s="1" t="s">
        <v>1067</v>
      </c>
      <c r="M44" s="1" t="s">
        <v>23</v>
      </c>
    </row>
    <row r="45" spans="1:13">
      <c r="A45" s="1">
        <v>42</v>
      </c>
      <c r="B45" s="1" t="s">
        <v>1108</v>
      </c>
      <c r="C45" s="5">
        <v>46342</v>
      </c>
      <c r="D45" s="1" t="s">
        <v>111</v>
      </c>
      <c r="E45" s="6" t="s">
        <v>49</v>
      </c>
      <c r="F45" s="6" t="s">
        <v>65</v>
      </c>
      <c r="G45" s="1" t="s">
        <v>40</v>
      </c>
      <c r="H45" s="1" t="s">
        <v>7</v>
      </c>
      <c r="I45" s="1" t="s">
        <v>36</v>
      </c>
      <c r="J45" s="1">
        <v>1</v>
      </c>
      <c r="K45" s="1" t="s">
        <v>142</v>
      </c>
      <c r="L45" s="1" t="s">
        <v>1065</v>
      </c>
      <c r="M45" s="1" t="s">
        <v>23</v>
      </c>
    </row>
    <row r="46" spans="1:13">
      <c r="A46" s="1">
        <v>43</v>
      </c>
      <c r="B46" s="1" t="s">
        <v>1109</v>
      </c>
      <c r="C46" s="5">
        <v>46340</v>
      </c>
      <c r="D46" s="1" t="s">
        <v>111</v>
      </c>
      <c r="E46" s="6" t="s">
        <v>61</v>
      </c>
      <c r="F46" s="6" t="s">
        <v>5</v>
      </c>
      <c r="G46" s="1" t="s">
        <v>95</v>
      </c>
      <c r="H46" s="1" t="s">
        <v>66</v>
      </c>
      <c r="I46" s="1" t="s">
        <v>36</v>
      </c>
      <c r="J46" s="1">
        <v>18</v>
      </c>
      <c r="K46" s="1" t="s">
        <v>154</v>
      </c>
      <c r="L46" s="1" t="s">
        <v>1065</v>
      </c>
      <c r="M46" s="1" t="s">
        <v>23</v>
      </c>
    </row>
    <row r="47" spans="1:13">
      <c r="A47" s="1">
        <v>44</v>
      </c>
      <c r="B47" s="1" t="s">
        <v>1110</v>
      </c>
      <c r="C47" s="5">
        <v>46330</v>
      </c>
      <c r="D47" s="1" t="s">
        <v>111</v>
      </c>
      <c r="E47" s="6" t="s">
        <v>64</v>
      </c>
      <c r="F47" s="6" t="s">
        <v>46</v>
      </c>
      <c r="G47" s="1" t="s">
        <v>77</v>
      </c>
      <c r="H47" s="1" t="s">
        <v>78</v>
      </c>
      <c r="I47" s="1" t="s">
        <v>66</v>
      </c>
      <c r="J47" s="1">
        <v>28</v>
      </c>
      <c r="K47" s="1" t="s">
        <v>154</v>
      </c>
      <c r="L47" s="1" t="s">
        <v>1067</v>
      </c>
      <c r="M47" s="1" t="s">
        <v>23</v>
      </c>
    </row>
    <row r="48" spans="1:13">
      <c r="A48" s="1">
        <v>45</v>
      </c>
      <c r="B48" s="1" t="s">
        <v>1111</v>
      </c>
      <c r="C48" s="5">
        <v>46383</v>
      </c>
      <c r="D48" s="1" t="s">
        <v>122</v>
      </c>
      <c r="E48" s="6" t="s">
        <v>45</v>
      </c>
      <c r="F48" s="6" t="s">
        <v>5</v>
      </c>
      <c r="G48" s="1" t="s">
        <v>95</v>
      </c>
      <c r="H48" s="1" t="s">
        <v>32</v>
      </c>
      <c r="I48" s="1" t="s">
        <v>32</v>
      </c>
      <c r="J48" s="1">
        <v>20</v>
      </c>
      <c r="K48" s="1" t="s">
        <v>159</v>
      </c>
      <c r="L48" s="1" t="s">
        <v>1067</v>
      </c>
      <c r="M48" s="1" t="s">
        <v>9</v>
      </c>
    </row>
    <row r="49" spans="1:13">
      <c r="A49" s="1">
        <v>46</v>
      </c>
      <c r="B49" s="1" t="s">
        <v>1112</v>
      </c>
      <c r="C49" s="5">
        <v>46379</v>
      </c>
      <c r="D49" s="1" t="s">
        <v>122</v>
      </c>
      <c r="E49" s="6" t="s">
        <v>4</v>
      </c>
      <c r="F49" s="6" t="s">
        <v>46</v>
      </c>
      <c r="G49" s="1" t="s">
        <v>31</v>
      </c>
      <c r="H49" s="1" t="s">
        <v>104</v>
      </c>
      <c r="I49" s="1" t="s">
        <v>78</v>
      </c>
      <c r="J49" s="1">
        <v>12</v>
      </c>
      <c r="K49" s="1" t="s">
        <v>159</v>
      </c>
      <c r="L49" s="1" t="s">
        <v>1067</v>
      </c>
      <c r="M49" s="1" t="s">
        <v>9</v>
      </c>
    </row>
    <row r="50" spans="1:13">
      <c r="A50" s="1">
        <v>47</v>
      </c>
      <c r="B50" s="1" t="s">
        <v>1113</v>
      </c>
      <c r="C50" s="5">
        <v>46359</v>
      </c>
      <c r="D50" s="1" t="s">
        <v>122</v>
      </c>
      <c r="E50" s="6" t="s">
        <v>16</v>
      </c>
      <c r="F50" s="6" t="s">
        <v>27</v>
      </c>
      <c r="G50" s="1" t="s">
        <v>80</v>
      </c>
      <c r="H50" s="1" t="s">
        <v>28</v>
      </c>
      <c r="I50" s="1" t="s">
        <v>15</v>
      </c>
      <c r="J50" s="1">
        <v>23</v>
      </c>
      <c r="K50" s="1" t="s">
        <v>154</v>
      </c>
      <c r="L50" s="1" t="s">
        <v>1065</v>
      </c>
      <c r="M50" s="1" t="s">
        <v>9</v>
      </c>
    </row>
    <row r="51" spans="1:13">
      <c r="A51" s="1">
        <v>48</v>
      </c>
      <c r="B51" s="1" t="s">
        <v>1114</v>
      </c>
      <c r="C51" s="5">
        <v>46382</v>
      </c>
      <c r="D51" s="1" t="s">
        <v>122</v>
      </c>
      <c r="E51" s="6" t="s">
        <v>64</v>
      </c>
      <c r="F51" s="6" t="s">
        <v>92</v>
      </c>
      <c r="G51" s="1" t="s">
        <v>51</v>
      </c>
      <c r="H51" s="1" t="s">
        <v>68</v>
      </c>
      <c r="I51" s="1" t="s">
        <v>68</v>
      </c>
      <c r="J51" s="1">
        <v>22</v>
      </c>
      <c r="K51" s="1" t="s">
        <v>142</v>
      </c>
      <c r="L51" s="1" t="s">
        <v>1070</v>
      </c>
      <c r="M51" s="1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1123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1178</v>
      </c>
      <c r="C3" s="1" t="s">
        <v>126</v>
      </c>
      <c r="D3" s="1" t="s">
        <v>127</v>
      </c>
      <c r="E3" s="1" t="s">
        <v>129</v>
      </c>
      <c r="F3" s="1" t="s">
        <v>1179</v>
      </c>
      <c r="G3" s="1" t="s">
        <v>1180</v>
      </c>
      <c r="H3" s="1" t="s">
        <v>1181</v>
      </c>
      <c r="I3" s="1" t="s">
        <v>1182</v>
      </c>
      <c r="J3" s="1" t="s">
        <v>287</v>
      </c>
    </row>
    <row r="4" spans="1:12">
      <c r="A4" s="1">
        <v>1</v>
      </c>
      <c r="B4" s="1" t="s">
        <v>1124</v>
      </c>
      <c r="C4" s="5">
        <v>46049</v>
      </c>
      <c r="D4" s="1" t="s">
        <v>3</v>
      </c>
      <c r="E4" s="6" t="s">
        <v>39</v>
      </c>
      <c r="F4" s="6" t="s">
        <v>70</v>
      </c>
      <c r="G4" s="1" t="s">
        <v>1125</v>
      </c>
      <c r="H4" s="1" t="s">
        <v>1126</v>
      </c>
      <c r="I4" s="1" t="s">
        <v>66</v>
      </c>
      <c r="J4" s="1" t="s">
        <v>254</v>
      </c>
    </row>
    <row r="5" spans="1:12">
      <c r="A5" s="1">
        <v>2</v>
      </c>
      <c r="B5" s="1" t="s">
        <v>1127</v>
      </c>
      <c r="C5" s="5">
        <v>46024</v>
      </c>
      <c r="D5" s="1" t="s">
        <v>3</v>
      </c>
      <c r="E5" s="6" t="s">
        <v>5</v>
      </c>
      <c r="F5" s="6" t="s">
        <v>104</v>
      </c>
      <c r="G5" s="1" t="s">
        <v>1125</v>
      </c>
      <c r="H5" s="1" t="s">
        <v>1128</v>
      </c>
      <c r="I5" s="1" t="s">
        <v>93</v>
      </c>
      <c r="J5" s="1" t="s">
        <v>254</v>
      </c>
    </row>
    <row r="6" spans="1:12">
      <c r="A6" s="1">
        <v>3</v>
      </c>
      <c r="B6" s="1" t="s">
        <v>1129</v>
      </c>
      <c r="C6" s="5">
        <v>46037</v>
      </c>
      <c r="D6" s="1" t="s">
        <v>3</v>
      </c>
      <c r="E6" s="6" t="s">
        <v>58</v>
      </c>
      <c r="F6" s="6" t="s">
        <v>78</v>
      </c>
      <c r="G6" s="1" t="s">
        <v>1130</v>
      </c>
      <c r="H6" s="1" t="s">
        <v>1128</v>
      </c>
      <c r="I6" s="1" t="s">
        <v>70</v>
      </c>
      <c r="J6" s="1" t="s">
        <v>254</v>
      </c>
    </row>
    <row r="7" spans="1:12">
      <c r="A7" s="1">
        <v>4</v>
      </c>
      <c r="B7" s="1" t="s">
        <v>1131</v>
      </c>
      <c r="C7" s="5">
        <v>46062</v>
      </c>
      <c r="D7" s="1" t="s">
        <v>19</v>
      </c>
      <c r="E7" s="6" t="s">
        <v>65</v>
      </c>
      <c r="F7" s="6" t="s">
        <v>66</v>
      </c>
      <c r="G7" s="1" t="s">
        <v>1130</v>
      </c>
      <c r="H7" s="1" t="s">
        <v>1128</v>
      </c>
      <c r="I7" s="1" t="s">
        <v>32</v>
      </c>
      <c r="J7" s="1" t="s">
        <v>293</v>
      </c>
    </row>
    <row r="8" spans="1:12">
      <c r="A8" s="1">
        <v>5</v>
      </c>
      <c r="B8" s="1" t="s">
        <v>1132</v>
      </c>
      <c r="C8" s="5">
        <v>46072</v>
      </c>
      <c r="D8" s="1" t="s">
        <v>19</v>
      </c>
      <c r="E8" s="6" t="s">
        <v>89</v>
      </c>
      <c r="F8" s="6" t="s">
        <v>7</v>
      </c>
      <c r="G8" s="1" t="s">
        <v>1133</v>
      </c>
      <c r="H8" s="1" t="s">
        <v>1126</v>
      </c>
      <c r="I8" s="1" t="s">
        <v>62</v>
      </c>
      <c r="J8" s="1" t="s">
        <v>293</v>
      </c>
    </row>
    <row r="9" spans="1:12">
      <c r="A9" s="1">
        <v>6</v>
      </c>
      <c r="B9" s="1" t="s">
        <v>1134</v>
      </c>
      <c r="C9" s="5">
        <v>46062</v>
      </c>
      <c r="D9" s="1" t="s">
        <v>19</v>
      </c>
      <c r="E9" s="6" t="s">
        <v>46</v>
      </c>
      <c r="F9" s="6" t="s">
        <v>28</v>
      </c>
      <c r="G9" s="1" t="s">
        <v>1135</v>
      </c>
      <c r="H9" s="1" t="s">
        <v>1126</v>
      </c>
      <c r="I9" s="1" t="s">
        <v>70</v>
      </c>
      <c r="J9" s="1" t="s">
        <v>293</v>
      </c>
    </row>
    <row r="10" spans="1:12">
      <c r="A10" s="1">
        <v>7</v>
      </c>
      <c r="B10" s="1" t="s">
        <v>1136</v>
      </c>
      <c r="C10" s="5">
        <v>46054</v>
      </c>
      <c r="D10" s="1" t="s">
        <v>19</v>
      </c>
      <c r="E10" s="6" t="s">
        <v>13</v>
      </c>
      <c r="F10" s="6" t="s">
        <v>78</v>
      </c>
      <c r="G10" s="1" t="s">
        <v>1130</v>
      </c>
      <c r="H10" s="1" t="s">
        <v>1126</v>
      </c>
      <c r="I10" s="1" t="s">
        <v>41</v>
      </c>
      <c r="J10" s="1" t="s">
        <v>293</v>
      </c>
    </row>
    <row r="11" spans="1:12">
      <c r="A11" s="1">
        <v>8</v>
      </c>
      <c r="B11" s="1" t="s">
        <v>1137</v>
      </c>
      <c r="C11" s="5">
        <v>46086</v>
      </c>
      <c r="D11" s="1" t="s">
        <v>44</v>
      </c>
      <c r="E11" s="6" t="s">
        <v>89</v>
      </c>
      <c r="F11" s="6" t="s">
        <v>28</v>
      </c>
      <c r="G11" s="1" t="s">
        <v>1135</v>
      </c>
      <c r="H11" s="1" t="s">
        <v>1128</v>
      </c>
      <c r="I11" s="1" t="s">
        <v>104</v>
      </c>
      <c r="J11" s="1" t="s">
        <v>293</v>
      </c>
    </row>
    <row r="12" spans="1:12">
      <c r="A12" s="1">
        <v>9</v>
      </c>
      <c r="B12" s="1" t="s">
        <v>1138</v>
      </c>
      <c r="C12" s="5">
        <v>46087</v>
      </c>
      <c r="D12" s="1" t="s">
        <v>44</v>
      </c>
      <c r="E12" s="6" t="s">
        <v>46</v>
      </c>
      <c r="F12" s="6" t="s">
        <v>22</v>
      </c>
      <c r="G12" s="1" t="s">
        <v>1135</v>
      </c>
      <c r="H12" s="1" t="s">
        <v>1128</v>
      </c>
      <c r="I12" s="1" t="s">
        <v>70</v>
      </c>
      <c r="J12" s="1" t="s">
        <v>297</v>
      </c>
    </row>
    <row r="13" spans="1:12">
      <c r="A13" s="1">
        <v>10</v>
      </c>
      <c r="B13" s="1" t="s">
        <v>1139</v>
      </c>
      <c r="C13" s="5">
        <v>46093</v>
      </c>
      <c r="D13" s="1" t="s">
        <v>44</v>
      </c>
      <c r="E13" s="6" t="s">
        <v>46</v>
      </c>
      <c r="F13" s="6" t="s">
        <v>104</v>
      </c>
      <c r="G13" s="1" t="s">
        <v>1125</v>
      </c>
      <c r="H13" s="1" t="s">
        <v>1128</v>
      </c>
      <c r="I13" s="1" t="s">
        <v>62</v>
      </c>
      <c r="J13" s="1" t="s">
        <v>293</v>
      </c>
    </row>
    <row r="14" spans="1:12">
      <c r="A14" s="1">
        <v>11</v>
      </c>
      <c r="B14" s="1" t="s">
        <v>1140</v>
      </c>
      <c r="C14" s="5">
        <v>46127</v>
      </c>
      <c r="D14" s="1" t="s">
        <v>53</v>
      </c>
      <c r="E14" s="6" t="s">
        <v>92</v>
      </c>
      <c r="F14" s="6" t="s">
        <v>15</v>
      </c>
      <c r="G14" s="1" t="s">
        <v>1125</v>
      </c>
      <c r="H14" s="1" t="s">
        <v>1128</v>
      </c>
      <c r="I14" s="1" t="s">
        <v>7</v>
      </c>
      <c r="J14" s="1" t="s">
        <v>293</v>
      </c>
    </row>
    <row r="15" spans="1:12">
      <c r="A15" s="1">
        <v>12</v>
      </c>
      <c r="B15" s="1" t="s">
        <v>1141</v>
      </c>
      <c r="C15" s="5">
        <v>46118</v>
      </c>
      <c r="D15" s="1" t="s">
        <v>53</v>
      </c>
      <c r="E15" s="6" t="s">
        <v>13</v>
      </c>
      <c r="F15" s="6" t="s">
        <v>68</v>
      </c>
      <c r="G15" s="1" t="s">
        <v>1125</v>
      </c>
      <c r="H15" s="1" t="s">
        <v>1128</v>
      </c>
      <c r="I15" s="1" t="s">
        <v>70</v>
      </c>
      <c r="J15" s="1" t="s">
        <v>293</v>
      </c>
    </row>
    <row r="16" spans="1:12">
      <c r="A16" s="1">
        <v>13</v>
      </c>
      <c r="B16" s="1" t="s">
        <v>1142</v>
      </c>
      <c r="C16" s="5">
        <v>46117</v>
      </c>
      <c r="D16" s="1" t="s">
        <v>53</v>
      </c>
      <c r="E16" s="6" t="s">
        <v>27</v>
      </c>
      <c r="F16" s="6" t="s">
        <v>22</v>
      </c>
      <c r="G16" s="1" t="s">
        <v>1125</v>
      </c>
      <c r="H16" s="1" t="s">
        <v>1128</v>
      </c>
      <c r="I16" s="1" t="s">
        <v>41</v>
      </c>
      <c r="J16" s="1" t="s">
        <v>254</v>
      </c>
    </row>
    <row r="17" spans="1:10">
      <c r="A17" s="1">
        <v>14</v>
      </c>
      <c r="B17" s="1" t="s">
        <v>1143</v>
      </c>
      <c r="C17" s="5">
        <v>46156</v>
      </c>
      <c r="D17" s="1" t="s">
        <v>60</v>
      </c>
      <c r="E17" s="6" t="s">
        <v>50</v>
      </c>
      <c r="F17" s="6" t="s">
        <v>41</v>
      </c>
      <c r="G17" s="1" t="s">
        <v>1133</v>
      </c>
      <c r="H17" s="1" t="s">
        <v>1128</v>
      </c>
      <c r="I17" s="1" t="s">
        <v>28</v>
      </c>
      <c r="J17" s="1" t="s">
        <v>293</v>
      </c>
    </row>
    <row r="18" spans="1:10">
      <c r="A18" s="1">
        <v>15</v>
      </c>
      <c r="B18" s="1" t="s">
        <v>1144</v>
      </c>
      <c r="C18" s="5">
        <v>46158</v>
      </c>
      <c r="D18" s="1" t="s">
        <v>60</v>
      </c>
      <c r="E18" s="6" t="s">
        <v>46</v>
      </c>
      <c r="F18" s="6" t="s">
        <v>7</v>
      </c>
      <c r="G18" s="1" t="s">
        <v>1125</v>
      </c>
      <c r="H18" s="1" t="s">
        <v>1128</v>
      </c>
      <c r="I18" s="1" t="s">
        <v>41</v>
      </c>
      <c r="J18" s="1" t="s">
        <v>293</v>
      </c>
    </row>
    <row r="19" spans="1:10">
      <c r="A19" s="1">
        <v>16</v>
      </c>
      <c r="B19" s="1" t="s">
        <v>1145</v>
      </c>
      <c r="C19" s="5">
        <v>46148</v>
      </c>
      <c r="D19" s="1" t="s">
        <v>60</v>
      </c>
      <c r="E19" s="6" t="s">
        <v>46</v>
      </c>
      <c r="F19" s="6" t="s">
        <v>66</v>
      </c>
      <c r="G19" s="1" t="s">
        <v>1130</v>
      </c>
      <c r="H19" s="1" t="s">
        <v>1126</v>
      </c>
      <c r="I19" s="1" t="s">
        <v>104</v>
      </c>
      <c r="J19" s="1" t="s">
        <v>293</v>
      </c>
    </row>
    <row r="20" spans="1:10">
      <c r="A20" s="1">
        <v>17</v>
      </c>
      <c r="B20" s="1" t="s">
        <v>1146</v>
      </c>
      <c r="C20" s="5">
        <v>46147</v>
      </c>
      <c r="D20" s="1" t="s">
        <v>60</v>
      </c>
      <c r="E20" s="6" t="s">
        <v>58</v>
      </c>
      <c r="F20" s="6" t="s">
        <v>28</v>
      </c>
      <c r="G20" s="1" t="s">
        <v>1125</v>
      </c>
      <c r="H20" s="1" t="s">
        <v>1126</v>
      </c>
      <c r="I20" s="1" t="s">
        <v>70</v>
      </c>
      <c r="J20" s="1" t="s">
        <v>293</v>
      </c>
    </row>
    <row r="21" spans="1:10">
      <c r="A21" s="1">
        <v>18</v>
      </c>
      <c r="B21" s="1" t="s">
        <v>1147</v>
      </c>
      <c r="C21" s="5">
        <v>46163</v>
      </c>
      <c r="D21" s="1" t="s">
        <v>60</v>
      </c>
      <c r="E21" s="6" t="s">
        <v>27</v>
      </c>
      <c r="F21" s="6" t="s">
        <v>32</v>
      </c>
      <c r="G21" s="1" t="s">
        <v>1133</v>
      </c>
      <c r="H21" s="1" t="s">
        <v>1126</v>
      </c>
      <c r="I21" s="1" t="s">
        <v>70</v>
      </c>
      <c r="J21" s="1" t="s">
        <v>293</v>
      </c>
    </row>
    <row r="22" spans="1:10">
      <c r="A22" s="1">
        <v>19</v>
      </c>
      <c r="B22" s="1" t="s">
        <v>1148</v>
      </c>
      <c r="C22" s="5">
        <v>46160</v>
      </c>
      <c r="D22" s="1" t="s">
        <v>60</v>
      </c>
      <c r="E22" s="6" t="s">
        <v>13</v>
      </c>
      <c r="F22" s="6" t="s">
        <v>62</v>
      </c>
      <c r="G22" s="1" t="s">
        <v>1133</v>
      </c>
      <c r="H22" s="1" t="s">
        <v>1126</v>
      </c>
      <c r="I22" s="1" t="s">
        <v>104</v>
      </c>
      <c r="J22" s="1" t="s">
        <v>293</v>
      </c>
    </row>
    <row r="23" spans="1:10">
      <c r="A23" s="1">
        <v>20</v>
      </c>
      <c r="B23" s="1" t="s">
        <v>1149</v>
      </c>
      <c r="C23" s="5">
        <v>46187</v>
      </c>
      <c r="D23" s="1" t="s">
        <v>73</v>
      </c>
      <c r="E23" s="6" t="s">
        <v>5</v>
      </c>
      <c r="F23" s="6" t="s">
        <v>15</v>
      </c>
      <c r="G23" s="1" t="s">
        <v>1130</v>
      </c>
      <c r="H23" s="1" t="s">
        <v>1126</v>
      </c>
      <c r="I23" s="1" t="s">
        <v>15</v>
      </c>
      <c r="J23" s="1" t="s">
        <v>293</v>
      </c>
    </row>
    <row r="24" spans="1:10">
      <c r="A24" s="1">
        <v>21</v>
      </c>
      <c r="B24" s="1" t="s">
        <v>1150</v>
      </c>
      <c r="C24" s="5">
        <v>46178</v>
      </c>
      <c r="D24" s="1" t="s">
        <v>73</v>
      </c>
      <c r="E24" s="6" t="s">
        <v>46</v>
      </c>
      <c r="F24" s="6" t="s">
        <v>78</v>
      </c>
      <c r="G24" s="1" t="s">
        <v>1133</v>
      </c>
      <c r="H24" s="1" t="s">
        <v>1128</v>
      </c>
      <c r="I24" s="1" t="s">
        <v>7</v>
      </c>
      <c r="J24" s="1" t="s">
        <v>297</v>
      </c>
    </row>
    <row r="25" spans="1:10">
      <c r="A25" s="1">
        <v>22</v>
      </c>
      <c r="B25" s="1" t="s">
        <v>1151</v>
      </c>
      <c r="C25" s="5">
        <v>46206</v>
      </c>
      <c r="D25" s="1" t="s">
        <v>76</v>
      </c>
      <c r="E25" s="6" t="s">
        <v>58</v>
      </c>
      <c r="F25" s="6" t="s">
        <v>41</v>
      </c>
      <c r="G25" s="1" t="s">
        <v>1135</v>
      </c>
      <c r="H25" s="1" t="s">
        <v>1128</v>
      </c>
      <c r="I25" s="1" t="s">
        <v>22</v>
      </c>
      <c r="J25" s="1" t="s">
        <v>293</v>
      </c>
    </row>
    <row r="26" spans="1:10">
      <c r="A26" s="1">
        <v>23</v>
      </c>
      <c r="B26" s="1" t="s">
        <v>1152</v>
      </c>
      <c r="C26" s="5">
        <v>46218</v>
      </c>
      <c r="D26" s="1" t="s">
        <v>76</v>
      </c>
      <c r="E26" s="6" t="s">
        <v>13</v>
      </c>
      <c r="F26" s="6" t="s">
        <v>7</v>
      </c>
      <c r="G26" s="1" t="s">
        <v>1130</v>
      </c>
      <c r="H26" s="1" t="s">
        <v>1126</v>
      </c>
      <c r="I26" s="1" t="s">
        <v>66</v>
      </c>
      <c r="J26" s="1" t="s">
        <v>297</v>
      </c>
    </row>
    <row r="27" spans="1:10">
      <c r="A27" s="1">
        <v>24</v>
      </c>
      <c r="B27" s="1" t="s">
        <v>1153</v>
      </c>
      <c r="C27" s="5">
        <v>46206</v>
      </c>
      <c r="D27" s="1" t="s">
        <v>76</v>
      </c>
      <c r="E27" s="6" t="s">
        <v>50</v>
      </c>
      <c r="F27" s="6" t="s">
        <v>68</v>
      </c>
      <c r="G27" s="1" t="s">
        <v>1133</v>
      </c>
      <c r="H27" s="1" t="s">
        <v>1128</v>
      </c>
      <c r="I27" s="1" t="s">
        <v>78</v>
      </c>
      <c r="J27" s="1" t="s">
        <v>293</v>
      </c>
    </row>
    <row r="28" spans="1:10">
      <c r="A28" s="1">
        <v>25</v>
      </c>
      <c r="B28" s="1" t="s">
        <v>1154</v>
      </c>
      <c r="C28" s="5">
        <v>46209</v>
      </c>
      <c r="D28" s="1" t="s">
        <v>76</v>
      </c>
      <c r="E28" s="6" t="s">
        <v>39</v>
      </c>
      <c r="F28" s="6" t="s">
        <v>78</v>
      </c>
      <c r="G28" s="1" t="s">
        <v>1125</v>
      </c>
      <c r="H28" s="1" t="s">
        <v>1128</v>
      </c>
      <c r="I28" s="1" t="s">
        <v>66</v>
      </c>
      <c r="J28" s="1" t="s">
        <v>293</v>
      </c>
    </row>
    <row r="29" spans="1:10">
      <c r="A29" s="1">
        <v>26</v>
      </c>
      <c r="B29" s="1" t="s">
        <v>1155</v>
      </c>
      <c r="C29" s="5">
        <v>46221</v>
      </c>
      <c r="D29" s="1" t="s">
        <v>76</v>
      </c>
      <c r="E29" s="6" t="s">
        <v>27</v>
      </c>
      <c r="F29" s="6" t="s">
        <v>68</v>
      </c>
      <c r="G29" s="1" t="s">
        <v>1133</v>
      </c>
      <c r="H29" s="1" t="s">
        <v>1128</v>
      </c>
      <c r="I29" s="1" t="s">
        <v>22</v>
      </c>
      <c r="J29" s="1" t="s">
        <v>293</v>
      </c>
    </row>
    <row r="30" spans="1:10">
      <c r="A30" s="1">
        <v>27</v>
      </c>
      <c r="B30" s="1" t="s">
        <v>1156</v>
      </c>
      <c r="C30" s="5">
        <v>46207</v>
      </c>
      <c r="D30" s="1" t="s">
        <v>76</v>
      </c>
      <c r="E30" s="6" t="s">
        <v>58</v>
      </c>
      <c r="F30" s="6" t="s">
        <v>93</v>
      </c>
      <c r="G30" s="1" t="s">
        <v>1133</v>
      </c>
      <c r="H30" s="1" t="s">
        <v>1128</v>
      </c>
      <c r="I30" s="1" t="s">
        <v>28</v>
      </c>
      <c r="J30" s="1" t="s">
        <v>293</v>
      </c>
    </row>
    <row r="31" spans="1:10">
      <c r="A31" s="1">
        <v>28</v>
      </c>
      <c r="B31" s="1" t="s">
        <v>1157</v>
      </c>
      <c r="C31" s="5">
        <v>46260</v>
      </c>
      <c r="D31" s="1" t="s">
        <v>86</v>
      </c>
      <c r="E31" s="6" t="s">
        <v>92</v>
      </c>
      <c r="F31" s="6" t="s">
        <v>41</v>
      </c>
      <c r="G31" s="1" t="s">
        <v>1133</v>
      </c>
      <c r="H31" s="1" t="s">
        <v>1128</v>
      </c>
      <c r="I31" s="1" t="s">
        <v>28</v>
      </c>
      <c r="J31" s="1" t="s">
        <v>293</v>
      </c>
    </row>
    <row r="32" spans="1:10">
      <c r="A32" s="1">
        <v>29</v>
      </c>
      <c r="B32" s="1" t="s">
        <v>1158</v>
      </c>
      <c r="C32" s="5">
        <v>46240</v>
      </c>
      <c r="D32" s="1" t="s">
        <v>86</v>
      </c>
      <c r="E32" s="6" t="s">
        <v>13</v>
      </c>
      <c r="F32" s="6" t="s">
        <v>36</v>
      </c>
      <c r="G32" s="1" t="s">
        <v>1135</v>
      </c>
      <c r="H32" s="1" t="s">
        <v>1126</v>
      </c>
      <c r="I32" s="1" t="s">
        <v>22</v>
      </c>
      <c r="J32" s="1" t="s">
        <v>238</v>
      </c>
    </row>
    <row r="33" spans="1:10">
      <c r="A33" s="1">
        <v>30</v>
      </c>
      <c r="B33" s="1" t="s">
        <v>1159</v>
      </c>
      <c r="C33" s="5">
        <v>46249</v>
      </c>
      <c r="D33" s="1" t="s">
        <v>86</v>
      </c>
      <c r="E33" s="6" t="s">
        <v>5</v>
      </c>
      <c r="F33" s="6" t="s">
        <v>41</v>
      </c>
      <c r="G33" s="1" t="s">
        <v>1130</v>
      </c>
      <c r="H33" s="1" t="s">
        <v>1126</v>
      </c>
      <c r="I33" s="1" t="s">
        <v>15</v>
      </c>
      <c r="J33" s="1" t="s">
        <v>254</v>
      </c>
    </row>
    <row r="34" spans="1:10">
      <c r="A34" s="1">
        <v>31</v>
      </c>
      <c r="B34" s="1" t="s">
        <v>1160</v>
      </c>
      <c r="C34" s="5">
        <v>46270</v>
      </c>
      <c r="D34" s="1" t="s">
        <v>102</v>
      </c>
      <c r="E34" s="6" t="s">
        <v>50</v>
      </c>
      <c r="F34" s="6" t="s">
        <v>15</v>
      </c>
      <c r="G34" s="1" t="s">
        <v>1135</v>
      </c>
      <c r="H34" s="1" t="s">
        <v>1128</v>
      </c>
      <c r="I34" s="1" t="s">
        <v>70</v>
      </c>
      <c r="J34" s="1" t="s">
        <v>293</v>
      </c>
    </row>
    <row r="35" spans="1:10">
      <c r="A35" s="1">
        <v>32</v>
      </c>
      <c r="B35" s="1" t="s">
        <v>1161</v>
      </c>
      <c r="C35" s="5">
        <v>46289</v>
      </c>
      <c r="D35" s="1" t="s">
        <v>102</v>
      </c>
      <c r="E35" s="6" t="s">
        <v>89</v>
      </c>
      <c r="F35" s="6" t="s">
        <v>28</v>
      </c>
      <c r="G35" s="1" t="s">
        <v>1130</v>
      </c>
      <c r="H35" s="1" t="s">
        <v>1126</v>
      </c>
      <c r="I35" s="1" t="s">
        <v>36</v>
      </c>
      <c r="J35" s="1" t="s">
        <v>293</v>
      </c>
    </row>
    <row r="36" spans="1:10">
      <c r="A36" s="1">
        <v>33</v>
      </c>
      <c r="B36" s="1" t="s">
        <v>1162</v>
      </c>
      <c r="C36" s="5">
        <v>46290</v>
      </c>
      <c r="D36" s="1" t="s">
        <v>102</v>
      </c>
      <c r="E36" s="6" t="s">
        <v>58</v>
      </c>
      <c r="F36" s="6" t="s">
        <v>68</v>
      </c>
      <c r="G36" s="1" t="s">
        <v>1135</v>
      </c>
      <c r="H36" s="1" t="s">
        <v>1128</v>
      </c>
      <c r="I36" s="1" t="s">
        <v>68</v>
      </c>
      <c r="J36" s="1" t="s">
        <v>254</v>
      </c>
    </row>
    <row r="37" spans="1:10">
      <c r="A37" s="1">
        <v>34</v>
      </c>
      <c r="B37" s="1" t="s">
        <v>1163</v>
      </c>
      <c r="C37" s="5">
        <v>46301</v>
      </c>
      <c r="D37" s="1" t="s">
        <v>106</v>
      </c>
      <c r="E37" s="6" t="s">
        <v>65</v>
      </c>
      <c r="F37" s="6" t="s">
        <v>62</v>
      </c>
      <c r="G37" s="1" t="s">
        <v>1133</v>
      </c>
      <c r="H37" s="1" t="s">
        <v>1128</v>
      </c>
      <c r="I37" s="1" t="s">
        <v>68</v>
      </c>
      <c r="J37" s="1" t="s">
        <v>293</v>
      </c>
    </row>
    <row r="38" spans="1:10">
      <c r="A38" s="1">
        <v>35</v>
      </c>
      <c r="B38" s="1" t="s">
        <v>1164</v>
      </c>
      <c r="C38" s="5">
        <v>46309</v>
      </c>
      <c r="D38" s="1" t="s">
        <v>106</v>
      </c>
      <c r="E38" s="6" t="s">
        <v>27</v>
      </c>
      <c r="F38" s="6" t="s">
        <v>70</v>
      </c>
      <c r="G38" s="1" t="s">
        <v>1135</v>
      </c>
      <c r="H38" s="1" t="s">
        <v>1126</v>
      </c>
      <c r="I38" s="1" t="s">
        <v>93</v>
      </c>
      <c r="J38" s="1" t="s">
        <v>297</v>
      </c>
    </row>
    <row r="39" spans="1:10">
      <c r="A39" s="1">
        <v>36</v>
      </c>
      <c r="B39" s="1" t="s">
        <v>1165</v>
      </c>
      <c r="C39" s="5">
        <v>46317</v>
      </c>
      <c r="D39" s="1" t="s">
        <v>106</v>
      </c>
      <c r="E39" s="6" t="s">
        <v>65</v>
      </c>
      <c r="F39" s="6" t="s">
        <v>70</v>
      </c>
      <c r="G39" s="1" t="s">
        <v>1125</v>
      </c>
      <c r="H39" s="1" t="s">
        <v>1126</v>
      </c>
      <c r="I39" s="1" t="s">
        <v>68</v>
      </c>
      <c r="J39" s="1" t="s">
        <v>238</v>
      </c>
    </row>
    <row r="40" spans="1:10">
      <c r="A40" s="1">
        <v>37</v>
      </c>
      <c r="B40" s="1" t="s">
        <v>1166</v>
      </c>
      <c r="C40" s="5">
        <v>46312</v>
      </c>
      <c r="D40" s="1" t="s">
        <v>106</v>
      </c>
      <c r="E40" s="6" t="s">
        <v>58</v>
      </c>
      <c r="F40" s="6" t="s">
        <v>62</v>
      </c>
      <c r="G40" s="1" t="s">
        <v>1125</v>
      </c>
      <c r="H40" s="1" t="s">
        <v>1126</v>
      </c>
      <c r="I40" s="1" t="s">
        <v>78</v>
      </c>
      <c r="J40" s="1" t="s">
        <v>293</v>
      </c>
    </row>
    <row r="41" spans="1:10">
      <c r="A41" s="1">
        <v>38</v>
      </c>
      <c r="B41" s="1" t="s">
        <v>1167</v>
      </c>
      <c r="C41" s="5">
        <v>46297</v>
      </c>
      <c r="D41" s="1" t="s">
        <v>106</v>
      </c>
      <c r="E41" s="6" t="s">
        <v>39</v>
      </c>
      <c r="F41" s="6" t="s">
        <v>36</v>
      </c>
      <c r="G41" s="1" t="s">
        <v>1133</v>
      </c>
      <c r="H41" s="1" t="s">
        <v>1128</v>
      </c>
      <c r="I41" s="1" t="s">
        <v>15</v>
      </c>
      <c r="J41" s="1" t="s">
        <v>254</v>
      </c>
    </row>
    <row r="42" spans="1:10">
      <c r="A42" s="1">
        <v>39</v>
      </c>
      <c r="B42" s="1" t="s">
        <v>1168</v>
      </c>
      <c r="C42" s="5">
        <v>46316</v>
      </c>
      <c r="D42" s="1" t="s">
        <v>106</v>
      </c>
      <c r="E42" s="6" t="s">
        <v>39</v>
      </c>
      <c r="F42" s="6" t="s">
        <v>22</v>
      </c>
      <c r="G42" s="1" t="s">
        <v>1130</v>
      </c>
      <c r="H42" s="1" t="s">
        <v>1126</v>
      </c>
      <c r="I42" s="1" t="s">
        <v>70</v>
      </c>
      <c r="J42" s="1" t="s">
        <v>293</v>
      </c>
    </row>
    <row r="43" spans="1:10">
      <c r="A43" s="1">
        <v>40</v>
      </c>
      <c r="B43" s="1" t="s">
        <v>1169</v>
      </c>
      <c r="C43" s="5">
        <v>46347</v>
      </c>
      <c r="D43" s="1" t="s">
        <v>111</v>
      </c>
      <c r="E43" s="6" t="s">
        <v>89</v>
      </c>
      <c r="F43" s="6" t="s">
        <v>7</v>
      </c>
      <c r="G43" s="1" t="s">
        <v>1125</v>
      </c>
      <c r="H43" s="1" t="s">
        <v>1128</v>
      </c>
      <c r="I43" s="1" t="s">
        <v>62</v>
      </c>
      <c r="J43" s="1" t="s">
        <v>254</v>
      </c>
    </row>
    <row r="44" spans="1:10">
      <c r="A44" s="1">
        <v>41</v>
      </c>
      <c r="B44" s="1" t="s">
        <v>1170</v>
      </c>
      <c r="C44" s="5">
        <v>46353</v>
      </c>
      <c r="D44" s="1" t="s">
        <v>111</v>
      </c>
      <c r="E44" s="6" t="s">
        <v>46</v>
      </c>
      <c r="F44" s="6" t="s">
        <v>28</v>
      </c>
      <c r="G44" s="1" t="s">
        <v>1133</v>
      </c>
      <c r="H44" s="1" t="s">
        <v>1128</v>
      </c>
      <c r="I44" s="1" t="s">
        <v>28</v>
      </c>
      <c r="J44" s="1" t="s">
        <v>254</v>
      </c>
    </row>
    <row r="45" spans="1:10">
      <c r="A45" s="1">
        <v>42</v>
      </c>
      <c r="B45" s="1" t="s">
        <v>1171</v>
      </c>
      <c r="C45" s="5">
        <v>46329</v>
      </c>
      <c r="D45" s="1" t="s">
        <v>111</v>
      </c>
      <c r="E45" s="6" t="s">
        <v>65</v>
      </c>
      <c r="F45" s="6" t="s">
        <v>28</v>
      </c>
      <c r="G45" s="1" t="s">
        <v>1130</v>
      </c>
      <c r="H45" s="1" t="s">
        <v>1126</v>
      </c>
      <c r="I45" s="1" t="s">
        <v>15</v>
      </c>
      <c r="J45" s="1" t="s">
        <v>297</v>
      </c>
    </row>
    <row r="46" spans="1:10">
      <c r="A46" s="1">
        <v>43</v>
      </c>
      <c r="B46" s="1" t="s">
        <v>1172</v>
      </c>
      <c r="C46" s="5">
        <v>46349</v>
      </c>
      <c r="D46" s="1" t="s">
        <v>111</v>
      </c>
      <c r="E46" s="6" t="s">
        <v>89</v>
      </c>
      <c r="F46" s="6" t="s">
        <v>28</v>
      </c>
      <c r="G46" s="1" t="s">
        <v>1135</v>
      </c>
      <c r="H46" s="1" t="s">
        <v>1128</v>
      </c>
      <c r="I46" s="1" t="s">
        <v>78</v>
      </c>
      <c r="J46" s="1" t="s">
        <v>293</v>
      </c>
    </row>
    <row r="47" spans="1:10">
      <c r="A47" s="1">
        <v>44</v>
      </c>
      <c r="B47" s="1" t="s">
        <v>1173</v>
      </c>
      <c r="C47" s="5">
        <v>46341</v>
      </c>
      <c r="D47" s="1" t="s">
        <v>111</v>
      </c>
      <c r="E47" s="6" t="s">
        <v>89</v>
      </c>
      <c r="F47" s="6" t="s">
        <v>62</v>
      </c>
      <c r="G47" s="1" t="s">
        <v>1125</v>
      </c>
      <c r="H47" s="1" t="s">
        <v>1126</v>
      </c>
      <c r="I47" s="1" t="s">
        <v>7</v>
      </c>
      <c r="J47" s="1" t="s">
        <v>254</v>
      </c>
    </row>
    <row r="48" spans="1:10">
      <c r="A48" s="1">
        <v>45</v>
      </c>
      <c r="B48" s="1" t="s">
        <v>1174</v>
      </c>
      <c r="C48" s="5">
        <v>46366</v>
      </c>
      <c r="D48" s="1" t="s">
        <v>122</v>
      </c>
      <c r="E48" s="6" t="s">
        <v>27</v>
      </c>
      <c r="F48" s="6" t="s">
        <v>68</v>
      </c>
      <c r="G48" s="1" t="s">
        <v>1130</v>
      </c>
      <c r="H48" s="1" t="s">
        <v>1128</v>
      </c>
      <c r="I48" s="1" t="s">
        <v>70</v>
      </c>
      <c r="J48" s="1" t="s">
        <v>293</v>
      </c>
    </row>
    <row r="49" spans="1:10">
      <c r="A49" s="1">
        <v>46</v>
      </c>
      <c r="B49" s="1" t="s">
        <v>1175</v>
      </c>
      <c r="C49" s="5">
        <v>46377</v>
      </c>
      <c r="D49" s="1" t="s">
        <v>122</v>
      </c>
      <c r="E49" s="6" t="s">
        <v>58</v>
      </c>
      <c r="F49" s="6" t="s">
        <v>7</v>
      </c>
      <c r="G49" s="1" t="s">
        <v>1130</v>
      </c>
      <c r="H49" s="1" t="s">
        <v>1128</v>
      </c>
      <c r="I49" s="1" t="s">
        <v>62</v>
      </c>
      <c r="J49" s="1" t="s">
        <v>293</v>
      </c>
    </row>
    <row r="50" spans="1:10">
      <c r="A50" s="1">
        <v>47</v>
      </c>
      <c r="B50" s="1" t="s">
        <v>1176</v>
      </c>
      <c r="C50" s="5">
        <v>46374</v>
      </c>
      <c r="D50" s="1" t="s">
        <v>122</v>
      </c>
      <c r="E50" s="6" t="s">
        <v>13</v>
      </c>
      <c r="F50" s="6" t="s">
        <v>7</v>
      </c>
      <c r="G50" s="1" t="s">
        <v>1133</v>
      </c>
      <c r="H50" s="1" t="s">
        <v>1128</v>
      </c>
      <c r="I50" s="1" t="s">
        <v>70</v>
      </c>
      <c r="J50" s="1" t="s">
        <v>293</v>
      </c>
    </row>
    <row r="51" spans="1:10">
      <c r="A51" s="1">
        <v>48</v>
      </c>
      <c r="B51" s="1" t="s">
        <v>1177</v>
      </c>
      <c r="C51" s="5">
        <v>46377</v>
      </c>
      <c r="D51" s="1" t="s">
        <v>122</v>
      </c>
      <c r="E51" s="6" t="s">
        <v>5</v>
      </c>
      <c r="F51" s="6" t="s">
        <v>104</v>
      </c>
      <c r="G51" s="1" t="s">
        <v>1133</v>
      </c>
      <c r="H51" s="1" t="s">
        <v>1128</v>
      </c>
      <c r="I51" s="1" t="s">
        <v>28</v>
      </c>
      <c r="J51" s="1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1183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764</v>
      </c>
      <c r="C3" s="1" t="s">
        <v>126</v>
      </c>
      <c r="D3" s="1" t="s">
        <v>127</v>
      </c>
      <c r="E3" s="1" t="s">
        <v>1237</v>
      </c>
      <c r="F3" s="1" t="s">
        <v>129</v>
      </c>
      <c r="G3" s="1" t="s">
        <v>130</v>
      </c>
      <c r="H3" s="1" t="s">
        <v>1238</v>
      </c>
      <c r="I3" s="1" t="s">
        <v>1239</v>
      </c>
      <c r="J3" s="1" t="s">
        <v>1240</v>
      </c>
      <c r="K3" s="1" t="s">
        <v>1241</v>
      </c>
      <c r="L3" s="2" t="s">
        <v>1242</v>
      </c>
      <c r="M3" s="1" t="s">
        <v>1243</v>
      </c>
      <c r="N3" s="1" t="s">
        <v>137</v>
      </c>
    </row>
    <row r="4" spans="1:16">
      <c r="A4" s="1">
        <v>1</v>
      </c>
      <c r="B4" s="1" t="s">
        <v>1184</v>
      </c>
      <c r="C4" s="5">
        <v>46024</v>
      </c>
      <c r="D4" s="1" t="s">
        <v>3</v>
      </c>
      <c r="E4" s="6" t="s">
        <v>1185</v>
      </c>
      <c r="F4" s="6" t="s">
        <v>39</v>
      </c>
      <c r="G4" s="1" t="s">
        <v>80</v>
      </c>
      <c r="H4" s="1" t="s">
        <v>78</v>
      </c>
      <c r="I4" s="1">
        <v>42</v>
      </c>
      <c r="J4" s="1">
        <v>6</v>
      </c>
      <c r="K4" s="1">
        <v>36</v>
      </c>
      <c r="L4" s="2">
        <f>IFERROR((K4-J4)/K4*100,0)</f>
        <v>0</v>
      </c>
      <c r="M4" s="1" t="s">
        <v>165</v>
      </c>
      <c r="N4" s="1" t="s">
        <v>23</v>
      </c>
    </row>
    <row r="5" spans="1:16">
      <c r="A5" s="1">
        <v>2</v>
      </c>
      <c r="B5" s="1" t="s">
        <v>1186</v>
      </c>
      <c r="C5" s="5">
        <v>46039</v>
      </c>
      <c r="D5" s="1" t="s">
        <v>3</v>
      </c>
      <c r="E5" s="6" t="s">
        <v>1187</v>
      </c>
      <c r="F5" s="6" t="s">
        <v>39</v>
      </c>
      <c r="G5" s="1" t="s">
        <v>77</v>
      </c>
      <c r="H5" s="1" t="s">
        <v>62</v>
      </c>
      <c r="I5" s="1">
        <v>25</v>
      </c>
      <c r="J5" s="1">
        <v>4</v>
      </c>
      <c r="K5" s="1">
        <v>49</v>
      </c>
      <c r="L5" s="2">
        <f>IFERROR((K5-J5)/K5*100,0)</f>
        <v>0</v>
      </c>
      <c r="M5" s="1" t="s">
        <v>165</v>
      </c>
      <c r="N5" s="1" t="s">
        <v>23</v>
      </c>
    </row>
    <row r="6" spans="1:16">
      <c r="A6" s="1">
        <v>3</v>
      </c>
      <c r="B6" s="1" t="s">
        <v>1188</v>
      </c>
      <c r="C6" s="5">
        <v>46026</v>
      </c>
      <c r="D6" s="1" t="s">
        <v>3</v>
      </c>
      <c r="E6" s="6" t="s">
        <v>1187</v>
      </c>
      <c r="F6" s="6" t="s">
        <v>65</v>
      </c>
      <c r="G6" s="1" t="s">
        <v>80</v>
      </c>
      <c r="H6" s="1" t="s">
        <v>36</v>
      </c>
      <c r="I6" s="1">
        <v>45</v>
      </c>
      <c r="J6" s="1">
        <v>8</v>
      </c>
      <c r="K6" s="1">
        <v>21</v>
      </c>
      <c r="L6" s="2">
        <f>IFERROR((K6-J6)/K6*100,0)</f>
        <v>0</v>
      </c>
      <c r="M6" s="1" t="s">
        <v>165</v>
      </c>
      <c r="N6" s="1" t="s">
        <v>9</v>
      </c>
    </row>
    <row r="7" spans="1:16">
      <c r="A7" s="1">
        <v>4</v>
      </c>
      <c r="B7" s="1" t="s">
        <v>1189</v>
      </c>
      <c r="C7" s="5">
        <v>46055</v>
      </c>
      <c r="D7" s="1" t="s">
        <v>19</v>
      </c>
      <c r="E7" s="6" t="s">
        <v>61</v>
      </c>
      <c r="F7" s="6" t="s">
        <v>58</v>
      </c>
      <c r="G7" s="1" t="s">
        <v>80</v>
      </c>
      <c r="H7" s="1" t="s">
        <v>28</v>
      </c>
      <c r="I7" s="1">
        <v>34</v>
      </c>
      <c r="J7" s="1">
        <v>8</v>
      </c>
      <c r="K7" s="1">
        <v>19</v>
      </c>
      <c r="L7" s="2">
        <f>IFERROR((K7-J7)/K7*100,0)</f>
        <v>0</v>
      </c>
      <c r="M7" s="1" t="s">
        <v>165</v>
      </c>
      <c r="N7" s="1" t="s">
        <v>9</v>
      </c>
    </row>
    <row r="8" spans="1:16">
      <c r="A8" s="1">
        <v>5</v>
      </c>
      <c r="B8" s="1" t="s">
        <v>1190</v>
      </c>
      <c r="C8" s="5">
        <v>46067</v>
      </c>
      <c r="D8" s="1" t="s">
        <v>19</v>
      </c>
      <c r="E8" s="6" t="s">
        <v>61</v>
      </c>
      <c r="F8" s="6" t="s">
        <v>65</v>
      </c>
      <c r="G8" s="1" t="s">
        <v>14</v>
      </c>
      <c r="H8" s="1" t="s">
        <v>93</v>
      </c>
      <c r="I8" s="1">
        <v>23</v>
      </c>
      <c r="J8" s="1">
        <v>8</v>
      </c>
      <c r="K8" s="1">
        <v>40</v>
      </c>
      <c r="L8" s="2">
        <f>IFERROR((K8-J8)/K8*100,0)</f>
        <v>0</v>
      </c>
      <c r="M8" s="1" t="s">
        <v>145</v>
      </c>
      <c r="N8" s="1" t="s">
        <v>9</v>
      </c>
    </row>
    <row r="9" spans="1:16">
      <c r="A9" s="1">
        <v>6</v>
      </c>
      <c r="B9" s="1" t="s">
        <v>1191</v>
      </c>
      <c r="C9" s="5">
        <v>46068</v>
      </c>
      <c r="D9" s="1" t="s">
        <v>19</v>
      </c>
      <c r="E9" s="6" t="s">
        <v>1187</v>
      </c>
      <c r="F9" s="6" t="s">
        <v>58</v>
      </c>
      <c r="G9" s="1" t="s">
        <v>80</v>
      </c>
      <c r="H9" s="1" t="s">
        <v>41</v>
      </c>
      <c r="I9" s="1">
        <v>16</v>
      </c>
      <c r="J9" s="1">
        <v>6</v>
      </c>
      <c r="K9" s="1">
        <v>46</v>
      </c>
      <c r="L9" s="2">
        <f>IFERROR((K9-J9)/K9*100,0)</f>
        <v>0</v>
      </c>
      <c r="M9" s="1" t="s">
        <v>145</v>
      </c>
      <c r="N9" s="1" t="s">
        <v>9</v>
      </c>
    </row>
    <row r="10" spans="1:16">
      <c r="A10" s="1">
        <v>7</v>
      </c>
      <c r="B10" s="1" t="s">
        <v>1192</v>
      </c>
      <c r="C10" s="5">
        <v>46106</v>
      </c>
      <c r="D10" s="1" t="s">
        <v>44</v>
      </c>
      <c r="E10" s="6" t="s">
        <v>1187</v>
      </c>
      <c r="F10" s="6" t="s">
        <v>50</v>
      </c>
      <c r="G10" s="1" t="s">
        <v>6</v>
      </c>
      <c r="H10" s="1" t="s">
        <v>15</v>
      </c>
      <c r="I10" s="1">
        <v>45</v>
      </c>
      <c r="J10" s="1">
        <v>1</v>
      </c>
      <c r="K10" s="1">
        <v>46</v>
      </c>
      <c r="L10" s="2">
        <f>IFERROR((K10-J10)/K10*100,0)</f>
        <v>0</v>
      </c>
      <c r="M10" s="1" t="s">
        <v>165</v>
      </c>
      <c r="N10" s="1" t="s">
        <v>9</v>
      </c>
    </row>
    <row r="11" spans="1:16">
      <c r="A11" s="1">
        <v>8</v>
      </c>
      <c r="B11" s="1" t="s">
        <v>1193</v>
      </c>
      <c r="C11" s="5">
        <v>46097</v>
      </c>
      <c r="D11" s="1" t="s">
        <v>44</v>
      </c>
      <c r="E11" s="6" t="s">
        <v>30</v>
      </c>
      <c r="F11" s="6" t="s">
        <v>50</v>
      </c>
      <c r="G11" s="1" t="s">
        <v>77</v>
      </c>
      <c r="H11" s="1" t="s">
        <v>15</v>
      </c>
      <c r="I11" s="1">
        <v>11</v>
      </c>
      <c r="J11" s="1">
        <v>4</v>
      </c>
      <c r="K11" s="1">
        <v>28</v>
      </c>
      <c r="L11" s="2">
        <f>IFERROR((K11-J11)/K11*100,0)</f>
        <v>0</v>
      </c>
      <c r="M11" s="1" t="s">
        <v>145</v>
      </c>
      <c r="N11" s="1" t="s">
        <v>9</v>
      </c>
    </row>
    <row r="12" spans="1:16">
      <c r="A12" s="1">
        <v>9</v>
      </c>
      <c r="B12" s="1" t="s">
        <v>1194</v>
      </c>
      <c r="C12" s="5">
        <v>46126</v>
      </c>
      <c r="D12" s="1" t="s">
        <v>53</v>
      </c>
      <c r="E12" s="6" t="s">
        <v>61</v>
      </c>
      <c r="F12" s="6" t="s">
        <v>58</v>
      </c>
      <c r="G12" s="1" t="s">
        <v>87</v>
      </c>
      <c r="H12" s="1" t="s">
        <v>68</v>
      </c>
      <c r="I12" s="1">
        <v>26</v>
      </c>
      <c r="J12" s="1">
        <v>8</v>
      </c>
      <c r="K12" s="1">
        <v>34</v>
      </c>
      <c r="L12" s="2">
        <f>IFERROR((K12-J12)/K12*100,0)</f>
        <v>0</v>
      </c>
      <c r="M12" s="1" t="s">
        <v>165</v>
      </c>
      <c r="N12" s="1" t="s">
        <v>9</v>
      </c>
    </row>
    <row r="13" spans="1:16">
      <c r="A13" s="1">
        <v>10</v>
      </c>
      <c r="B13" s="1" t="s">
        <v>1195</v>
      </c>
      <c r="C13" s="5">
        <v>46117</v>
      </c>
      <c r="D13" s="1" t="s">
        <v>53</v>
      </c>
      <c r="E13" s="6" t="s">
        <v>1196</v>
      </c>
      <c r="F13" s="6" t="s">
        <v>27</v>
      </c>
      <c r="G13" s="1" t="s">
        <v>14</v>
      </c>
      <c r="H13" s="1" t="s">
        <v>68</v>
      </c>
      <c r="I13" s="1">
        <v>20</v>
      </c>
      <c r="J13" s="1">
        <v>1</v>
      </c>
      <c r="K13" s="1">
        <v>46</v>
      </c>
      <c r="L13" s="2">
        <f>IFERROR((K13-J13)/K13*100,0)</f>
        <v>0</v>
      </c>
      <c r="M13" s="1" t="s">
        <v>145</v>
      </c>
      <c r="N13" s="1" t="s">
        <v>9</v>
      </c>
    </row>
    <row r="14" spans="1:16">
      <c r="A14" s="1">
        <v>11</v>
      </c>
      <c r="B14" s="1" t="s">
        <v>1197</v>
      </c>
      <c r="C14" s="5">
        <v>46123</v>
      </c>
      <c r="D14" s="1" t="s">
        <v>53</v>
      </c>
      <c r="E14" s="6" t="s">
        <v>1187</v>
      </c>
      <c r="F14" s="6" t="s">
        <v>65</v>
      </c>
      <c r="G14" s="1" t="s">
        <v>95</v>
      </c>
      <c r="H14" s="1" t="s">
        <v>32</v>
      </c>
      <c r="I14" s="1">
        <v>17</v>
      </c>
      <c r="J14" s="1">
        <v>3</v>
      </c>
      <c r="K14" s="1">
        <v>44</v>
      </c>
      <c r="L14" s="2">
        <f>IFERROR((K14-J14)/K14*100,0)</f>
        <v>0</v>
      </c>
      <c r="M14" s="1" t="s">
        <v>148</v>
      </c>
      <c r="N14" s="1" t="s">
        <v>23</v>
      </c>
    </row>
    <row r="15" spans="1:16">
      <c r="A15" s="1">
        <v>12</v>
      </c>
      <c r="B15" s="1" t="s">
        <v>1198</v>
      </c>
      <c r="C15" s="5">
        <v>46123</v>
      </c>
      <c r="D15" s="1" t="s">
        <v>53</v>
      </c>
      <c r="E15" s="6" t="s">
        <v>1196</v>
      </c>
      <c r="F15" s="6" t="s">
        <v>58</v>
      </c>
      <c r="G15" s="1" t="s">
        <v>80</v>
      </c>
      <c r="H15" s="1" t="s">
        <v>22</v>
      </c>
      <c r="I15" s="1">
        <v>28</v>
      </c>
      <c r="J15" s="1">
        <v>5</v>
      </c>
      <c r="K15" s="1">
        <v>25</v>
      </c>
      <c r="L15" s="2">
        <f>IFERROR((K15-J15)/K15*100,0)</f>
        <v>0</v>
      </c>
      <c r="M15" s="1" t="s">
        <v>145</v>
      </c>
      <c r="N15" s="1" t="s">
        <v>23</v>
      </c>
    </row>
    <row r="16" spans="1:16">
      <c r="A16" s="1">
        <v>13</v>
      </c>
      <c r="B16" s="1" t="s">
        <v>1199</v>
      </c>
      <c r="C16" s="5">
        <v>46137</v>
      </c>
      <c r="D16" s="1" t="s">
        <v>53</v>
      </c>
      <c r="E16" s="6" t="s">
        <v>1196</v>
      </c>
      <c r="F16" s="6" t="s">
        <v>58</v>
      </c>
      <c r="G16" s="1" t="s">
        <v>87</v>
      </c>
      <c r="H16" s="1" t="s">
        <v>41</v>
      </c>
      <c r="I16" s="1">
        <v>33</v>
      </c>
      <c r="J16" s="1">
        <v>1</v>
      </c>
      <c r="K16" s="1">
        <v>25</v>
      </c>
      <c r="L16" s="2">
        <f>IFERROR((K16-J16)/K16*100,0)</f>
        <v>0</v>
      </c>
      <c r="M16" s="1" t="s">
        <v>148</v>
      </c>
      <c r="N16" s="1" t="s">
        <v>9</v>
      </c>
    </row>
    <row r="17" spans="1:14">
      <c r="A17" s="1">
        <v>14</v>
      </c>
      <c r="B17" s="1" t="s">
        <v>1200</v>
      </c>
      <c r="C17" s="5">
        <v>46138</v>
      </c>
      <c r="D17" s="1" t="s">
        <v>53</v>
      </c>
      <c r="E17" s="6" t="s">
        <v>1187</v>
      </c>
      <c r="F17" s="6" t="s">
        <v>5</v>
      </c>
      <c r="G17" s="1" t="s">
        <v>80</v>
      </c>
      <c r="H17" s="1" t="s">
        <v>68</v>
      </c>
      <c r="I17" s="1">
        <v>28</v>
      </c>
      <c r="J17" s="1">
        <v>5</v>
      </c>
      <c r="K17" s="1">
        <v>42</v>
      </c>
      <c r="L17" s="2">
        <f>IFERROR((K17-J17)/K17*100,0)</f>
        <v>0</v>
      </c>
      <c r="M17" s="1" t="s">
        <v>148</v>
      </c>
      <c r="N17" s="1" t="s">
        <v>23</v>
      </c>
    </row>
    <row r="18" spans="1:14">
      <c r="A18" s="1">
        <v>15</v>
      </c>
      <c r="B18" s="1" t="s">
        <v>1201</v>
      </c>
      <c r="C18" s="5">
        <v>46127</v>
      </c>
      <c r="D18" s="1" t="s">
        <v>53</v>
      </c>
      <c r="E18" s="6" t="s">
        <v>1202</v>
      </c>
      <c r="F18" s="6" t="s">
        <v>46</v>
      </c>
      <c r="G18" s="1" t="s">
        <v>51</v>
      </c>
      <c r="H18" s="1" t="s">
        <v>62</v>
      </c>
      <c r="I18" s="1">
        <v>34</v>
      </c>
      <c r="J18" s="1">
        <v>4</v>
      </c>
      <c r="K18" s="1">
        <v>20</v>
      </c>
      <c r="L18" s="2">
        <f>IFERROR((K18-J18)/K18*100,0)</f>
        <v>0</v>
      </c>
      <c r="M18" s="1" t="s">
        <v>165</v>
      </c>
      <c r="N18" s="1" t="s">
        <v>23</v>
      </c>
    </row>
    <row r="19" spans="1:14">
      <c r="A19" s="1">
        <v>16</v>
      </c>
      <c r="B19" s="1" t="s">
        <v>1203</v>
      </c>
      <c r="C19" s="5">
        <v>46125</v>
      </c>
      <c r="D19" s="1" t="s">
        <v>53</v>
      </c>
      <c r="E19" s="6" t="s">
        <v>1202</v>
      </c>
      <c r="F19" s="6" t="s">
        <v>27</v>
      </c>
      <c r="G19" s="1" t="s">
        <v>35</v>
      </c>
      <c r="H19" s="1" t="s">
        <v>15</v>
      </c>
      <c r="I19" s="1">
        <v>50</v>
      </c>
      <c r="J19" s="1">
        <v>4</v>
      </c>
      <c r="K19" s="1">
        <v>45</v>
      </c>
      <c r="L19" s="2">
        <f>IFERROR((K19-J19)/K19*100,0)</f>
        <v>0</v>
      </c>
      <c r="M19" s="1" t="s">
        <v>165</v>
      </c>
      <c r="N19" s="1" t="s">
        <v>23</v>
      </c>
    </row>
    <row r="20" spans="1:14">
      <c r="A20" s="1">
        <v>17</v>
      </c>
      <c r="B20" s="1" t="s">
        <v>1204</v>
      </c>
      <c r="C20" s="5">
        <v>46150</v>
      </c>
      <c r="D20" s="1" t="s">
        <v>60</v>
      </c>
      <c r="E20" s="6" t="s">
        <v>1205</v>
      </c>
      <c r="F20" s="6" t="s">
        <v>13</v>
      </c>
      <c r="G20" s="1" t="s">
        <v>14</v>
      </c>
      <c r="H20" s="1" t="s">
        <v>36</v>
      </c>
      <c r="I20" s="1">
        <v>57</v>
      </c>
      <c r="J20" s="1">
        <v>5</v>
      </c>
      <c r="K20" s="1">
        <v>46</v>
      </c>
      <c r="L20" s="2">
        <f>IFERROR((K20-J20)/K20*100,0)</f>
        <v>0</v>
      </c>
      <c r="M20" s="1" t="s">
        <v>148</v>
      </c>
      <c r="N20" s="1" t="s">
        <v>9</v>
      </c>
    </row>
    <row r="21" spans="1:14">
      <c r="A21" s="1">
        <v>18</v>
      </c>
      <c r="B21" s="1" t="s">
        <v>1206</v>
      </c>
      <c r="C21" s="5">
        <v>46150</v>
      </c>
      <c r="D21" s="1" t="s">
        <v>60</v>
      </c>
      <c r="E21" s="6" t="s">
        <v>61</v>
      </c>
      <c r="F21" s="6" t="s">
        <v>92</v>
      </c>
      <c r="G21" s="1" t="s">
        <v>95</v>
      </c>
      <c r="H21" s="1" t="s">
        <v>93</v>
      </c>
      <c r="I21" s="1">
        <v>22</v>
      </c>
      <c r="J21" s="1">
        <v>8</v>
      </c>
      <c r="K21" s="1">
        <v>46</v>
      </c>
      <c r="L21" s="2">
        <f>IFERROR((K21-J21)/K21*100,0)</f>
        <v>0</v>
      </c>
      <c r="M21" s="1" t="s">
        <v>165</v>
      </c>
      <c r="N21" s="1" t="s">
        <v>23</v>
      </c>
    </row>
    <row r="22" spans="1:14">
      <c r="A22" s="1">
        <v>19</v>
      </c>
      <c r="B22" s="1" t="s">
        <v>1207</v>
      </c>
      <c r="C22" s="5">
        <v>46146</v>
      </c>
      <c r="D22" s="1" t="s">
        <v>60</v>
      </c>
      <c r="E22" s="6" t="s">
        <v>1185</v>
      </c>
      <c r="F22" s="6" t="s">
        <v>58</v>
      </c>
      <c r="G22" s="1" t="s">
        <v>31</v>
      </c>
      <c r="H22" s="1" t="s">
        <v>93</v>
      </c>
      <c r="I22" s="1">
        <v>24</v>
      </c>
      <c r="J22" s="1">
        <v>1</v>
      </c>
      <c r="K22" s="1">
        <v>16</v>
      </c>
      <c r="L22" s="2">
        <f>IFERROR((K22-J22)/K22*100,0)</f>
        <v>0</v>
      </c>
      <c r="M22" s="1" t="s">
        <v>145</v>
      </c>
      <c r="N22" s="1" t="s">
        <v>23</v>
      </c>
    </row>
    <row r="23" spans="1:14">
      <c r="A23" s="1">
        <v>20</v>
      </c>
      <c r="B23" s="1" t="s">
        <v>1208</v>
      </c>
      <c r="C23" s="5">
        <v>46148</v>
      </c>
      <c r="D23" s="1" t="s">
        <v>60</v>
      </c>
      <c r="E23" s="6" t="s">
        <v>30</v>
      </c>
      <c r="F23" s="6" t="s">
        <v>5</v>
      </c>
      <c r="G23" s="1" t="s">
        <v>40</v>
      </c>
      <c r="H23" s="1" t="s">
        <v>66</v>
      </c>
      <c r="I23" s="1">
        <v>38</v>
      </c>
      <c r="J23" s="1">
        <v>5</v>
      </c>
      <c r="K23" s="1">
        <v>49</v>
      </c>
      <c r="L23" s="2">
        <f>IFERROR((K23-J23)/K23*100,0)</f>
        <v>0</v>
      </c>
      <c r="M23" s="1" t="s">
        <v>165</v>
      </c>
      <c r="N23" s="1" t="s">
        <v>9</v>
      </c>
    </row>
    <row r="24" spans="1:14">
      <c r="A24" s="1">
        <v>21</v>
      </c>
      <c r="B24" s="1" t="s">
        <v>1209</v>
      </c>
      <c r="C24" s="5">
        <v>46154</v>
      </c>
      <c r="D24" s="1" t="s">
        <v>60</v>
      </c>
      <c r="E24" s="6" t="s">
        <v>1205</v>
      </c>
      <c r="F24" s="6" t="s">
        <v>65</v>
      </c>
      <c r="G24" s="1" t="s">
        <v>95</v>
      </c>
      <c r="H24" s="1" t="s">
        <v>36</v>
      </c>
      <c r="I24" s="1">
        <v>56</v>
      </c>
      <c r="J24" s="1">
        <v>1</v>
      </c>
      <c r="K24" s="1">
        <v>48</v>
      </c>
      <c r="L24" s="2">
        <f>IFERROR((K24-J24)/K24*100,0)</f>
        <v>0</v>
      </c>
      <c r="M24" s="1" t="s">
        <v>165</v>
      </c>
      <c r="N24" s="1" t="s">
        <v>9</v>
      </c>
    </row>
    <row r="25" spans="1:14">
      <c r="A25" s="1">
        <v>22</v>
      </c>
      <c r="B25" s="1" t="s">
        <v>1210</v>
      </c>
      <c r="C25" s="5">
        <v>46162</v>
      </c>
      <c r="D25" s="1" t="s">
        <v>60</v>
      </c>
      <c r="E25" s="6" t="s">
        <v>61</v>
      </c>
      <c r="F25" s="6" t="s">
        <v>27</v>
      </c>
      <c r="G25" s="1" t="s">
        <v>77</v>
      </c>
      <c r="H25" s="1" t="s">
        <v>62</v>
      </c>
      <c r="I25" s="1">
        <v>51</v>
      </c>
      <c r="J25" s="1">
        <v>2</v>
      </c>
      <c r="K25" s="1">
        <v>48</v>
      </c>
      <c r="L25" s="2">
        <f>IFERROR((K25-J25)/K25*100,0)</f>
        <v>0</v>
      </c>
      <c r="M25" s="1" t="s">
        <v>145</v>
      </c>
      <c r="N25" s="1" t="s">
        <v>23</v>
      </c>
    </row>
    <row r="26" spans="1:14">
      <c r="A26" s="1">
        <v>23</v>
      </c>
      <c r="B26" s="1" t="s">
        <v>1211</v>
      </c>
      <c r="C26" s="5">
        <v>46191</v>
      </c>
      <c r="D26" s="1" t="s">
        <v>73</v>
      </c>
      <c r="E26" s="6" t="s">
        <v>61</v>
      </c>
      <c r="F26" s="6" t="s">
        <v>46</v>
      </c>
      <c r="G26" s="1" t="s">
        <v>6</v>
      </c>
      <c r="H26" s="1" t="s">
        <v>78</v>
      </c>
      <c r="I26" s="1">
        <v>54</v>
      </c>
      <c r="J26" s="1">
        <v>4</v>
      </c>
      <c r="K26" s="1">
        <v>16</v>
      </c>
      <c r="L26" s="2">
        <f>IFERROR((K26-J26)/K26*100,0)</f>
        <v>0</v>
      </c>
      <c r="M26" s="1" t="s">
        <v>145</v>
      </c>
      <c r="N26" s="1" t="s">
        <v>23</v>
      </c>
    </row>
    <row r="27" spans="1:14">
      <c r="A27" s="1">
        <v>24</v>
      </c>
      <c r="B27" s="1" t="s">
        <v>1212</v>
      </c>
      <c r="C27" s="5">
        <v>46187</v>
      </c>
      <c r="D27" s="1" t="s">
        <v>73</v>
      </c>
      <c r="E27" s="6" t="s">
        <v>61</v>
      </c>
      <c r="F27" s="6" t="s">
        <v>89</v>
      </c>
      <c r="G27" s="1" t="s">
        <v>6</v>
      </c>
      <c r="H27" s="1" t="s">
        <v>66</v>
      </c>
      <c r="I27" s="1">
        <v>33</v>
      </c>
      <c r="J27" s="1">
        <v>0</v>
      </c>
      <c r="K27" s="1">
        <v>17</v>
      </c>
      <c r="L27" s="2">
        <f>IFERROR((K27-J27)/K27*100,0)</f>
        <v>0</v>
      </c>
      <c r="M27" s="1" t="s">
        <v>165</v>
      </c>
      <c r="N27" s="1" t="s">
        <v>9</v>
      </c>
    </row>
    <row r="28" spans="1:14">
      <c r="A28" s="1">
        <v>25</v>
      </c>
      <c r="B28" s="1" t="s">
        <v>1213</v>
      </c>
      <c r="C28" s="5">
        <v>46181</v>
      </c>
      <c r="D28" s="1" t="s">
        <v>73</v>
      </c>
      <c r="E28" s="6" t="s">
        <v>1187</v>
      </c>
      <c r="F28" s="6" t="s">
        <v>65</v>
      </c>
      <c r="G28" s="1" t="s">
        <v>77</v>
      </c>
      <c r="H28" s="1" t="s">
        <v>32</v>
      </c>
      <c r="I28" s="1">
        <v>45</v>
      </c>
      <c r="J28" s="1">
        <v>3</v>
      </c>
      <c r="K28" s="1">
        <v>17</v>
      </c>
      <c r="L28" s="2">
        <f>IFERROR((K28-J28)/K28*100,0)</f>
        <v>0</v>
      </c>
      <c r="M28" s="1" t="s">
        <v>145</v>
      </c>
      <c r="N28" s="1" t="s">
        <v>9</v>
      </c>
    </row>
    <row r="29" spans="1:14">
      <c r="A29" s="1">
        <v>26</v>
      </c>
      <c r="B29" s="1" t="s">
        <v>1214</v>
      </c>
      <c r="C29" s="5">
        <v>46195</v>
      </c>
      <c r="D29" s="1" t="s">
        <v>73</v>
      </c>
      <c r="E29" s="6" t="s">
        <v>1187</v>
      </c>
      <c r="F29" s="6" t="s">
        <v>39</v>
      </c>
      <c r="G29" s="1" t="s">
        <v>80</v>
      </c>
      <c r="H29" s="1" t="s">
        <v>70</v>
      </c>
      <c r="I29" s="1">
        <v>45</v>
      </c>
      <c r="J29" s="1">
        <v>7</v>
      </c>
      <c r="K29" s="1">
        <v>34</v>
      </c>
      <c r="L29" s="2">
        <f>IFERROR((K29-J29)/K29*100,0)</f>
        <v>0</v>
      </c>
      <c r="M29" s="1" t="s">
        <v>145</v>
      </c>
      <c r="N29" s="1" t="s">
        <v>23</v>
      </c>
    </row>
    <row r="30" spans="1:14">
      <c r="A30" s="1">
        <v>27</v>
      </c>
      <c r="B30" s="1" t="s">
        <v>1215</v>
      </c>
      <c r="C30" s="5">
        <v>46223</v>
      </c>
      <c r="D30" s="1" t="s">
        <v>76</v>
      </c>
      <c r="E30" s="6" t="s">
        <v>1187</v>
      </c>
      <c r="F30" s="6" t="s">
        <v>39</v>
      </c>
      <c r="G30" s="1" t="s">
        <v>21</v>
      </c>
      <c r="H30" s="1" t="s">
        <v>93</v>
      </c>
      <c r="I30" s="1">
        <v>31</v>
      </c>
      <c r="J30" s="1">
        <v>4</v>
      </c>
      <c r="K30" s="1">
        <v>18</v>
      </c>
      <c r="L30" s="2">
        <f>IFERROR((K30-J30)/K30*100,0)</f>
        <v>0</v>
      </c>
      <c r="M30" s="1" t="s">
        <v>165</v>
      </c>
      <c r="N30" s="1" t="s">
        <v>23</v>
      </c>
    </row>
    <row r="31" spans="1:14">
      <c r="A31" s="1">
        <v>28</v>
      </c>
      <c r="B31" s="1" t="s">
        <v>1216</v>
      </c>
      <c r="C31" s="5">
        <v>46217</v>
      </c>
      <c r="D31" s="1" t="s">
        <v>76</v>
      </c>
      <c r="E31" s="6" t="s">
        <v>1205</v>
      </c>
      <c r="F31" s="6" t="s">
        <v>13</v>
      </c>
      <c r="G31" s="1" t="s">
        <v>40</v>
      </c>
      <c r="H31" s="1" t="s">
        <v>41</v>
      </c>
      <c r="I31" s="1">
        <v>12</v>
      </c>
      <c r="J31" s="1">
        <v>6</v>
      </c>
      <c r="K31" s="1">
        <v>49</v>
      </c>
      <c r="L31" s="2">
        <f>IFERROR((K31-J31)/K31*100,0)</f>
        <v>0</v>
      </c>
      <c r="M31" s="1" t="s">
        <v>165</v>
      </c>
      <c r="N31" s="1" t="s">
        <v>23</v>
      </c>
    </row>
    <row r="32" spans="1:14">
      <c r="A32" s="1">
        <v>29</v>
      </c>
      <c r="B32" s="1" t="s">
        <v>1217</v>
      </c>
      <c r="C32" s="5">
        <v>46217</v>
      </c>
      <c r="D32" s="1" t="s">
        <v>76</v>
      </c>
      <c r="E32" s="6" t="s">
        <v>61</v>
      </c>
      <c r="F32" s="6" t="s">
        <v>92</v>
      </c>
      <c r="G32" s="1" t="s">
        <v>82</v>
      </c>
      <c r="H32" s="1" t="s">
        <v>68</v>
      </c>
      <c r="I32" s="1">
        <v>45</v>
      </c>
      <c r="J32" s="1">
        <v>3</v>
      </c>
      <c r="K32" s="1">
        <v>22</v>
      </c>
      <c r="L32" s="2">
        <f>IFERROR((K32-J32)/K32*100,0)</f>
        <v>0</v>
      </c>
      <c r="M32" s="1" t="s">
        <v>165</v>
      </c>
      <c r="N32" s="1" t="s">
        <v>23</v>
      </c>
    </row>
    <row r="33" spans="1:14">
      <c r="A33" s="1">
        <v>30</v>
      </c>
      <c r="B33" s="1" t="s">
        <v>1218</v>
      </c>
      <c r="C33" s="5">
        <v>46213</v>
      </c>
      <c r="D33" s="1" t="s">
        <v>76</v>
      </c>
      <c r="E33" s="6" t="s">
        <v>1196</v>
      </c>
      <c r="F33" s="6" t="s">
        <v>92</v>
      </c>
      <c r="G33" s="1" t="s">
        <v>87</v>
      </c>
      <c r="H33" s="1" t="s">
        <v>70</v>
      </c>
      <c r="I33" s="1">
        <v>17</v>
      </c>
      <c r="J33" s="1">
        <v>5</v>
      </c>
      <c r="K33" s="1">
        <v>44</v>
      </c>
      <c r="L33" s="2">
        <f>IFERROR((K33-J33)/K33*100,0)</f>
        <v>0</v>
      </c>
      <c r="M33" s="1" t="s">
        <v>145</v>
      </c>
      <c r="N33" s="1" t="s">
        <v>23</v>
      </c>
    </row>
    <row r="34" spans="1:14">
      <c r="A34" s="1">
        <v>31</v>
      </c>
      <c r="B34" s="1" t="s">
        <v>1219</v>
      </c>
      <c r="C34" s="5">
        <v>46240</v>
      </c>
      <c r="D34" s="1" t="s">
        <v>86</v>
      </c>
      <c r="E34" s="6" t="s">
        <v>30</v>
      </c>
      <c r="F34" s="6" t="s">
        <v>92</v>
      </c>
      <c r="G34" s="1" t="s">
        <v>14</v>
      </c>
      <c r="H34" s="1" t="s">
        <v>70</v>
      </c>
      <c r="I34" s="1">
        <v>55</v>
      </c>
      <c r="J34" s="1">
        <v>8</v>
      </c>
      <c r="K34" s="1">
        <v>38</v>
      </c>
      <c r="L34" s="2">
        <f>IFERROR((K34-J34)/K34*100,0)</f>
        <v>0</v>
      </c>
      <c r="M34" s="1" t="s">
        <v>148</v>
      </c>
      <c r="N34" s="1" t="s">
        <v>9</v>
      </c>
    </row>
    <row r="35" spans="1:14">
      <c r="A35" s="1">
        <v>32</v>
      </c>
      <c r="B35" s="1" t="s">
        <v>1220</v>
      </c>
      <c r="C35" s="5">
        <v>46256</v>
      </c>
      <c r="D35" s="1" t="s">
        <v>86</v>
      </c>
      <c r="E35" s="6" t="s">
        <v>30</v>
      </c>
      <c r="F35" s="6" t="s">
        <v>27</v>
      </c>
      <c r="G35" s="1" t="s">
        <v>77</v>
      </c>
      <c r="H35" s="1" t="s">
        <v>68</v>
      </c>
      <c r="I35" s="1">
        <v>51</v>
      </c>
      <c r="J35" s="1">
        <v>3</v>
      </c>
      <c r="K35" s="1">
        <v>29</v>
      </c>
      <c r="L35" s="2">
        <f>IFERROR((K35-J35)/K35*100,0)</f>
        <v>0</v>
      </c>
      <c r="M35" s="1" t="s">
        <v>165</v>
      </c>
      <c r="N35" s="1" t="s">
        <v>9</v>
      </c>
    </row>
    <row r="36" spans="1:14">
      <c r="A36" s="1">
        <v>33</v>
      </c>
      <c r="B36" s="1" t="s">
        <v>1221</v>
      </c>
      <c r="C36" s="5">
        <v>46239</v>
      </c>
      <c r="D36" s="1" t="s">
        <v>86</v>
      </c>
      <c r="E36" s="6" t="s">
        <v>61</v>
      </c>
      <c r="F36" s="6" t="s">
        <v>13</v>
      </c>
      <c r="G36" s="1" t="s">
        <v>87</v>
      </c>
      <c r="H36" s="1" t="s">
        <v>28</v>
      </c>
      <c r="I36" s="1">
        <v>29</v>
      </c>
      <c r="J36" s="1">
        <v>4</v>
      </c>
      <c r="K36" s="1">
        <v>24</v>
      </c>
      <c r="L36" s="2">
        <f>IFERROR((K36-J36)/K36*100,0)</f>
        <v>0</v>
      </c>
      <c r="M36" s="1" t="s">
        <v>165</v>
      </c>
      <c r="N36" s="1" t="s">
        <v>9</v>
      </c>
    </row>
    <row r="37" spans="1:14">
      <c r="A37" s="1">
        <v>34</v>
      </c>
      <c r="B37" s="1" t="s">
        <v>1222</v>
      </c>
      <c r="C37" s="5">
        <v>46271</v>
      </c>
      <c r="D37" s="1" t="s">
        <v>102</v>
      </c>
      <c r="E37" s="6" t="s">
        <v>30</v>
      </c>
      <c r="F37" s="6" t="s">
        <v>5</v>
      </c>
      <c r="G37" s="1" t="s">
        <v>35</v>
      </c>
      <c r="H37" s="1" t="s">
        <v>28</v>
      </c>
      <c r="I37" s="1">
        <v>17</v>
      </c>
      <c r="J37" s="1">
        <v>2</v>
      </c>
      <c r="K37" s="1">
        <v>44</v>
      </c>
      <c r="L37" s="2">
        <f>IFERROR((K37-J37)/K37*100,0)</f>
        <v>0</v>
      </c>
      <c r="M37" s="1" t="s">
        <v>165</v>
      </c>
      <c r="N37" s="1" t="s">
        <v>9</v>
      </c>
    </row>
    <row r="38" spans="1:14">
      <c r="A38" s="1">
        <v>35</v>
      </c>
      <c r="B38" s="1" t="s">
        <v>1223</v>
      </c>
      <c r="C38" s="5">
        <v>46267</v>
      </c>
      <c r="D38" s="1" t="s">
        <v>102</v>
      </c>
      <c r="E38" s="6" t="s">
        <v>1202</v>
      </c>
      <c r="F38" s="6" t="s">
        <v>50</v>
      </c>
      <c r="G38" s="1" t="s">
        <v>14</v>
      </c>
      <c r="H38" s="1" t="s">
        <v>22</v>
      </c>
      <c r="I38" s="1">
        <v>19</v>
      </c>
      <c r="J38" s="1">
        <v>7</v>
      </c>
      <c r="K38" s="1">
        <v>47</v>
      </c>
      <c r="L38" s="2">
        <f>IFERROR((K38-J38)/K38*100,0)</f>
        <v>0</v>
      </c>
      <c r="M38" s="1" t="s">
        <v>148</v>
      </c>
      <c r="N38" s="1" t="s">
        <v>9</v>
      </c>
    </row>
    <row r="39" spans="1:14">
      <c r="A39" s="1">
        <v>36</v>
      </c>
      <c r="B39" s="1" t="s">
        <v>1224</v>
      </c>
      <c r="C39" s="5">
        <v>46318</v>
      </c>
      <c r="D39" s="1" t="s">
        <v>106</v>
      </c>
      <c r="E39" s="6" t="s">
        <v>1202</v>
      </c>
      <c r="F39" s="6" t="s">
        <v>27</v>
      </c>
      <c r="G39" s="1" t="s">
        <v>87</v>
      </c>
      <c r="H39" s="1" t="s">
        <v>93</v>
      </c>
      <c r="I39" s="1">
        <v>26</v>
      </c>
      <c r="J39" s="1">
        <v>0</v>
      </c>
      <c r="K39" s="1">
        <v>47</v>
      </c>
      <c r="L39" s="2">
        <f>IFERROR((K39-J39)/K39*100,0)</f>
        <v>0</v>
      </c>
      <c r="M39" s="1" t="s">
        <v>148</v>
      </c>
      <c r="N39" s="1" t="s">
        <v>9</v>
      </c>
    </row>
    <row r="40" spans="1:14">
      <c r="A40" s="1">
        <v>37</v>
      </c>
      <c r="B40" s="1" t="s">
        <v>1225</v>
      </c>
      <c r="C40" s="5">
        <v>46302</v>
      </c>
      <c r="D40" s="1" t="s">
        <v>106</v>
      </c>
      <c r="E40" s="6" t="s">
        <v>1187</v>
      </c>
      <c r="F40" s="6" t="s">
        <v>92</v>
      </c>
      <c r="G40" s="1" t="s">
        <v>6</v>
      </c>
      <c r="H40" s="1" t="s">
        <v>22</v>
      </c>
      <c r="I40" s="1">
        <v>59</v>
      </c>
      <c r="J40" s="1">
        <v>7</v>
      </c>
      <c r="K40" s="1">
        <v>49</v>
      </c>
      <c r="L40" s="2">
        <f>IFERROR((K40-J40)/K40*100,0)</f>
        <v>0</v>
      </c>
      <c r="M40" s="1" t="s">
        <v>165</v>
      </c>
      <c r="N40" s="1" t="s">
        <v>23</v>
      </c>
    </row>
    <row r="41" spans="1:14">
      <c r="A41" s="1">
        <v>38</v>
      </c>
      <c r="B41" s="1" t="s">
        <v>1226</v>
      </c>
      <c r="C41" s="5">
        <v>46303</v>
      </c>
      <c r="D41" s="1" t="s">
        <v>106</v>
      </c>
      <c r="E41" s="6" t="s">
        <v>30</v>
      </c>
      <c r="F41" s="6" t="s">
        <v>92</v>
      </c>
      <c r="G41" s="1" t="s">
        <v>87</v>
      </c>
      <c r="H41" s="1" t="s">
        <v>36</v>
      </c>
      <c r="I41" s="1">
        <v>59</v>
      </c>
      <c r="J41" s="1">
        <v>6</v>
      </c>
      <c r="K41" s="1">
        <v>43</v>
      </c>
      <c r="L41" s="2">
        <f>IFERROR((K41-J41)/K41*100,0)</f>
        <v>0</v>
      </c>
      <c r="M41" s="1" t="s">
        <v>148</v>
      </c>
      <c r="N41" s="1" t="s">
        <v>23</v>
      </c>
    </row>
    <row r="42" spans="1:14">
      <c r="A42" s="1">
        <v>39</v>
      </c>
      <c r="B42" s="1" t="s">
        <v>1227</v>
      </c>
      <c r="C42" s="5">
        <v>46313</v>
      </c>
      <c r="D42" s="1" t="s">
        <v>106</v>
      </c>
      <c r="E42" s="6" t="s">
        <v>1202</v>
      </c>
      <c r="F42" s="6" t="s">
        <v>27</v>
      </c>
      <c r="G42" s="1" t="s">
        <v>40</v>
      </c>
      <c r="H42" s="1" t="s">
        <v>15</v>
      </c>
      <c r="I42" s="1">
        <v>26</v>
      </c>
      <c r="J42" s="1">
        <v>6</v>
      </c>
      <c r="K42" s="1">
        <v>47</v>
      </c>
      <c r="L42" s="2">
        <f>IFERROR((K42-J42)/K42*100,0)</f>
        <v>0</v>
      </c>
      <c r="M42" s="1" t="s">
        <v>145</v>
      </c>
      <c r="N42" s="1" t="s">
        <v>9</v>
      </c>
    </row>
    <row r="43" spans="1:14">
      <c r="A43" s="1">
        <v>40</v>
      </c>
      <c r="B43" s="1" t="s">
        <v>1228</v>
      </c>
      <c r="C43" s="5">
        <v>46302</v>
      </c>
      <c r="D43" s="1" t="s">
        <v>106</v>
      </c>
      <c r="E43" s="6" t="s">
        <v>30</v>
      </c>
      <c r="F43" s="6" t="s">
        <v>58</v>
      </c>
      <c r="G43" s="1" t="s">
        <v>21</v>
      </c>
      <c r="H43" s="1" t="s">
        <v>41</v>
      </c>
      <c r="I43" s="1">
        <v>49</v>
      </c>
      <c r="J43" s="1">
        <v>0</v>
      </c>
      <c r="K43" s="1">
        <v>36</v>
      </c>
      <c r="L43" s="2">
        <f>IFERROR((K43-J43)/K43*100,0)</f>
        <v>0</v>
      </c>
      <c r="M43" s="1" t="s">
        <v>148</v>
      </c>
      <c r="N43" s="1" t="s">
        <v>23</v>
      </c>
    </row>
    <row r="44" spans="1:14">
      <c r="A44" s="1">
        <v>41</v>
      </c>
      <c r="B44" s="1" t="s">
        <v>1229</v>
      </c>
      <c r="C44" s="5">
        <v>46304</v>
      </c>
      <c r="D44" s="1" t="s">
        <v>106</v>
      </c>
      <c r="E44" s="6" t="s">
        <v>1187</v>
      </c>
      <c r="F44" s="6" t="s">
        <v>50</v>
      </c>
      <c r="G44" s="1" t="s">
        <v>51</v>
      </c>
      <c r="H44" s="1" t="s">
        <v>104</v>
      </c>
      <c r="I44" s="1">
        <v>27</v>
      </c>
      <c r="J44" s="1">
        <v>2</v>
      </c>
      <c r="K44" s="1">
        <v>28</v>
      </c>
      <c r="L44" s="2">
        <f>IFERROR((K44-J44)/K44*100,0)</f>
        <v>0</v>
      </c>
      <c r="M44" s="1" t="s">
        <v>148</v>
      </c>
      <c r="N44" s="1" t="s">
        <v>23</v>
      </c>
    </row>
    <row r="45" spans="1:14">
      <c r="A45" s="1">
        <v>42</v>
      </c>
      <c r="B45" s="1" t="s">
        <v>1230</v>
      </c>
      <c r="C45" s="5">
        <v>46328</v>
      </c>
      <c r="D45" s="1" t="s">
        <v>111</v>
      </c>
      <c r="E45" s="6" t="s">
        <v>1202</v>
      </c>
      <c r="F45" s="6" t="s">
        <v>27</v>
      </c>
      <c r="G45" s="1" t="s">
        <v>6</v>
      </c>
      <c r="H45" s="1" t="s">
        <v>78</v>
      </c>
      <c r="I45" s="1">
        <v>23</v>
      </c>
      <c r="J45" s="1">
        <v>0</v>
      </c>
      <c r="K45" s="1">
        <v>22</v>
      </c>
      <c r="L45" s="2">
        <f>IFERROR((K45-J45)/K45*100,0)</f>
        <v>0</v>
      </c>
      <c r="M45" s="1" t="s">
        <v>165</v>
      </c>
      <c r="N45" s="1" t="s">
        <v>23</v>
      </c>
    </row>
    <row r="46" spans="1:14">
      <c r="A46" s="1">
        <v>43</v>
      </c>
      <c r="B46" s="1" t="s">
        <v>1231</v>
      </c>
      <c r="C46" s="5">
        <v>46344</v>
      </c>
      <c r="D46" s="1" t="s">
        <v>111</v>
      </c>
      <c r="E46" s="6" t="s">
        <v>1185</v>
      </c>
      <c r="F46" s="6" t="s">
        <v>89</v>
      </c>
      <c r="G46" s="1" t="s">
        <v>14</v>
      </c>
      <c r="H46" s="1" t="s">
        <v>28</v>
      </c>
      <c r="I46" s="1">
        <v>11</v>
      </c>
      <c r="J46" s="1">
        <v>3</v>
      </c>
      <c r="K46" s="1">
        <v>45</v>
      </c>
      <c r="L46" s="2">
        <f>IFERROR((K46-J46)/K46*100,0)</f>
        <v>0</v>
      </c>
      <c r="M46" s="1" t="s">
        <v>145</v>
      </c>
      <c r="N46" s="1" t="s">
        <v>23</v>
      </c>
    </row>
    <row r="47" spans="1:14">
      <c r="A47" s="1">
        <v>44</v>
      </c>
      <c r="B47" s="1" t="s">
        <v>1232</v>
      </c>
      <c r="C47" s="5">
        <v>46366</v>
      </c>
      <c r="D47" s="1" t="s">
        <v>122</v>
      </c>
      <c r="E47" s="6" t="s">
        <v>30</v>
      </c>
      <c r="F47" s="6" t="s">
        <v>89</v>
      </c>
      <c r="G47" s="1" t="s">
        <v>77</v>
      </c>
      <c r="H47" s="1" t="s">
        <v>104</v>
      </c>
      <c r="I47" s="1">
        <v>26</v>
      </c>
      <c r="J47" s="1">
        <v>7</v>
      </c>
      <c r="K47" s="1">
        <v>46</v>
      </c>
      <c r="L47" s="2">
        <f>IFERROR((K47-J47)/K47*100,0)</f>
        <v>0</v>
      </c>
      <c r="M47" s="1" t="s">
        <v>145</v>
      </c>
      <c r="N47" s="1" t="s">
        <v>9</v>
      </c>
    </row>
    <row r="48" spans="1:14">
      <c r="A48" s="1">
        <v>45</v>
      </c>
      <c r="B48" s="1" t="s">
        <v>1233</v>
      </c>
      <c r="C48" s="5">
        <v>46379</v>
      </c>
      <c r="D48" s="1" t="s">
        <v>122</v>
      </c>
      <c r="E48" s="6" t="s">
        <v>61</v>
      </c>
      <c r="F48" s="6" t="s">
        <v>27</v>
      </c>
      <c r="G48" s="1" t="s">
        <v>51</v>
      </c>
      <c r="H48" s="1" t="s">
        <v>7</v>
      </c>
      <c r="I48" s="1">
        <v>15</v>
      </c>
      <c r="J48" s="1">
        <v>7</v>
      </c>
      <c r="K48" s="1">
        <v>28</v>
      </c>
      <c r="L48" s="2">
        <f>IFERROR((K48-J48)/K48*100,0)</f>
        <v>0</v>
      </c>
      <c r="M48" s="1" t="s">
        <v>165</v>
      </c>
      <c r="N48" s="1" t="s">
        <v>23</v>
      </c>
    </row>
    <row r="49" spans="1:14">
      <c r="A49" s="1">
        <v>46</v>
      </c>
      <c r="B49" s="1" t="s">
        <v>1234</v>
      </c>
      <c r="C49" s="5">
        <v>46367</v>
      </c>
      <c r="D49" s="1" t="s">
        <v>122</v>
      </c>
      <c r="E49" s="6" t="s">
        <v>1187</v>
      </c>
      <c r="F49" s="6" t="s">
        <v>65</v>
      </c>
      <c r="G49" s="1" t="s">
        <v>21</v>
      </c>
      <c r="H49" s="1" t="s">
        <v>22</v>
      </c>
      <c r="I49" s="1">
        <v>38</v>
      </c>
      <c r="J49" s="1">
        <v>2</v>
      </c>
      <c r="K49" s="1">
        <v>15</v>
      </c>
      <c r="L49" s="2">
        <f>IFERROR((K49-J49)/K49*100,0)</f>
        <v>0</v>
      </c>
      <c r="M49" s="1" t="s">
        <v>148</v>
      </c>
      <c r="N49" s="1" t="s">
        <v>23</v>
      </c>
    </row>
    <row r="50" spans="1:14">
      <c r="A50" s="1">
        <v>47</v>
      </c>
      <c r="B50" s="1" t="s">
        <v>1235</v>
      </c>
      <c r="C50" s="5">
        <v>46375</v>
      </c>
      <c r="D50" s="1" t="s">
        <v>122</v>
      </c>
      <c r="E50" s="6" t="s">
        <v>1187</v>
      </c>
      <c r="F50" s="6" t="s">
        <v>58</v>
      </c>
      <c r="G50" s="1" t="s">
        <v>21</v>
      </c>
      <c r="H50" s="1" t="s">
        <v>32</v>
      </c>
      <c r="I50" s="1">
        <v>45</v>
      </c>
      <c r="J50" s="1">
        <v>0</v>
      </c>
      <c r="K50" s="1">
        <v>23</v>
      </c>
      <c r="L50" s="2">
        <f>IFERROR((K50-J50)/K50*100,0)</f>
        <v>0</v>
      </c>
      <c r="M50" s="1" t="s">
        <v>148</v>
      </c>
      <c r="N50" s="1" t="s">
        <v>23</v>
      </c>
    </row>
    <row r="51" spans="1:14">
      <c r="A51" s="1">
        <v>48</v>
      </c>
      <c r="B51" s="1" t="s">
        <v>1236</v>
      </c>
      <c r="C51" s="5">
        <v>46383</v>
      </c>
      <c r="D51" s="1" t="s">
        <v>122</v>
      </c>
      <c r="E51" s="6" t="s">
        <v>30</v>
      </c>
      <c r="F51" s="6" t="s">
        <v>46</v>
      </c>
      <c r="G51" s="1" t="s">
        <v>35</v>
      </c>
      <c r="H51" s="1" t="s">
        <v>36</v>
      </c>
      <c r="I51" s="1">
        <v>35</v>
      </c>
      <c r="J51" s="1">
        <v>3</v>
      </c>
      <c r="K51" s="1">
        <v>26</v>
      </c>
      <c r="L51" s="2">
        <f>IFERROR((K51-J51)/K51*100,0)</f>
        <v>0</v>
      </c>
      <c r="M51" s="1" t="s">
        <v>165</v>
      </c>
      <c r="N51" s="1" t="s">
        <v>9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7" customWidth="1"/>
  </cols>
  <sheetData>
    <row r="1" spans="1:17" ht="22" customHeight="1">
      <c r="A1" s="3" t="s">
        <v>1244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1299</v>
      </c>
      <c r="C3" s="1" t="s">
        <v>1300</v>
      </c>
      <c r="D3" s="1" t="s">
        <v>127</v>
      </c>
      <c r="E3" s="1" t="s">
        <v>1301</v>
      </c>
      <c r="F3" s="1" t="s">
        <v>129</v>
      </c>
      <c r="G3" s="1" t="s">
        <v>130</v>
      </c>
      <c r="H3" s="1" t="s">
        <v>413</v>
      </c>
      <c r="I3" s="1" t="s">
        <v>641</v>
      </c>
      <c r="J3" s="1" t="s">
        <v>1302</v>
      </c>
      <c r="K3" s="1" t="s">
        <v>1303</v>
      </c>
      <c r="L3" s="1" t="s">
        <v>357</v>
      </c>
      <c r="M3" s="1" t="s">
        <v>1304</v>
      </c>
      <c r="N3" s="1" t="s">
        <v>287</v>
      </c>
      <c r="O3" s="7" t="s">
        <v>1305</v>
      </c>
    </row>
    <row r="4" spans="1:17">
      <c r="A4" s="1">
        <v>1</v>
      </c>
      <c r="B4" s="1" t="s">
        <v>1245</v>
      </c>
      <c r="C4" s="5">
        <v>46033</v>
      </c>
      <c r="D4" s="1" t="s">
        <v>3</v>
      </c>
      <c r="E4" s="6" t="s">
        <v>1246</v>
      </c>
      <c r="F4" s="6" t="s">
        <v>89</v>
      </c>
      <c r="G4" s="1" t="s">
        <v>95</v>
      </c>
      <c r="H4" s="1" t="s">
        <v>4</v>
      </c>
      <c r="I4" s="1" t="s">
        <v>159</v>
      </c>
      <c r="J4" s="1" t="s">
        <v>15</v>
      </c>
      <c r="K4" s="1" t="s">
        <v>68</v>
      </c>
      <c r="L4" s="5">
        <v>46068</v>
      </c>
      <c r="M4" s="5">
        <v>46055</v>
      </c>
      <c r="N4" s="1" t="s">
        <v>293</v>
      </c>
      <c r="O4" s="7">
        <f>IF(N4="","",IF(N4="Closed",IF(M4&lt;=L4,"On-Time","Delayed"),"Pending"))</f>
        <v>0</v>
      </c>
    </row>
    <row r="5" spans="1:17">
      <c r="A5" s="1">
        <v>2</v>
      </c>
      <c r="B5" s="1" t="s">
        <v>1247</v>
      </c>
      <c r="C5" s="5">
        <v>46028</v>
      </c>
      <c r="D5" s="1" t="s">
        <v>3</v>
      </c>
      <c r="E5" s="6" t="s">
        <v>1248</v>
      </c>
      <c r="F5" s="6" t="s">
        <v>89</v>
      </c>
      <c r="G5" s="1" t="s">
        <v>21</v>
      </c>
      <c r="H5" s="1" t="s">
        <v>57</v>
      </c>
      <c r="I5" s="1" t="s">
        <v>162</v>
      </c>
      <c r="J5" s="1" t="s">
        <v>70</v>
      </c>
      <c r="K5" s="1" t="s">
        <v>28</v>
      </c>
      <c r="L5" s="5">
        <v>46063</v>
      </c>
      <c r="M5" s="5">
        <v>46036</v>
      </c>
      <c r="N5" s="1" t="s">
        <v>293</v>
      </c>
      <c r="O5" s="7">
        <f>IF(N5="","",IF(N5="Closed",IF(M5&lt;=L5,"On-Time","Delayed"),"Pending"))</f>
        <v>0</v>
      </c>
    </row>
    <row r="6" spans="1:17">
      <c r="A6" s="1">
        <v>3</v>
      </c>
      <c r="B6" s="1" t="s">
        <v>1249</v>
      </c>
      <c r="C6" s="5">
        <v>46044</v>
      </c>
      <c r="D6" s="1" t="s">
        <v>3</v>
      </c>
      <c r="E6" s="6" t="s">
        <v>1250</v>
      </c>
      <c r="F6" s="6" t="s">
        <v>89</v>
      </c>
      <c r="G6" s="1" t="s">
        <v>31</v>
      </c>
      <c r="H6" s="1" t="s">
        <v>45</v>
      </c>
      <c r="I6" s="1" t="s">
        <v>142</v>
      </c>
      <c r="J6" s="1" t="s">
        <v>68</v>
      </c>
      <c r="K6" s="1" t="s">
        <v>22</v>
      </c>
      <c r="L6" s="5">
        <v>46059</v>
      </c>
      <c r="M6" s="5">
        <v>46055</v>
      </c>
      <c r="N6" s="1" t="s">
        <v>254</v>
      </c>
      <c r="O6" s="7">
        <f>IF(N6="","",IF(N6="Closed",IF(M6&lt;=L6,"On-Time","Delayed"),"Pending"))</f>
        <v>0</v>
      </c>
    </row>
    <row r="7" spans="1:17">
      <c r="A7" s="1">
        <v>4</v>
      </c>
      <c r="B7" s="1" t="s">
        <v>1251</v>
      </c>
      <c r="C7" s="5">
        <v>46025</v>
      </c>
      <c r="D7" s="1" t="s">
        <v>3</v>
      </c>
      <c r="E7" s="6" t="s">
        <v>1252</v>
      </c>
      <c r="F7" s="6" t="s">
        <v>65</v>
      </c>
      <c r="G7" s="1" t="s">
        <v>77</v>
      </c>
      <c r="H7" s="1" t="s">
        <v>61</v>
      </c>
      <c r="I7" s="1" t="s">
        <v>162</v>
      </c>
      <c r="J7" s="1" t="s">
        <v>104</v>
      </c>
      <c r="K7" s="1" t="s">
        <v>7</v>
      </c>
      <c r="L7" s="5">
        <v>46040</v>
      </c>
      <c r="M7" s="5">
        <v>46031</v>
      </c>
      <c r="N7" s="1" t="s">
        <v>293</v>
      </c>
      <c r="O7" s="7">
        <f>IF(N7="","",IF(N7="Closed",IF(M7&lt;=L7,"On-Time","Delayed"),"Pending"))</f>
        <v>0</v>
      </c>
    </row>
    <row r="8" spans="1:17">
      <c r="A8" s="1">
        <v>5</v>
      </c>
      <c r="B8" s="1" t="s">
        <v>1253</v>
      </c>
      <c r="C8" s="5">
        <v>46030</v>
      </c>
      <c r="D8" s="1" t="s">
        <v>3</v>
      </c>
      <c r="E8" s="6" t="s">
        <v>1254</v>
      </c>
      <c r="F8" s="6" t="s">
        <v>65</v>
      </c>
      <c r="G8" s="1" t="s">
        <v>82</v>
      </c>
      <c r="H8" s="1" t="s">
        <v>26</v>
      </c>
      <c r="I8" s="1" t="s">
        <v>142</v>
      </c>
      <c r="J8" s="1" t="s">
        <v>62</v>
      </c>
      <c r="K8" s="1" t="s">
        <v>32</v>
      </c>
      <c r="L8" s="5">
        <v>46073</v>
      </c>
      <c r="M8" s="5">
        <v>46064</v>
      </c>
      <c r="N8" s="1" t="s">
        <v>238</v>
      </c>
      <c r="O8" s="7">
        <f>IF(N8="","",IF(N8="Closed",IF(M8&lt;=L8,"On-Time","Delayed"),"Pending"))</f>
        <v>0</v>
      </c>
    </row>
    <row r="9" spans="1:17">
      <c r="A9" s="1">
        <v>6</v>
      </c>
      <c r="B9" s="1" t="s">
        <v>1255</v>
      </c>
      <c r="C9" s="5">
        <v>46062</v>
      </c>
      <c r="D9" s="1" t="s">
        <v>19</v>
      </c>
      <c r="E9" s="6" t="s">
        <v>1248</v>
      </c>
      <c r="F9" s="6" t="s">
        <v>89</v>
      </c>
      <c r="G9" s="1" t="s">
        <v>95</v>
      </c>
      <c r="H9" s="1" t="s">
        <v>4</v>
      </c>
      <c r="I9" s="1" t="s">
        <v>162</v>
      </c>
      <c r="J9" s="1" t="s">
        <v>104</v>
      </c>
      <c r="K9" s="1" t="s">
        <v>28</v>
      </c>
      <c r="L9" s="5">
        <v>46093</v>
      </c>
      <c r="M9" s="5">
        <v>46088</v>
      </c>
      <c r="N9" s="1" t="s">
        <v>238</v>
      </c>
      <c r="O9" s="7">
        <f>IF(N9="","",IF(N9="Closed",IF(M9&lt;=L9,"On-Time","Delayed"),"Pending"))</f>
        <v>0</v>
      </c>
    </row>
    <row r="10" spans="1:17">
      <c r="A10" s="1">
        <v>7</v>
      </c>
      <c r="B10" s="1" t="s">
        <v>1256</v>
      </c>
      <c r="C10" s="5">
        <v>46078</v>
      </c>
      <c r="D10" s="1" t="s">
        <v>19</v>
      </c>
      <c r="E10" s="6" t="s">
        <v>1257</v>
      </c>
      <c r="F10" s="6" t="s">
        <v>5</v>
      </c>
      <c r="G10" s="1" t="s">
        <v>95</v>
      </c>
      <c r="H10" s="1" t="s">
        <v>45</v>
      </c>
      <c r="I10" s="1" t="s">
        <v>159</v>
      </c>
      <c r="J10" s="1" t="s">
        <v>66</v>
      </c>
      <c r="K10" s="1" t="s">
        <v>78</v>
      </c>
      <c r="L10" s="5">
        <v>46122</v>
      </c>
      <c r="M10" s="5">
        <v>46090</v>
      </c>
      <c r="N10" s="1" t="s">
        <v>297</v>
      </c>
      <c r="O10" s="7">
        <f>IF(N10="","",IF(N10="Closed",IF(M10&lt;=L10,"On-Time","Delayed"),"Pending"))</f>
        <v>0</v>
      </c>
    </row>
    <row r="11" spans="1:17">
      <c r="A11" s="1">
        <v>8</v>
      </c>
      <c r="B11" s="1" t="s">
        <v>1258</v>
      </c>
      <c r="C11" s="5">
        <v>46095</v>
      </c>
      <c r="D11" s="1" t="s">
        <v>44</v>
      </c>
      <c r="E11" s="6" t="s">
        <v>1252</v>
      </c>
      <c r="F11" s="6" t="s">
        <v>58</v>
      </c>
      <c r="G11" s="1" t="s">
        <v>35</v>
      </c>
      <c r="H11" s="1" t="s">
        <v>38</v>
      </c>
      <c r="I11" s="1" t="s">
        <v>162</v>
      </c>
      <c r="J11" s="1" t="s">
        <v>28</v>
      </c>
      <c r="K11" s="1" t="s">
        <v>66</v>
      </c>
      <c r="L11" s="5">
        <v>46112</v>
      </c>
      <c r="M11" s="5">
        <v>46120</v>
      </c>
      <c r="N11" s="1" t="s">
        <v>293</v>
      </c>
      <c r="O11" s="7">
        <f>IF(N11="","",IF(N11="Closed",IF(M11&lt;=L11,"On-Time","Delayed"),"Pending"))</f>
        <v>0</v>
      </c>
    </row>
    <row r="12" spans="1:17">
      <c r="A12" s="1">
        <v>9</v>
      </c>
      <c r="B12" s="1" t="s">
        <v>1259</v>
      </c>
      <c r="C12" s="5">
        <v>46088</v>
      </c>
      <c r="D12" s="1" t="s">
        <v>44</v>
      </c>
      <c r="E12" s="6" t="s">
        <v>1252</v>
      </c>
      <c r="F12" s="6" t="s">
        <v>50</v>
      </c>
      <c r="G12" s="1" t="s">
        <v>77</v>
      </c>
      <c r="H12" s="1" t="s">
        <v>4</v>
      </c>
      <c r="I12" s="1" t="s">
        <v>142</v>
      </c>
      <c r="J12" s="1" t="s">
        <v>22</v>
      </c>
      <c r="K12" s="1" t="s">
        <v>32</v>
      </c>
      <c r="L12" s="5">
        <v>46102</v>
      </c>
      <c r="M12" s="5">
        <v>46108</v>
      </c>
      <c r="N12" s="1" t="s">
        <v>293</v>
      </c>
      <c r="O12" s="7">
        <f>IF(N12="","",IF(N12="Closed",IF(M12&lt;=L12,"On-Time","Delayed"),"Pending"))</f>
        <v>0</v>
      </c>
    </row>
    <row r="13" spans="1:17">
      <c r="A13" s="1">
        <v>10</v>
      </c>
      <c r="B13" s="1" t="s">
        <v>1260</v>
      </c>
      <c r="C13" s="5">
        <v>46107</v>
      </c>
      <c r="D13" s="1" t="s">
        <v>44</v>
      </c>
      <c r="E13" s="6" t="s">
        <v>1252</v>
      </c>
      <c r="F13" s="6" t="s">
        <v>92</v>
      </c>
      <c r="G13" s="1" t="s">
        <v>14</v>
      </c>
      <c r="H13" s="1" t="s">
        <v>12</v>
      </c>
      <c r="I13" s="1" t="s">
        <v>154</v>
      </c>
      <c r="J13" s="1" t="s">
        <v>32</v>
      </c>
      <c r="K13" s="1" t="s">
        <v>36</v>
      </c>
      <c r="L13" s="5">
        <v>46124</v>
      </c>
      <c r="M13" s="5">
        <v>46121</v>
      </c>
      <c r="N13" s="1" t="s">
        <v>293</v>
      </c>
      <c r="O13" s="7">
        <f>IF(N13="","",IF(N13="Closed",IF(M13&lt;=L13,"On-Time","Delayed"),"Pending"))</f>
        <v>0</v>
      </c>
    </row>
    <row r="14" spans="1:17">
      <c r="A14" s="1">
        <v>11</v>
      </c>
      <c r="B14" s="1" t="s">
        <v>1261</v>
      </c>
      <c r="C14" s="5">
        <v>46083</v>
      </c>
      <c r="D14" s="1" t="s">
        <v>44</v>
      </c>
      <c r="E14" s="6" t="s">
        <v>1248</v>
      </c>
      <c r="F14" s="6" t="s">
        <v>89</v>
      </c>
      <c r="G14" s="1" t="s">
        <v>51</v>
      </c>
      <c r="H14" s="1" t="s">
        <v>91</v>
      </c>
      <c r="I14" s="1" t="s">
        <v>154</v>
      </c>
      <c r="J14" s="1" t="s">
        <v>78</v>
      </c>
      <c r="K14" s="1" t="s">
        <v>93</v>
      </c>
      <c r="L14" s="5">
        <v>46105</v>
      </c>
      <c r="M14" s="5">
        <v>46100</v>
      </c>
      <c r="N14" s="1" t="s">
        <v>293</v>
      </c>
      <c r="O14" s="7">
        <f>IF(N14="","",IF(N14="Closed",IF(M14&lt;=L14,"On-Time","Delayed"),"Pending"))</f>
        <v>0</v>
      </c>
    </row>
    <row r="15" spans="1:17">
      <c r="A15" s="1">
        <v>12</v>
      </c>
      <c r="B15" s="1" t="s">
        <v>1262</v>
      </c>
      <c r="C15" s="5">
        <v>46107</v>
      </c>
      <c r="D15" s="1" t="s">
        <v>44</v>
      </c>
      <c r="E15" s="6" t="s">
        <v>1257</v>
      </c>
      <c r="F15" s="6" t="s">
        <v>65</v>
      </c>
      <c r="G15" s="1" t="s">
        <v>35</v>
      </c>
      <c r="H15" s="1" t="s">
        <v>64</v>
      </c>
      <c r="I15" s="1" t="s">
        <v>154</v>
      </c>
      <c r="J15" s="1" t="s">
        <v>15</v>
      </c>
      <c r="K15" s="1" t="s">
        <v>22</v>
      </c>
      <c r="L15" s="5">
        <v>46130</v>
      </c>
      <c r="M15" s="5">
        <v>46144</v>
      </c>
      <c r="N15" s="1" t="s">
        <v>293</v>
      </c>
      <c r="O15" s="7">
        <f>IF(N15="","",IF(N15="Closed",IF(M15&lt;=L15,"On-Time","Delayed"),"Pending"))</f>
        <v>0</v>
      </c>
    </row>
    <row r="16" spans="1:17">
      <c r="A16" s="1">
        <v>13</v>
      </c>
      <c r="B16" s="1" t="s">
        <v>1263</v>
      </c>
      <c r="C16" s="5">
        <v>46094</v>
      </c>
      <c r="D16" s="1" t="s">
        <v>44</v>
      </c>
      <c r="E16" s="6" t="s">
        <v>1248</v>
      </c>
      <c r="F16" s="6" t="s">
        <v>27</v>
      </c>
      <c r="G16" s="1" t="s">
        <v>21</v>
      </c>
      <c r="H16" s="1" t="s">
        <v>54</v>
      </c>
      <c r="I16" s="1" t="s">
        <v>162</v>
      </c>
      <c r="J16" s="1" t="s">
        <v>93</v>
      </c>
      <c r="K16" s="1" t="s">
        <v>41</v>
      </c>
      <c r="L16" s="5">
        <v>46104</v>
      </c>
      <c r="M16" s="5">
        <v>46119</v>
      </c>
      <c r="N16" s="1" t="s">
        <v>254</v>
      </c>
      <c r="O16" s="7">
        <f>IF(N16="","",IF(N16="Closed",IF(M16&lt;=L16,"On-Time","Delayed"),"Pending"))</f>
        <v>0</v>
      </c>
    </row>
    <row r="17" spans="1:15">
      <c r="A17" s="1">
        <v>14</v>
      </c>
      <c r="B17" s="1" t="s">
        <v>1264</v>
      </c>
      <c r="C17" s="5">
        <v>46130</v>
      </c>
      <c r="D17" s="1" t="s">
        <v>53</v>
      </c>
      <c r="E17" s="6" t="s">
        <v>1252</v>
      </c>
      <c r="F17" s="6" t="s">
        <v>65</v>
      </c>
      <c r="G17" s="1" t="s">
        <v>21</v>
      </c>
      <c r="H17" s="1" t="s">
        <v>4</v>
      </c>
      <c r="I17" s="1" t="s">
        <v>159</v>
      </c>
      <c r="J17" s="1" t="s">
        <v>62</v>
      </c>
      <c r="K17" s="1" t="s">
        <v>41</v>
      </c>
      <c r="L17" s="5">
        <v>46153</v>
      </c>
      <c r="M17" s="5">
        <v>46137</v>
      </c>
      <c r="N17" s="1" t="s">
        <v>293</v>
      </c>
      <c r="O17" s="7">
        <f>IF(N17="","",IF(N17="Closed",IF(M17&lt;=L17,"On-Time","Delayed"),"Pending"))</f>
        <v>0</v>
      </c>
    </row>
    <row r="18" spans="1:15">
      <c r="A18" s="1">
        <v>15</v>
      </c>
      <c r="B18" s="1" t="s">
        <v>1265</v>
      </c>
      <c r="C18" s="5">
        <v>46123</v>
      </c>
      <c r="D18" s="1" t="s">
        <v>53</v>
      </c>
      <c r="E18" s="6" t="s">
        <v>1254</v>
      </c>
      <c r="F18" s="6" t="s">
        <v>13</v>
      </c>
      <c r="G18" s="1" t="s">
        <v>31</v>
      </c>
      <c r="H18" s="1" t="s">
        <v>61</v>
      </c>
      <c r="I18" s="1" t="s">
        <v>159</v>
      </c>
      <c r="J18" s="1" t="s">
        <v>66</v>
      </c>
      <c r="K18" s="1" t="s">
        <v>93</v>
      </c>
      <c r="L18" s="5">
        <v>46158</v>
      </c>
      <c r="M18" s="5">
        <v>46149</v>
      </c>
      <c r="N18" s="1" t="s">
        <v>238</v>
      </c>
      <c r="O18" s="7">
        <f>IF(N18="","",IF(N18="Closed",IF(M18&lt;=L18,"On-Time","Delayed"),"Pending"))</f>
        <v>0</v>
      </c>
    </row>
    <row r="19" spans="1:15">
      <c r="A19" s="1">
        <v>16</v>
      </c>
      <c r="B19" s="1" t="s">
        <v>1266</v>
      </c>
      <c r="C19" s="5">
        <v>46138</v>
      </c>
      <c r="D19" s="1" t="s">
        <v>53</v>
      </c>
      <c r="E19" s="6" t="s">
        <v>1250</v>
      </c>
      <c r="F19" s="6" t="s">
        <v>50</v>
      </c>
      <c r="G19" s="1" t="s">
        <v>95</v>
      </c>
      <c r="H19" s="1" t="s">
        <v>12</v>
      </c>
      <c r="I19" s="1" t="s">
        <v>162</v>
      </c>
      <c r="J19" s="1" t="s">
        <v>93</v>
      </c>
      <c r="K19" s="1" t="s">
        <v>22</v>
      </c>
      <c r="L19" s="5">
        <v>46149</v>
      </c>
      <c r="M19" s="5">
        <v>46159</v>
      </c>
      <c r="N19" s="1" t="s">
        <v>238</v>
      </c>
      <c r="O19" s="7">
        <f>IF(N19="","",IF(N19="Closed",IF(M19&lt;=L19,"On-Time","Delayed"),"Pending"))</f>
        <v>0</v>
      </c>
    </row>
    <row r="20" spans="1:15">
      <c r="A20" s="1">
        <v>17</v>
      </c>
      <c r="B20" s="1" t="s">
        <v>1267</v>
      </c>
      <c r="C20" s="5">
        <v>46130</v>
      </c>
      <c r="D20" s="1" t="s">
        <v>53</v>
      </c>
      <c r="E20" s="6" t="s">
        <v>1252</v>
      </c>
      <c r="F20" s="6" t="s">
        <v>46</v>
      </c>
      <c r="G20" s="1" t="s">
        <v>40</v>
      </c>
      <c r="H20" s="1" t="s">
        <v>91</v>
      </c>
      <c r="I20" s="1" t="s">
        <v>162</v>
      </c>
      <c r="J20" s="1" t="s">
        <v>36</v>
      </c>
      <c r="K20" s="1" t="s">
        <v>15</v>
      </c>
      <c r="L20" s="5">
        <v>46162</v>
      </c>
      <c r="M20" s="5">
        <v>46145</v>
      </c>
      <c r="N20" s="1" t="s">
        <v>293</v>
      </c>
      <c r="O20" s="7">
        <f>IF(N20="","",IF(N20="Closed",IF(M20&lt;=L20,"On-Time","Delayed"),"Pending"))</f>
        <v>0</v>
      </c>
    </row>
    <row r="21" spans="1:15">
      <c r="A21" s="1">
        <v>18</v>
      </c>
      <c r="B21" s="1" t="s">
        <v>1268</v>
      </c>
      <c r="C21" s="5">
        <v>46150</v>
      </c>
      <c r="D21" s="1" t="s">
        <v>60</v>
      </c>
      <c r="E21" s="6" t="s">
        <v>1246</v>
      </c>
      <c r="F21" s="6" t="s">
        <v>13</v>
      </c>
      <c r="G21" s="1" t="s">
        <v>40</v>
      </c>
      <c r="H21" s="1" t="s">
        <v>20</v>
      </c>
      <c r="I21" s="1" t="s">
        <v>159</v>
      </c>
      <c r="J21" s="1" t="s">
        <v>32</v>
      </c>
      <c r="K21" s="1" t="s">
        <v>66</v>
      </c>
      <c r="L21" s="5">
        <v>46179</v>
      </c>
      <c r="M21" s="5">
        <v>46170</v>
      </c>
      <c r="N21" s="1" t="s">
        <v>293</v>
      </c>
      <c r="O21" s="7">
        <f>IF(N21="","",IF(N21="Closed",IF(M21&lt;=L21,"On-Time","Delayed"),"Pending"))</f>
        <v>0</v>
      </c>
    </row>
    <row r="22" spans="1:15">
      <c r="A22" s="1">
        <v>19</v>
      </c>
      <c r="B22" s="1" t="s">
        <v>1269</v>
      </c>
      <c r="C22" s="5">
        <v>46157</v>
      </c>
      <c r="D22" s="1" t="s">
        <v>60</v>
      </c>
      <c r="E22" s="6" t="s">
        <v>1248</v>
      </c>
      <c r="F22" s="6" t="s">
        <v>92</v>
      </c>
      <c r="G22" s="1" t="s">
        <v>35</v>
      </c>
      <c r="H22" s="1" t="s">
        <v>49</v>
      </c>
      <c r="I22" s="1" t="s">
        <v>142</v>
      </c>
      <c r="J22" s="1" t="s">
        <v>41</v>
      </c>
      <c r="K22" s="1" t="s">
        <v>66</v>
      </c>
      <c r="L22" s="5">
        <v>46164</v>
      </c>
      <c r="M22" s="5">
        <v>46193</v>
      </c>
      <c r="N22" s="1" t="s">
        <v>254</v>
      </c>
      <c r="O22" s="7">
        <f>IF(N22="","",IF(N22="Closed",IF(M22&lt;=L22,"On-Time","Delayed"),"Pending"))</f>
        <v>0</v>
      </c>
    </row>
    <row r="23" spans="1:15">
      <c r="A23" s="1">
        <v>20</v>
      </c>
      <c r="B23" s="1" t="s">
        <v>1270</v>
      </c>
      <c r="C23" s="5">
        <v>46152</v>
      </c>
      <c r="D23" s="1" t="s">
        <v>60</v>
      </c>
      <c r="E23" s="6" t="s">
        <v>1257</v>
      </c>
      <c r="F23" s="6" t="s">
        <v>58</v>
      </c>
      <c r="G23" s="1" t="s">
        <v>87</v>
      </c>
      <c r="H23" s="1" t="s">
        <v>49</v>
      </c>
      <c r="I23" s="1" t="s">
        <v>162</v>
      </c>
      <c r="J23" s="1" t="s">
        <v>70</v>
      </c>
      <c r="K23" s="1" t="s">
        <v>66</v>
      </c>
      <c r="L23" s="5">
        <v>46182</v>
      </c>
      <c r="M23" s="5">
        <v>46190</v>
      </c>
      <c r="N23" s="1" t="s">
        <v>293</v>
      </c>
      <c r="O23" s="7">
        <f>IF(N23="","",IF(N23="Closed",IF(M23&lt;=L23,"On-Time","Delayed"),"Pending"))</f>
        <v>0</v>
      </c>
    </row>
    <row r="24" spans="1:15">
      <c r="A24" s="1">
        <v>21</v>
      </c>
      <c r="B24" s="1" t="s">
        <v>1271</v>
      </c>
      <c r="C24" s="5">
        <v>46156</v>
      </c>
      <c r="D24" s="1" t="s">
        <v>60</v>
      </c>
      <c r="E24" s="6" t="s">
        <v>1254</v>
      </c>
      <c r="F24" s="6" t="s">
        <v>39</v>
      </c>
      <c r="G24" s="1" t="s">
        <v>77</v>
      </c>
      <c r="H24" s="1" t="s">
        <v>57</v>
      </c>
      <c r="I24" s="1" t="s">
        <v>142</v>
      </c>
      <c r="J24" s="1" t="s">
        <v>7</v>
      </c>
      <c r="K24" s="1" t="s">
        <v>70</v>
      </c>
      <c r="L24" s="5">
        <v>46184</v>
      </c>
      <c r="M24" s="5">
        <v>46173</v>
      </c>
      <c r="N24" s="1" t="s">
        <v>297</v>
      </c>
      <c r="O24" s="7">
        <f>IF(N24="","",IF(N24="Closed",IF(M24&lt;=L24,"On-Time","Delayed"),"Pending"))</f>
        <v>0</v>
      </c>
    </row>
    <row r="25" spans="1:15">
      <c r="A25" s="1">
        <v>22</v>
      </c>
      <c r="B25" s="1" t="s">
        <v>1272</v>
      </c>
      <c r="C25" s="5">
        <v>46167</v>
      </c>
      <c r="D25" s="1" t="s">
        <v>60</v>
      </c>
      <c r="E25" s="6" t="s">
        <v>1254</v>
      </c>
      <c r="F25" s="6" t="s">
        <v>27</v>
      </c>
      <c r="G25" s="1" t="s">
        <v>87</v>
      </c>
      <c r="H25" s="1" t="s">
        <v>30</v>
      </c>
      <c r="I25" s="1" t="s">
        <v>154</v>
      </c>
      <c r="J25" s="1" t="s">
        <v>68</v>
      </c>
      <c r="K25" s="1" t="s">
        <v>68</v>
      </c>
      <c r="L25" s="5">
        <v>46193</v>
      </c>
      <c r="M25" s="5">
        <v>46179</v>
      </c>
      <c r="N25" s="1" t="s">
        <v>293</v>
      </c>
      <c r="O25" s="7">
        <f>IF(N25="","",IF(N25="Closed",IF(M25&lt;=L25,"On-Time","Delayed"),"Pending"))</f>
        <v>0</v>
      </c>
    </row>
    <row r="26" spans="1:15">
      <c r="A26" s="1">
        <v>23</v>
      </c>
      <c r="B26" s="1" t="s">
        <v>1273</v>
      </c>
      <c r="C26" s="5">
        <v>46176</v>
      </c>
      <c r="D26" s="1" t="s">
        <v>73</v>
      </c>
      <c r="E26" s="6" t="s">
        <v>1246</v>
      </c>
      <c r="F26" s="6" t="s">
        <v>92</v>
      </c>
      <c r="G26" s="1" t="s">
        <v>82</v>
      </c>
      <c r="H26" s="1" t="s">
        <v>20</v>
      </c>
      <c r="I26" s="1" t="s">
        <v>159</v>
      </c>
      <c r="J26" s="1" t="s">
        <v>28</v>
      </c>
      <c r="K26" s="1" t="s">
        <v>104</v>
      </c>
      <c r="L26" s="5">
        <v>46221</v>
      </c>
      <c r="M26" s="5">
        <v>46186</v>
      </c>
      <c r="N26" s="1" t="s">
        <v>293</v>
      </c>
      <c r="O26" s="7">
        <f>IF(N26="","",IF(N26="Closed",IF(M26&lt;=L26,"On-Time","Delayed"),"Pending"))</f>
        <v>0</v>
      </c>
    </row>
    <row r="27" spans="1:15">
      <c r="A27" s="1">
        <v>24</v>
      </c>
      <c r="B27" s="1" t="s">
        <v>1274</v>
      </c>
      <c r="C27" s="5">
        <v>46189</v>
      </c>
      <c r="D27" s="1" t="s">
        <v>73</v>
      </c>
      <c r="E27" s="6" t="s">
        <v>1257</v>
      </c>
      <c r="F27" s="6" t="s">
        <v>27</v>
      </c>
      <c r="G27" s="1" t="s">
        <v>31</v>
      </c>
      <c r="H27" s="1" t="s">
        <v>54</v>
      </c>
      <c r="I27" s="1" t="s">
        <v>159</v>
      </c>
      <c r="J27" s="1" t="s">
        <v>32</v>
      </c>
      <c r="K27" s="1" t="s">
        <v>68</v>
      </c>
      <c r="L27" s="5">
        <v>46232</v>
      </c>
      <c r="M27" s="5">
        <v>46218</v>
      </c>
      <c r="N27" s="1" t="s">
        <v>293</v>
      </c>
      <c r="O27" s="7">
        <f>IF(N27="","",IF(N27="Closed",IF(M27&lt;=L27,"On-Time","Delayed"),"Pending"))</f>
        <v>0</v>
      </c>
    </row>
    <row r="28" spans="1:15">
      <c r="A28" s="1">
        <v>25</v>
      </c>
      <c r="B28" s="1" t="s">
        <v>1275</v>
      </c>
      <c r="C28" s="5">
        <v>46183</v>
      </c>
      <c r="D28" s="1" t="s">
        <v>73</v>
      </c>
      <c r="E28" s="6" t="s">
        <v>1248</v>
      </c>
      <c r="F28" s="6" t="s">
        <v>39</v>
      </c>
      <c r="G28" s="1" t="s">
        <v>77</v>
      </c>
      <c r="H28" s="1" t="s">
        <v>54</v>
      </c>
      <c r="I28" s="1" t="s">
        <v>142</v>
      </c>
      <c r="J28" s="1" t="s">
        <v>15</v>
      </c>
      <c r="K28" s="1" t="s">
        <v>68</v>
      </c>
      <c r="L28" s="5">
        <v>46202</v>
      </c>
      <c r="M28" s="5">
        <v>46209</v>
      </c>
      <c r="N28" s="1" t="s">
        <v>293</v>
      </c>
      <c r="O28" s="7">
        <f>IF(N28="","",IF(N28="Closed",IF(M28&lt;=L28,"On-Time","Delayed"),"Pending"))</f>
        <v>0</v>
      </c>
    </row>
    <row r="29" spans="1:15">
      <c r="A29" s="1">
        <v>26</v>
      </c>
      <c r="B29" s="1" t="s">
        <v>1276</v>
      </c>
      <c r="C29" s="5">
        <v>46182</v>
      </c>
      <c r="D29" s="1" t="s">
        <v>73</v>
      </c>
      <c r="E29" s="6" t="s">
        <v>1252</v>
      </c>
      <c r="F29" s="6" t="s">
        <v>13</v>
      </c>
      <c r="G29" s="1" t="s">
        <v>95</v>
      </c>
      <c r="H29" s="1" t="s">
        <v>45</v>
      </c>
      <c r="I29" s="1" t="s">
        <v>159</v>
      </c>
      <c r="J29" s="1" t="s">
        <v>15</v>
      </c>
      <c r="K29" s="1" t="s">
        <v>28</v>
      </c>
      <c r="L29" s="5">
        <v>46210</v>
      </c>
      <c r="M29" s="5">
        <v>46221</v>
      </c>
      <c r="N29" s="1" t="s">
        <v>238</v>
      </c>
      <c r="O29" s="7">
        <f>IF(N29="","",IF(N29="Closed",IF(M29&lt;=L29,"On-Time","Delayed"),"Pending"))</f>
        <v>0</v>
      </c>
    </row>
    <row r="30" spans="1:15">
      <c r="A30" s="1">
        <v>27</v>
      </c>
      <c r="B30" s="1" t="s">
        <v>1277</v>
      </c>
      <c r="C30" s="5">
        <v>46210</v>
      </c>
      <c r="D30" s="1" t="s">
        <v>76</v>
      </c>
      <c r="E30" s="6" t="s">
        <v>1248</v>
      </c>
      <c r="F30" s="6" t="s">
        <v>13</v>
      </c>
      <c r="G30" s="1" t="s">
        <v>82</v>
      </c>
      <c r="H30" s="1" t="s">
        <v>16</v>
      </c>
      <c r="I30" s="1" t="s">
        <v>159</v>
      </c>
      <c r="J30" s="1" t="s">
        <v>41</v>
      </c>
      <c r="K30" s="1" t="s">
        <v>28</v>
      </c>
      <c r="L30" s="5">
        <v>46216</v>
      </c>
      <c r="M30" s="5">
        <v>46235</v>
      </c>
      <c r="N30" s="1" t="s">
        <v>293</v>
      </c>
      <c r="O30" s="7">
        <f>IF(N30="","",IF(N30="Closed",IF(M30&lt;=L30,"On-Time","Delayed"),"Pending"))</f>
        <v>0</v>
      </c>
    </row>
    <row r="31" spans="1:15">
      <c r="A31" s="1">
        <v>28</v>
      </c>
      <c r="B31" s="1" t="s">
        <v>1278</v>
      </c>
      <c r="C31" s="5">
        <v>46231</v>
      </c>
      <c r="D31" s="1" t="s">
        <v>76</v>
      </c>
      <c r="E31" s="6" t="s">
        <v>1246</v>
      </c>
      <c r="F31" s="6" t="s">
        <v>92</v>
      </c>
      <c r="G31" s="1" t="s">
        <v>82</v>
      </c>
      <c r="H31" s="1" t="s">
        <v>57</v>
      </c>
      <c r="I31" s="1" t="s">
        <v>142</v>
      </c>
      <c r="J31" s="1" t="s">
        <v>62</v>
      </c>
      <c r="K31" s="1" t="s">
        <v>62</v>
      </c>
      <c r="L31" s="5">
        <v>46238</v>
      </c>
      <c r="M31" s="5">
        <v>46257</v>
      </c>
      <c r="N31" s="1" t="s">
        <v>254</v>
      </c>
      <c r="O31" s="7">
        <f>IF(N31="","",IF(N31="Closed",IF(M31&lt;=L31,"On-Time","Delayed"),"Pending"))</f>
        <v>0</v>
      </c>
    </row>
    <row r="32" spans="1:15">
      <c r="A32" s="1">
        <v>29</v>
      </c>
      <c r="B32" s="1" t="s">
        <v>1279</v>
      </c>
      <c r="C32" s="5">
        <v>46204</v>
      </c>
      <c r="D32" s="1" t="s">
        <v>76</v>
      </c>
      <c r="E32" s="6" t="s">
        <v>1246</v>
      </c>
      <c r="F32" s="6" t="s">
        <v>50</v>
      </c>
      <c r="G32" s="1" t="s">
        <v>77</v>
      </c>
      <c r="H32" s="1" t="s">
        <v>49</v>
      </c>
      <c r="I32" s="1" t="s">
        <v>162</v>
      </c>
      <c r="J32" s="1" t="s">
        <v>32</v>
      </c>
      <c r="K32" s="1" t="s">
        <v>78</v>
      </c>
      <c r="L32" s="5">
        <v>46244</v>
      </c>
      <c r="M32" s="5">
        <v>46222</v>
      </c>
      <c r="N32" s="1" t="s">
        <v>238</v>
      </c>
      <c r="O32" s="7">
        <f>IF(N32="","",IF(N32="Closed",IF(M32&lt;=L32,"On-Time","Delayed"),"Pending"))</f>
        <v>0</v>
      </c>
    </row>
    <row r="33" spans="1:15">
      <c r="A33" s="1">
        <v>30</v>
      </c>
      <c r="B33" s="1" t="s">
        <v>1280</v>
      </c>
      <c r="C33" s="5">
        <v>46222</v>
      </c>
      <c r="D33" s="1" t="s">
        <v>76</v>
      </c>
      <c r="E33" s="6" t="s">
        <v>1252</v>
      </c>
      <c r="F33" s="6" t="s">
        <v>46</v>
      </c>
      <c r="G33" s="1" t="s">
        <v>80</v>
      </c>
      <c r="H33" s="1" t="s">
        <v>54</v>
      </c>
      <c r="I33" s="1" t="s">
        <v>162</v>
      </c>
      <c r="J33" s="1" t="s">
        <v>70</v>
      </c>
      <c r="K33" s="1" t="s">
        <v>78</v>
      </c>
      <c r="L33" s="5">
        <v>46251</v>
      </c>
      <c r="M33" s="5">
        <v>46246</v>
      </c>
      <c r="N33" s="1" t="s">
        <v>238</v>
      </c>
      <c r="O33" s="7">
        <f>IF(N33="","",IF(N33="Closed",IF(M33&lt;=L33,"On-Time","Delayed"),"Pending"))</f>
        <v>0</v>
      </c>
    </row>
    <row r="34" spans="1:15">
      <c r="A34" s="1">
        <v>31</v>
      </c>
      <c r="B34" s="1" t="s">
        <v>1281</v>
      </c>
      <c r="C34" s="5">
        <v>46220</v>
      </c>
      <c r="D34" s="1" t="s">
        <v>76</v>
      </c>
      <c r="E34" s="6" t="s">
        <v>1257</v>
      </c>
      <c r="F34" s="6" t="s">
        <v>50</v>
      </c>
      <c r="G34" s="1" t="s">
        <v>6</v>
      </c>
      <c r="H34" s="1" t="s">
        <v>54</v>
      </c>
      <c r="I34" s="1" t="s">
        <v>162</v>
      </c>
      <c r="J34" s="1" t="s">
        <v>7</v>
      </c>
      <c r="K34" s="1" t="s">
        <v>68</v>
      </c>
      <c r="L34" s="5">
        <v>46244</v>
      </c>
      <c r="M34" s="5">
        <v>46257</v>
      </c>
      <c r="N34" s="1" t="s">
        <v>238</v>
      </c>
      <c r="O34" s="7">
        <f>IF(N34="","",IF(N34="Closed",IF(M34&lt;=L34,"On-Time","Delayed"),"Pending"))</f>
        <v>0</v>
      </c>
    </row>
    <row r="35" spans="1:15">
      <c r="A35" s="1">
        <v>32</v>
      </c>
      <c r="B35" s="1" t="s">
        <v>1282</v>
      </c>
      <c r="C35" s="5">
        <v>46255</v>
      </c>
      <c r="D35" s="1" t="s">
        <v>86</v>
      </c>
      <c r="E35" s="6" t="s">
        <v>1254</v>
      </c>
      <c r="F35" s="6" t="s">
        <v>92</v>
      </c>
      <c r="G35" s="1" t="s">
        <v>40</v>
      </c>
      <c r="H35" s="1" t="s">
        <v>45</v>
      </c>
      <c r="I35" s="1" t="s">
        <v>142</v>
      </c>
      <c r="J35" s="1" t="s">
        <v>66</v>
      </c>
      <c r="K35" s="1" t="s">
        <v>66</v>
      </c>
      <c r="L35" s="5">
        <v>46275</v>
      </c>
      <c r="M35" s="5">
        <v>46269</v>
      </c>
      <c r="N35" s="1" t="s">
        <v>293</v>
      </c>
      <c r="O35" s="7">
        <f>IF(N35="","",IF(N35="Closed",IF(M35&lt;=L35,"On-Time","Delayed"),"Pending"))</f>
        <v>0</v>
      </c>
    </row>
    <row r="36" spans="1:15">
      <c r="A36" s="1">
        <v>33</v>
      </c>
      <c r="B36" s="1" t="s">
        <v>1283</v>
      </c>
      <c r="C36" s="5">
        <v>46248</v>
      </c>
      <c r="D36" s="1" t="s">
        <v>86</v>
      </c>
      <c r="E36" s="6" t="s">
        <v>1252</v>
      </c>
      <c r="F36" s="6" t="s">
        <v>39</v>
      </c>
      <c r="G36" s="1" t="s">
        <v>80</v>
      </c>
      <c r="H36" s="1" t="s">
        <v>54</v>
      </c>
      <c r="I36" s="1" t="s">
        <v>142</v>
      </c>
      <c r="J36" s="1" t="s">
        <v>22</v>
      </c>
      <c r="K36" s="1" t="s">
        <v>104</v>
      </c>
      <c r="L36" s="5">
        <v>46293</v>
      </c>
      <c r="M36" s="5">
        <v>46264</v>
      </c>
      <c r="N36" s="1" t="s">
        <v>293</v>
      </c>
      <c r="O36" s="7">
        <f>IF(N36="","",IF(N36="Closed",IF(M36&lt;=L36,"On-Time","Delayed"),"Pending"))</f>
        <v>0</v>
      </c>
    </row>
    <row r="37" spans="1:15">
      <c r="A37" s="1">
        <v>34</v>
      </c>
      <c r="B37" s="1" t="s">
        <v>1284</v>
      </c>
      <c r="C37" s="5">
        <v>46276</v>
      </c>
      <c r="D37" s="1" t="s">
        <v>102</v>
      </c>
      <c r="E37" s="6" t="s">
        <v>1252</v>
      </c>
      <c r="F37" s="6" t="s">
        <v>58</v>
      </c>
      <c r="G37" s="1" t="s">
        <v>35</v>
      </c>
      <c r="H37" s="1" t="s">
        <v>12</v>
      </c>
      <c r="I37" s="1" t="s">
        <v>159</v>
      </c>
      <c r="J37" s="1" t="s">
        <v>32</v>
      </c>
      <c r="K37" s="1" t="s">
        <v>68</v>
      </c>
      <c r="L37" s="5">
        <v>46311</v>
      </c>
      <c r="M37" s="5">
        <v>46305</v>
      </c>
      <c r="N37" s="1" t="s">
        <v>293</v>
      </c>
      <c r="O37" s="7">
        <f>IF(N37="","",IF(N37="Closed",IF(M37&lt;=L37,"On-Time","Delayed"),"Pending"))</f>
        <v>0</v>
      </c>
    </row>
    <row r="38" spans="1:15">
      <c r="A38" s="1">
        <v>35</v>
      </c>
      <c r="B38" s="1" t="s">
        <v>1285</v>
      </c>
      <c r="C38" s="5">
        <v>46290</v>
      </c>
      <c r="D38" s="1" t="s">
        <v>102</v>
      </c>
      <c r="E38" s="6" t="s">
        <v>1254</v>
      </c>
      <c r="F38" s="6" t="s">
        <v>27</v>
      </c>
      <c r="G38" s="1" t="s">
        <v>14</v>
      </c>
      <c r="H38" s="1" t="s">
        <v>45</v>
      </c>
      <c r="I38" s="1" t="s">
        <v>159</v>
      </c>
      <c r="J38" s="1" t="s">
        <v>78</v>
      </c>
      <c r="K38" s="1" t="s">
        <v>62</v>
      </c>
      <c r="L38" s="5">
        <v>46298</v>
      </c>
      <c r="M38" s="5">
        <v>46324</v>
      </c>
      <c r="N38" s="1" t="s">
        <v>238</v>
      </c>
      <c r="O38" s="7">
        <f>IF(N38="","",IF(N38="Closed",IF(M38&lt;=L38,"On-Time","Delayed"),"Pending"))</f>
        <v>0</v>
      </c>
    </row>
    <row r="39" spans="1:15">
      <c r="A39" s="1">
        <v>36</v>
      </c>
      <c r="B39" s="1" t="s">
        <v>1286</v>
      </c>
      <c r="C39" s="5">
        <v>46286</v>
      </c>
      <c r="D39" s="1" t="s">
        <v>102</v>
      </c>
      <c r="E39" s="6" t="s">
        <v>1250</v>
      </c>
      <c r="F39" s="6" t="s">
        <v>27</v>
      </c>
      <c r="G39" s="1" t="s">
        <v>35</v>
      </c>
      <c r="H39" s="1" t="s">
        <v>38</v>
      </c>
      <c r="I39" s="1" t="s">
        <v>162</v>
      </c>
      <c r="J39" s="1" t="s">
        <v>41</v>
      </c>
      <c r="K39" s="1" t="s">
        <v>41</v>
      </c>
      <c r="L39" s="5">
        <v>46312</v>
      </c>
      <c r="M39" s="5">
        <v>46294</v>
      </c>
      <c r="N39" s="1" t="s">
        <v>293</v>
      </c>
      <c r="O39" s="7">
        <f>IF(N39="","",IF(N39="Closed",IF(M39&lt;=L39,"On-Time","Delayed"),"Pending"))</f>
        <v>0</v>
      </c>
    </row>
    <row r="40" spans="1:15">
      <c r="A40" s="1">
        <v>37</v>
      </c>
      <c r="B40" s="1" t="s">
        <v>1287</v>
      </c>
      <c r="C40" s="5">
        <v>46281</v>
      </c>
      <c r="D40" s="1" t="s">
        <v>102</v>
      </c>
      <c r="E40" s="6" t="s">
        <v>1248</v>
      </c>
      <c r="F40" s="6" t="s">
        <v>58</v>
      </c>
      <c r="G40" s="1" t="s">
        <v>40</v>
      </c>
      <c r="H40" s="1" t="s">
        <v>12</v>
      </c>
      <c r="I40" s="1" t="s">
        <v>162</v>
      </c>
      <c r="J40" s="1" t="s">
        <v>41</v>
      </c>
      <c r="K40" s="1" t="s">
        <v>41</v>
      </c>
      <c r="L40" s="5">
        <v>46292</v>
      </c>
      <c r="M40" s="5">
        <v>46293</v>
      </c>
      <c r="N40" s="1" t="s">
        <v>293</v>
      </c>
      <c r="O40" s="7">
        <f>IF(N40="","",IF(N40="Closed",IF(M40&lt;=L40,"On-Time","Delayed"),"Pending"))</f>
        <v>0</v>
      </c>
    </row>
    <row r="41" spans="1:15">
      <c r="A41" s="1">
        <v>38</v>
      </c>
      <c r="B41" s="1" t="s">
        <v>1288</v>
      </c>
      <c r="C41" s="5">
        <v>46286</v>
      </c>
      <c r="D41" s="1" t="s">
        <v>102</v>
      </c>
      <c r="E41" s="6" t="s">
        <v>1248</v>
      </c>
      <c r="F41" s="6" t="s">
        <v>39</v>
      </c>
      <c r="G41" s="1" t="s">
        <v>77</v>
      </c>
      <c r="H41" s="1" t="s">
        <v>57</v>
      </c>
      <c r="I41" s="1" t="s">
        <v>142</v>
      </c>
      <c r="J41" s="1" t="s">
        <v>66</v>
      </c>
      <c r="K41" s="1" t="s">
        <v>104</v>
      </c>
      <c r="L41" s="5">
        <v>46318</v>
      </c>
      <c r="M41" s="5">
        <v>46292</v>
      </c>
      <c r="N41" s="1" t="s">
        <v>293</v>
      </c>
      <c r="O41" s="7">
        <f>IF(N41="","",IF(N41="Closed",IF(M41&lt;=L41,"On-Time","Delayed"),"Pending"))</f>
        <v>0</v>
      </c>
    </row>
    <row r="42" spans="1:15">
      <c r="A42" s="1">
        <v>39</v>
      </c>
      <c r="B42" s="1" t="s">
        <v>1289</v>
      </c>
      <c r="C42" s="5">
        <v>46317</v>
      </c>
      <c r="D42" s="1" t="s">
        <v>106</v>
      </c>
      <c r="E42" s="6" t="s">
        <v>1257</v>
      </c>
      <c r="F42" s="6" t="s">
        <v>13</v>
      </c>
      <c r="G42" s="1" t="s">
        <v>35</v>
      </c>
      <c r="H42" s="1" t="s">
        <v>64</v>
      </c>
      <c r="I42" s="1" t="s">
        <v>159</v>
      </c>
      <c r="J42" s="1" t="s">
        <v>36</v>
      </c>
      <c r="K42" s="1" t="s">
        <v>104</v>
      </c>
      <c r="L42" s="5">
        <v>46335</v>
      </c>
      <c r="M42" s="5">
        <v>46327</v>
      </c>
      <c r="N42" s="1" t="s">
        <v>293</v>
      </c>
      <c r="O42" s="7">
        <f>IF(N42="","",IF(N42="Closed",IF(M42&lt;=L42,"On-Time","Delayed"),"Pending"))</f>
        <v>0</v>
      </c>
    </row>
    <row r="43" spans="1:15">
      <c r="A43" s="1">
        <v>40</v>
      </c>
      <c r="B43" s="1" t="s">
        <v>1290</v>
      </c>
      <c r="C43" s="5">
        <v>46303</v>
      </c>
      <c r="D43" s="1" t="s">
        <v>106</v>
      </c>
      <c r="E43" s="6" t="s">
        <v>1252</v>
      </c>
      <c r="F43" s="6" t="s">
        <v>65</v>
      </c>
      <c r="G43" s="1" t="s">
        <v>80</v>
      </c>
      <c r="H43" s="1" t="s">
        <v>61</v>
      </c>
      <c r="I43" s="1" t="s">
        <v>154</v>
      </c>
      <c r="J43" s="1" t="s">
        <v>70</v>
      </c>
      <c r="K43" s="1" t="s">
        <v>70</v>
      </c>
      <c r="L43" s="5">
        <v>46323</v>
      </c>
      <c r="M43" s="5">
        <v>46348</v>
      </c>
      <c r="N43" s="1" t="s">
        <v>293</v>
      </c>
      <c r="O43" s="7">
        <f>IF(N43="","",IF(N43="Closed",IF(M43&lt;=L43,"On-Time","Delayed"),"Pending"))</f>
        <v>0</v>
      </c>
    </row>
    <row r="44" spans="1:15">
      <c r="A44" s="1">
        <v>41</v>
      </c>
      <c r="B44" s="1" t="s">
        <v>1291</v>
      </c>
      <c r="C44" s="5">
        <v>46303</v>
      </c>
      <c r="D44" s="1" t="s">
        <v>106</v>
      </c>
      <c r="E44" s="6" t="s">
        <v>1246</v>
      </c>
      <c r="F44" s="6" t="s">
        <v>58</v>
      </c>
      <c r="G44" s="1" t="s">
        <v>31</v>
      </c>
      <c r="H44" s="1" t="s">
        <v>30</v>
      </c>
      <c r="I44" s="1" t="s">
        <v>154</v>
      </c>
      <c r="J44" s="1" t="s">
        <v>68</v>
      </c>
      <c r="K44" s="1" t="s">
        <v>28</v>
      </c>
      <c r="L44" s="5">
        <v>46329</v>
      </c>
      <c r="M44" s="5">
        <v>46336</v>
      </c>
      <c r="N44" s="1" t="s">
        <v>293</v>
      </c>
      <c r="O44" s="7">
        <f>IF(N44="","",IF(N44="Closed",IF(M44&lt;=L44,"On-Time","Delayed"),"Pending"))</f>
        <v>0</v>
      </c>
    </row>
    <row r="45" spans="1:15">
      <c r="A45" s="1">
        <v>42</v>
      </c>
      <c r="B45" s="1" t="s">
        <v>1292</v>
      </c>
      <c r="C45" s="5">
        <v>46312</v>
      </c>
      <c r="D45" s="1" t="s">
        <v>106</v>
      </c>
      <c r="E45" s="6" t="s">
        <v>1252</v>
      </c>
      <c r="F45" s="6" t="s">
        <v>27</v>
      </c>
      <c r="G45" s="1" t="s">
        <v>35</v>
      </c>
      <c r="H45" s="1" t="s">
        <v>30</v>
      </c>
      <c r="I45" s="1" t="s">
        <v>159</v>
      </c>
      <c r="J45" s="1" t="s">
        <v>68</v>
      </c>
      <c r="K45" s="1" t="s">
        <v>70</v>
      </c>
      <c r="L45" s="5">
        <v>46345</v>
      </c>
      <c r="M45" s="5">
        <v>46357</v>
      </c>
      <c r="N45" s="1" t="s">
        <v>293</v>
      </c>
      <c r="O45" s="7">
        <f>IF(N45="","",IF(N45="Closed",IF(M45&lt;=L45,"On-Time","Delayed"),"Pending"))</f>
        <v>0</v>
      </c>
    </row>
    <row r="46" spans="1:15">
      <c r="A46" s="1">
        <v>43</v>
      </c>
      <c r="B46" s="1" t="s">
        <v>1293</v>
      </c>
      <c r="C46" s="5">
        <v>46344</v>
      </c>
      <c r="D46" s="1" t="s">
        <v>111</v>
      </c>
      <c r="E46" s="6" t="s">
        <v>1250</v>
      </c>
      <c r="F46" s="6" t="s">
        <v>89</v>
      </c>
      <c r="G46" s="1" t="s">
        <v>80</v>
      </c>
      <c r="H46" s="1" t="s">
        <v>26</v>
      </c>
      <c r="I46" s="1" t="s">
        <v>159</v>
      </c>
      <c r="J46" s="1" t="s">
        <v>104</v>
      </c>
      <c r="K46" s="1" t="s">
        <v>22</v>
      </c>
      <c r="L46" s="5">
        <v>46352</v>
      </c>
      <c r="M46" s="5">
        <v>46380</v>
      </c>
      <c r="N46" s="1" t="s">
        <v>254</v>
      </c>
      <c r="O46" s="7">
        <f>IF(N46="","",IF(N46="Closed",IF(M46&lt;=L46,"On-Time","Delayed"),"Pending"))</f>
        <v>0</v>
      </c>
    </row>
    <row r="47" spans="1:15">
      <c r="A47" s="1">
        <v>44</v>
      </c>
      <c r="B47" s="1" t="s">
        <v>1294</v>
      </c>
      <c r="C47" s="5">
        <v>46354</v>
      </c>
      <c r="D47" s="1" t="s">
        <v>111</v>
      </c>
      <c r="E47" s="6" t="s">
        <v>1250</v>
      </c>
      <c r="F47" s="6" t="s">
        <v>46</v>
      </c>
      <c r="G47" s="1" t="s">
        <v>87</v>
      </c>
      <c r="H47" s="1" t="s">
        <v>49</v>
      </c>
      <c r="I47" s="1" t="s">
        <v>142</v>
      </c>
      <c r="J47" s="1" t="s">
        <v>68</v>
      </c>
      <c r="K47" s="1" t="s">
        <v>78</v>
      </c>
      <c r="L47" s="5">
        <v>46359</v>
      </c>
      <c r="M47" s="5">
        <v>46362</v>
      </c>
      <c r="N47" s="1" t="s">
        <v>293</v>
      </c>
      <c r="O47" s="7">
        <f>IF(N47="","",IF(N47="Closed",IF(M47&lt;=L47,"On-Time","Delayed"),"Pending"))</f>
        <v>0</v>
      </c>
    </row>
    <row r="48" spans="1:15">
      <c r="A48" s="1">
        <v>45</v>
      </c>
      <c r="B48" s="1" t="s">
        <v>1295</v>
      </c>
      <c r="C48" s="5">
        <v>46375</v>
      </c>
      <c r="D48" s="1" t="s">
        <v>122</v>
      </c>
      <c r="E48" s="6" t="s">
        <v>1252</v>
      </c>
      <c r="F48" s="6" t="s">
        <v>5</v>
      </c>
      <c r="G48" s="1" t="s">
        <v>95</v>
      </c>
      <c r="H48" s="1" t="s">
        <v>12</v>
      </c>
      <c r="I48" s="1" t="s">
        <v>159</v>
      </c>
      <c r="J48" s="1" t="s">
        <v>32</v>
      </c>
      <c r="K48" s="1" t="s">
        <v>41</v>
      </c>
      <c r="L48" s="5">
        <v>46405</v>
      </c>
      <c r="M48" s="5">
        <v>46391</v>
      </c>
      <c r="N48" s="1" t="s">
        <v>254</v>
      </c>
      <c r="O48" s="7">
        <f>IF(N48="","",IF(N48="Closed",IF(M48&lt;=L48,"On-Time","Delayed"),"Pending"))</f>
        <v>0</v>
      </c>
    </row>
    <row r="49" spans="1:15">
      <c r="A49" s="1">
        <v>46</v>
      </c>
      <c r="B49" s="1" t="s">
        <v>1296</v>
      </c>
      <c r="C49" s="5">
        <v>46368</v>
      </c>
      <c r="D49" s="1" t="s">
        <v>122</v>
      </c>
      <c r="E49" s="6" t="s">
        <v>1246</v>
      </c>
      <c r="F49" s="6" t="s">
        <v>46</v>
      </c>
      <c r="G49" s="1" t="s">
        <v>35</v>
      </c>
      <c r="H49" s="1" t="s">
        <v>30</v>
      </c>
      <c r="I49" s="1" t="s">
        <v>159</v>
      </c>
      <c r="J49" s="1" t="s">
        <v>62</v>
      </c>
      <c r="K49" s="1" t="s">
        <v>78</v>
      </c>
      <c r="L49" s="5">
        <v>46410</v>
      </c>
      <c r="M49" s="5">
        <v>46401</v>
      </c>
      <c r="N49" s="1" t="s">
        <v>238</v>
      </c>
      <c r="O49" s="7">
        <f>IF(N49="","",IF(N49="Closed",IF(M49&lt;=L49,"On-Time","Delayed"),"Pending"))</f>
        <v>0</v>
      </c>
    </row>
    <row r="50" spans="1:15">
      <c r="A50" s="1">
        <v>47</v>
      </c>
      <c r="B50" s="1" t="s">
        <v>1297</v>
      </c>
      <c r="C50" s="5">
        <v>46380</v>
      </c>
      <c r="D50" s="1" t="s">
        <v>122</v>
      </c>
      <c r="E50" s="6" t="s">
        <v>1248</v>
      </c>
      <c r="F50" s="6" t="s">
        <v>50</v>
      </c>
      <c r="G50" s="1" t="s">
        <v>31</v>
      </c>
      <c r="H50" s="1" t="s">
        <v>12</v>
      </c>
      <c r="I50" s="1" t="s">
        <v>159</v>
      </c>
      <c r="J50" s="1" t="s">
        <v>28</v>
      </c>
      <c r="K50" s="1" t="s">
        <v>7</v>
      </c>
      <c r="L50" s="5">
        <v>46413</v>
      </c>
      <c r="M50" s="5">
        <v>46404</v>
      </c>
      <c r="N50" s="1" t="s">
        <v>293</v>
      </c>
      <c r="O50" s="7">
        <f>IF(N50="","",IF(N50="Closed",IF(M50&lt;=L50,"On-Time","Delayed"),"Pending"))</f>
        <v>0</v>
      </c>
    </row>
    <row r="51" spans="1:15">
      <c r="A51" s="1">
        <v>48</v>
      </c>
      <c r="B51" s="1" t="s">
        <v>1298</v>
      </c>
      <c r="C51" s="5">
        <v>46361</v>
      </c>
      <c r="D51" s="1" t="s">
        <v>122</v>
      </c>
      <c r="E51" s="6" t="s">
        <v>1252</v>
      </c>
      <c r="F51" s="6" t="s">
        <v>89</v>
      </c>
      <c r="G51" s="1" t="s">
        <v>77</v>
      </c>
      <c r="H51" s="1" t="s">
        <v>12</v>
      </c>
      <c r="I51" s="1" t="s">
        <v>162</v>
      </c>
      <c r="J51" s="1" t="s">
        <v>66</v>
      </c>
      <c r="K51" s="1" t="s">
        <v>7</v>
      </c>
      <c r="L51" s="5">
        <v>46396</v>
      </c>
      <c r="M51" s="5">
        <v>46396</v>
      </c>
      <c r="N51" s="1" t="s">
        <v>293</v>
      </c>
      <c r="O51" s="7">
        <f>IF(N51="","",IF(N51="Closed",IF(M51&lt;=L51,"On-Time","Delayed"),"Pending"))</f>
        <v>0</v>
      </c>
    </row>
    <row r="52" spans="1:15">
      <c r="O52" s="7">
        <f>IF(N52="","",IF(N52="Closed",IF(M52&lt;=L52,"On-Time","Delayed"),"Pending"))</f>
        <v>0</v>
      </c>
    </row>
    <row r="53" spans="1:15">
      <c r="O53" s="7">
        <f>IF(N53="","",IF(N53="Closed",IF(M53&lt;=L53,"On-Time","Delayed"),"Pending"))</f>
        <v>0</v>
      </c>
    </row>
    <row r="54" spans="1:15">
      <c r="O54" s="7">
        <f>IF(N54="","",IF(N54="Closed",IF(M54&lt;=L54,"On-Time","Delayed"),"Pending"))</f>
        <v>0</v>
      </c>
    </row>
    <row r="55" spans="1:15">
      <c r="O55" s="7">
        <f>IF(N55="","",IF(N55="Closed",IF(M55&lt;=L55,"On-Time","Delayed"),"Pending"))</f>
        <v>0</v>
      </c>
    </row>
    <row r="56" spans="1:15">
      <c r="O56" s="7">
        <f>IF(N56="","",IF(N56="Closed",IF(M56&lt;=L56,"On-Time","Delayed"),"Pending"))</f>
        <v>0</v>
      </c>
    </row>
    <row r="57" spans="1:15">
      <c r="O57" s="7">
        <f>IF(N57="","",IF(N57="Closed",IF(M57&lt;=L57,"On-Time","Delayed"),"Pending"))</f>
        <v>0</v>
      </c>
    </row>
    <row r="58" spans="1:15">
      <c r="O58" s="7">
        <f>IF(N58="","",IF(N58="Closed",IF(M58&lt;=L58,"On-Time","Delayed"),"Pending"))</f>
        <v>0</v>
      </c>
    </row>
    <row r="59" spans="1:15">
      <c r="O59" s="7">
        <f>IF(N59="","",IF(N59="Closed",IF(M59&lt;=L59,"On-Time","Delayed"),"Pending"))</f>
        <v>0</v>
      </c>
    </row>
    <row r="60" spans="1:15">
      <c r="O60" s="7">
        <f>IF(N60="","",IF(N60="Closed",IF(M60&lt;=L60,"On-Time","Delayed"),"Pending"))</f>
        <v>0</v>
      </c>
    </row>
    <row r="61" spans="1:15">
      <c r="O61" s="7">
        <f>IF(N61="","",IF(N61="Closed",IF(M61&lt;=L61,"On-Time","Delayed"),"Pending"))</f>
        <v>0</v>
      </c>
    </row>
    <row r="62" spans="1:15">
      <c r="O62" s="7">
        <f>IF(N62="","",IF(N62="Closed",IF(M62&lt;=L62,"On-Time","Delayed"),"Pending"))</f>
        <v>0</v>
      </c>
    </row>
    <row r="63" spans="1:15">
      <c r="O63" s="7">
        <f>IF(N63="","",IF(N63="Closed",IF(M63&lt;=L63,"On-Time","Delayed"),"Pending"))</f>
        <v>0</v>
      </c>
    </row>
    <row r="64" spans="1:15">
      <c r="O64" s="7">
        <f>IF(N64="","",IF(N64="Closed",IF(M64&lt;=L64,"On-Time","Delayed"),"Pending"))</f>
        <v>0</v>
      </c>
    </row>
    <row r="65" spans="15:15">
      <c r="O65" s="7">
        <f>IF(N65="","",IF(N65="Closed",IF(M65&lt;=L65,"On-Time","Delayed"),"Pending"))</f>
        <v>0</v>
      </c>
    </row>
    <row r="66" spans="15:15">
      <c r="O66" s="7">
        <f>IF(N66="","",IF(N66="Closed",IF(M66&lt;=L66,"On-Time","Delayed"),"Pending"))</f>
        <v>0</v>
      </c>
    </row>
    <row r="67" spans="15:15">
      <c r="O67" s="7">
        <f>IF(N67="","",IF(N67="Closed",IF(M67&lt;=L67,"On-Time","Delayed"),"Pending"))</f>
        <v>0</v>
      </c>
    </row>
    <row r="68" spans="15:15">
      <c r="O68" s="7">
        <f>IF(N68="","",IF(N68="Closed",IF(M68&lt;=L68,"On-Time","Delayed"),"Pending"))</f>
        <v>0</v>
      </c>
    </row>
    <row r="69" spans="15:15">
      <c r="O69" s="7">
        <f>IF(N69="","",IF(N69="Closed",IF(M69&lt;=L69,"On-Time","Delayed"),"Pending"))</f>
        <v>0</v>
      </c>
    </row>
    <row r="70" spans="15:15">
      <c r="O70" s="7">
        <f>IF(N70="","",IF(N70="Closed",IF(M70&lt;=L70,"On-Time","Delayed"),"Pending"))</f>
        <v>0</v>
      </c>
    </row>
    <row r="71" spans="15:15">
      <c r="O71" s="7">
        <f>IF(N71="","",IF(N71="Closed",IF(M71&lt;=L71,"On-Time","Delayed"),"Pending"))</f>
        <v>0</v>
      </c>
    </row>
    <row r="72" spans="15:15">
      <c r="O72" s="7">
        <f>IF(N72="","",IF(N72="Closed",IF(M72&lt;=L72,"On-Time","Delayed"),"Pending"))</f>
        <v>0</v>
      </c>
    </row>
    <row r="73" spans="15:15">
      <c r="O73" s="7">
        <f>IF(N73="","",IF(N73="Closed",IF(M73&lt;=L73,"On-Time","Delayed"),"Pending"))</f>
        <v>0</v>
      </c>
    </row>
    <row r="74" spans="15:15">
      <c r="O74" s="7">
        <f>IF(N74="","",IF(N74="Closed",IF(M74&lt;=L74,"On-Time","Delayed"),"Pending"))</f>
        <v>0</v>
      </c>
    </row>
    <row r="75" spans="15:15">
      <c r="O75" s="7">
        <f>IF(N75="","",IF(N75="Closed",IF(M75&lt;=L75,"On-Time","Delayed"),"Pending"))</f>
        <v>0</v>
      </c>
    </row>
    <row r="76" spans="15:15">
      <c r="O76" s="7">
        <f>IF(N76="","",IF(N76="Closed",IF(M76&lt;=L76,"On-Time","Delayed"),"Pending"))</f>
        <v>0</v>
      </c>
    </row>
    <row r="77" spans="15:15">
      <c r="O77" s="7">
        <f>IF(N77="","",IF(N77="Closed",IF(M77&lt;=L77,"On-Time","Delayed"),"Pending"))</f>
        <v>0</v>
      </c>
    </row>
    <row r="78" spans="15:15">
      <c r="O78" s="7">
        <f>IF(N78="","",IF(N78="Closed",IF(M78&lt;=L78,"On-Time","Delayed"),"Pending"))</f>
        <v>0</v>
      </c>
    </row>
    <row r="79" spans="15:15">
      <c r="O79" s="7">
        <f>IF(N79="","",IF(N79="Closed",IF(M79&lt;=L79,"On-Time","Delayed"),"Pending"))</f>
        <v>0</v>
      </c>
    </row>
    <row r="80" spans="15:15">
      <c r="O80" s="7">
        <f>IF(N80="","",IF(N80="Closed",IF(M80&lt;=L80,"On-Time","Delayed"),"Pending"))</f>
        <v>0</v>
      </c>
    </row>
    <row r="81" spans="15:15">
      <c r="O81" s="7">
        <f>IF(N81="","",IF(N81="Closed",IF(M81&lt;=L81,"On-Time","Delayed"),"Pending"))</f>
        <v>0</v>
      </c>
    </row>
    <row r="82" spans="15:15">
      <c r="O82" s="7">
        <f>IF(N82="","",IF(N82="Closed",IF(M82&lt;=L82,"On-Time","Delayed"),"Pending"))</f>
        <v>0</v>
      </c>
    </row>
    <row r="83" spans="15:15">
      <c r="O83" s="7">
        <f>IF(N83="","",IF(N83="Closed",IF(M83&lt;=L83,"On-Time","Delayed"),"Pending"))</f>
        <v>0</v>
      </c>
    </row>
    <row r="84" spans="15:15">
      <c r="O84" s="7">
        <f>IF(N84="","",IF(N84="Closed",IF(M84&lt;=L84,"On-Time","Delayed"),"Pending"))</f>
        <v>0</v>
      </c>
    </row>
    <row r="85" spans="15:15">
      <c r="O85" s="7">
        <f>IF(N85="","",IF(N85="Closed",IF(M85&lt;=L85,"On-Time","Delayed"),"Pending"))</f>
        <v>0</v>
      </c>
    </row>
    <row r="86" spans="15:15">
      <c r="O86" s="7">
        <f>IF(N86="","",IF(N86="Closed",IF(M86&lt;=L86,"On-Time","Delayed"),"Pending"))</f>
        <v>0</v>
      </c>
    </row>
    <row r="87" spans="15:15">
      <c r="O87" s="7">
        <f>IF(N87="","",IF(N87="Closed",IF(M87&lt;=L87,"On-Time","Delayed"),"Pending"))</f>
        <v>0</v>
      </c>
    </row>
    <row r="88" spans="15:15">
      <c r="O88" s="7">
        <f>IF(N88="","",IF(N88="Closed",IF(M88&lt;=L88,"On-Time","Delayed"),"Pending"))</f>
        <v>0</v>
      </c>
    </row>
    <row r="89" spans="15:15">
      <c r="O89" s="7">
        <f>IF(N89="","",IF(N89="Closed",IF(M89&lt;=L89,"On-Time","Delayed"),"Pending"))</f>
        <v>0</v>
      </c>
    </row>
    <row r="90" spans="15:15">
      <c r="O90" s="7">
        <f>IF(N90="","",IF(N90="Closed",IF(M90&lt;=L90,"On-Time","Delayed"),"Pending"))</f>
        <v>0</v>
      </c>
    </row>
    <row r="91" spans="15:15">
      <c r="O91" s="7">
        <f>IF(N91="","",IF(N91="Closed",IF(M91&lt;=L91,"On-Time","Delayed"),"Pending"))</f>
        <v>0</v>
      </c>
    </row>
    <row r="92" spans="15:15">
      <c r="O92" s="7">
        <f>IF(N92="","",IF(N92="Closed",IF(M92&lt;=L92,"On-Time","Delayed"),"Pending"))</f>
        <v>0</v>
      </c>
    </row>
    <row r="93" spans="15:15">
      <c r="O93" s="7">
        <f>IF(N93="","",IF(N93="Closed",IF(M93&lt;=L93,"On-Time","Delayed"),"Pending"))</f>
        <v>0</v>
      </c>
    </row>
    <row r="94" spans="15:15">
      <c r="O94" s="7">
        <f>IF(N94="","",IF(N94="Closed",IF(M94&lt;=L94,"On-Time","Delayed"),"Pending"))</f>
        <v>0</v>
      </c>
    </row>
    <row r="95" spans="15:15">
      <c r="O95" s="7">
        <f>IF(N95="","",IF(N95="Closed",IF(M95&lt;=L95,"On-Time","Delayed"),"Pending"))</f>
        <v>0</v>
      </c>
    </row>
    <row r="96" spans="15:15">
      <c r="O96" s="7">
        <f>IF(N96="","",IF(N96="Closed",IF(M96&lt;=L96,"On-Time","Delayed"),"Pending"))</f>
        <v>0</v>
      </c>
    </row>
    <row r="97" spans="15:15">
      <c r="O97" s="7">
        <f>IF(N97="","",IF(N97="Closed",IF(M97&lt;=L97,"On-Time","Delayed"),"Pending"))</f>
        <v>0</v>
      </c>
    </row>
    <row r="98" spans="15:15">
      <c r="O98" s="7">
        <f>IF(N98="","",IF(N98="Closed",IF(M98&lt;=L98,"On-Time","Delayed"),"Pending"))</f>
        <v>0</v>
      </c>
    </row>
    <row r="99" spans="15:15">
      <c r="O99" s="7">
        <f>IF(N99="","",IF(N99="Closed",IF(M99&lt;=L99,"On-Time","Delayed"),"Pending"))</f>
        <v>0</v>
      </c>
    </row>
    <row r="100" spans="15:15">
      <c r="O100" s="7">
        <f>IF(N100="","",IF(N100="Closed",IF(M100&lt;=L100,"On-Time","Delayed"),"Pending"))</f>
        <v>0</v>
      </c>
    </row>
    <row r="101" spans="15:15">
      <c r="O101" s="7">
        <f>IF(N101="","",IF(N101="Closed",IF(M101&lt;=L101,"On-Time","Delayed"),"Pending"))</f>
        <v>0</v>
      </c>
    </row>
    <row r="102" spans="15:15">
      <c r="O102" s="7">
        <f>IF(N102="","",IF(N102="Closed",IF(M102&lt;=L102,"On-Time","Delayed"),"Pending"))</f>
        <v>0</v>
      </c>
    </row>
    <row r="103" spans="15:15">
      <c r="O103" s="7">
        <f>IF(N103="","",IF(N103="Closed",IF(M103&lt;=L103,"On-Time","Delayed"),"Pending"))</f>
        <v>0</v>
      </c>
    </row>
    <row r="104" spans="15:15">
      <c r="O104" s="7">
        <f>IF(N104="","",IF(N104="Closed",IF(M104&lt;=L104,"On-Time","Delayed"),"Pending"))</f>
        <v>0</v>
      </c>
    </row>
    <row r="105" spans="15:15">
      <c r="O105" s="7">
        <f>IF(N105="","",IF(N105="Closed",IF(M105&lt;=L105,"On-Time","Delayed"),"Pending"))</f>
        <v>0</v>
      </c>
    </row>
    <row r="106" spans="15:15">
      <c r="O106" s="7">
        <f>IF(N106="","",IF(N106="Closed",IF(M106&lt;=L106,"On-Time","Delayed"),"Pending"))</f>
        <v>0</v>
      </c>
    </row>
    <row r="107" spans="15:15">
      <c r="O107" s="7">
        <f>IF(N107="","",IF(N107="Closed",IF(M107&lt;=L107,"On-Time","Delayed"),"Pending"))</f>
        <v>0</v>
      </c>
    </row>
    <row r="108" spans="15:15">
      <c r="O108" s="7">
        <f>IF(N108="","",IF(N108="Closed",IF(M108&lt;=L108,"On-Time","Delayed"),"Pending"))</f>
        <v>0</v>
      </c>
    </row>
    <row r="109" spans="15:15">
      <c r="O109" s="7">
        <f>IF(N109="","",IF(N109="Closed",IF(M109&lt;=L109,"On-Time","Delayed"),"Pending"))</f>
        <v>0</v>
      </c>
    </row>
    <row r="110" spans="15:15">
      <c r="O110" s="7">
        <f>IF(N110="","",IF(N110="Closed",IF(M110&lt;=L110,"On-Time","Delayed"),"Pending"))</f>
        <v>0</v>
      </c>
    </row>
    <row r="111" spans="15:15">
      <c r="O111" s="7">
        <f>IF(N111="","",IF(N111="Closed",IF(M111&lt;=L111,"On-Time","Delayed"),"Pending"))</f>
        <v>0</v>
      </c>
    </row>
    <row r="112" spans="15:15">
      <c r="O112" s="7">
        <f>IF(N112="","",IF(N112="Closed",IF(M112&lt;=L112,"On-Time","Delayed"),"Pending"))</f>
        <v>0</v>
      </c>
    </row>
    <row r="113" spans="15:15">
      <c r="O113" s="7">
        <f>IF(N113="","",IF(N113="Closed",IF(M113&lt;=L113,"On-Time","Delayed"),"Pending"))</f>
        <v>0</v>
      </c>
    </row>
    <row r="114" spans="15:15">
      <c r="O114" s="7">
        <f>IF(N114="","",IF(N114="Closed",IF(M114&lt;=L114,"On-Time","Delayed"),"Pending"))</f>
        <v>0</v>
      </c>
    </row>
    <row r="115" spans="15:15">
      <c r="O115" s="7">
        <f>IF(N115="","",IF(N115="Closed",IF(M115&lt;=L115,"On-Time","Delayed"),"Pending"))</f>
        <v>0</v>
      </c>
    </row>
    <row r="116" spans="15:15">
      <c r="O116" s="7">
        <f>IF(N116="","",IF(N116="Closed",IF(M116&lt;=L116,"On-Time","Delayed"),"Pending"))</f>
        <v>0</v>
      </c>
    </row>
    <row r="117" spans="15:15">
      <c r="O117" s="7">
        <f>IF(N117="","",IF(N117="Closed",IF(M117&lt;=L117,"On-Time","Delayed"),"Pending"))</f>
        <v>0</v>
      </c>
    </row>
    <row r="118" spans="15:15">
      <c r="O118" s="7">
        <f>IF(N118="","",IF(N118="Closed",IF(M118&lt;=L118,"On-Time","Delayed"),"Pending"))</f>
        <v>0</v>
      </c>
    </row>
    <row r="119" spans="15:15">
      <c r="O119" s="7">
        <f>IF(N119="","",IF(N119="Closed",IF(M119&lt;=L119,"On-Time","Delayed"),"Pending"))</f>
        <v>0</v>
      </c>
    </row>
    <row r="120" spans="15:15">
      <c r="O120" s="7">
        <f>IF(N120="","",IF(N120="Closed",IF(M120&lt;=L120,"On-Time","Delayed"),"Pending"))</f>
        <v>0</v>
      </c>
    </row>
    <row r="121" spans="15:15">
      <c r="O121" s="7">
        <f>IF(N121="","",IF(N121="Closed",IF(M121&lt;=L121,"On-Time","Delayed"),"Pending"))</f>
        <v>0</v>
      </c>
    </row>
    <row r="122" spans="15:15">
      <c r="O122" s="7">
        <f>IF(N122="","",IF(N122="Closed",IF(M122&lt;=L122,"On-Time","Delayed"),"Pending"))</f>
        <v>0</v>
      </c>
    </row>
    <row r="123" spans="15:15">
      <c r="O123" s="7">
        <f>IF(N123="","",IF(N123="Closed",IF(M123&lt;=L123,"On-Time","Delayed"),"Pending"))</f>
        <v>0</v>
      </c>
    </row>
    <row r="124" spans="15:15">
      <c r="O124" s="7">
        <f>IF(N124="","",IF(N124="Closed",IF(M124&lt;=L124,"On-Time","Delayed"),"Pending"))</f>
        <v>0</v>
      </c>
    </row>
    <row r="125" spans="15:15">
      <c r="O125" s="7">
        <f>IF(N125="","",IF(N125="Closed",IF(M125&lt;=L125,"On-Time","Delayed"),"Pending"))</f>
        <v>0</v>
      </c>
    </row>
    <row r="126" spans="15:15">
      <c r="O126" s="7">
        <f>IF(N126="","",IF(N126="Closed",IF(M126&lt;=L126,"On-Time","Delayed"),"Pending"))</f>
        <v>0</v>
      </c>
    </row>
    <row r="127" spans="15:15">
      <c r="O127" s="7">
        <f>IF(N127="","",IF(N127="Closed",IF(M127&lt;=L127,"On-Time","Delayed"),"Pending"))</f>
        <v>0</v>
      </c>
    </row>
    <row r="128" spans="15:15">
      <c r="O128" s="7">
        <f>IF(N128="","",IF(N128="Closed",IF(M128&lt;=L128,"On-Time","Delayed"),"Pending"))</f>
        <v>0</v>
      </c>
    </row>
    <row r="129" spans="15:15">
      <c r="O129" s="7">
        <f>IF(N129="","",IF(N129="Closed",IF(M129&lt;=L129,"On-Time","Delayed"),"Pending"))</f>
        <v>0</v>
      </c>
    </row>
    <row r="130" spans="15:15">
      <c r="O130" s="7">
        <f>IF(N130="","",IF(N130="Closed",IF(M130&lt;=L130,"On-Time","Delayed"),"Pending"))</f>
        <v>0</v>
      </c>
    </row>
    <row r="131" spans="15:15">
      <c r="O131" s="7">
        <f>IF(N131="","",IF(N131="Closed",IF(M131&lt;=L131,"On-Time","Delayed"),"Pending"))</f>
        <v>0</v>
      </c>
    </row>
    <row r="132" spans="15:15">
      <c r="O132" s="7">
        <f>IF(N132="","",IF(N132="Closed",IF(M132&lt;=L132,"On-Time","Delayed"),"Pending"))</f>
        <v>0</v>
      </c>
    </row>
    <row r="133" spans="15:15">
      <c r="O133" s="7">
        <f>IF(N133="","",IF(N133="Closed",IF(M133&lt;=L133,"On-Time","Delayed"),"Pending"))</f>
        <v>0</v>
      </c>
    </row>
    <row r="134" spans="15:15">
      <c r="O134" s="7">
        <f>IF(N134="","",IF(N134="Closed",IF(M134&lt;=L134,"On-Time","Delayed"),"Pending"))</f>
        <v>0</v>
      </c>
    </row>
    <row r="135" spans="15:15">
      <c r="O135" s="7">
        <f>IF(N135="","",IF(N135="Closed",IF(M135&lt;=L135,"On-Time","Delayed"),"Pending"))</f>
        <v>0</v>
      </c>
    </row>
    <row r="136" spans="15:15">
      <c r="O136" s="7">
        <f>IF(N136="","",IF(N136="Closed",IF(M136&lt;=L136,"On-Time","Delayed"),"Pending"))</f>
        <v>0</v>
      </c>
    </row>
    <row r="137" spans="15:15">
      <c r="O137" s="7">
        <f>IF(N137="","",IF(N137="Closed",IF(M137&lt;=L137,"On-Time","Delayed"),"Pending"))</f>
        <v>0</v>
      </c>
    </row>
    <row r="138" spans="15:15">
      <c r="O138" s="7">
        <f>IF(N138="","",IF(N138="Closed",IF(M138&lt;=L138,"On-Time","Delayed"),"Pending"))</f>
        <v>0</v>
      </c>
    </row>
    <row r="139" spans="15:15">
      <c r="O139" s="7">
        <f>IF(N139="","",IF(N139="Closed",IF(M139&lt;=L139,"On-Time","Delayed"),"Pending"))</f>
        <v>0</v>
      </c>
    </row>
    <row r="140" spans="15:15">
      <c r="O140" s="7">
        <f>IF(N140="","",IF(N140="Closed",IF(M140&lt;=L140,"On-Time","Delayed"),"Pending"))</f>
        <v>0</v>
      </c>
    </row>
    <row r="141" spans="15:15">
      <c r="O141" s="7">
        <f>IF(N141="","",IF(N141="Closed",IF(M141&lt;=L141,"On-Time","Delayed"),"Pending"))</f>
        <v>0</v>
      </c>
    </row>
    <row r="142" spans="15:15">
      <c r="O142" s="7">
        <f>IF(N142="","",IF(N142="Closed",IF(M142&lt;=L142,"On-Time","Delayed"),"Pending"))</f>
        <v>0</v>
      </c>
    </row>
    <row r="143" spans="15:15">
      <c r="O143" s="7">
        <f>IF(N143="","",IF(N143="Closed",IF(M143&lt;=L143,"On-Time","Delayed"),"Pending"))</f>
        <v>0</v>
      </c>
    </row>
    <row r="144" spans="15:15">
      <c r="O144" s="7">
        <f>IF(N144="","",IF(N144="Closed",IF(M144&lt;=L144,"On-Time","Delayed"),"Pending"))</f>
        <v>0</v>
      </c>
    </row>
    <row r="145" spans="15:15">
      <c r="O145" s="7">
        <f>IF(N145="","",IF(N145="Closed",IF(M145&lt;=L145,"On-Time","Delayed"),"Pending"))</f>
        <v>0</v>
      </c>
    </row>
    <row r="146" spans="15:15">
      <c r="O146" s="7">
        <f>IF(N146="","",IF(N146="Closed",IF(M146&lt;=L146,"On-Time","Delayed"),"Pending"))</f>
        <v>0</v>
      </c>
    </row>
    <row r="147" spans="15:15">
      <c r="O147" s="7">
        <f>IF(N147="","",IF(N147="Closed",IF(M147&lt;=L147,"On-Time","Delayed"),"Pending"))</f>
        <v>0</v>
      </c>
    </row>
    <row r="148" spans="15:15">
      <c r="O148" s="7">
        <f>IF(N148="","",IF(N148="Closed",IF(M148&lt;=L148,"On-Time","Delayed"),"Pending"))</f>
        <v>0</v>
      </c>
    </row>
    <row r="149" spans="15:15">
      <c r="O149" s="7">
        <f>IF(N149="","",IF(N149="Closed",IF(M149&lt;=L149,"On-Time","Delayed"),"Pending"))</f>
        <v>0</v>
      </c>
    </row>
    <row r="150" spans="15:15">
      <c r="O150" s="7">
        <f>IF(N150="","",IF(N150="Closed",IF(M150&lt;=L150,"On-Time","Delayed"),"Pending"))</f>
        <v>0</v>
      </c>
    </row>
    <row r="151" spans="15:15">
      <c r="O151" s="7">
        <f>IF(N151="","",IF(N151="Closed",IF(M151&lt;=L151,"On-Time","Delayed"),"Pending"))</f>
        <v>0</v>
      </c>
    </row>
    <row r="152" spans="15:15">
      <c r="O152" s="7">
        <f>IF(N152="","",IF(N152="Closed",IF(M152&lt;=L152,"On-Time","Delayed"),"Pending"))</f>
        <v>0</v>
      </c>
    </row>
    <row r="153" spans="15:15">
      <c r="O153" s="7">
        <f>IF(N153="","",IF(N153="Closed",IF(M153&lt;=L153,"On-Time","Delayed"),"Pending"))</f>
        <v>0</v>
      </c>
    </row>
    <row r="154" spans="15:15">
      <c r="O154" s="7">
        <f>IF(N154="","",IF(N154="Closed",IF(M154&lt;=L154,"On-Time","Delayed"),"Pending"))</f>
        <v>0</v>
      </c>
    </row>
    <row r="155" spans="15:15">
      <c r="O155" s="7">
        <f>IF(N155="","",IF(N155="Closed",IF(M155&lt;=L155,"On-Time","Delayed"),"Pending"))</f>
        <v>0</v>
      </c>
    </row>
    <row r="156" spans="15:15">
      <c r="O156" s="7">
        <f>IF(N156="","",IF(N156="Closed",IF(M156&lt;=L156,"On-Time","Delayed"),"Pending"))</f>
        <v>0</v>
      </c>
    </row>
    <row r="157" spans="15:15">
      <c r="O157" s="7">
        <f>IF(N157="","",IF(N157="Closed",IF(M157&lt;=L157,"On-Time","Delayed"),"Pending"))</f>
        <v>0</v>
      </c>
    </row>
    <row r="158" spans="15:15">
      <c r="O158" s="7">
        <f>IF(N158="","",IF(N158="Closed",IF(M158&lt;=L158,"On-Time","Delayed"),"Pending"))</f>
        <v>0</v>
      </c>
    </row>
    <row r="159" spans="15:15">
      <c r="O159" s="7">
        <f>IF(N159="","",IF(N159="Closed",IF(M159&lt;=L159,"On-Time","Delayed"),"Pending"))</f>
        <v>0</v>
      </c>
    </row>
    <row r="160" spans="15:15">
      <c r="O160" s="7">
        <f>IF(N160="","",IF(N160="Closed",IF(M160&lt;=L160,"On-Time","Delayed"),"Pending"))</f>
        <v>0</v>
      </c>
    </row>
    <row r="161" spans="15:15">
      <c r="O161" s="7">
        <f>IF(N161="","",IF(N161="Closed",IF(M161&lt;=L161,"On-Time","Delayed"),"Pending"))</f>
        <v>0</v>
      </c>
    </row>
    <row r="162" spans="15:15">
      <c r="O162" s="7">
        <f>IF(N162="","",IF(N162="Closed",IF(M162&lt;=L162,"On-Time","Delayed"),"Pending"))</f>
        <v>0</v>
      </c>
    </row>
    <row r="163" spans="15:15">
      <c r="O163" s="7">
        <f>IF(N163="","",IF(N163="Closed",IF(M163&lt;=L163,"On-Time","Delayed"),"Pending"))</f>
        <v>0</v>
      </c>
    </row>
    <row r="164" spans="15:15">
      <c r="O164" s="7">
        <f>IF(N164="","",IF(N164="Closed",IF(M164&lt;=L164,"On-Time","Delayed"),"Pending"))</f>
        <v>0</v>
      </c>
    </row>
    <row r="165" spans="15:15">
      <c r="O165" s="7">
        <f>IF(N165="","",IF(N165="Closed",IF(M165&lt;=L165,"On-Time","Delayed"),"Pending"))</f>
        <v>0</v>
      </c>
    </row>
    <row r="166" spans="15:15">
      <c r="O166" s="7">
        <f>IF(N166="","",IF(N166="Closed",IF(M166&lt;=L166,"On-Time","Delayed"),"Pending"))</f>
        <v>0</v>
      </c>
    </row>
    <row r="167" spans="15:15">
      <c r="O167" s="7">
        <f>IF(N167="","",IF(N167="Closed",IF(M167&lt;=L167,"On-Time","Delayed"),"Pending"))</f>
        <v>0</v>
      </c>
    </row>
    <row r="168" spans="15:15">
      <c r="O168" s="7">
        <f>IF(N168="","",IF(N168="Closed",IF(M168&lt;=L168,"On-Time","Delayed"),"Pending"))</f>
        <v>0</v>
      </c>
    </row>
    <row r="169" spans="15:15">
      <c r="O169" s="7">
        <f>IF(N169="","",IF(N169="Closed",IF(M169&lt;=L169,"On-Time","Delayed"),"Pending"))</f>
        <v>0</v>
      </c>
    </row>
    <row r="170" spans="15:15">
      <c r="O170" s="7">
        <f>IF(N170="","",IF(N170="Closed",IF(M170&lt;=L170,"On-Time","Delayed"),"Pending"))</f>
        <v>0</v>
      </c>
    </row>
    <row r="171" spans="15:15">
      <c r="O171" s="7">
        <f>IF(N171="","",IF(N171="Closed",IF(M171&lt;=L171,"On-Time","Delayed"),"Pending"))</f>
        <v>0</v>
      </c>
    </row>
    <row r="172" spans="15:15">
      <c r="O172" s="7">
        <f>IF(N172="","",IF(N172="Closed",IF(M172&lt;=L172,"On-Time","Delayed"),"Pending"))</f>
        <v>0</v>
      </c>
    </row>
    <row r="173" spans="15:15">
      <c r="O173" s="7">
        <f>IF(N173="","",IF(N173="Closed",IF(M173&lt;=L173,"On-Time","Delayed"),"Pending"))</f>
        <v>0</v>
      </c>
    </row>
    <row r="174" spans="15:15">
      <c r="O174" s="7">
        <f>IF(N174="","",IF(N174="Closed",IF(M174&lt;=L174,"On-Time","Delayed"),"Pending"))</f>
        <v>0</v>
      </c>
    </row>
    <row r="175" spans="15:15">
      <c r="O175" s="7">
        <f>IF(N175="","",IF(N175="Closed",IF(M175&lt;=L175,"On-Time","Delayed"),"Pending"))</f>
        <v>0</v>
      </c>
    </row>
    <row r="176" spans="15:15">
      <c r="O176" s="7">
        <f>IF(N176="","",IF(N176="Closed",IF(M176&lt;=L176,"On-Time","Delayed"),"Pending"))</f>
        <v>0</v>
      </c>
    </row>
    <row r="177" spans="15:15">
      <c r="O177" s="7">
        <f>IF(N177="","",IF(N177="Closed",IF(M177&lt;=L177,"On-Time","Delayed"),"Pending"))</f>
        <v>0</v>
      </c>
    </row>
    <row r="178" spans="15:15">
      <c r="O178" s="7">
        <f>IF(N178="","",IF(N178="Closed",IF(M178&lt;=L178,"On-Time","Delayed"),"Pending"))</f>
        <v>0</v>
      </c>
    </row>
    <row r="179" spans="15:15">
      <c r="O179" s="7">
        <f>IF(N179="","",IF(N179="Closed",IF(M179&lt;=L179,"On-Time","Delayed"),"Pending"))</f>
        <v>0</v>
      </c>
    </row>
    <row r="180" spans="15:15">
      <c r="O180" s="7">
        <f>IF(N180="","",IF(N180="Closed",IF(M180&lt;=L180,"On-Time","Delayed"),"Pending"))</f>
        <v>0</v>
      </c>
    </row>
    <row r="181" spans="15:15">
      <c r="O181" s="7">
        <f>IF(N181="","",IF(N181="Closed",IF(M181&lt;=L181,"On-Time","Delayed"),"Pending"))</f>
        <v>0</v>
      </c>
    </row>
    <row r="182" spans="15:15">
      <c r="O182" s="7">
        <f>IF(N182="","",IF(N182="Closed",IF(M182&lt;=L182,"On-Time","Delayed"),"Pending"))</f>
        <v>0</v>
      </c>
    </row>
    <row r="183" spans="15:15">
      <c r="O183" s="7">
        <f>IF(N183="","",IF(N183="Closed",IF(M183&lt;=L183,"On-Time","Delayed"),"Pending"))</f>
        <v>0</v>
      </c>
    </row>
    <row r="184" spans="15:15">
      <c r="O184" s="7">
        <f>IF(N184="","",IF(N184="Closed",IF(M184&lt;=L184,"On-Time","Delayed"),"Pending"))</f>
        <v>0</v>
      </c>
    </row>
    <row r="185" spans="15:15">
      <c r="O185" s="7">
        <f>IF(N185="","",IF(N185="Closed",IF(M185&lt;=L185,"On-Time","Delayed"),"Pending"))</f>
        <v>0</v>
      </c>
    </row>
    <row r="186" spans="15:15">
      <c r="O186" s="7">
        <f>IF(N186="","",IF(N186="Closed",IF(M186&lt;=L186,"On-Time","Delayed"),"Pending"))</f>
        <v>0</v>
      </c>
    </row>
    <row r="187" spans="15:15">
      <c r="O187" s="7">
        <f>IF(N187="","",IF(N187="Closed",IF(M187&lt;=L187,"On-Time","Delayed"),"Pending"))</f>
        <v>0</v>
      </c>
    </row>
    <row r="188" spans="15:15">
      <c r="O188" s="7">
        <f>IF(N188="","",IF(N188="Closed",IF(M188&lt;=L188,"On-Time","Delayed"),"Pending"))</f>
        <v>0</v>
      </c>
    </row>
    <row r="189" spans="15:15">
      <c r="O189" s="7">
        <f>IF(N189="","",IF(N189="Closed",IF(M189&lt;=L189,"On-Time","Delayed"),"Pending"))</f>
        <v>0</v>
      </c>
    </row>
    <row r="190" spans="15:15">
      <c r="O190" s="7">
        <f>IF(N190="","",IF(N190="Closed",IF(M190&lt;=L190,"On-Time","Delayed"),"Pending"))</f>
        <v>0</v>
      </c>
    </row>
    <row r="191" spans="15:15">
      <c r="O191" s="7">
        <f>IF(N191="","",IF(N191="Closed",IF(M191&lt;=L191,"On-Time","Delayed"),"Pending"))</f>
        <v>0</v>
      </c>
    </row>
    <row r="192" spans="15:15">
      <c r="O192" s="7">
        <f>IF(N192="","",IF(N192="Closed",IF(M192&lt;=L192,"On-Time","Delayed"),"Pending"))</f>
        <v>0</v>
      </c>
    </row>
    <row r="193" spans="15:15">
      <c r="O193" s="7">
        <f>IF(N193="","",IF(N193="Closed",IF(M193&lt;=L193,"On-Time","Delayed"),"Pending"))</f>
        <v>0</v>
      </c>
    </row>
    <row r="194" spans="15:15">
      <c r="O194" s="7">
        <f>IF(N194="","",IF(N194="Closed",IF(M194&lt;=L194,"On-Time","Delayed"),"Pending"))</f>
        <v>0</v>
      </c>
    </row>
    <row r="195" spans="15:15">
      <c r="O195" s="7">
        <f>IF(N195="","",IF(N195="Closed",IF(M195&lt;=L195,"On-Time","Delayed"),"Pending"))</f>
        <v>0</v>
      </c>
    </row>
    <row r="196" spans="15:15">
      <c r="O196" s="7">
        <f>IF(N196="","",IF(N196="Closed",IF(M196&lt;=L196,"On-Time","Delayed"),"Pending"))</f>
        <v>0</v>
      </c>
    </row>
    <row r="197" spans="15:15">
      <c r="O197" s="7">
        <f>IF(N197="","",IF(N197="Closed",IF(M197&lt;=L197,"On-Time","Delayed"),"Pending"))</f>
        <v>0</v>
      </c>
    </row>
    <row r="198" spans="15:15">
      <c r="O198" s="7">
        <f>IF(N198="","",IF(N198="Closed",IF(M198&lt;=L198,"On-Time","Delayed"),"Pending"))</f>
        <v>0</v>
      </c>
    </row>
    <row r="199" spans="15:15">
      <c r="O199" s="7">
        <f>IF(N199="","",IF(N199="Closed",IF(M199&lt;=L199,"On-Time","Delayed"),"Pending"))</f>
        <v>0</v>
      </c>
    </row>
    <row r="200" spans="15:15">
      <c r="O200" s="7">
        <f>IF(N200="","",IF(N200="Closed",IF(M200&lt;=L200,"On-Time","Delayed"),"Pending"))</f>
        <v>0</v>
      </c>
    </row>
    <row r="201" spans="15:15">
      <c r="O201" s="7">
        <f>IF(N201="","",IF(N201="Closed",IF(M201&lt;=L201,"On-Time","Delayed"),"Pending"))</f>
        <v>0</v>
      </c>
    </row>
    <row r="202" spans="15:15">
      <c r="O202" s="7">
        <f>IF(N202="","",IF(N202="Closed",IF(M202&lt;=L202,"On-Time","Delayed"),"Pending"))</f>
        <v>0</v>
      </c>
    </row>
    <row r="203" spans="15:15">
      <c r="O203" s="7">
        <f>IF(N203="","",IF(N203="Closed",IF(M203&lt;=L203,"On-Time","Delayed"),"Pending"))</f>
        <v>0</v>
      </c>
    </row>
    <row r="204" spans="15:15">
      <c r="O204" s="7">
        <f>IF(N204="","",IF(N204="Closed",IF(M204&lt;=L204,"On-Time","Delayed"),"Pending"))</f>
        <v>0</v>
      </c>
    </row>
    <row r="205" spans="15:15">
      <c r="O205" s="7">
        <f>IF(N205="","",IF(N205="Closed",IF(M205&lt;=L205,"On-Time","Delayed"),"Pending"))</f>
        <v>0</v>
      </c>
    </row>
    <row r="206" spans="15:15">
      <c r="O206" s="7">
        <f>IF(N206="","",IF(N206="Closed",IF(M206&lt;=L206,"On-Time","Delayed"),"Pending"))</f>
        <v>0</v>
      </c>
    </row>
    <row r="207" spans="15:15">
      <c r="O207" s="7">
        <f>IF(N207="","",IF(N207="Closed",IF(M207&lt;=L207,"On-Time","Delayed"),"Pending"))</f>
        <v>0</v>
      </c>
    </row>
    <row r="208" spans="15:15">
      <c r="O208" s="7">
        <f>IF(N208="","",IF(N208="Closed",IF(M208&lt;=L208,"On-Time","Delayed"),"Pending"))</f>
        <v>0</v>
      </c>
    </row>
    <row r="209" spans="15:15">
      <c r="O209" s="7">
        <f>IF(N209="","",IF(N209="Closed",IF(M209&lt;=L209,"On-Time","Delayed"),"Pending"))</f>
        <v>0</v>
      </c>
    </row>
    <row r="210" spans="15:15">
      <c r="O210" s="7">
        <f>IF(N210="","",IF(N210="Closed",IF(M210&lt;=L210,"On-Time","Delayed"),"Pending"))</f>
        <v>0</v>
      </c>
    </row>
    <row r="211" spans="15:15">
      <c r="O211" s="7">
        <f>IF(N211="","",IF(N211="Closed",IF(M211&lt;=L211,"On-Time","Delayed"),"Pending"))</f>
        <v>0</v>
      </c>
    </row>
    <row r="212" spans="15:15">
      <c r="O212" s="7">
        <f>IF(N212="","",IF(N212="Closed",IF(M212&lt;=L212,"On-Time","Delayed"),"Pending"))</f>
        <v>0</v>
      </c>
    </row>
    <row r="213" spans="15:15">
      <c r="O213" s="7">
        <f>IF(N213="","",IF(N213="Closed",IF(M213&lt;=L213,"On-Time","Delayed"),"Pending"))</f>
        <v>0</v>
      </c>
    </row>
    <row r="214" spans="15:15">
      <c r="O214" s="7">
        <f>IF(N214="","",IF(N214="Closed",IF(M214&lt;=L214,"On-Time","Delayed"),"Pending"))</f>
        <v>0</v>
      </c>
    </row>
    <row r="215" spans="15:15">
      <c r="O215" s="7">
        <f>IF(N215="","",IF(N215="Closed",IF(M215&lt;=L215,"On-Time","Delayed"),"Pending"))</f>
        <v>0</v>
      </c>
    </row>
    <row r="216" spans="15:15">
      <c r="O216" s="7">
        <f>IF(N216="","",IF(N216="Closed",IF(M216&lt;=L216,"On-Time","Delayed"),"Pending"))</f>
        <v>0</v>
      </c>
    </row>
    <row r="217" spans="15:15">
      <c r="O217" s="7">
        <f>IF(N217="","",IF(N217="Closed",IF(M217&lt;=L217,"On-Time","Delayed"),"Pending"))</f>
        <v>0</v>
      </c>
    </row>
    <row r="218" spans="15:15">
      <c r="O218" s="7">
        <f>IF(N218="","",IF(N218="Closed",IF(M218&lt;=L218,"On-Time","Delayed"),"Pending"))</f>
        <v>0</v>
      </c>
    </row>
    <row r="219" spans="15:15">
      <c r="O219" s="7">
        <f>IF(N219="","",IF(N219="Closed",IF(M219&lt;=L219,"On-Time","Delayed"),"Pending"))</f>
        <v>0</v>
      </c>
    </row>
    <row r="220" spans="15:15">
      <c r="O220" s="7">
        <f>IF(N220="","",IF(N220="Closed",IF(M220&lt;=L220,"On-Time","Delayed"),"Pending"))</f>
        <v>0</v>
      </c>
    </row>
    <row r="221" spans="15:15">
      <c r="O221" s="7">
        <f>IF(N221="","",IF(N221="Closed",IF(M221&lt;=L221,"On-Time","Delayed"),"Pending"))</f>
        <v>0</v>
      </c>
    </row>
    <row r="222" spans="15:15">
      <c r="O222" s="7">
        <f>IF(N222="","",IF(N222="Closed",IF(M222&lt;=L222,"On-Time","Delayed"),"Pending"))</f>
        <v>0</v>
      </c>
    </row>
    <row r="223" spans="15:15">
      <c r="O223" s="7">
        <f>IF(N223="","",IF(N223="Closed",IF(M223&lt;=L223,"On-Time","Delayed"),"Pending"))</f>
        <v>0</v>
      </c>
    </row>
    <row r="224" spans="15:15">
      <c r="O224" s="7">
        <f>IF(N224="","",IF(N224="Closed",IF(M224&lt;=L224,"On-Time","Delayed"),"Pending"))</f>
        <v>0</v>
      </c>
    </row>
    <row r="225" spans="15:15">
      <c r="O225" s="7">
        <f>IF(N225="","",IF(N225="Closed",IF(M225&lt;=L225,"On-Time","Delayed"),"Pending"))</f>
        <v>0</v>
      </c>
    </row>
    <row r="226" spans="15:15">
      <c r="O226" s="7">
        <f>IF(N226="","",IF(N226="Closed",IF(M226&lt;=L226,"On-Time","Delayed"),"Pending"))</f>
        <v>0</v>
      </c>
    </row>
    <row r="227" spans="15:15">
      <c r="O227" s="7">
        <f>IF(N227="","",IF(N227="Closed",IF(M227&lt;=L227,"On-Time","Delayed"),"Pending"))</f>
        <v>0</v>
      </c>
    </row>
    <row r="228" spans="15:15">
      <c r="O228" s="7">
        <f>IF(N228="","",IF(N228="Closed",IF(M228&lt;=L228,"On-Time","Delayed"),"Pending"))</f>
        <v>0</v>
      </c>
    </row>
    <row r="229" spans="15:15">
      <c r="O229" s="7">
        <f>IF(N229="","",IF(N229="Closed",IF(M229&lt;=L229,"On-Time","Delayed"),"Pending"))</f>
        <v>0</v>
      </c>
    </row>
    <row r="230" spans="15:15">
      <c r="O230" s="7">
        <f>IF(N230="","",IF(N230="Closed",IF(M230&lt;=L230,"On-Time","Delayed"),"Pending"))</f>
        <v>0</v>
      </c>
    </row>
    <row r="231" spans="15:15">
      <c r="O231" s="7">
        <f>IF(N231="","",IF(N231="Closed",IF(M231&lt;=L231,"On-Time","Delayed"),"Pending"))</f>
        <v>0</v>
      </c>
    </row>
    <row r="232" spans="15:15">
      <c r="O232" s="7">
        <f>IF(N232="","",IF(N232="Closed",IF(M232&lt;=L232,"On-Time","Delayed"),"Pending"))</f>
        <v>0</v>
      </c>
    </row>
    <row r="233" spans="15:15">
      <c r="O233" s="7">
        <f>IF(N233="","",IF(N233="Closed",IF(M233&lt;=L233,"On-Time","Delayed"),"Pending"))</f>
        <v>0</v>
      </c>
    </row>
    <row r="234" spans="15:15">
      <c r="O234" s="7">
        <f>IF(N234="","",IF(N234="Closed",IF(M234&lt;=L234,"On-Time","Delayed"),"Pending"))</f>
        <v>0</v>
      </c>
    </row>
    <row r="235" spans="15:15">
      <c r="O235" s="7">
        <f>IF(N235="","",IF(N235="Closed",IF(M235&lt;=L235,"On-Time","Delayed"),"Pending"))</f>
        <v>0</v>
      </c>
    </row>
    <row r="236" spans="15:15">
      <c r="O236" s="7">
        <f>IF(N236="","",IF(N236="Closed",IF(M236&lt;=L236,"On-Time","Delayed"),"Pending"))</f>
        <v>0</v>
      </c>
    </row>
    <row r="237" spans="15:15">
      <c r="O237" s="7">
        <f>IF(N237="","",IF(N237="Closed",IF(M237&lt;=L237,"On-Time","Delayed"),"Pending"))</f>
        <v>0</v>
      </c>
    </row>
    <row r="238" spans="15:15">
      <c r="O238" s="7">
        <f>IF(N238="","",IF(N238="Closed",IF(M238&lt;=L238,"On-Time","Delayed"),"Pending"))</f>
        <v>0</v>
      </c>
    </row>
    <row r="239" spans="15:15">
      <c r="O239" s="7">
        <f>IF(N239="","",IF(N239="Closed",IF(M239&lt;=L239,"On-Time","Delayed"),"Pending"))</f>
        <v>0</v>
      </c>
    </row>
    <row r="240" spans="15:15">
      <c r="O240" s="7">
        <f>IF(N240="","",IF(N240="Closed",IF(M240&lt;=L240,"On-Time","Delayed"),"Pending"))</f>
        <v>0</v>
      </c>
    </row>
    <row r="241" spans="15:15">
      <c r="O241" s="7">
        <f>IF(N241="","",IF(N241="Closed",IF(M241&lt;=L241,"On-Time","Delayed"),"Pending"))</f>
        <v>0</v>
      </c>
    </row>
    <row r="242" spans="15:15">
      <c r="O242" s="7">
        <f>IF(N242="","",IF(N242="Closed",IF(M242&lt;=L242,"On-Time","Delayed"),"Pending"))</f>
        <v>0</v>
      </c>
    </row>
    <row r="243" spans="15:15">
      <c r="O243" s="7">
        <f>IF(N243="","",IF(N243="Closed",IF(M243&lt;=L243,"On-Time","Delayed"),"Pending"))</f>
        <v>0</v>
      </c>
    </row>
    <row r="244" spans="15:15">
      <c r="O244" s="7">
        <f>IF(N244="","",IF(N244="Closed",IF(M244&lt;=L244,"On-Time","Delayed"),"Pending"))</f>
        <v>0</v>
      </c>
    </row>
    <row r="245" spans="15:15">
      <c r="O245" s="7">
        <f>IF(N245="","",IF(N245="Closed",IF(M245&lt;=L245,"On-Time","Delayed"),"Pending"))</f>
        <v>0</v>
      </c>
    </row>
    <row r="246" spans="15:15">
      <c r="O246" s="7">
        <f>IF(N246="","",IF(N246="Closed",IF(M246&lt;=L246,"On-Time","Delayed"),"Pending"))</f>
        <v>0</v>
      </c>
    </row>
    <row r="247" spans="15:15">
      <c r="O247" s="7">
        <f>IF(N247="","",IF(N247="Closed",IF(M247&lt;=L247,"On-Time","Delayed"),"Pending"))</f>
        <v>0</v>
      </c>
    </row>
    <row r="248" spans="15:15">
      <c r="O248" s="7">
        <f>IF(N248="","",IF(N248="Closed",IF(M248&lt;=L248,"On-Time","Delayed"),"Pending"))</f>
        <v>0</v>
      </c>
    </row>
    <row r="249" spans="15:15">
      <c r="O249" s="7">
        <f>IF(N249="","",IF(N249="Closed",IF(M249&lt;=L249,"On-Time","Delayed"),"Pending"))</f>
        <v>0</v>
      </c>
    </row>
    <row r="250" spans="15:15">
      <c r="O250" s="7">
        <f>IF(N250="","",IF(N250="Closed",IF(M250&lt;=L250,"On-Time","Delayed"),"Pending"))</f>
        <v>0</v>
      </c>
    </row>
    <row r="251" spans="15:15">
      <c r="O251" s="7">
        <f>IF(N251="","",IF(N251="Closed",IF(M251&lt;=L251,"On-Time","Delayed"),"Pending"))</f>
        <v>0</v>
      </c>
    </row>
    <row r="252" spans="15:15">
      <c r="O252" s="7">
        <f>IF(N252="","",IF(N252="Closed",IF(M252&lt;=L252,"On-Time","Delayed"),"Pending"))</f>
        <v>0</v>
      </c>
    </row>
    <row r="253" spans="15:15">
      <c r="O253" s="7">
        <f>IF(N253="","",IF(N253="Closed",IF(M253&lt;=L253,"On-Time","Delayed"),"Pending"))</f>
        <v>0</v>
      </c>
    </row>
    <row r="254" spans="15:15">
      <c r="O254" s="7">
        <f>IF(N254="","",IF(N254="Closed",IF(M254&lt;=L254,"On-Time","Delayed"),"Pending"))</f>
        <v>0</v>
      </c>
    </row>
    <row r="255" spans="15:15">
      <c r="O255" s="7">
        <f>IF(N255="","",IF(N255="Closed",IF(M255&lt;=L255,"On-Time","Delayed"),"Pending"))</f>
        <v>0</v>
      </c>
    </row>
    <row r="256" spans="15:15">
      <c r="O256" s="7">
        <f>IF(N256="","",IF(N256="Closed",IF(M256&lt;=L256,"On-Time","Delayed"),"Pending"))</f>
        <v>0</v>
      </c>
    </row>
    <row r="257" spans="15:15">
      <c r="O257" s="7">
        <f>IF(N257="","",IF(N257="Closed",IF(M257&lt;=L257,"On-Time","Delayed"),"Pending"))</f>
        <v>0</v>
      </c>
    </row>
    <row r="258" spans="15:15">
      <c r="O258" s="7">
        <f>IF(N258="","",IF(N258="Closed",IF(M258&lt;=L258,"On-Time","Delayed"),"Pending"))</f>
        <v>0</v>
      </c>
    </row>
    <row r="259" spans="15:15">
      <c r="O259" s="7">
        <f>IF(N259="","",IF(N259="Closed",IF(M259&lt;=L259,"On-Time","Delayed"),"Pending"))</f>
        <v>0</v>
      </c>
    </row>
    <row r="260" spans="15:15">
      <c r="O260" s="7">
        <f>IF(N260="","",IF(N260="Closed",IF(M260&lt;=L260,"On-Time","Delayed"),"Pending"))</f>
        <v>0</v>
      </c>
    </row>
    <row r="261" spans="15:15">
      <c r="O261" s="7">
        <f>IF(N261="","",IF(N261="Closed",IF(M261&lt;=L261,"On-Time","Delayed"),"Pending"))</f>
        <v>0</v>
      </c>
    </row>
    <row r="262" spans="15:15">
      <c r="O262" s="7">
        <f>IF(N262="","",IF(N262="Closed",IF(M262&lt;=L262,"On-Time","Delayed"),"Pending"))</f>
        <v>0</v>
      </c>
    </row>
    <row r="263" spans="15:15">
      <c r="O263" s="7">
        <f>IF(N263="","",IF(N263="Closed",IF(M263&lt;=L263,"On-Time","Delayed"),"Pending"))</f>
        <v>0</v>
      </c>
    </row>
    <row r="264" spans="15:15">
      <c r="O264" s="7">
        <f>IF(N264="","",IF(N264="Closed",IF(M264&lt;=L264,"On-Time","Delayed"),"Pending"))</f>
        <v>0</v>
      </c>
    </row>
    <row r="265" spans="15:15">
      <c r="O265" s="7">
        <f>IF(N265="","",IF(N265="Closed",IF(M265&lt;=L265,"On-Time","Delayed"),"Pending"))</f>
        <v>0</v>
      </c>
    </row>
    <row r="266" spans="15:15">
      <c r="O266" s="7">
        <f>IF(N266="","",IF(N266="Closed",IF(M266&lt;=L266,"On-Time","Delayed"),"Pending"))</f>
        <v>0</v>
      </c>
    </row>
    <row r="267" spans="15:15">
      <c r="O267" s="7">
        <f>IF(N267="","",IF(N267="Closed",IF(M267&lt;=L267,"On-Time","Delayed"),"Pending"))</f>
        <v>0</v>
      </c>
    </row>
    <row r="268" spans="15:15">
      <c r="O268" s="7">
        <f>IF(N268="","",IF(N268="Closed",IF(M268&lt;=L268,"On-Time","Delayed"),"Pending"))</f>
        <v>0</v>
      </c>
    </row>
    <row r="269" spans="15:15">
      <c r="O269" s="7">
        <f>IF(N269="","",IF(N269="Closed",IF(M269&lt;=L269,"On-Time","Delayed"),"Pending"))</f>
        <v>0</v>
      </c>
    </row>
    <row r="270" spans="15:15">
      <c r="O270" s="7">
        <f>IF(N270="","",IF(N270="Closed",IF(M270&lt;=L270,"On-Time","Delayed"),"Pending"))</f>
        <v>0</v>
      </c>
    </row>
    <row r="271" spans="15:15">
      <c r="O271" s="7">
        <f>IF(N271="","",IF(N271="Closed",IF(M271&lt;=L271,"On-Time","Delayed"),"Pending"))</f>
        <v>0</v>
      </c>
    </row>
    <row r="272" spans="15:15">
      <c r="O272" s="7">
        <f>IF(N272="","",IF(N272="Closed",IF(M272&lt;=L272,"On-Time","Delayed"),"Pending"))</f>
        <v>0</v>
      </c>
    </row>
    <row r="273" spans="15:15">
      <c r="O273" s="7">
        <f>IF(N273="","",IF(N273="Closed",IF(M273&lt;=L273,"On-Time","Delayed"),"Pending"))</f>
        <v>0</v>
      </c>
    </row>
    <row r="274" spans="15:15">
      <c r="O274" s="7">
        <f>IF(N274="","",IF(N274="Closed",IF(M274&lt;=L274,"On-Time","Delayed"),"Pending"))</f>
        <v>0</v>
      </c>
    </row>
    <row r="275" spans="15:15">
      <c r="O275" s="7">
        <f>IF(N275="","",IF(N275="Closed",IF(M275&lt;=L275,"On-Time","Delayed"),"Pending"))</f>
        <v>0</v>
      </c>
    </row>
    <row r="276" spans="15:15">
      <c r="O276" s="7">
        <f>IF(N276="","",IF(N276="Closed",IF(M276&lt;=L276,"On-Time","Delayed"),"Pending"))</f>
        <v>0</v>
      </c>
    </row>
    <row r="277" spans="15:15">
      <c r="O277" s="7">
        <f>IF(N277="","",IF(N277="Closed",IF(M277&lt;=L277,"On-Time","Delayed"),"Pending"))</f>
        <v>0</v>
      </c>
    </row>
    <row r="278" spans="15:15">
      <c r="O278" s="7">
        <f>IF(N278="","",IF(N278="Closed",IF(M278&lt;=L278,"On-Time","Delayed"),"Pending"))</f>
        <v>0</v>
      </c>
    </row>
    <row r="279" spans="15:15">
      <c r="O279" s="7">
        <f>IF(N279="","",IF(N279="Closed",IF(M279&lt;=L279,"On-Time","Delayed"),"Pending"))</f>
        <v>0</v>
      </c>
    </row>
    <row r="280" spans="15:15">
      <c r="O280" s="7">
        <f>IF(N280="","",IF(N280="Closed",IF(M280&lt;=L280,"On-Time","Delayed"),"Pending"))</f>
        <v>0</v>
      </c>
    </row>
    <row r="281" spans="15:15">
      <c r="O281" s="7">
        <f>IF(N281="","",IF(N281="Closed",IF(M281&lt;=L281,"On-Time","Delayed"),"Pending"))</f>
        <v>0</v>
      </c>
    </row>
    <row r="282" spans="15:15">
      <c r="O282" s="7">
        <f>IF(N282="","",IF(N282="Closed",IF(M282&lt;=L282,"On-Time","Delayed"),"Pending"))</f>
        <v>0</v>
      </c>
    </row>
    <row r="283" spans="15:15">
      <c r="O283" s="7">
        <f>IF(N283="","",IF(N283="Closed",IF(M283&lt;=L283,"On-Time","Delayed"),"Pending"))</f>
        <v>0</v>
      </c>
    </row>
    <row r="284" spans="15:15">
      <c r="O284" s="7">
        <f>IF(N284="","",IF(N284="Closed",IF(M284&lt;=L284,"On-Time","Delayed"),"Pending"))</f>
        <v>0</v>
      </c>
    </row>
    <row r="285" spans="15:15">
      <c r="O285" s="7">
        <f>IF(N285="","",IF(N285="Closed",IF(M285&lt;=L285,"On-Time","Delayed"),"Pending"))</f>
        <v>0</v>
      </c>
    </row>
    <row r="286" spans="15:15">
      <c r="O286" s="7">
        <f>IF(N286="","",IF(N286="Closed",IF(M286&lt;=L286,"On-Time","Delayed"),"Pending"))</f>
        <v>0</v>
      </c>
    </row>
    <row r="287" spans="15:15">
      <c r="O287" s="7">
        <f>IF(N287="","",IF(N287="Closed",IF(M287&lt;=L287,"On-Time","Delayed"),"Pending"))</f>
        <v>0</v>
      </c>
    </row>
    <row r="288" spans="15:15">
      <c r="O288" s="7">
        <f>IF(N288="","",IF(N288="Closed",IF(M288&lt;=L288,"On-Time","Delayed"),"Pending"))</f>
        <v>0</v>
      </c>
    </row>
    <row r="289" spans="15:15">
      <c r="O289" s="7">
        <f>IF(N289="","",IF(N289="Closed",IF(M289&lt;=L289,"On-Time","Delayed"),"Pending"))</f>
        <v>0</v>
      </c>
    </row>
    <row r="290" spans="15:15">
      <c r="O290" s="7">
        <f>IF(N290="","",IF(N290="Closed",IF(M290&lt;=L290,"On-Time","Delayed"),"Pending"))</f>
        <v>0</v>
      </c>
    </row>
    <row r="291" spans="15:15">
      <c r="O291" s="7">
        <f>IF(N291="","",IF(N291="Closed",IF(M291&lt;=L291,"On-Time","Delayed"),"Pending"))</f>
        <v>0</v>
      </c>
    </row>
    <row r="292" spans="15:15">
      <c r="O292" s="7">
        <f>IF(N292="","",IF(N292="Closed",IF(M292&lt;=L292,"On-Time","Delayed"),"Pending"))</f>
        <v>0</v>
      </c>
    </row>
    <row r="293" spans="15:15">
      <c r="O293" s="7">
        <f>IF(N293="","",IF(N293="Closed",IF(M293&lt;=L293,"On-Time","Delayed"),"Pending"))</f>
        <v>0</v>
      </c>
    </row>
    <row r="294" spans="15:15">
      <c r="O294" s="7">
        <f>IF(N294="","",IF(N294="Closed",IF(M294&lt;=L294,"On-Time","Delayed"),"Pending"))</f>
        <v>0</v>
      </c>
    </row>
    <row r="295" spans="15:15">
      <c r="O295" s="7">
        <f>IF(N295="","",IF(N295="Closed",IF(M295&lt;=L295,"On-Time","Delayed"),"Pending"))</f>
        <v>0</v>
      </c>
    </row>
    <row r="296" spans="15:15">
      <c r="O296" s="7">
        <f>IF(N296="","",IF(N296="Closed",IF(M296&lt;=L296,"On-Time","Delayed"),"Pending"))</f>
        <v>0</v>
      </c>
    </row>
    <row r="297" spans="15:15">
      <c r="O297" s="7">
        <f>IF(N297="","",IF(N297="Closed",IF(M297&lt;=L297,"On-Time","Delayed"),"Pending"))</f>
        <v>0</v>
      </c>
    </row>
    <row r="298" spans="15:15">
      <c r="O298" s="7">
        <f>IF(N298="","",IF(N298="Closed",IF(M298&lt;=L298,"On-Time","Delayed"),"Pending"))</f>
        <v>0</v>
      </c>
    </row>
    <row r="299" spans="15:15">
      <c r="O299" s="7">
        <f>IF(N299="","",IF(N299="Closed",IF(M299&lt;=L299,"On-Time","Delayed"),"Pending"))</f>
        <v>0</v>
      </c>
    </row>
    <row r="300" spans="15:15">
      <c r="O300" s="7">
        <f>IF(N300="","",IF(N300="Closed",IF(M300&lt;=L300,"On-Time","Delayed"),"Pending"))</f>
        <v>0</v>
      </c>
    </row>
    <row r="301" spans="15:15">
      <c r="O301" s="7">
        <f>IF(N301="","",IF(N301="Closed",IF(M301&lt;=L301,"On-Time","Delayed"),"Pending"))</f>
        <v>0</v>
      </c>
    </row>
    <row r="302" spans="15:15">
      <c r="O302" s="7">
        <f>IF(N302="","",IF(N302="Closed",IF(M302&lt;=L302,"On-Time","Delayed"),"Pending"))</f>
        <v>0</v>
      </c>
    </row>
    <row r="303" spans="15:15">
      <c r="O303" s="7">
        <f>IF(N303="","",IF(N303="Closed",IF(M303&lt;=L303,"On-Time","Delayed"),"Pending"))</f>
        <v>0</v>
      </c>
    </row>
    <row r="304" spans="15:15">
      <c r="O304" s="7">
        <f>IF(N304="","",IF(N304="Closed",IF(M304&lt;=L304,"On-Time","Delayed"),"Pending"))</f>
        <v>0</v>
      </c>
    </row>
    <row r="305" spans="15:15">
      <c r="O305" s="7">
        <f>IF(N305="","",IF(N305="Closed",IF(M305&lt;=L305,"On-Time","Delayed"),"Pending"))</f>
        <v>0</v>
      </c>
    </row>
    <row r="306" spans="15:15">
      <c r="O306" s="7">
        <f>IF(N306="","",IF(N306="Closed",IF(M306&lt;=L306,"On-Time","Delayed"),"Pending"))</f>
        <v>0</v>
      </c>
    </row>
    <row r="307" spans="15:15">
      <c r="O307" s="7">
        <f>IF(N307="","",IF(N307="Closed",IF(M307&lt;=L307,"On-Time","Delayed"),"Pending"))</f>
        <v>0</v>
      </c>
    </row>
    <row r="308" spans="15:15">
      <c r="O308" s="7">
        <f>IF(N308="","",IF(N308="Closed",IF(M308&lt;=L308,"On-Time","Delayed"),"Pending"))</f>
        <v>0</v>
      </c>
    </row>
    <row r="309" spans="15:15">
      <c r="O309" s="7">
        <f>IF(N309="","",IF(N309="Closed",IF(M309&lt;=L309,"On-Time","Delayed"),"Pending"))</f>
        <v>0</v>
      </c>
    </row>
    <row r="310" spans="15:15">
      <c r="O310" s="7">
        <f>IF(N310="","",IF(N310="Closed",IF(M310&lt;=L310,"On-Time","Delayed"),"Pending"))</f>
        <v>0</v>
      </c>
    </row>
    <row r="311" spans="15:15">
      <c r="O311" s="7">
        <f>IF(N311="","",IF(N311="Closed",IF(M311&lt;=L311,"On-Time","Delayed"),"Pending"))</f>
        <v>0</v>
      </c>
    </row>
    <row r="312" spans="15:15">
      <c r="O312" s="7">
        <f>IF(N312="","",IF(N312="Closed",IF(M312&lt;=L312,"On-Time","Delayed"),"Pending"))</f>
        <v>0</v>
      </c>
    </row>
    <row r="313" spans="15:15">
      <c r="O313" s="7">
        <f>IF(N313="","",IF(N313="Closed",IF(M313&lt;=L313,"On-Time","Delayed"),"Pending"))</f>
        <v>0</v>
      </c>
    </row>
    <row r="314" spans="15:15">
      <c r="O314" s="7">
        <f>IF(N314="","",IF(N314="Closed",IF(M314&lt;=L314,"On-Time","Delayed"),"Pending"))</f>
        <v>0</v>
      </c>
    </row>
    <row r="315" spans="15:15">
      <c r="O315" s="7">
        <f>IF(N315="","",IF(N315="Closed",IF(M315&lt;=L315,"On-Time","Delayed"),"Pending"))</f>
        <v>0</v>
      </c>
    </row>
    <row r="316" spans="15:15">
      <c r="O316" s="7">
        <f>IF(N316="","",IF(N316="Closed",IF(M316&lt;=L316,"On-Time","Delayed"),"Pending"))</f>
        <v>0</v>
      </c>
    </row>
    <row r="317" spans="15:15">
      <c r="O317" s="7">
        <f>IF(N317="","",IF(N317="Closed",IF(M317&lt;=L317,"On-Time","Delayed"),"Pending"))</f>
        <v>0</v>
      </c>
    </row>
    <row r="318" spans="15:15">
      <c r="O318" s="7">
        <f>IF(N318="","",IF(N318="Closed",IF(M318&lt;=L318,"On-Time","Delayed"),"Pending"))</f>
        <v>0</v>
      </c>
    </row>
    <row r="319" spans="15:15">
      <c r="O319" s="7">
        <f>IF(N319="","",IF(N319="Closed",IF(M319&lt;=L319,"On-Time","Delayed"),"Pending"))</f>
        <v>0</v>
      </c>
    </row>
    <row r="320" spans="15:15">
      <c r="O320" s="7">
        <f>IF(N320="","",IF(N320="Closed",IF(M320&lt;=L320,"On-Time","Delayed"),"Pending"))</f>
        <v>0</v>
      </c>
    </row>
    <row r="321" spans="15:15">
      <c r="O321" s="7">
        <f>IF(N321="","",IF(N321="Closed",IF(M321&lt;=L321,"On-Time","Delayed"),"Pending"))</f>
        <v>0</v>
      </c>
    </row>
    <row r="322" spans="15:15">
      <c r="O322" s="7">
        <f>IF(N322="","",IF(N322="Closed",IF(M322&lt;=L322,"On-Time","Delayed"),"Pending"))</f>
        <v>0</v>
      </c>
    </row>
    <row r="323" spans="15:15">
      <c r="O323" s="7">
        <f>IF(N323="","",IF(N323="Closed",IF(M323&lt;=L323,"On-Time","Delayed"),"Pending"))</f>
        <v>0</v>
      </c>
    </row>
    <row r="324" spans="15:15">
      <c r="O324" s="7">
        <f>IF(N324="","",IF(N324="Closed",IF(M324&lt;=L324,"On-Time","Delayed"),"Pending"))</f>
        <v>0</v>
      </c>
    </row>
    <row r="325" spans="15:15">
      <c r="O325" s="7">
        <f>IF(N325="","",IF(N325="Closed",IF(M325&lt;=L325,"On-Time","Delayed"),"Pending"))</f>
        <v>0</v>
      </c>
    </row>
    <row r="326" spans="15:15">
      <c r="O326" s="7">
        <f>IF(N326="","",IF(N326="Closed",IF(M326&lt;=L326,"On-Time","Delayed"),"Pending"))</f>
        <v>0</v>
      </c>
    </row>
    <row r="327" spans="15:15">
      <c r="O327" s="7">
        <f>IF(N327="","",IF(N327="Closed",IF(M327&lt;=L327,"On-Time","Delayed"),"Pending"))</f>
        <v>0</v>
      </c>
    </row>
    <row r="328" spans="15:15">
      <c r="O328" s="7">
        <f>IF(N328="","",IF(N328="Closed",IF(M328&lt;=L328,"On-Time","Delayed"),"Pending"))</f>
        <v>0</v>
      </c>
    </row>
    <row r="329" spans="15:15">
      <c r="O329" s="7">
        <f>IF(N329="","",IF(N329="Closed",IF(M329&lt;=L329,"On-Time","Delayed"),"Pending"))</f>
        <v>0</v>
      </c>
    </row>
    <row r="330" spans="15:15">
      <c r="O330" s="7">
        <f>IF(N330="","",IF(N330="Closed",IF(M330&lt;=L330,"On-Time","Delayed"),"Pending"))</f>
        <v>0</v>
      </c>
    </row>
    <row r="331" spans="15:15">
      <c r="O331" s="7">
        <f>IF(N331="","",IF(N331="Closed",IF(M331&lt;=L331,"On-Time","Delayed"),"Pending"))</f>
        <v>0</v>
      </c>
    </row>
    <row r="332" spans="15:15">
      <c r="O332" s="7">
        <f>IF(N332="","",IF(N332="Closed",IF(M332&lt;=L332,"On-Time","Delayed"),"Pending"))</f>
        <v>0</v>
      </c>
    </row>
    <row r="333" spans="15:15">
      <c r="O333" s="7">
        <f>IF(N333="","",IF(N333="Closed",IF(M333&lt;=L333,"On-Time","Delayed"),"Pending"))</f>
        <v>0</v>
      </c>
    </row>
    <row r="334" spans="15:15">
      <c r="O334" s="7">
        <f>IF(N334="","",IF(N334="Closed",IF(M334&lt;=L334,"On-Time","Delayed"),"Pending"))</f>
        <v>0</v>
      </c>
    </row>
    <row r="335" spans="15:15">
      <c r="O335" s="7">
        <f>IF(N335="","",IF(N335="Closed",IF(M335&lt;=L335,"On-Time","Delayed"),"Pending"))</f>
        <v>0</v>
      </c>
    </row>
    <row r="336" spans="15:15">
      <c r="O336" s="7">
        <f>IF(N336="","",IF(N336="Closed",IF(M336&lt;=L336,"On-Time","Delayed"),"Pending"))</f>
        <v>0</v>
      </c>
    </row>
    <row r="337" spans="15:15">
      <c r="O337" s="7">
        <f>IF(N337="","",IF(N337="Closed",IF(M337&lt;=L337,"On-Time","Delayed"),"Pending"))</f>
        <v>0</v>
      </c>
    </row>
    <row r="338" spans="15:15">
      <c r="O338" s="7">
        <f>IF(N338="","",IF(N338="Closed",IF(M338&lt;=L338,"On-Time","Delayed"),"Pending"))</f>
        <v>0</v>
      </c>
    </row>
    <row r="339" spans="15:15">
      <c r="O339" s="7">
        <f>IF(N339="","",IF(N339="Closed",IF(M339&lt;=L339,"On-Time","Delayed"),"Pending"))</f>
        <v>0</v>
      </c>
    </row>
    <row r="340" spans="15:15">
      <c r="O340" s="7">
        <f>IF(N340="","",IF(N340="Closed",IF(M340&lt;=L340,"On-Time","Delayed"),"Pending"))</f>
        <v>0</v>
      </c>
    </row>
    <row r="341" spans="15:15">
      <c r="O341" s="7">
        <f>IF(N341="","",IF(N341="Closed",IF(M341&lt;=L341,"On-Time","Delayed"),"Pending"))</f>
        <v>0</v>
      </c>
    </row>
    <row r="342" spans="15:15">
      <c r="O342" s="7">
        <f>IF(N342="","",IF(N342="Closed",IF(M342&lt;=L342,"On-Time","Delayed"),"Pending"))</f>
        <v>0</v>
      </c>
    </row>
    <row r="343" spans="15:15">
      <c r="O343" s="7">
        <f>IF(N343="","",IF(N343="Closed",IF(M343&lt;=L343,"On-Time","Delayed"),"Pending"))</f>
        <v>0</v>
      </c>
    </row>
    <row r="344" spans="15:15">
      <c r="O344" s="7">
        <f>IF(N344="","",IF(N344="Closed",IF(M344&lt;=L344,"On-Time","Delayed"),"Pending"))</f>
        <v>0</v>
      </c>
    </row>
    <row r="345" spans="15:15">
      <c r="O345" s="7">
        <f>IF(N345="","",IF(N345="Closed",IF(M345&lt;=L345,"On-Time","Delayed"),"Pending"))</f>
        <v>0</v>
      </c>
    </row>
    <row r="346" spans="15:15">
      <c r="O346" s="7">
        <f>IF(N346="","",IF(N346="Closed",IF(M346&lt;=L346,"On-Time","Delayed"),"Pending"))</f>
        <v>0</v>
      </c>
    </row>
    <row r="347" spans="15:15">
      <c r="O347" s="7">
        <f>IF(N347="","",IF(N347="Closed",IF(M347&lt;=L347,"On-Time","Delayed"),"Pending"))</f>
        <v>0</v>
      </c>
    </row>
    <row r="348" spans="15:15">
      <c r="O348" s="7">
        <f>IF(N348="","",IF(N348="Closed",IF(M348&lt;=L348,"On-Time","Delayed"),"Pending"))</f>
        <v>0</v>
      </c>
    </row>
    <row r="349" spans="15:15">
      <c r="O349" s="7">
        <f>IF(N349="","",IF(N349="Closed",IF(M349&lt;=L349,"On-Time","Delayed"),"Pending"))</f>
        <v>0</v>
      </c>
    </row>
    <row r="350" spans="15:15">
      <c r="O350" s="7">
        <f>IF(N350="","",IF(N350="Closed",IF(M350&lt;=L350,"On-Time","Delayed"),"Pending"))</f>
        <v>0</v>
      </c>
    </row>
    <row r="351" spans="15:15">
      <c r="O351" s="7">
        <f>IF(N351="","",IF(N351="Closed",IF(M351&lt;=L351,"On-Time","Delayed"),"Pending"))</f>
        <v>0</v>
      </c>
    </row>
    <row r="352" spans="15:15">
      <c r="O352" s="7">
        <f>IF(N352="","",IF(N352="Closed",IF(M352&lt;=L352,"On-Time","Delayed"),"Pending"))</f>
        <v>0</v>
      </c>
    </row>
    <row r="353" spans="15:15">
      <c r="O353" s="7">
        <f>IF(N353="","",IF(N353="Closed",IF(M353&lt;=L353,"On-Time","Delayed"),"Pending"))</f>
        <v>0</v>
      </c>
    </row>
    <row r="354" spans="15:15">
      <c r="O354" s="7">
        <f>IF(N354="","",IF(N354="Closed",IF(M354&lt;=L354,"On-Time","Delayed"),"Pending"))</f>
        <v>0</v>
      </c>
    </row>
    <row r="355" spans="15:15">
      <c r="O355" s="7">
        <f>IF(N355="","",IF(N355="Closed",IF(M355&lt;=L355,"On-Time","Delayed"),"Pending"))</f>
        <v>0</v>
      </c>
    </row>
    <row r="356" spans="15:15">
      <c r="O356" s="7">
        <f>IF(N356="","",IF(N356="Closed",IF(M356&lt;=L356,"On-Time","Delayed"),"Pending"))</f>
        <v>0</v>
      </c>
    </row>
    <row r="357" spans="15:15">
      <c r="O357" s="7">
        <f>IF(N357="","",IF(N357="Closed",IF(M357&lt;=L357,"On-Time","Delayed"),"Pending"))</f>
        <v>0</v>
      </c>
    </row>
    <row r="358" spans="15:15">
      <c r="O358" s="7">
        <f>IF(N358="","",IF(N358="Closed",IF(M358&lt;=L358,"On-Time","Delayed"),"Pending"))</f>
        <v>0</v>
      </c>
    </row>
    <row r="359" spans="15:15">
      <c r="O359" s="7">
        <f>IF(N359="","",IF(N359="Closed",IF(M359&lt;=L359,"On-Time","Delayed"),"Pending"))</f>
        <v>0</v>
      </c>
    </row>
    <row r="360" spans="15:15">
      <c r="O360" s="7">
        <f>IF(N360="","",IF(N360="Closed",IF(M360&lt;=L360,"On-Time","Delayed"),"Pending"))</f>
        <v>0</v>
      </c>
    </row>
    <row r="361" spans="15:15">
      <c r="O361" s="7">
        <f>IF(N361="","",IF(N361="Closed",IF(M361&lt;=L361,"On-Time","Delayed"),"Pending"))</f>
        <v>0</v>
      </c>
    </row>
    <row r="362" spans="15:15">
      <c r="O362" s="7">
        <f>IF(N362="","",IF(N362="Closed",IF(M362&lt;=L362,"On-Time","Delayed"),"Pending"))</f>
        <v>0</v>
      </c>
    </row>
    <row r="363" spans="15:15">
      <c r="O363" s="7">
        <f>IF(N363="","",IF(N363="Closed",IF(M363&lt;=L363,"On-Time","Delayed"),"Pending"))</f>
        <v>0</v>
      </c>
    </row>
    <row r="364" spans="15:15">
      <c r="O364" s="7">
        <f>IF(N364="","",IF(N364="Closed",IF(M364&lt;=L364,"On-Time","Delayed"),"Pending"))</f>
        <v>0</v>
      </c>
    </row>
    <row r="365" spans="15:15">
      <c r="O365" s="7">
        <f>IF(N365="","",IF(N365="Closed",IF(M365&lt;=L365,"On-Time","Delayed"),"Pending"))</f>
        <v>0</v>
      </c>
    </row>
    <row r="366" spans="15:15">
      <c r="O366" s="7">
        <f>IF(N366="","",IF(N366="Closed",IF(M366&lt;=L366,"On-Time","Delayed"),"Pending"))</f>
        <v>0</v>
      </c>
    </row>
    <row r="367" spans="15:15">
      <c r="O367" s="7">
        <f>IF(N367="","",IF(N367="Closed",IF(M367&lt;=L367,"On-Time","Delayed"),"Pending"))</f>
        <v>0</v>
      </c>
    </row>
    <row r="368" spans="15:15">
      <c r="O368" s="7">
        <f>IF(N368="","",IF(N368="Closed",IF(M368&lt;=L368,"On-Time","Delayed"),"Pending"))</f>
        <v>0</v>
      </c>
    </row>
    <row r="369" spans="15:15">
      <c r="O369" s="7">
        <f>IF(N369="","",IF(N369="Closed",IF(M369&lt;=L369,"On-Time","Delayed"),"Pending"))</f>
        <v>0</v>
      </c>
    </row>
    <row r="370" spans="15:15">
      <c r="O370" s="7">
        <f>IF(N370="","",IF(N370="Closed",IF(M370&lt;=L370,"On-Time","Delayed"),"Pending"))</f>
        <v>0</v>
      </c>
    </row>
    <row r="371" spans="15:15">
      <c r="O371" s="7">
        <f>IF(N371="","",IF(N371="Closed",IF(M371&lt;=L371,"On-Time","Delayed"),"Pending"))</f>
        <v>0</v>
      </c>
    </row>
    <row r="372" spans="15:15">
      <c r="O372" s="7">
        <f>IF(N372="","",IF(N372="Closed",IF(M372&lt;=L372,"On-Time","Delayed"),"Pending"))</f>
        <v>0</v>
      </c>
    </row>
    <row r="373" spans="15:15">
      <c r="O373" s="7">
        <f>IF(N373="","",IF(N373="Closed",IF(M373&lt;=L373,"On-Time","Delayed"),"Pending"))</f>
        <v>0</v>
      </c>
    </row>
    <row r="374" spans="15:15">
      <c r="O374" s="7">
        <f>IF(N374="","",IF(N374="Closed",IF(M374&lt;=L374,"On-Time","Delayed"),"Pending"))</f>
        <v>0</v>
      </c>
    </row>
    <row r="375" spans="15:15">
      <c r="O375" s="7">
        <f>IF(N375="","",IF(N375="Closed",IF(M375&lt;=L375,"On-Time","Delayed"),"Pending"))</f>
        <v>0</v>
      </c>
    </row>
    <row r="376" spans="15:15">
      <c r="O376" s="7">
        <f>IF(N376="","",IF(N376="Closed",IF(M376&lt;=L376,"On-Time","Delayed"),"Pending"))</f>
        <v>0</v>
      </c>
    </row>
    <row r="377" spans="15:15">
      <c r="O377" s="7">
        <f>IF(N377="","",IF(N377="Closed",IF(M377&lt;=L377,"On-Time","Delayed"),"Pending"))</f>
        <v>0</v>
      </c>
    </row>
    <row r="378" spans="15:15">
      <c r="O378" s="7">
        <f>IF(N378="","",IF(N378="Closed",IF(M378&lt;=L378,"On-Time","Delayed"),"Pending"))</f>
        <v>0</v>
      </c>
    </row>
    <row r="379" spans="15:15">
      <c r="O379" s="7">
        <f>IF(N379="","",IF(N379="Closed",IF(M379&lt;=L379,"On-Time","Delayed"),"Pending"))</f>
        <v>0</v>
      </c>
    </row>
    <row r="380" spans="15:15">
      <c r="O380" s="7">
        <f>IF(N380="","",IF(N380="Closed",IF(M380&lt;=L380,"On-Time","Delayed"),"Pending"))</f>
        <v>0</v>
      </c>
    </row>
    <row r="381" spans="15:15">
      <c r="O381" s="7">
        <f>IF(N381="","",IF(N381="Closed",IF(M381&lt;=L381,"On-Time","Delayed"),"Pending"))</f>
        <v>0</v>
      </c>
    </row>
    <row r="382" spans="15:15">
      <c r="O382" s="7">
        <f>IF(N382="","",IF(N382="Closed",IF(M382&lt;=L382,"On-Time","Delayed"),"Pending"))</f>
        <v>0</v>
      </c>
    </row>
    <row r="383" spans="15:15">
      <c r="O383" s="7">
        <f>IF(N383="","",IF(N383="Closed",IF(M383&lt;=L383,"On-Time","Delayed"),"Pending"))</f>
        <v>0</v>
      </c>
    </row>
    <row r="384" spans="15:15">
      <c r="O384" s="7">
        <f>IF(N384="","",IF(N384="Closed",IF(M384&lt;=L384,"On-Time","Delayed"),"Pending"))</f>
        <v>0</v>
      </c>
    </row>
    <row r="385" spans="15:15">
      <c r="O385" s="7">
        <f>IF(N385="","",IF(N385="Closed",IF(M385&lt;=L385,"On-Time","Delayed"),"Pending"))</f>
        <v>0</v>
      </c>
    </row>
    <row r="386" spans="15:15">
      <c r="O386" s="7">
        <f>IF(N386="","",IF(N386="Closed",IF(M386&lt;=L386,"On-Time","Delayed"),"Pending"))</f>
        <v>0</v>
      </c>
    </row>
    <row r="387" spans="15:15">
      <c r="O387" s="7">
        <f>IF(N387="","",IF(N387="Closed",IF(M387&lt;=L387,"On-Time","Delayed"),"Pending"))</f>
        <v>0</v>
      </c>
    </row>
    <row r="388" spans="15:15">
      <c r="O388" s="7">
        <f>IF(N388="","",IF(N388="Closed",IF(M388&lt;=L388,"On-Time","Delayed"),"Pending"))</f>
        <v>0</v>
      </c>
    </row>
    <row r="389" spans="15:15">
      <c r="O389" s="7">
        <f>IF(N389="","",IF(N389="Closed",IF(M389&lt;=L389,"On-Time","Delayed"),"Pending"))</f>
        <v>0</v>
      </c>
    </row>
    <row r="390" spans="15:15">
      <c r="O390" s="7">
        <f>IF(N390="","",IF(N390="Closed",IF(M390&lt;=L390,"On-Time","Delayed"),"Pending"))</f>
        <v>0</v>
      </c>
    </row>
    <row r="391" spans="15:15">
      <c r="O391" s="7">
        <f>IF(N391="","",IF(N391="Closed",IF(M391&lt;=L391,"On-Time","Delayed"),"Pending"))</f>
        <v>0</v>
      </c>
    </row>
    <row r="392" spans="15:15">
      <c r="O392" s="7">
        <f>IF(N392="","",IF(N392="Closed",IF(M392&lt;=L392,"On-Time","Delayed"),"Pending"))</f>
        <v>0</v>
      </c>
    </row>
    <row r="393" spans="15:15">
      <c r="O393" s="7">
        <f>IF(N393="","",IF(N393="Closed",IF(M393&lt;=L393,"On-Time","Delayed"),"Pending"))</f>
        <v>0</v>
      </c>
    </row>
    <row r="394" spans="15:15">
      <c r="O394" s="7">
        <f>IF(N394="","",IF(N394="Closed",IF(M394&lt;=L394,"On-Time","Delayed"),"Pending"))</f>
        <v>0</v>
      </c>
    </row>
    <row r="395" spans="15:15">
      <c r="O395" s="7">
        <f>IF(N395="","",IF(N395="Closed",IF(M395&lt;=L395,"On-Time","Delayed"),"Pending"))</f>
        <v>0</v>
      </c>
    </row>
    <row r="396" spans="15:15">
      <c r="O396" s="7">
        <f>IF(N396="","",IF(N396="Closed",IF(M396&lt;=L396,"On-Time","Delayed"),"Pending"))</f>
        <v>0</v>
      </c>
    </row>
    <row r="397" spans="15:15">
      <c r="O397" s="7">
        <f>IF(N397="","",IF(N397="Closed",IF(M397&lt;=L397,"On-Time","Delayed"),"Pending"))</f>
        <v>0</v>
      </c>
    </row>
    <row r="398" spans="15:15">
      <c r="O398" s="7">
        <f>IF(N398="","",IF(N398="Closed",IF(M398&lt;=L398,"On-Time","Delayed"),"Pending"))</f>
        <v>0</v>
      </c>
    </row>
    <row r="399" spans="15:15">
      <c r="O399" s="7">
        <f>IF(N399="","",IF(N399="Closed",IF(M399&lt;=L399,"On-Time","Delayed"),"Pending"))</f>
        <v>0</v>
      </c>
    </row>
    <row r="400" spans="15:15">
      <c r="O400" s="7">
        <f>IF(N400="","",IF(N400="Closed",IF(M400&lt;=L400,"On-Time","Delayed"),"Pending"))</f>
        <v>0</v>
      </c>
    </row>
    <row r="401" spans="15:15">
      <c r="O401" s="7">
        <f>IF(N401="","",IF(N401="Closed",IF(M401&lt;=L401,"On-Time","Delayed"),"Pending"))</f>
        <v>0</v>
      </c>
    </row>
    <row r="402" spans="15:15">
      <c r="O402" s="7">
        <f>IF(N402="","",IF(N402="Closed",IF(M402&lt;=L402,"On-Time","Delayed"),"Pending"))</f>
        <v>0</v>
      </c>
    </row>
    <row r="403" spans="15:15">
      <c r="O403" s="7">
        <f>IF(N403="","",IF(N403="Closed",IF(M403&lt;=L403,"On-Time","Delayed"),"Pending"))</f>
        <v>0</v>
      </c>
    </row>
    <row r="404" spans="15:15">
      <c r="O404" s="7">
        <f>IF(N404="","",IF(N404="Closed",IF(M404&lt;=L404,"On-Time","Delayed"),"Pending"))</f>
        <v>0</v>
      </c>
    </row>
    <row r="405" spans="15:15">
      <c r="O405" s="7">
        <f>IF(N405="","",IF(N405="Closed",IF(M405&lt;=L405,"On-Time","Delayed"),"Pending"))</f>
        <v>0</v>
      </c>
    </row>
    <row r="406" spans="15:15">
      <c r="O406" s="7">
        <f>IF(N406="","",IF(N406="Closed",IF(M406&lt;=L406,"On-Time","Delayed"),"Pending"))</f>
        <v>0</v>
      </c>
    </row>
    <row r="407" spans="15:15">
      <c r="O407" s="7">
        <f>IF(N407="","",IF(N407="Closed",IF(M407&lt;=L407,"On-Time","Delayed"),"Pending"))</f>
        <v>0</v>
      </c>
    </row>
    <row r="408" spans="15:15">
      <c r="O408" s="7">
        <f>IF(N408="","",IF(N408="Closed",IF(M408&lt;=L408,"On-Time","Delayed"),"Pending"))</f>
        <v>0</v>
      </c>
    </row>
    <row r="409" spans="15:15">
      <c r="O409" s="7">
        <f>IF(N409="","",IF(N409="Closed",IF(M409&lt;=L409,"On-Time","Delayed"),"Pending"))</f>
        <v>0</v>
      </c>
    </row>
    <row r="410" spans="15:15">
      <c r="O410" s="7">
        <f>IF(N410="","",IF(N410="Closed",IF(M410&lt;=L410,"On-Time","Delayed"),"Pending"))</f>
        <v>0</v>
      </c>
    </row>
    <row r="411" spans="15:15">
      <c r="O411" s="7">
        <f>IF(N411="","",IF(N411="Closed",IF(M411&lt;=L411,"On-Time","Delayed"),"Pending"))</f>
        <v>0</v>
      </c>
    </row>
    <row r="412" spans="15:15">
      <c r="O412" s="7">
        <f>IF(N412="","",IF(N412="Closed",IF(M412&lt;=L412,"On-Time","Delayed"),"Pending"))</f>
        <v>0</v>
      </c>
    </row>
    <row r="413" spans="15:15">
      <c r="O413" s="7">
        <f>IF(N413="","",IF(N413="Closed",IF(M413&lt;=L413,"On-Time","Delayed"),"Pending"))</f>
        <v>0</v>
      </c>
    </row>
    <row r="414" spans="15:15">
      <c r="O414" s="7">
        <f>IF(N414="","",IF(N414="Closed",IF(M414&lt;=L414,"On-Time","Delayed"),"Pending"))</f>
        <v>0</v>
      </c>
    </row>
    <row r="415" spans="15:15">
      <c r="O415" s="7">
        <f>IF(N415="","",IF(N415="Closed",IF(M415&lt;=L415,"On-Time","Delayed"),"Pending"))</f>
        <v>0</v>
      </c>
    </row>
    <row r="416" spans="15:15">
      <c r="O416" s="7">
        <f>IF(N416="","",IF(N416="Closed",IF(M416&lt;=L416,"On-Time","Delayed"),"Pending"))</f>
        <v>0</v>
      </c>
    </row>
    <row r="417" spans="15:15">
      <c r="O417" s="7">
        <f>IF(N417="","",IF(N417="Closed",IF(M417&lt;=L417,"On-Time","Delayed"),"Pending"))</f>
        <v>0</v>
      </c>
    </row>
    <row r="418" spans="15:15">
      <c r="O418" s="7">
        <f>IF(N418="","",IF(N418="Closed",IF(M418&lt;=L418,"On-Time","Delayed"),"Pending"))</f>
        <v>0</v>
      </c>
    </row>
    <row r="419" spans="15:15">
      <c r="O419" s="7">
        <f>IF(N419="","",IF(N419="Closed",IF(M419&lt;=L419,"On-Time","Delayed"),"Pending"))</f>
        <v>0</v>
      </c>
    </row>
    <row r="420" spans="15:15">
      <c r="O420" s="7">
        <f>IF(N420="","",IF(N420="Closed",IF(M420&lt;=L420,"On-Time","Delayed"),"Pending"))</f>
        <v>0</v>
      </c>
    </row>
    <row r="421" spans="15:15">
      <c r="O421" s="7">
        <f>IF(N421="","",IF(N421="Closed",IF(M421&lt;=L421,"On-Time","Delayed"),"Pending"))</f>
        <v>0</v>
      </c>
    </row>
    <row r="422" spans="15:15">
      <c r="O422" s="7">
        <f>IF(N422="","",IF(N422="Closed",IF(M422&lt;=L422,"On-Time","Delayed"),"Pending"))</f>
        <v>0</v>
      </c>
    </row>
    <row r="423" spans="15:15">
      <c r="O423" s="7">
        <f>IF(N423="","",IF(N423="Closed",IF(M423&lt;=L423,"On-Time","Delayed"),"Pending"))</f>
        <v>0</v>
      </c>
    </row>
    <row r="424" spans="15:15">
      <c r="O424" s="7">
        <f>IF(N424="","",IF(N424="Closed",IF(M424&lt;=L424,"On-Time","Delayed"),"Pending"))</f>
        <v>0</v>
      </c>
    </row>
    <row r="425" spans="15:15">
      <c r="O425" s="7">
        <f>IF(N425="","",IF(N425="Closed",IF(M425&lt;=L425,"On-Time","Delayed"),"Pending"))</f>
        <v>0</v>
      </c>
    </row>
    <row r="426" spans="15:15">
      <c r="O426" s="7">
        <f>IF(N426="","",IF(N426="Closed",IF(M426&lt;=L426,"On-Time","Delayed"),"Pending"))</f>
        <v>0</v>
      </c>
    </row>
    <row r="427" spans="15:15">
      <c r="O427" s="7">
        <f>IF(N427="","",IF(N427="Closed",IF(M427&lt;=L427,"On-Time","Delayed"),"Pending"))</f>
        <v>0</v>
      </c>
    </row>
    <row r="428" spans="15:15">
      <c r="O428" s="7">
        <f>IF(N428="","",IF(N428="Closed",IF(M428&lt;=L428,"On-Time","Delayed"),"Pending"))</f>
        <v>0</v>
      </c>
    </row>
    <row r="429" spans="15:15">
      <c r="O429" s="7">
        <f>IF(N429="","",IF(N429="Closed",IF(M429&lt;=L429,"On-Time","Delayed"),"Pending"))</f>
        <v>0</v>
      </c>
    </row>
    <row r="430" spans="15:15">
      <c r="O430" s="7">
        <f>IF(N430="","",IF(N430="Closed",IF(M430&lt;=L430,"On-Time","Delayed"),"Pending"))</f>
        <v>0</v>
      </c>
    </row>
    <row r="431" spans="15:15">
      <c r="O431" s="7">
        <f>IF(N431="","",IF(N431="Closed",IF(M431&lt;=L431,"On-Time","Delayed"),"Pending"))</f>
        <v>0</v>
      </c>
    </row>
    <row r="432" spans="15:15">
      <c r="O432" s="7">
        <f>IF(N432="","",IF(N432="Closed",IF(M432&lt;=L432,"On-Time","Delayed"),"Pending"))</f>
        <v>0</v>
      </c>
    </row>
    <row r="433" spans="15:15">
      <c r="O433" s="7">
        <f>IF(N433="","",IF(N433="Closed",IF(M433&lt;=L433,"On-Time","Delayed"),"Pending"))</f>
        <v>0</v>
      </c>
    </row>
    <row r="434" spans="15:15">
      <c r="O434" s="7">
        <f>IF(N434="","",IF(N434="Closed",IF(M434&lt;=L434,"On-Time","Delayed"),"Pending"))</f>
        <v>0</v>
      </c>
    </row>
    <row r="435" spans="15:15">
      <c r="O435" s="7">
        <f>IF(N435="","",IF(N435="Closed",IF(M435&lt;=L435,"On-Time","Delayed"),"Pending"))</f>
        <v>0</v>
      </c>
    </row>
    <row r="436" spans="15:15">
      <c r="O436" s="7">
        <f>IF(N436="","",IF(N436="Closed",IF(M436&lt;=L436,"On-Time","Delayed"),"Pending"))</f>
        <v>0</v>
      </c>
    </row>
    <row r="437" spans="15:15">
      <c r="O437" s="7">
        <f>IF(N437="","",IF(N437="Closed",IF(M437&lt;=L437,"On-Time","Delayed"),"Pending"))</f>
        <v>0</v>
      </c>
    </row>
    <row r="438" spans="15:15">
      <c r="O438" s="7">
        <f>IF(N438="","",IF(N438="Closed",IF(M438&lt;=L438,"On-Time","Delayed"),"Pending"))</f>
        <v>0</v>
      </c>
    </row>
    <row r="439" spans="15:15">
      <c r="O439" s="7">
        <f>IF(N439="","",IF(N439="Closed",IF(M439&lt;=L439,"On-Time","Delayed"),"Pending"))</f>
        <v>0</v>
      </c>
    </row>
    <row r="440" spans="15:15">
      <c r="O440" s="7">
        <f>IF(N440="","",IF(N440="Closed",IF(M440&lt;=L440,"On-Time","Delayed"),"Pending"))</f>
        <v>0</v>
      </c>
    </row>
    <row r="441" spans="15:15">
      <c r="O441" s="7">
        <f>IF(N441="","",IF(N441="Closed",IF(M441&lt;=L441,"On-Time","Delayed"),"Pending"))</f>
        <v>0</v>
      </c>
    </row>
    <row r="442" spans="15:15">
      <c r="O442" s="7">
        <f>IF(N442="","",IF(N442="Closed",IF(M442&lt;=L442,"On-Time","Delayed"),"Pending"))</f>
        <v>0</v>
      </c>
    </row>
    <row r="443" spans="15:15">
      <c r="O443" s="7">
        <f>IF(N443="","",IF(N443="Closed",IF(M443&lt;=L443,"On-Time","Delayed"),"Pending"))</f>
        <v>0</v>
      </c>
    </row>
    <row r="444" spans="15:15">
      <c r="O444" s="7">
        <f>IF(N444="","",IF(N444="Closed",IF(M444&lt;=L444,"On-Time","Delayed"),"Pending"))</f>
        <v>0</v>
      </c>
    </row>
    <row r="445" spans="15:15">
      <c r="O445" s="7">
        <f>IF(N445="","",IF(N445="Closed",IF(M445&lt;=L445,"On-Time","Delayed"),"Pending"))</f>
        <v>0</v>
      </c>
    </row>
    <row r="446" spans="15:15">
      <c r="O446" s="7">
        <f>IF(N446="","",IF(N446="Closed",IF(M446&lt;=L446,"On-Time","Delayed"),"Pending"))</f>
        <v>0</v>
      </c>
    </row>
    <row r="447" spans="15:15">
      <c r="O447" s="7">
        <f>IF(N447="","",IF(N447="Closed",IF(M447&lt;=L447,"On-Time","Delayed"),"Pending"))</f>
        <v>0</v>
      </c>
    </row>
    <row r="448" spans="15:15">
      <c r="O448" s="7">
        <f>IF(N448="","",IF(N448="Closed",IF(M448&lt;=L448,"On-Time","Delayed"),"Pending"))</f>
        <v>0</v>
      </c>
    </row>
    <row r="449" spans="15:15">
      <c r="O449" s="7">
        <f>IF(N449="","",IF(N449="Closed",IF(M449&lt;=L449,"On-Time","Delayed"),"Pending"))</f>
        <v>0</v>
      </c>
    </row>
    <row r="450" spans="15:15">
      <c r="O450" s="7">
        <f>IF(N450="","",IF(N450="Closed",IF(M450&lt;=L450,"On-Time","Delayed"),"Pending"))</f>
        <v>0</v>
      </c>
    </row>
    <row r="451" spans="15:15">
      <c r="O451" s="7">
        <f>IF(N451="","",IF(N451="Closed",IF(M451&lt;=L451,"On-Time","Delayed"),"Pending"))</f>
        <v>0</v>
      </c>
    </row>
    <row r="452" spans="15:15">
      <c r="O452" s="7">
        <f>IF(N452="","",IF(N452="Closed",IF(M452&lt;=L452,"On-Time","Delayed"),"Pending"))</f>
        <v>0</v>
      </c>
    </row>
    <row r="453" spans="15:15">
      <c r="O453" s="7">
        <f>IF(N453="","",IF(N453="Closed",IF(M453&lt;=L453,"On-Time","Delayed"),"Pending"))</f>
        <v>0</v>
      </c>
    </row>
    <row r="454" spans="15:15">
      <c r="O454" s="7">
        <f>IF(N454="","",IF(N454="Closed",IF(M454&lt;=L454,"On-Time","Delayed"),"Pending"))</f>
        <v>0</v>
      </c>
    </row>
    <row r="455" spans="15:15">
      <c r="O455" s="7">
        <f>IF(N455="","",IF(N455="Closed",IF(M455&lt;=L455,"On-Time","Delayed"),"Pending"))</f>
        <v>0</v>
      </c>
    </row>
    <row r="456" spans="15:15">
      <c r="O456" s="7">
        <f>IF(N456="","",IF(N456="Closed",IF(M456&lt;=L456,"On-Time","Delayed"),"Pending"))</f>
        <v>0</v>
      </c>
    </row>
    <row r="457" spans="15:15">
      <c r="O457" s="7">
        <f>IF(N457="","",IF(N457="Closed",IF(M457&lt;=L457,"On-Time","Delayed"),"Pending"))</f>
        <v>0</v>
      </c>
    </row>
    <row r="458" spans="15:15">
      <c r="O458" s="7">
        <f>IF(N458="","",IF(N458="Closed",IF(M458&lt;=L458,"On-Time","Delayed"),"Pending"))</f>
        <v>0</v>
      </c>
    </row>
    <row r="459" spans="15:15">
      <c r="O459" s="7">
        <f>IF(N459="","",IF(N459="Closed",IF(M459&lt;=L459,"On-Time","Delayed"),"Pending"))</f>
        <v>0</v>
      </c>
    </row>
    <row r="460" spans="15:15">
      <c r="O460" s="7">
        <f>IF(N460="","",IF(N460="Closed",IF(M460&lt;=L460,"On-Time","Delayed"),"Pending"))</f>
        <v>0</v>
      </c>
    </row>
    <row r="461" spans="15:15">
      <c r="O461" s="7">
        <f>IF(N461="","",IF(N461="Closed",IF(M461&lt;=L461,"On-Time","Delayed"),"Pending"))</f>
        <v>0</v>
      </c>
    </row>
    <row r="462" spans="15:15">
      <c r="O462" s="7">
        <f>IF(N462="","",IF(N462="Closed",IF(M462&lt;=L462,"On-Time","Delayed"),"Pending"))</f>
        <v>0</v>
      </c>
    </row>
    <row r="463" spans="15:15">
      <c r="O463" s="7">
        <f>IF(N463="","",IF(N463="Closed",IF(M463&lt;=L463,"On-Time","Delayed"),"Pending"))</f>
        <v>0</v>
      </c>
    </row>
    <row r="464" spans="15:15">
      <c r="O464" s="7">
        <f>IF(N464="","",IF(N464="Closed",IF(M464&lt;=L464,"On-Time","Delayed"),"Pending"))</f>
        <v>0</v>
      </c>
    </row>
    <row r="465" spans="15:15">
      <c r="O465" s="7">
        <f>IF(N465="","",IF(N465="Closed",IF(M465&lt;=L465,"On-Time","Delayed"),"Pending"))</f>
        <v>0</v>
      </c>
    </row>
    <row r="466" spans="15:15">
      <c r="O466" s="7">
        <f>IF(N466="","",IF(N466="Closed",IF(M466&lt;=L466,"On-Time","Delayed"),"Pending"))</f>
        <v>0</v>
      </c>
    </row>
    <row r="467" spans="15:15">
      <c r="O467" s="7">
        <f>IF(N467="","",IF(N467="Closed",IF(M467&lt;=L467,"On-Time","Delayed"),"Pending"))</f>
        <v>0</v>
      </c>
    </row>
    <row r="468" spans="15:15">
      <c r="O468" s="7">
        <f>IF(N468="","",IF(N468="Closed",IF(M468&lt;=L468,"On-Time","Delayed"),"Pending"))</f>
        <v>0</v>
      </c>
    </row>
    <row r="469" spans="15:15">
      <c r="O469" s="7">
        <f>IF(N469="","",IF(N469="Closed",IF(M469&lt;=L469,"On-Time","Delayed"),"Pending"))</f>
        <v>0</v>
      </c>
    </row>
    <row r="470" spans="15:15">
      <c r="O470" s="7">
        <f>IF(N470="","",IF(N470="Closed",IF(M470&lt;=L470,"On-Time","Delayed"),"Pending"))</f>
        <v>0</v>
      </c>
    </row>
    <row r="471" spans="15:15">
      <c r="O471" s="7">
        <f>IF(N471="","",IF(N471="Closed",IF(M471&lt;=L471,"On-Time","Delayed"),"Pending"))</f>
        <v>0</v>
      </c>
    </row>
    <row r="472" spans="15:15">
      <c r="O472" s="7">
        <f>IF(N472="","",IF(N472="Closed",IF(M472&lt;=L472,"On-Time","Delayed"),"Pending"))</f>
        <v>0</v>
      </c>
    </row>
    <row r="473" spans="15:15">
      <c r="O473" s="7">
        <f>IF(N473="","",IF(N473="Closed",IF(M473&lt;=L473,"On-Time","Delayed"),"Pending"))</f>
        <v>0</v>
      </c>
    </row>
    <row r="474" spans="15:15">
      <c r="O474" s="7">
        <f>IF(N474="","",IF(N474="Closed",IF(M474&lt;=L474,"On-Time","Delayed"),"Pending"))</f>
        <v>0</v>
      </c>
    </row>
    <row r="475" spans="15:15">
      <c r="O475" s="7">
        <f>IF(N475="","",IF(N475="Closed",IF(M475&lt;=L475,"On-Time","Delayed"),"Pending"))</f>
        <v>0</v>
      </c>
    </row>
    <row r="476" spans="15:15">
      <c r="O476" s="7">
        <f>IF(N476="","",IF(N476="Closed",IF(M476&lt;=L476,"On-Time","Delayed"),"Pending"))</f>
        <v>0</v>
      </c>
    </row>
    <row r="477" spans="15:15">
      <c r="O477" s="7">
        <f>IF(N477="","",IF(N477="Closed",IF(M477&lt;=L477,"On-Time","Delayed"),"Pending"))</f>
        <v>0</v>
      </c>
    </row>
    <row r="478" spans="15:15">
      <c r="O478" s="7">
        <f>IF(N478="","",IF(N478="Closed",IF(M478&lt;=L478,"On-Time","Delayed"),"Pending"))</f>
        <v>0</v>
      </c>
    </row>
    <row r="479" spans="15:15">
      <c r="O479" s="7">
        <f>IF(N479="","",IF(N479="Closed",IF(M479&lt;=L479,"On-Time","Delayed"),"Pending"))</f>
        <v>0</v>
      </c>
    </row>
    <row r="480" spans="15:15">
      <c r="O480" s="7">
        <f>IF(N480="","",IF(N480="Closed",IF(M480&lt;=L480,"On-Time","Delayed"),"Pending"))</f>
        <v>0</v>
      </c>
    </row>
    <row r="481" spans="15:15">
      <c r="O481" s="7">
        <f>IF(N481="","",IF(N481="Closed",IF(M481&lt;=L481,"On-Time","Delayed"),"Pending"))</f>
        <v>0</v>
      </c>
    </row>
    <row r="482" spans="15:15">
      <c r="O482" s="7">
        <f>IF(N482="","",IF(N482="Closed",IF(M482&lt;=L482,"On-Time","Delayed"),"Pending"))</f>
        <v>0</v>
      </c>
    </row>
    <row r="483" spans="15:15">
      <c r="O483" s="7">
        <f>IF(N483="","",IF(N483="Closed",IF(M483&lt;=L483,"On-Time","Delayed"),"Pending"))</f>
        <v>0</v>
      </c>
    </row>
    <row r="484" spans="15:15">
      <c r="O484" s="7">
        <f>IF(N484="","",IF(N484="Closed",IF(M484&lt;=L484,"On-Time","Delayed"),"Pending"))</f>
        <v>0</v>
      </c>
    </row>
    <row r="485" spans="15:15">
      <c r="O485" s="7">
        <f>IF(N485="","",IF(N485="Closed",IF(M485&lt;=L485,"On-Time","Delayed"),"Pending"))</f>
        <v>0</v>
      </c>
    </row>
    <row r="486" spans="15:15">
      <c r="O486" s="7">
        <f>IF(N486="","",IF(N486="Closed",IF(M486&lt;=L486,"On-Time","Delayed"),"Pending"))</f>
        <v>0</v>
      </c>
    </row>
    <row r="487" spans="15:15">
      <c r="O487" s="7">
        <f>IF(N487="","",IF(N487="Closed",IF(M487&lt;=L487,"On-Time","Delayed"),"Pending"))</f>
        <v>0</v>
      </c>
    </row>
    <row r="488" spans="15:15">
      <c r="O488" s="7">
        <f>IF(N488="","",IF(N488="Closed",IF(M488&lt;=L488,"On-Time","Delayed"),"Pending"))</f>
        <v>0</v>
      </c>
    </row>
    <row r="489" spans="15:15">
      <c r="O489" s="7">
        <f>IF(N489="","",IF(N489="Closed",IF(M489&lt;=L489,"On-Time","Delayed"),"Pending"))</f>
        <v>0</v>
      </c>
    </row>
    <row r="490" spans="15:15">
      <c r="O490" s="7">
        <f>IF(N490="","",IF(N490="Closed",IF(M490&lt;=L490,"On-Time","Delayed"),"Pending"))</f>
        <v>0</v>
      </c>
    </row>
    <row r="491" spans="15:15">
      <c r="O491" s="7">
        <f>IF(N491="","",IF(N491="Closed",IF(M491&lt;=L491,"On-Time","Delayed"),"Pending"))</f>
        <v>0</v>
      </c>
    </row>
    <row r="492" spans="15:15">
      <c r="O492" s="7">
        <f>IF(N492="","",IF(N492="Closed",IF(M492&lt;=L492,"On-Time","Delayed"),"Pending"))</f>
        <v>0</v>
      </c>
    </row>
    <row r="493" spans="15:15">
      <c r="O493" s="7">
        <f>IF(N493="","",IF(N493="Closed",IF(M493&lt;=L493,"On-Time","Delayed"),"Pending"))</f>
        <v>0</v>
      </c>
    </row>
    <row r="494" spans="15:15">
      <c r="O494" s="7">
        <f>IF(N494="","",IF(N494="Closed",IF(M494&lt;=L494,"On-Time","Delayed"),"Pending"))</f>
        <v>0</v>
      </c>
    </row>
    <row r="495" spans="15:15">
      <c r="O495" s="7">
        <f>IF(N495="","",IF(N495="Closed",IF(M495&lt;=L495,"On-Time","Delayed"),"Pending"))</f>
        <v>0</v>
      </c>
    </row>
    <row r="496" spans="15:15">
      <c r="O496" s="7">
        <f>IF(N496="","",IF(N496="Closed",IF(M496&lt;=L496,"On-Time","Delayed"),"Pending"))</f>
        <v>0</v>
      </c>
    </row>
    <row r="497" spans="15:15">
      <c r="O497" s="7">
        <f>IF(N497="","",IF(N497="Closed",IF(M497&lt;=L497,"On-Time","Delayed"),"Pending"))</f>
        <v>0</v>
      </c>
    </row>
    <row r="498" spans="15:15">
      <c r="O498" s="7">
        <f>IF(N498="","",IF(N498="Closed",IF(M498&lt;=L498,"On-Time","Delayed"),"Pending"))</f>
        <v>0</v>
      </c>
    </row>
    <row r="499" spans="15:15">
      <c r="O499" s="7">
        <f>IF(N499="","",IF(N499="Closed",IF(M499&lt;=L499,"On-Time","Delayed"),"Pending"))</f>
        <v>0</v>
      </c>
    </row>
    <row r="500" spans="15:15">
      <c r="O500" s="7">
        <f>IF(N500="","",IF(N500="Closed",IF(M500&lt;=L500,"On-Time","Delayed"),"Pending"))</f>
        <v>0</v>
      </c>
    </row>
    <row r="501" spans="15:15">
      <c r="O501" s="7">
        <f>IF(N501="","",IF(N501="Closed",IF(M501&lt;=L501,"On-Time","Delayed"),"Pending"))</f>
        <v>0</v>
      </c>
    </row>
    <row r="502" spans="15:15">
      <c r="O502" s="7">
        <f>IF(N502="","",IF(N502="Closed",IF(M502&lt;=L502,"On-Time","Delayed"),"Pending"))</f>
        <v>0</v>
      </c>
    </row>
    <row r="503" spans="15:15">
      <c r="O503" s="7">
        <f>IF(N503="","",IF(N503="Closed",IF(M503&lt;=L503,"On-Time","Delayed"),"Pending"))</f>
        <v>0</v>
      </c>
    </row>
    <row r="504" spans="15:15">
      <c r="O504" s="7">
        <f>IF(N504="","",IF(N504="Closed",IF(M504&lt;=L504,"On-Time","Delayed"),"Pending"))</f>
        <v>0</v>
      </c>
    </row>
    <row r="505" spans="15:15">
      <c r="O505" s="7">
        <f>IF(N505="","",IF(N505="Closed",IF(M505&lt;=L505,"On-Time","Delayed"),"Pending"))</f>
        <v>0</v>
      </c>
    </row>
    <row r="506" spans="15:15">
      <c r="O506" s="7">
        <f>IF(N506="","",IF(N506="Closed",IF(M506&lt;=L506,"On-Time","Delayed"),"Pending"))</f>
        <v>0</v>
      </c>
    </row>
    <row r="507" spans="15:15">
      <c r="O507" s="7">
        <f>IF(N507="","",IF(N507="Closed",IF(M507&lt;=L507,"On-Time","Delayed"),"Pending"))</f>
        <v>0</v>
      </c>
    </row>
    <row r="508" spans="15:15">
      <c r="O508" s="7">
        <f>IF(N508="","",IF(N508="Closed",IF(M508&lt;=L508,"On-Time","Delayed"),"Pending"))</f>
        <v>0</v>
      </c>
    </row>
    <row r="509" spans="15:15">
      <c r="O509" s="7">
        <f>IF(N509="","",IF(N509="Closed",IF(M509&lt;=L509,"On-Time","Delayed"),"Pending"))</f>
        <v>0</v>
      </c>
    </row>
    <row r="510" spans="15:15">
      <c r="O510" s="7">
        <f>IF(N510="","",IF(N510="Closed",IF(M510&lt;=L510,"On-Time","Delayed"),"Pending"))</f>
        <v>0</v>
      </c>
    </row>
    <row r="511" spans="15:15">
      <c r="O511" s="7">
        <f>IF(N511="","",IF(N511="Closed",IF(M511&lt;=L511,"On-Time","Delayed"),"Pending"))</f>
        <v>0</v>
      </c>
    </row>
    <row r="512" spans="15:15">
      <c r="O512" s="7">
        <f>IF(N512="","",IF(N512="Closed",IF(M512&lt;=L512,"On-Time","Delayed"),"Pending"))</f>
        <v>0</v>
      </c>
    </row>
    <row r="513" spans="15:15">
      <c r="O513" s="7">
        <f>IF(N513="","",IF(N513="Closed",IF(M513&lt;=L513,"On-Time","Delayed"),"Pending"))</f>
        <v>0</v>
      </c>
    </row>
    <row r="514" spans="15:15">
      <c r="O514" s="7">
        <f>IF(N514="","",IF(N514="Closed",IF(M514&lt;=L514,"On-Time","Delayed"),"Pending"))</f>
        <v>0</v>
      </c>
    </row>
    <row r="515" spans="15:15">
      <c r="O515" s="7">
        <f>IF(N515="","",IF(N515="Closed",IF(M515&lt;=L515,"On-Time","Delayed"),"Pending"))</f>
        <v>0</v>
      </c>
    </row>
    <row r="516" spans="15:15">
      <c r="O516" s="7">
        <f>IF(N516="","",IF(N516="Closed",IF(M516&lt;=L516,"On-Time","Delayed"),"Pending"))</f>
        <v>0</v>
      </c>
    </row>
    <row r="517" spans="15:15">
      <c r="O517" s="7">
        <f>IF(N517="","",IF(N517="Closed",IF(M517&lt;=L517,"On-Time","Delayed"),"Pending"))</f>
        <v>0</v>
      </c>
    </row>
    <row r="518" spans="15:15">
      <c r="O518" s="7">
        <f>IF(N518="","",IF(N518="Closed",IF(M518&lt;=L518,"On-Time","Delayed"),"Pending"))</f>
        <v>0</v>
      </c>
    </row>
    <row r="519" spans="15:15">
      <c r="O519" s="7">
        <f>IF(N519="","",IF(N519="Closed",IF(M519&lt;=L519,"On-Time","Delayed"),"Pending"))</f>
        <v>0</v>
      </c>
    </row>
    <row r="520" spans="15:15">
      <c r="O520" s="7">
        <f>IF(N520="","",IF(N520="Closed",IF(M520&lt;=L520,"On-Time","Delayed"),"Pending"))</f>
        <v>0</v>
      </c>
    </row>
    <row r="521" spans="15:15">
      <c r="O521" s="7">
        <f>IF(N521="","",IF(N521="Closed",IF(M521&lt;=L521,"On-Time","Delayed"),"Pending"))</f>
        <v>0</v>
      </c>
    </row>
    <row r="522" spans="15:15">
      <c r="O522" s="7">
        <f>IF(N522="","",IF(N522="Closed",IF(M522&lt;=L522,"On-Time","Delayed"),"Pending"))</f>
        <v>0</v>
      </c>
    </row>
    <row r="523" spans="15:15">
      <c r="O523" s="7">
        <f>IF(N523="","",IF(N523="Closed",IF(M523&lt;=L523,"On-Time","Delayed"),"Pending"))</f>
        <v>0</v>
      </c>
    </row>
    <row r="524" spans="15:15">
      <c r="O524" s="7">
        <f>IF(N524="","",IF(N524="Closed",IF(M524&lt;=L524,"On-Time","Delayed"),"Pending"))</f>
        <v>0</v>
      </c>
    </row>
    <row r="525" spans="15:15">
      <c r="O525" s="7">
        <f>IF(N525="","",IF(N525="Closed",IF(M525&lt;=L525,"On-Time","Delayed"),"Pending"))</f>
        <v>0</v>
      </c>
    </row>
    <row r="526" spans="15:15">
      <c r="O526" s="7">
        <f>IF(N526="","",IF(N526="Closed",IF(M526&lt;=L526,"On-Time","Delayed"),"Pending"))</f>
        <v>0</v>
      </c>
    </row>
    <row r="527" spans="15:15">
      <c r="O527" s="7">
        <f>IF(N527="","",IF(N527="Closed",IF(M527&lt;=L527,"On-Time","Delayed"),"Pending"))</f>
        <v>0</v>
      </c>
    </row>
    <row r="528" spans="15:15">
      <c r="O528" s="7">
        <f>IF(N528="","",IF(N528="Closed",IF(M528&lt;=L528,"On-Time","Delayed"),"Pending"))</f>
        <v>0</v>
      </c>
    </row>
    <row r="529" spans="15:15">
      <c r="O529" s="7">
        <f>IF(N529="","",IF(N529="Closed",IF(M529&lt;=L529,"On-Time","Delayed"),"Pending"))</f>
        <v>0</v>
      </c>
    </row>
    <row r="530" spans="15:15">
      <c r="O530" s="7">
        <f>IF(N530="","",IF(N530="Closed",IF(M530&lt;=L530,"On-Time","Delayed"),"Pending"))</f>
        <v>0</v>
      </c>
    </row>
    <row r="531" spans="15:15">
      <c r="O531" s="7">
        <f>IF(N531="","",IF(N531="Closed",IF(M531&lt;=L531,"On-Time","Delayed"),"Pending"))</f>
        <v>0</v>
      </c>
    </row>
    <row r="532" spans="15:15">
      <c r="O532" s="7">
        <f>IF(N532="","",IF(N532="Closed",IF(M532&lt;=L532,"On-Time","Delayed"),"Pending"))</f>
        <v>0</v>
      </c>
    </row>
    <row r="533" spans="15:15">
      <c r="O533" s="7">
        <f>IF(N533="","",IF(N533="Closed",IF(M533&lt;=L533,"On-Time","Delayed"),"Pending"))</f>
        <v>0</v>
      </c>
    </row>
    <row r="534" spans="15:15">
      <c r="O534" s="7">
        <f>IF(N534="","",IF(N534="Closed",IF(M534&lt;=L534,"On-Time","Delayed"),"Pending"))</f>
        <v>0</v>
      </c>
    </row>
    <row r="535" spans="15:15">
      <c r="O535" s="7">
        <f>IF(N535="","",IF(N535="Closed",IF(M535&lt;=L535,"On-Time","Delayed"),"Pending"))</f>
        <v>0</v>
      </c>
    </row>
    <row r="536" spans="15:15">
      <c r="O536" s="7">
        <f>IF(N536="","",IF(N536="Closed",IF(M536&lt;=L536,"On-Time","Delayed"),"Pending"))</f>
        <v>0</v>
      </c>
    </row>
    <row r="537" spans="15:15">
      <c r="O537" s="7">
        <f>IF(N537="","",IF(N537="Closed",IF(M537&lt;=L537,"On-Time","Delayed"),"Pending"))</f>
        <v>0</v>
      </c>
    </row>
    <row r="538" spans="15:15">
      <c r="O538" s="7">
        <f>IF(N538="","",IF(N538="Closed",IF(M538&lt;=L538,"On-Time","Delayed"),"Pending"))</f>
        <v>0</v>
      </c>
    </row>
    <row r="539" spans="15:15">
      <c r="O539" s="7">
        <f>IF(N539="","",IF(N539="Closed",IF(M539&lt;=L539,"On-Time","Delayed"),"Pending"))</f>
        <v>0</v>
      </c>
    </row>
    <row r="540" spans="15:15">
      <c r="O540" s="7">
        <f>IF(N540="","",IF(N540="Closed",IF(M540&lt;=L540,"On-Time","Delayed"),"Pending"))</f>
        <v>0</v>
      </c>
    </row>
    <row r="541" spans="15:15">
      <c r="O541" s="7">
        <f>IF(N541="","",IF(N541="Closed",IF(M541&lt;=L541,"On-Time","Delayed"),"Pending"))</f>
        <v>0</v>
      </c>
    </row>
    <row r="542" spans="15:15">
      <c r="O542" s="7">
        <f>IF(N542="","",IF(N542="Closed",IF(M542&lt;=L542,"On-Time","Delayed"),"Pending"))</f>
        <v>0</v>
      </c>
    </row>
    <row r="543" spans="15:15">
      <c r="O543" s="7">
        <f>IF(N543="","",IF(N543="Closed",IF(M543&lt;=L543,"On-Time","Delayed"),"Pending"))</f>
        <v>0</v>
      </c>
    </row>
    <row r="544" spans="15:15">
      <c r="O544" s="7">
        <f>IF(N544="","",IF(N544="Closed",IF(M544&lt;=L544,"On-Time","Delayed"),"Pending"))</f>
        <v>0</v>
      </c>
    </row>
    <row r="545" spans="15:15">
      <c r="O545" s="7">
        <f>IF(N545="","",IF(N545="Closed",IF(M545&lt;=L545,"On-Time","Delayed"),"Pending"))</f>
        <v>0</v>
      </c>
    </row>
    <row r="546" spans="15:15">
      <c r="O546" s="7">
        <f>IF(N546="","",IF(N546="Closed",IF(M546&lt;=L546,"On-Time","Delayed"),"Pending"))</f>
        <v>0</v>
      </c>
    </row>
    <row r="547" spans="15:15">
      <c r="O547" s="7">
        <f>IF(N547="","",IF(N547="Closed",IF(M547&lt;=L547,"On-Time","Delayed"),"Pending"))</f>
        <v>0</v>
      </c>
    </row>
    <row r="548" spans="15:15">
      <c r="O548" s="7">
        <f>IF(N548="","",IF(N548="Closed",IF(M548&lt;=L548,"On-Time","Delayed"),"Pending"))</f>
        <v>0</v>
      </c>
    </row>
    <row r="549" spans="15:15">
      <c r="O549" s="7">
        <f>IF(N549="","",IF(N549="Closed",IF(M549&lt;=L549,"On-Time","Delayed"),"Pending"))</f>
        <v>0</v>
      </c>
    </row>
    <row r="550" spans="15:15">
      <c r="O550" s="7">
        <f>IF(N550="","",IF(N550="Closed",IF(M550&lt;=L550,"On-Time","Delayed"),"Pending"))</f>
        <v>0</v>
      </c>
    </row>
    <row r="551" spans="15:15">
      <c r="O551" s="7">
        <f>IF(N551="","",IF(N551="Closed",IF(M551&lt;=L551,"On-Time","Delayed"),"Pending"))</f>
        <v>0</v>
      </c>
    </row>
    <row r="552" spans="15:15">
      <c r="O552" s="7">
        <f>IF(N552="","",IF(N552="Closed",IF(M552&lt;=L552,"On-Time","Delayed"),"Pending"))</f>
        <v>0</v>
      </c>
    </row>
    <row r="553" spans="15:15">
      <c r="O553" s="7">
        <f>IF(N553="","",IF(N553="Closed",IF(M553&lt;=L553,"On-Time","Delayed"),"Pending"))</f>
        <v>0</v>
      </c>
    </row>
    <row r="554" spans="15:15">
      <c r="O554" s="7">
        <f>IF(N554="","",IF(N554="Closed",IF(M554&lt;=L554,"On-Time","Delayed"),"Pending"))</f>
        <v>0</v>
      </c>
    </row>
    <row r="555" spans="15:15">
      <c r="O555" s="7">
        <f>IF(N555="","",IF(N555="Closed",IF(M555&lt;=L555,"On-Time","Delayed"),"Pending"))</f>
        <v>0</v>
      </c>
    </row>
    <row r="556" spans="15:15">
      <c r="O556" s="7">
        <f>IF(N556="","",IF(N556="Closed",IF(M556&lt;=L556,"On-Time","Delayed"),"Pending"))</f>
        <v>0</v>
      </c>
    </row>
    <row r="557" spans="15:15">
      <c r="O557" s="7">
        <f>IF(N557="","",IF(N557="Closed",IF(M557&lt;=L557,"On-Time","Delayed"),"Pending"))</f>
        <v>0</v>
      </c>
    </row>
    <row r="558" spans="15:15">
      <c r="O558" s="7">
        <f>IF(N558="","",IF(N558="Closed",IF(M558&lt;=L558,"On-Time","Delayed"),"Pending"))</f>
        <v>0</v>
      </c>
    </row>
    <row r="559" spans="15:15">
      <c r="O559" s="7">
        <f>IF(N559="","",IF(N559="Closed",IF(M559&lt;=L559,"On-Time","Delayed"),"Pending"))</f>
        <v>0</v>
      </c>
    </row>
    <row r="560" spans="15:15">
      <c r="O560" s="7">
        <f>IF(N560="","",IF(N560="Closed",IF(M560&lt;=L560,"On-Time","Delayed"),"Pending"))</f>
        <v>0</v>
      </c>
    </row>
    <row r="561" spans="15:15">
      <c r="O561" s="7">
        <f>IF(N561="","",IF(N561="Closed",IF(M561&lt;=L561,"On-Time","Delayed"),"Pending"))</f>
        <v>0</v>
      </c>
    </row>
    <row r="562" spans="15:15">
      <c r="O562" s="7">
        <f>IF(N562="","",IF(N562="Closed",IF(M562&lt;=L562,"On-Time","Delayed"),"Pending"))</f>
        <v>0</v>
      </c>
    </row>
    <row r="563" spans="15:15">
      <c r="O563" s="7">
        <f>IF(N563="","",IF(N563="Closed",IF(M563&lt;=L563,"On-Time","Delayed"),"Pending"))</f>
        <v>0</v>
      </c>
    </row>
    <row r="564" spans="15:15">
      <c r="O564" s="7">
        <f>IF(N564="","",IF(N564="Closed",IF(M564&lt;=L564,"On-Time","Delayed"),"Pending"))</f>
        <v>0</v>
      </c>
    </row>
    <row r="565" spans="15:15">
      <c r="O565" s="7">
        <f>IF(N565="","",IF(N565="Closed",IF(M565&lt;=L565,"On-Time","Delayed"),"Pending"))</f>
        <v>0</v>
      </c>
    </row>
    <row r="566" spans="15:15">
      <c r="O566" s="7">
        <f>IF(N566="","",IF(N566="Closed",IF(M566&lt;=L566,"On-Time","Delayed"),"Pending"))</f>
        <v>0</v>
      </c>
    </row>
    <row r="567" spans="15:15">
      <c r="O567" s="7">
        <f>IF(N567="","",IF(N567="Closed",IF(M567&lt;=L567,"On-Time","Delayed"),"Pending"))</f>
        <v>0</v>
      </c>
    </row>
    <row r="568" spans="15:15">
      <c r="O568" s="7">
        <f>IF(N568="","",IF(N568="Closed",IF(M568&lt;=L568,"On-Time","Delayed"),"Pending"))</f>
        <v>0</v>
      </c>
    </row>
    <row r="569" spans="15:15">
      <c r="O569" s="7">
        <f>IF(N569="","",IF(N569="Closed",IF(M569&lt;=L569,"On-Time","Delayed"),"Pending"))</f>
        <v>0</v>
      </c>
    </row>
    <row r="570" spans="15:15">
      <c r="O570" s="7">
        <f>IF(N570="","",IF(N570="Closed",IF(M570&lt;=L570,"On-Time","Delayed"),"Pending"))</f>
        <v>0</v>
      </c>
    </row>
    <row r="571" spans="15:15">
      <c r="O571" s="7">
        <f>IF(N571="","",IF(N571="Closed",IF(M571&lt;=L571,"On-Time","Delayed"),"Pending"))</f>
        <v>0</v>
      </c>
    </row>
    <row r="572" spans="15:15">
      <c r="O572" s="7">
        <f>IF(N572="","",IF(N572="Closed",IF(M572&lt;=L572,"On-Time","Delayed"),"Pending"))</f>
        <v>0</v>
      </c>
    </row>
    <row r="573" spans="15:15">
      <c r="O573" s="7">
        <f>IF(N573="","",IF(N573="Closed",IF(M573&lt;=L573,"On-Time","Delayed"),"Pending"))</f>
        <v>0</v>
      </c>
    </row>
    <row r="574" spans="15:15">
      <c r="O574" s="7">
        <f>IF(N574="","",IF(N574="Closed",IF(M574&lt;=L574,"On-Time","Delayed"),"Pending"))</f>
        <v>0</v>
      </c>
    </row>
    <row r="575" spans="15:15">
      <c r="O575" s="7">
        <f>IF(N575="","",IF(N575="Closed",IF(M575&lt;=L575,"On-Time","Delayed"),"Pending"))</f>
        <v>0</v>
      </c>
    </row>
    <row r="576" spans="15:15">
      <c r="O576" s="7">
        <f>IF(N576="","",IF(N576="Closed",IF(M576&lt;=L576,"On-Time","Delayed"),"Pending"))</f>
        <v>0</v>
      </c>
    </row>
    <row r="577" spans="15:15">
      <c r="O577" s="7">
        <f>IF(N577="","",IF(N577="Closed",IF(M577&lt;=L577,"On-Time","Delayed"),"Pending"))</f>
        <v>0</v>
      </c>
    </row>
    <row r="578" spans="15:15">
      <c r="O578" s="7">
        <f>IF(N578="","",IF(N578="Closed",IF(M578&lt;=L578,"On-Time","Delayed"),"Pending"))</f>
        <v>0</v>
      </c>
    </row>
    <row r="579" spans="15:15">
      <c r="O579" s="7">
        <f>IF(N579="","",IF(N579="Closed",IF(M579&lt;=L579,"On-Time","Delayed"),"Pending"))</f>
        <v>0</v>
      </c>
    </row>
    <row r="580" spans="15:15">
      <c r="O580" s="7">
        <f>IF(N580="","",IF(N580="Closed",IF(M580&lt;=L580,"On-Time","Delayed"),"Pending"))</f>
        <v>0</v>
      </c>
    </row>
    <row r="581" spans="15:15">
      <c r="O581" s="7">
        <f>IF(N581="","",IF(N581="Closed",IF(M581&lt;=L581,"On-Time","Delayed"),"Pending"))</f>
        <v>0</v>
      </c>
    </row>
    <row r="582" spans="15:15">
      <c r="O582" s="7">
        <f>IF(N582="","",IF(N582="Closed",IF(M582&lt;=L582,"On-Time","Delayed"),"Pending"))</f>
        <v>0</v>
      </c>
    </row>
    <row r="583" spans="15:15">
      <c r="O583" s="7">
        <f>IF(N583="","",IF(N583="Closed",IF(M583&lt;=L583,"On-Time","Delayed"),"Pending"))</f>
        <v>0</v>
      </c>
    </row>
    <row r="584" spans="15:15">
      <c r="O584" s="7">
        <f>IF(N584="","",IF(N584="Closed",IF(M584&lt;=L584,"On-Time","Delayed"),"Pending"))</f>
        <v>0</v>
      </c>
    </row>
    <row r="585" spans="15:15">
      <c r="O585" s="7">
        <f>IF(N585="","",IF(N585="Closed",IF(M585&lt;=L585,"On-Time","Delayed"),"Pending"))</f>
        <v>0</v>
      </c>
    </row>
    <row r="586" spans="15:15">
      <c r="O586" s="7">
        <f>IF(N586="","",IF(N586="Closed",IF(M586&lt;=L586,"On-Time","Delayed"),"Pending"))</f>
        <v>0</v>
      </c>
    </row>
    <row r="587" spans="15:15">
      <c r="O587" s="7">
        <f>IF(N587="","",IF(N587="Closed",IF(M587&lt;=L587,"On-Time","Delayed"),"Pending"))</f>
        <v>0</v>
      </c>
    </row>
    <row r="588" spans="15:15">
      <c r="O588" s="7">
        <f>IF(N588="","",IF(N588="Closed",IF(M588&lt;=L588,"On-Time","Delayed"),"Pending"))</f>
        <v>0</v>
      </c>
    </row>
    <row r="589" spans="15:15">
      <c r="O589" s="7">
        <f>IF(N589="","",IF(N589="Closed",IF(M589&lt;=L589,"On-Time","Delayed"),"Pending"))</f>
        <v>0</v>
      </c>
    </row>
    <row r="590" spans="15:15">
      <c r="O590" s="7">
        <f>IF(N590="","",IF(N590="Closed",IF(M590&lt;=L590,"On-Time","Delayed"),"Pending"))</f>
        <v>0</v>
      </c>
    </row>
    <row r="591" spans="15:15">
      <c r="O591" s="7">
        <f>IF(N591="","",IF(N591="Closed",IF(M591&lt;=L591,"On-Time","Delayed"),"Pending"))</f>
        <v>0</v>
      </c>
    </row>
    <row r="592" spans="15:15">
      <c r="O592" s="7">
        <f>IF(N592="","",IF(N592="Closed",IF(M592&lt;=L592,"On-Time","Delayed"),"Pending"))</f>
        <v>0</v>
      </c>
    </row>
    <row r="593" spans="15:15">
      <c r="O593" s="7">
        <f>IF(N593="","",IF(N593="Closed",IF(M593&lt;=L593,"On-Time","Delayed"),"Pending"))</f>
        <v>0</v>
      </c>
    </row>
    <row r="594" spans="15:15">
      <c r="O594" s="7">
        <f>IF(N594="","",IF(N594="Closed",IF(M594&lt;=L594,"On-Time","Delayed"),"Pending"))</f>
        <v>0</v>
      </c>
    </row>
    <row r="595" spans="15:15">
      <c r="O595" s="7">
        <f>IF(N595="","",IF(N595="Closed",IF(M595&lt;=L595,"On-Time","Delayed"),"Pending"))</f>
        <v>0</v>
      </c>
    </row>
    <row r="596" spans="15:15">
      <c r="O596" s="7">
        <f>IF(N596="","",IF(N596="Closed",IF(M596&lt;=L596,"On-Time","Delayed"),"Pending"))</f>
        <v>0</v>
      </c>
    </row>
    <row r="597" spans="15:15">
      <c r="O597" s="7">
        <f>IF(N597="","",IF(N597="Closed",IF(M597&lt;=L597,"On-Time","Delayed"),"Pending"))</f>
        <v>0</v>
      </c>
    </row>
    <row r="598" spans="15:15">
      <c r="O598" s="7">
        <f>IF(N598="","",IF(N598="Closed",IF(M598&lt;=L598,"On-Time","Delayed"),"Pending"))</f>
        <v>0</v>
      </c>
    </row>
    <row r="599" spans="15:15">
      <c r="O599" s="7">
        <f>IF(N599="","",IF(N599="Closed",IF(M599&lt;=L599,"On-Time","Delayed"),"Pending"))</f>
        <v>0</v>
      </c>
    </row>
    <row r="600" spans="15:15">
      <c r="O600" s="7">
        <f>IF(N600="","",IF(N600="Closed",IF(M600&lt;=L600,"On-Time","Delayed"),"Pending"))</f>
        <v>0</v>
      </c>
    </row>
    <row r="601" spans="15:15">
      <c r="O601" s="7">
        <f>IF(N601="","",IF(N601="Closed",IF(M601&lt;=L601,"On-Time","Delayed"),"Pending"))</f>
        <v>0</v>
      </c>
    </row>
    <row r="602" spans="15:15">
      <c r="O602" s="7">
        <f>IF(N602="","",IF(N602="Closed",IF(M602&lt;=L602,"On-Time","Delayed"),"Pending"))</f>
        <v>0</v>
      </c>
    </row>
    <row r="603" spans="15:15">
      <c r="O603" s="7">
        <f>IF(N603="","",IF(N603="Closed",IF(M603&lt;=L603,"On-Time","Delayed"),"Pending"))</f>
        <v>0</v>
      </c>
    </row>
    <row r="604" spans="15:15">
      <c r="O604" s="7">
        <f>IF(N604="","",IF(N604="Closed",IF(M604&lt;=L604,"On-Time","Delayed"),"Pending"))</f>
        <v>0</v>
      </c>
    </row>
    <row r="605" spans="15:15">
      <c r="O605" s="7">
        <f>IF(N605="","",IF(N605="Closed",IF(M605&lt;=L605,"On-Time","Delayed"),"Pending"))</f>
        <v>0</v>
      </c>
    </row>
    <row r="606" spans="15:15">
      <c r="O606" s="7">
        <f>IF(N606="","",IF(N606="Closed",IF(M606&lt;=L606,"On-Time","Delayed"),"Pending"))</f>
        <v>0</v>
      </c>
    </row>
    <row r="607" spans="15:15">
      <c r="O607" s="7">
        <f>IF(N607="","",IF(N607="Closed",IF(M607&lt;=L607,"On-Time","Delayed"),"Pending"))</f>
        <v>0</v>
      </c>
    </row>
    <row r="608" spans="15:15">
      <c r="O608" s="7">
        <f>IF(N608="","",IF(N608="Closed",IF(M608&lt;=L608,"On-Time","Delayed"),"Pending"))</f>
        <v>0</v>
      </c>
    </row>
    <row r="609" spans="15:15">
      <c r="O609" s="7">
        <f>IF(N609="","",IF(N609="Closed",IF(M609&lt;=L609,"On-Time","Delayed"),"Pending"))</f>
        <v>0</v>
      </c>
    </row>
    <row r="610" spans="15:15">
      <c r="O610" s="7">
        <f>IF(N610="","",IF(N610="Closed",IF(M610&lt;=L610,"On-Time","Delayed"),"Pending"))</f>
        <v>0</v>
      </c>
    </row>
    <row r="611" spans="15:15">
      <c r="O611" s="7">
        <f>IF(N611="","",IF(N611="Closed",IF(M611&lt;=L611,"On-Time","Delayed"),"Pending"))</f>
        <v>0</v>
      </c>
    </row>
    <row r="612" spans="15:15">
      <c r="O612" s="7">
        <f>IF(N612="","",IF(N612="Closed",IF(M612&lt;=L612,"On-Time","Delayed"),"Pending"))</f>
        <v>0</v>
      </c>
    </row>
    <row r="613" spans="15:15">
      <c r="O613" s="7">
        <f>IF(N613="","",IF(N613="Closed",IF(M613&lt;=L613,"On-Time","Delayed"),"Pending"))</f>
        <v>0</v>
      </c>
    </row>
    <row r="614" spans="15:15">
      <c r="O614" s="7">
        <f>IF(N614="","",IF(N614="Closed",IF(M614&lt;=L614,"On-Time","Delayed"),"Pending"))</f>
        <v>0</v>
      </c>
    </row>
    <row r="615" spans="15:15">
      <c r="O615" s="7">
        <f>IF(N615="","",IF(N615="Closed",IF(M615&lt;=L615,"On-Time","Delayed"),"Pending"))</f>
        <v>0</v>
      </c>
    </row>
    <row r="616" spans="15:15">
      <c r="O616" s="7">
        <f>IF(N616="","",IF(N616="Closed",IF(M616&lt;=L616,"On-Time","Delayed"),"Pending"))</f>
        <v>0</v>
      </c>
    </row>
    <row r="617" spans="15:15">
      <c r="O617" s="7">
        <f>IF(N617="","",IF(N617="Closed",IF(M617&lt;=L617,"On-Time","Delayed"),"Pending"))</f>
        <v>0</v>
      </c>
    </row>
    <row r="618" spans="15:15">
      <c r="O618" s="7">
        <f>IF(N618="","",IF(N618="Closed",IF(M618&lt;=L618,"On-Time","Delayed"),"Pending"))</f>
        <v>0</v>
      </c>
    </row>
    <row r="619" spans="15:15">
      <c r="O619" s="7">
        <f>IF(N619="","",IF(N619="Closed",IF(M619&lt;=L619,"On-Time","Delayed"),"Pending"))</f>
        <v>0</v>
      </c>
    </row>
    <row r="620" spans="15:15">
      <c r="O620" s="7">
        <f>IF(N620="","",IF(N620="Closed",IF(M620&lt;=L620,"On-Time","Delayed"),"Pending"))</f>
        <v>0</v>
      </c>
    </row>
    <row r="621" spans="15:15">
      <c r="O621" s="7">
        <f>IF(N621="","",IF(N621="Closed",IF(M621&lt;=L621,"On-Time","Delayed"),"Pending"))</f>
        <v>0</v>
      </c>
    </row>
    <row r="622" spans="15:15">
      <c r="O622" s="7">
        <f>IF(N622="","",IF(N622="Closed",IF(M622&lt;=L622,"On-Time","Delayed"),"Pending"))</f>
        <v>0</v>
      </c>
    </row>
    <row r="623" spans="15:15">
      <c r="O623" s="7">
        <f>IF(N623="","",IF(N623="Closed",IF(M623&lt;=L623,"On-Time","Delayed"),"Pending"))</f>
        <v>0</v>
      </c>
    </row>
    <row r="624" spans="15:15">
      <c r="O624" s="7">
        <f>IF(N624="","",IF(N624="Closed",IF(M624&lt;=L624,"On-Time","Delayed"),"Pending"))</f>
        <v>0</v>
      </c>
    </row>
    <row r="625" spans="15:15">
      <c r="O625" s="7">
        <f>IF(N625="","",IF(N625="Closed",IF(M625&lt;=L625,"On-Time","Delayed"),"Pending"))</f>
        <v>0</v>
      </c>
    </row>
    <row r="626" spans="15:15">
      <c r="O626" s="7">
        <f>IF(N626="","",IF(N626="Closed",IF(M626&lt;=L626,"On-Time","Delayed"),"Pending"))</f>
        <v>0</v>
      </c>
    </row>
    <row r="627" spans="15:15">
      <c r="O627" s="7">
        <f>IF(N627="","",IF(N627="Closed",IF(M627&lt;=L627,"On-Time","Delayed"),"Pending"))</f>
        <v>0</v>
      </c>
    </row>
    <row r="628" spans="15:15">
      <c r="O628" s="7">
        <f>IF(N628="","",IF(N628="Closed",IF(M628&lt;=L628,"On-Time","Delayed"),"Pending"))</f>
        <v>0</v>
      </c>
    </row>
    <row r="629" spans="15:15">
      <c r="O629" s="7">
        <f>IF(N629="","",IF(N629="Closed",IF(M629&lt;=L629,"On-Time","Delayed"),"Pending"))</f>
        <v>0</v>
      </c>
    </row>
    <row r="630" spans="15:15">
      <c r="O630" s="7">
        <f>IF(N630="","",IF(N630="Closed",IF(M630&lt;=L630,"On-Time","Delayed"),"Pending"))</f>
        <v>0</v>
      </c>
    </row>
    <row r="631" spans="15:15">
      <c r="O631" s="7">
        <f>IF(N631="","",IF(N631="Closed",IF(M631&lt;=L631,"On-Time","Delayed"),"Pending"))</f>
        <v>0</v>
      </c>
    </row>
    <row r="632" spans="15:15">
      <c r="O632" s="7">
        <f>IF(N632="","",IF(N632="Closed",IF(M632&lt;=L632,"On-Time","Delayed"),"Pending"))</f>
        <v>0</v>
      </c>
    </row>
    <row r="633" spans="15:15">
      <c r="O633" s="7">
        <f>IF(N633="","",IF(N633="Closed",IF(M633&lt;=L633,"On-Time","Delayed"),"Pending"))</f>
        <v>0</v>
      </c>
    </row>
    <row r="634" spans="15:15">
      <c r="O634" s="7">
        <f>IF(N634="","",IF(N634="Closed",IF(M634&lt;=L634,"On-Time","Delayed"),"Pending"))</f>
        <v>0</v>
      </c>
    </row>
    <row r="635" spans="15:15">
      <c r="O635" s="7">
        <f>IF(N635="","",IF(N635="Closed",IF(M635&lt;=L635,"On-Time","Delayed"),"Pending"))</f>
        <v>0</v>
      </c>
    </row>
    <row r="636" spans="15:15">
      <c r="O636" s="7">
        <f>IF(N636="","",IF(N636="Closed",IF(M636&lt;=L636,"On-Time","Delayed"),"Pending"))</f>
        <v>0</v>
      </c>
    </row>
    <row r="637" spans="15:15">
      <c r="O637" s="7">
        <f>IF(N637="","",IF(N637="Closed",IF(M637&lt;=L637,"On-Time","Delayed"),"Pending"))</f>
        <v>0</v>
      </c>
    </row>
    <row r="638" spans="15:15">
      <c r="O638" s="7">
        <f>IF(N638="","",IF(N638="Closed",IF(M638&lt;=L638,"On-Time","Delayed"),"Pending"))</f>
        <v>0</v>
      </c>
    </row>
    <row r="639" spans="15:15">
      <c r="O639" s="7">
        <f>IF(N639="","",IF(N639="Closed",IF(M639&lt;=L639,"On-Time","Delayed"),"Pending"))</f>
        <v>0</v>
      </c>
    </row>
    <row r="640" spans="15:15">
      <c r="O640" s="7">
        <f>IF(N640="","",IF(N640="Closed",IF(M640&lt;=L640,"On-Time","Delayed"),"Pending"))</f>
        <v>0</v>
      </c>
    </row>
    <row r="641" spans="15:15">
      <c r="O641" s="7">
        <f>IF(N641="","",IF(N641="Closed",IF(M641&lt;=L641,"On-Time","Delayed"),"Pending"))</f>
        <v>0</v>
      </c>
    </row>
    <row r="642" spans="15:15">
      <c r="O642" s="7">
        <f>IF(N642="","",IF(N642="Closed",IF(M642&lt;=L642,"On-Time","Delayed"),"Pending"))</f>
        <v>0</v>
      </c>
    </row>
    <row r="643" spans="15:15">
      <c r="O643" s="7">
        <f>IF(N643="","",IF(N643="Closed",IF(M643&lt;=L643,"On-Time","Delayed"),"Pending"))</f>
        <v>0</v>
      </c>
    </row>
    <row r="644" spans="15:15">
      <c r="O644" s="7">
        <f>IF(N644="","",IF(N644="Closed",IF(M644&lt;=L644,"On-Time","Delayed"),"Pending"))</f>
        <v>0</v>
      </c>
    </row>
    <row r="645" spans="15:15">
      <c r="O645" s="7">
        <f>IF(N645="","",IF(N645="Closed",IF(M645&lt;=L645,"On-Time","Delayed"),"Pending"))</f>
        <v>0</v>
      </c>
    </row>
    <row r="646" spans="15:15">
      <c r="O646" s="7">
        <f>IF(N646="","",IF(N646="Closed",IF(M646&lt;=L646,"On-Time","Delayed"),"Pending"))</f>
        <v>0</v>
      </c>
    </row>
    <row r="647" spans="15:15">
      <c r="O647" s="7">
        <f>IF(N647="","",IF(N647="Closed",IF(M647&lt;=L647,"On-Time","Delayed"),"Pending"))</f>
        <v>0</v>
      </c>
    </row>
    <row r="648" spans="15:15">
      <c r="O648" s="7">
        <f>IF(N648="","",IF(N648="Closed",IF(M648&lt;=L648,"On-Time","Delayed"),"Pending"))</f>
        <v>0</v>
      </c>
    </row>
    <row r="649" spans="15:15">
      <c r="O649" s="7">
        <f>IF(N649="","",IF(N649="Closed",IF(M649&lt;=L649,"On-Time","Delayed"),"Pending"))</f>
        <v>0</v>
      </c>
    </row>
    <row r="650" spans="15:15">
      <c r="O650" s="7">
        <f>IF(N650="","",IF(N650="Closed",IF(M650&lt;=L650,"On-Time","Delayed"),"Pending"))</f>
        <v>0</v>
      </c>
    </row>
    <row r="651" spans="15:15">
      <c r="O651" s="7">
        <f>IF(N651="","",IF(N651="Closed",IF(M651&lt;=L651,"On-Time","Delayed"),"Pending"))</f>
        <v>0</v>
      </c>
    </row>
    <row r="652" spans="15:15">
      <c r="O652" s="7">
        <f>IF(N652="","",IF(N652="Closed",IF(M652&lt;=L652,"On-Time","Delayed"),"Pending"))</f>
        <v>0</v>
      </c>
    </row>
    <row r="653" spans="15:15">
      <c r="O653" s="7">
        <f>IF(N653="","",IF(N653="Closed",IF(M653&lt;=L653,"On-Time","Delayed"),"Pending"))</f>
        <v>0</v>
      </c>
    </row>
    <row r="654" spans="15:15">
      <c r="O654" s="7">
        <f>IF(N654="","",IF(N654="Closed",IF(M654&lt;=L654,"On-Time","Delayed"),"Pending"))</f>
        <v>0</v>
      </c>
    </row>
    <row r="655" spans="15:15">
      <c r="O655" s="7">
        <f>IF(N655="","",IF(N655="Closed",IF(M655&lt;=L655,"On-Time","Delayed"),"Pending"))</f>
        <v>0</v>
      </c>
    </row>
    <row r="656" spans="15:15">
      <c r="O656" s="7">
        <f>IF(N656="","",IF(N656="Closed",IF(M656&lt;=L656,"On-Time","Delayed"),"Pending"))</f>
        <v>0</v>
      </c>
    </row>
    <row r="657" spans="15:15">
      <c r="O657" s="7">
        <f>IF(N657="","",IF(N657="Closed",IF(M657&lt;=L657,"On-Time","Delayed"),"Pending"))</f>
        <v>0</v>
      </c>
    </row>
    <row r="658" spans="15:15">
      <c r="O658" s="7">
        <f>IF(N658="","",IF(N658="Closed",IF(M658&lt;=L658,"On-Time","Delayed"),"Pending"))</f>
        <v>0</v>
      </c>
    </row>
    <row r="659" spans="15:15">
      <c r="O659" s="7">
        <f>IF(N659="","",IF(N659="Closed",IF(M659&lt;=L659,"On-Time","Delayed"),"Pending"))</f>
        <v>0</v>
      </c>
    </row>
    <row r="660" spans="15:15">
      <c r="O660" s="7">
        <f>IF(N660="","",IF(N660="Closed",IF(M660&lt;=L660,"On-Time","Delayed"),"Pending"))</f>
        <v>0</v>
      </c>
    </row>
    <row r="661" spans="15:15">
      <c r="O661" s="7">
        <f>IF(N661="","",IF(N661="Closed",IF(M661&lt;=L661,"On-Time","Delayed"),"Pending"))</f>
        <v>0</v>
      </c>
    </row>
    <row r="662" spans="15:15">
      <c r="O662" s="7">
        <f>IF(N662="","",IF(N662="Closed",IF(M662&lt;=L662,"On-Time","Delayed"),"Pending"))</f>
        <v>0</v>
      </c>
    </row>
    <row r="663" spans="15:15">
      <c r="O663" s="7">
        <f>IF(N663="","",IF(N663="Closed",IF(M663&lt;=L663,"On-Time","Delayed"),"Pending"))</f>
        <v>0</v>
      </c>
    </row>
    <row r="664" spans="15:15">
      <c r="O664" s="7">
        <f>IF(N664="","",IF(N664="Closed",IF(M664&lt;=L664,"On-Time","Delayed"),"Pending"))</f>
        <v>0</v>
      </c>
    </row>
    <row r="665" spans="15:15">
      <c r="O665" s="7">
        <f>IF(N665="","",IF(N665="Closed",IF(M665&lt;=L665,"On-Time","Delayed"),"Pending"))</f>
        <v>0</v>
      </c>
    </row>
    <row r="666" spans="15:15">
      <c r="O666" s="7">
        <f>IF(N666="","",IF(N666="Closed",IF(M666&lt;=L666,"On-Time","Delayed"),"Pending"))</f>
        <v>0</v>
      </c>
    </row>
    <row r="667" spans="15:15">
      <c r="O667" s="7">
        <f>IF(N667="","",IF(N667="Closed",IF(M667&lt;=L667,"On-Time","Delayed"),"Pending"))</f>
        <v>0</v>
      </c>
    </row>
    <row r="668" spans="15:15">
      <c r="O668" s="7">
        <f>IF(N668="","",IF(N668="Closed",IF(M668&lt;=L668,"On-Time","Delayed"),"Pending"))</f>
        <v>0</v>
      </c>
    </row>
    <row r="669" spans="15:15">
      <c r="O669" s="7">
        <f>IF(N669="","",IF(N669="Closed",IF(M669&lt;=L669,"On-Time","Delayed"),"Pending"))</f>
        <v>0</v>
      </c>
    </row>
    <row r="670" spans="15:15">
      <c r="O670" s="7">
        <f>IF(N670="","",IF(N670="Closed",IF(M670&lt;=L670,"On-Time","Delayed"),"Pending"))</f>
        <v>0</v>
      </c>
    </row>
    <row r="671" spans="15:15">
      <c r="O671" s="7">
        <f>IF(N671="","",IF(N671="Closed",IF(M671&lt;=L671,"On-Time","Delayed"),"Pending"))</f>
        <v>0</v>
      </c>
    </row>
    <row r="672" spans="15:15">
      <c r="O672" s="7">
        <f>IF(N672="","",IF(N672="Closed",IF(M672&lt;=L672,"On-Time","Delayed"),"Pending"))</f>
        <v>0</v>
      </c>
    </row>
    <row r="673" spans="15:15">
      <c r="O673" s="7">
        <f>IF(N673="","",IF(N673="Closed",IF(M673&lt;=L673,"On-Time","Delayed"),"Pending"))</f>
        <v>0</v>
      </c>
    </row>
    <row r="674" spans="15:15">
      <c r="O674" s="7">
        <f>IF(N674="","",IF(N674="Closed",IF(M674&lt;=L674,"On-Time","Delayed"),"Pending"))</f>
        <v>0</v>
      </c>
    </row>
    <row r="675" spans="15:15">
      <c r="O675" s="7">
        <f>IF(N675="","",IF(N675="Closed",IF(M675&lt;=L675,"On-Time","Delayed"),"Pending"))</f>
        <v>0</v>
      </c>
    </row>
    <row r="676" spans="15:15">
      <c r="O676" s="7">
        <f>IF(N676="","",IF(N676="Closed",IF(M676&lt;=L676,"On-Time","Delayed"),"Pending"))</f>
        <v>0</v>
      </c>
    </row>
    <row r="677" spans="15:15">
      <c r="O677" s="7">
        <f>IF(N677="","",IF(N677="Closed",IF(M677&lt;=L677,"On-Time","Delayed"),"Pending"))</f>
        <v>0</v>
      </c>
    </row>
    <row r="678" spans="15:15">
      <c r="O678" s="7">
        <f>IF(N678="","",IF(N678="Closed",IF(M678&lt;=L678,"On-Time","Delayed"),"Pending"))</f>
        <v>0</v>
      </c>
    </row>
    <row r="679" spans="15:15">
      <c r="O679" s="7">
        <f>IF(N679="","",IF(N679="Closed",IF(M679&lt;=L679,"On-Time","Delayed"),"Pending"))</f>
        <v>0</v>
      </c>
    </row>
    <row r="680" spans="15:15">
      <c r="O680" s="7">
        <f>IF(N680="","",IF(N680="Closed",IF(M680&lt;=L680,"On-Time","Delayed"),"Pending"))</f>
        <v>0</v>
      </c>
    </row>
    <row r="681" spans="15:15">
      <c r="O681" s="7">
        <f>IF(N681="","",IF(N681="Closed",IF(M681&lt;=L681,"On-Time","Delayed"),"Pending"))</f>
        <v>0</v>
      </c>
    </row>
    <row r="682" spans="15:15">
      <c r="O682" s="7">
        <f>IF(N682="","",IF(N682="Closed",IF(M682&lt;=L682,"On-Time","Delayed"),"Pending"))</f>
        <v>0</v>
      </c>
    </row>
    <row r="683" spans="15:15">
      <c r="O683" s="7">
        <f>IF(N683="","",IF(N683="Closed",IF(M683&lt;=L683,"On-Time","Delayed"),"Pending"))</f>
        <v>0</v>
      </c>
    </row>
    <row r="684" spans="15:15">
      <c r="O684" s="7">
        <f>IF(N684="","",IF(N684="Closed",IF(M684&lt;=L684,"On-Time","Delayed"),"Pending"))</f>
        <v>0</v>
      </c>
    </row>
    <row r="685" spans="15:15">
      <c r="O685" s="7">
        <f>IF(N685="","",IF(N685="Closed",IF(M685&lt;=L685,"On-Time","Delayed"),"Pending"))</f>
        <v>0</v>
      </c>
    </row>
    <row r="686" spans="15:15">
      <c r="O686" s="7">
        <f>IF(N686="","",IF(N686="Closed",IF(M686&lt;=L686,"On-Time","Delayed"),"Pending"))</f>
        <v>0</v>
      </c>
    </row>
    <row r="687" spans="15:15">
      <c r="O687" s="7">
        <f>IF(N687="","",IF(N687="Closed",IF(M687&lt;=L687,"On-Time","Delayed"),"Pending"))</f>
        <v>0</v>
      </c>
    </row>
    <row r="688" spans="15:15">
      <c r="O688" s="7">
        <f>IF(N688="","",IF(N688="Closed",IF(M688&lt;=L688,"On-Time","Delayed"),"Pending"))</f>
        <v>0</v>
      </c>
    </row>
    <row r="689" spans="15:15">
      <c r="O689" s="7">
        <f>IF(N689="","",IF(N689="Closed",IF(M689&lt;=L689,"On-Time","Delayed"),"Pending"))</f>
        <v>0</v>
      </c>
    </row>
    <row r="690" spans="15:15">
      <c r="O690" s="7">
        <f>IF(N690="","",IF(N690="Closed",IF(M690&lt;=L690,"On-Time","Delayed"),"Pending"))</f>
        <v>0</v>
      </c>
    </row>
    <row r="691" spans="15:15">
      <c r="O691" s="7">
        <f>IF(N691="","",IF(N691="Closed",IF(M691&lt;=L691,"On-Time","Delayed"),"Pending"))</f>
        <v>0</v>
      </c>
    </row>
    <row r="692" spans="15:15">
      <c r="O692" s="7">
        <f>IF(N692="","",IF(N692="Closed",IF(M692&lt;=L692,"On-Time","Delayed"),"Pending"))</f>
        <v>0</v>
      </c>
    </row>
    <row r="693" spans="15:15">
      <c r="O693" s="7">
        <f>IF(N693="","",IF(N693="Closed",IF(M693&lt;=L693,"On-Time","Delayed"),"Pending"))</f>
        <v>0</v>
      </c>
    </row>
    <row r="694" spans="15:15">
      <c r="O694" s="7">
        <f>IF(N694="","",IF(N694="Closed",IF(M694&lt;=L694,"On-Time","Delayed"),"Pending"))</f>
        <v>0</v>
      </c>
    </row>
    <row r="695" spans="15:15">
      <c r="O695" s="7">
        <f>IF(N695="","",IF(N695="Closed",IF(M695&lt;=L695,"On-Time","Delayed"),"Pending"))</f>
        <v>0</v>
      </c>
    </row>
    <row r="696" spans="15:15">
      <c r="O696" s="7">
        <f>IF(N696="","",IF(N696="Closed",IF(M696&lt;=L696,"On-Time","Delayed"),"Pending"))</f>
        <v>0</v>
      </c>
    </row>
    <row r="697" spans="15:15">
      <c r="O697" s="7">
        <f>IF(N697="","",IF(N697="Closed",IF(M697&lt;=L697,"On-Time","Delayed"),"Pending"))</f>
        <v>0</v>
      </c>
    </row>
    <row r="698" spans="15:15">
      <c r="O698" s="7">
        <f>IF(N698="","",IF(N698="Closed",IF(M698&lt;=L698,"On-Time","Delayed"),"Pending"))</f>
        <v>0</v>
      </c>
    </row>
    <row r="699" spans="15:15">
      <c r="O699" s="7">
        <f>IF(N699="","",IF(N699="Closed",IF(M699&lt;=L699,"On-Time","Delayed"),"Pending"))</f>
        <v>0</v>
      </c>
    </row>
    <row r="700" spans="15:15">
      <c r="O700" s="7">
        <f>IF(N700="","",IF(N700="Closed",IF(M700&lt;=L700,"On-Time","Delayed"),"Pending"))</f>
        <v>0</v>
      </c>
    </row>
    <row r="701" spans="15:15">
      <c r="O701" s="7">
        <f>IF(N701="","",IF(N701="Closed",IF(M701&lt;=L701,"On-Time","Delayed"),"Pending"))</f>
        <v>0</v>
      </c>
    </row>
    <row r="702" spans="15:15">
      <c r="O702" s="7">
        <f>IF(N702="","",IF(N702="Closed",IF(M702&lt;=L702,"On-Time","Delayed"),"Pending"))</f>
        <v>0</v>
      </c>
    </row>
    <row r="703" spans="15:15">
      <c r="O703" s="7">
        <f>IF(N703="","",IF(N703="Closed",IF(M703&lt;=L703,"On-Time","Delayed"),"Pending"))</f>
        <v>0</v>
      </c>
    </row>
    <row r="704" spans="15:15">
      <c r="O704" s="7">
        <f>IF(N704="","",IF(N704="Closed",IF(M704&lt;=L704,"On-Time","Delayed"),"Pending"))</f>
        <v>0</v>
      </c>
    </row>
    <row r="705" spans="15:15">
      <c r="O705" s="7">
        <f>IF(N705="","",IF(N705="Closed",IF(M705&lt;=L705,"On-Time","Delayed"),"Pending"))</f>
        <v>0</v>
      </c>
    </row>
    <row r="706" spans="15:15">
      <c r="O706" s="7">
        <f>IF(N706="","",IF(N706="Closed",IF(M706&lt;=L706,"On-Time","Delayed"),"Pending"))</f>
        <v>0</v>
      </c>
    </row>
    <row r="707" spans="15:15">
      <c r="O707" s="7">
        <f>IF(N707="","",IF(N707="Closed",IF(M707&lt;=L707,"On-Time","Delayed"),"Pending"))</f>
        <v>0</v>
      </c>
    </row>
    <row r="708" spans="15:15">
      <c r="O708" s="7">
        <f>IF(N708="","",IF(N708="Closed",IF(M708&lt;=L708,"On-Time","Delayed"),"Pending"))</f>
        <v>0</v>
      </c>
    </row>
    <row r="709" spans="15:15">
      <c r="O709" s="7">
        <f>IF(N709="","",IF(N709="Closed",IF(M709&lt;=L709,"On-Time","Delayed"),"Pending"))</f>
        <v>0</v>
      </c>
    </row>
    <row r="710" spans="15:15">
      <c r="O710" s="7">
        <f>IF(N710="","",IF(N710="Closed",IF(M710&lt;=L710,"On-Time","Delayed"),"Pending"))</f>
        <v>0</v>
      </c>
    </row>
    <row r="711" spans="15:15">
      <c r="O711" s="7">
        <f>IF(N711="","",IF(N711="Closed",IF(M711&lt;=L711,"On-Time","Delayed"),"Pending"))</f>
        <v>0</v>
      </c>
    </row>
    <row r="712" spans="15:15">
      <c r="O712" s="7">
        <f>IF(N712="","",IF(N712="Closed",IF(M712&lt;=L712,"On-Time","Delayed"),"Pending"))</f>
        <v>0</v>
      </c>
    </row>
    <row r="713" spans="15:15">
      <c r="O713" s="7">
        <f>IF(N713="","",IF(N713="Closed",IF(M713&lt;=L713,"On-Time","Delayed"),"Pending"))</f>
        <v>0</v>
      </c>
    </row>
    <row r="714" spans="15:15">
      <c r="O714" s="7">
        <f>IF(N714="","",IF(N714="Closed",IF(M714&lt;=L714,"On-Time","Delayed"),"Pending"))</f>
        <v>0</v>
      </c>
    </row>
    <row r="715" spans="15:15">
      <c r="O715" s="7">
        <f>IF(N715="","",IF(N715="Closed",IF(M715&lt;=L715,"On-Time","Delayed"),"Pending"))</f>
        <v>0</v>
      </c>
    </row>
    <row r="716" spans="15:15">
      <c r="O716" s="7">
        <f>IF(N716="","",IF(N716="Closed",IF(M716&lt;=L716,"On-Time","Delayed"),"Pending"))</f>
        <v>0</v>
      </c>
    </row>
    <row r="717" spans="15:15">
      <c r="O717" s="7">
        <f>IF(N717="","",IF(N717="Closed",IF(M717&lt;=L717,"On-Time","Delayed"),"Pending"))</f>
        <v>0</v>
      </c>
    </row>
    <row r="718" spans="15:15">
      <c r="O718" s="7">
        <f>IF(N718="","",IF(N718="Closed",IF(M718&lt;=L718,"On-Time","Delayed"),"Pending"))</f>
        <v>0</v>
      </c>
    </row>
    <row r="719" spans="15:15">
      <c r="O719" s="7">
        <f>IF(N719="","",IF(N719="Closed",IF(M719&lt;=L719,"On-Time","Delayed"),"Pending"))</f>
        <v>0</v>
      </c>
    </row>
    <row r="720" spans="15:15">
      <c r="O720" s="7">
        <f>IF(N720="","",IF(N720="Closed",IF(M720&lt;=L720,"On-Time","Delayed"),"Pending"))</f>
        <v>0</v>
      </c>
    </row>
    <row r="721" spans="15:15">
      <c r="O721" s="7">
        <f>IF(N721="","",IF(N721="Closed",IF(M721&lt;=L721,"On-Time","Delayed"),"Pending"))</f>
        <v>0</v>
      </c>
    </row>
    <row r="722" spans="15:15">
      <c r="O722" s="7">
        <f>IF(N722="","",IF(N722="Closed",IF(M722&lt;=L722,"On-Time","Delayed"),"Pending"))</f>
        <v>0</v>
      </c>
    </row>
    <row r="723" spans="15:15">
      <c r="O723" s="7">
        <f>IF(N723="","",IF(N723="Closed",IF(M723&lt;=L723,"On-Time","Delayed"),"Pending"))</f>
        <v>0</v>
      </c>
    </row>
    <row r="724" spans="15:15">
      <c r="O724" s="7">
        <f>IF(N724="","",IF(N724="Closed",IF(M724&lt;=L724,"On-Time","Delayed"),"Pending"))</f>
        <v>0</v>
      </c>
    </row>
    <row r="725" spans="15:15">
      <c r="O725" s="7">
        <f>IF(N725="","",IF(N725="Closed",IF(M725&lt;=L725,"On-Time","Delayed"),"Pending"))</f>
        <v>0</v>
      </c>
    </row>
    <row r="726" spans="15:15">
      <c r="O726" s="7">
        <f>IF(N726="","",IF(N726="Closed",IF(M726&lt;=L726,"On-Time","Delayed"),"Pending"))</f>
        <v>0</v>
      </c>
    </row>
    <row r="727" spans="15:15">
      <c r="O727" s="7">
        <f>IF(N727="","",IF(N727="Closed",IF(M727&lt;=L727,"On-Time","Delayed"),"Pending"))</f>
        <v>0</v>
      </c>
    </row>
    <row r="728" spans="15:15">
      <c r="O728" s="7">
        <f>IF(N728="","",IF(N728="Closed",IF(M728&lt;=L728,"On-Time","Delayed"),"Pending"))</f>
        <v>0</v>
      </c>
    </row>
    <row r="729" spans="15:15">
      <c r="O729" s="7">
        <f>IF(N729="","",IF(N729="Closed",IF(M729&lt;=L729,"On-Time","Delayed"),"Pending"))</f>
        <v>0</v>
      </c>
    </row>
    <row r="730" spans="15:15">
      <c r="O730" s="7">
        <f>IF(N730="","",IF(N730="Closed",IF(M730&lt;=L730,"On-Time","Delayed"),"Pending"))</f>
        <v>0</v>
      </c>
    </row>
    <row r="731" spans="15:15">
      <c r="O731" s="7">
        <f>IF(N731="","",IF(N731="Closed",IF(M731&lt;=L731,"On-Time","Delayed"),"Pending"))</f>
        <v>0</v>
      </c>
    </row>
    <row r="732" spans="15:15">
      <c r="O732" s="7">
        <f>IF(N732="","",IF(N732="Closed",IF(M732&lt;=L732,"On-Time","Delayed"),"Pending"))</f>
        <v>0</v>
      </c>
    </row>
    <row r="733" spans="15:15">
      <c r="O733" s="7">
        <f>IF(N733="","",IF(N733="Closed",IF(M733&lt;=L733,"On-Time","Delayed"),"Pending"))</f>
        <v>0</v>
      </c>
    </row>
    <row r="734" spans="15:15">
      <c r="O734" s="7">
        <f>IF(N734="","",IF(N734="Closed",IF(M734&lt;=L734,"On-Time","Delayed"),"Pending"))</f>
        <v>0</v>
      </c>
    </row>
    <row r="735" spans="15:15">
      <c r="O735" s="7">
        <f>IF(N735="","",IF(N735="Closed",IF(M735&lt;=L735,"On-Time","Delayed"),"Pending"))</f>
        <v>0</v>
      </c>
    </row>
    <row r="736" spans="15:15">
      <c r="O736" s="7">
        <f>IF(N736="","",IF(N736="Closed",IF(M736&lt;=L736,"On-Time","Delayed"),"Pending"))</f>
        <v>0</v>
      </c>
    </row>
    <row r="737" spans="15:15">
      <c r="O737" s="7">
        <f>IF(N737="","",IF(N737="Closed",IF(M737&lt;=L737,"On-Time","Delayed"),"Pending"))</f>
        <v>0</v>
      </c>
    </row>
    <row r="738" spans="15:15">
      <c r="O738" s="7">
        <f>IF(N738="","",IF(N738="Closed",IF(M738&lt;=L738,"On-Time","Delayed"),"Pending"))</f>
        <v>0</v>
      </c>
    </row>
    <row r="739" spans="15:15">
      <c r="O739" s="7">
        <f>IF(N739="","",IF(N739="Closed",IF(M739&lt;=L739,"On-Time","Delayed"),"Pending"))</f>
        <v>0</v>
      </c>
    </row>
    <row r="740" spans="15:15">
      <c r="O740" s="7">
        <f>IF(N740="","",IF(N740="Closed",IF(M740&lt;=L740,"On-Time","Delayed"),"Pending"))</f>
        <v>0</v>
      </c>
    </row>
    <row r="741" spans="15:15">
      <c r="O741" s="7">
        <f>IF(N741="","",IF(N741="Closed",IF(M741&lt;=L741,"On-Time","Delayed"),"Pending"))</f>
        <v>0</v>
      </c>
    </row>
    <row r="742" spans="15:15">
      <c r="O742" s="7">
        <f>IF(N742="","",IF(N742="Closed",IF(M742&lt;=L742,"On-Time","Delayed"),"Pending"))</f>
        <v>0</v>
      </c>
    </row>
    <row r="743" spans="15:15">
      <c r="O743" s="7">
        <f>IF(N743="","",IF(N743="Closed",IF(M743&lt;=L743,"On-Time","Delayed"),"Pending"))</f>
        <v>0</v>
      </c>
    </row>
    <row r="744" spans="15:15">
      <c r="O744" s="7">
        <f>IF(N744="","",IF(N744="Closed",IF(M744&lt;=L744,"On-Time","Delayed"),"Pending"))</f>
        <v>0</v>
      </c>
    </row>
    <row r="745" spans="15:15">
      <c r="O745" s="7">
        <f>IF(N745="","",IF(N745="Closed",IF(M745&lt;=L745,"On-Time","Delayed"),"Pending"))</f>
        <v>0</v>
      </c>
    </row>
    <row r="746" spans="15:15">
      <c r="O746" s="7">
        <f>IF(N746="","",IF(N746="Closed",IF(M746&lt;=L746,"On-Time","Delayed"),"Pending"))</f>
        <v>0</v>
      </c>
    </row>
    <row r="747" spans="15:15">
      <c r="O747" s="7">
        <f>IF(N747="","",IF(N747="Closed",IF(M747&lt;=L747,"On-Time","Delayed"),"Pending"))</f>
        <v>0</v>
      </c>
    </row>
    <row r="748" spans="15:15">
      <c r="O748" s="7">
        <f>IF(N748="","",IF(N748="Closed",IF(M748&lt;=L748,"On-Time","Delayed"),"Pending"))</f>
        <v>0</v>
      </c>
    </row>
    <row r="749" spans="15:15">
      <c r="O749" s="7">
        <f>IF(N749="","",IF(N749="Closed",IF(M749&lt;=L749,"On-Time","Delayed"),"Pending"))</f>
        <v>0</v>
      </c>
    </row>
    <row r="750" spans="15:15">
      <c r="O750" s="7">
        <f>IF(N750="","",IF(N750="Closed",IF(M750&lt;=L750,"On-Time","Delayed"),"Pending"))</f>
        <v>0</v>
      </c>
    </row>
    <row r="751" spans="15:15">
      <c r="O751" s="7">
        <f>IF(N751="","",IF(N751="Closed",IF(M751&lt;=L751,"On-Time","Delayed"),"Pending"))</f>
        <v>0</v>
      </c>
    </row>
    <row r="752" spans="15:15">
      <c r="O752" s="7">
        <f>IF(N752="","",IF(N752="Closed",IF(M752&lt;=L752,"On-Time","Delayed"),"Pending"))</f>
        <v>0</v>
      </c>
    </row>
    <row r="753" spans="15:15">
      <c r="O753" s="7">
        <f>IF(N753="","",IF(N753="Closed",IF(M753&lt;=L753,"On-Time","Delayed"),"Pending"))</f>
        <v>0</v>
      </c>
    </row>
    <row r="754" spans="15:15">
      <c r="O754" s="7">
        <f>IF(N754="","",IF(N754="Closed",IF(M754&lt;=L754,"On-Time","Delayed"),"Pending"))</f>
        <v>0</v>
      </c>
    </row>
    <row r="755" spans="15:15">
      <c r="O755" s="7">
        <f>IF(N755="","",IF(N755="Closed",IF(M755&lt;=L755,"On-Time","Delayed"),"Pending"))</f>
        <v>0</v>
      </c>
    </row>
    <row r="756" spans="15:15">
      <c r="O756" s="7">
        <f>IF(N756="","",IF(N756="Closed",IF(M756&lt;=L756,"On-Time","Delayed"),"Pending"))</f>
        <v>0</v>
      </c>
    </row>
    <row r="757" spans="15:15">
      <c r="O757" s="7">
        <f>IF(N757="","",IF(N757="Closed",IF(M757&lt;=L757,"On-Time","Delayed"),"Pending"))</f>
        <v>0</v>
      </c>
    </row>
    <row r="758" spans="15:15">
      <c r="O758" s="7">
        <f>IF(N758="","",IF(N758="Closed",IF(M758&lt;=L758,"On-Time","Delayed"),"Pending"))</f>
        <v>0</v>
      </c>
    </row>
    <row r="759" spans="15:15">
      <c r="O759" s="7">
        <f>IF(N759="","",IF(N759="Closed",IF(M759&lt;=L759,"On-Time","Delayed"),"Pending"))</f>
        <v>0</v>
      </c>
    </row>
    <row r="760" spans="15:15">
      <c r="O760" s="7">
        <f>IF(N760="","",IF(N760="Closed",IF(M760&lt;=L760,"On-Time","Delayed"),"Pending"))</f>
        <v>0</v>
      </c>
    </row>
    <row r="761" spans="15:15">
      <c r="O761" s="7">
        <f>IF(N761="","",IF(N761="Closed",IF(M761&lt;=L761,"On-Time","Delayed"),"Pending"))</f>
        <v>0</v>
      </c>
    </row>
    <row r="762" spans="15:15">
      <c r="O762" s="7">
        <f>IF(N762="","",IF(N762="Closed",IF(M762&lt;=L762,"On-Time","Delayed"),"Pending"))</f>
        <v>0</v>
      </c>
    </row>
    <row r="763" spans="15:15">
      <c r="O763" s="7">
        <f>IF(N763="","",IF(N763="Closed",IF(M763&lt;=L763,"On-Time","Delayed"),"Pending"))</f>
        <v>0</v>
      </c>
    </row>
    <row r="764" spans="15:15">
      <c r="O764" s="7">
        <f>IF(N764="","",IF(N764="Closed",IF(M764&lt;=L764,"On-Time","Delayed"),"Pending"))</f>
        <v>0</v>
      </c>
    </row>
    <row r="765" spans="15:15">
      <c r="O765" s="7">
        <f>IF(N765="","",IF(N765="Closed",IF(M765&lt;=L765,"On-Time","Delayed"),"Pending"))</f>
        <v>0</v>
      </c>
    </row>
    <row r="766" spans="15:15">
      <c r="O766" s="7">
        <f>IF(N766="","",IF(N766="Closed",IF(M766&lt;=L766,"On-Time","Delayed"),"Pending"))</f>
        <v>0</v>
      </c>
    </row>
    <row r="767" spans="15:15">
      <c r="O767" s="7">
        <f>IF(N767="","",IF(N767="Closed",IF(M767&lt;=L767,"On-Time","Delayed"),"Pending"))</f>
        <v>0</v>
      </c>
    </row>
    <row r="768" spans="15:15">
      <c r="O768" s="7">
        <f>IF(N768="","",IF(N768="Closed",IF(M768&lt;=L768,"On-Time","Delayed"),"Pending"))</f>
        <v>0</v>
      </c>
    </row>
    <row r="769" spans="15:15">
      <c r="O769" s="7">
        <f>IF(N769="","",IF(N769="Closed",IF(M769&lt;=L769,"On-Time","Delayed"),"Pending"))</f>
        <v>0</v>
      </c>
    </row>
    <row r="770" spans="15:15">
      <c r="O770" s="7">
        <f>IF(N770="","",IF(N770="Closed",IF(M770&lt;=L770,"On-Time","Delayed"),"Pending"))</f>
        <v>0</v>
      </c>
    </row>
    <row r="771" spans="15:15">
      <c r="O771" s="7">
        <f>IF(N771="","",IF(N771="Closed",IF(M771&lt;=L771,"On-Time","Delayed"),"Pending"))</f>
        <v>0</v>
      </c>
    </row>
    <row r="772" spans="15:15">
      <c r="O772" s="7">
        <f>IF(N772="","",IF(N772="Closed",IF(M772&lt;=L772,"On-Time","Delayed"),"Pending"))</f>
        <v>0</v>
      </c>
    </row>
    <row r="773" spans="15:15">
      <c r="O773" s="7">
        <f>IF(N773="","",IF(N773="Closed",IF(M773&lt;=L773,"On-Time","Delayed"),"Pending"))</f>
        <v>0</v>
      </c>
    </row>
    <row r="774" spans="15:15">
      <c r="O774" s="7">
        <f>IF(N774="","",IF(N774="Closed",IF(M774&lt;=L774,"On-Time","Delayed"),"Pending"))</f>
        <v>0</v>
      </c>
    </row>
    <row r="775" spans="15:15">
      <c r="O775" s="7">
        <f>IF(N775="","",IF(N775="Closed",IF(M775&lt;=L775,"On-Time","Delayed"),"Pending"))</f>
        <v>0</v>
      </c>
    </row>
    <row r="776" spans="15:15">
      <c r="O776" s="7">
        <f>IF(N776="","",IF(N776="Closed",IF(M776&lt;=L776,"On-Time","Delayed"),"Pending"))</f>
        <v>0</v>
      </c>
    </row>
    <row r="777" spans="15:15">
      <c r="O777" s="7">
        <f>IF(N777="","",IF(N777="Closed",IF(M777&lt;=L777,"On-Time","Delayed"),"Pending"))</f>
        <v>0</v>
      </c>
    </row>
    <row r="778" spans="15:15">
      <c r="O778" s="7">
        <f>IF(N778="","",IF(N778="Closed",IF(M778&lt;=L778,"On-Time","Delayed"),"Pending"))</f>
        <v>0</v>
      </c>
    </row>
    <row r="779" spans="15:15">
      <c r="O779" s="7">
        <f>IF(N779="","",IF(N779="Closed",IF(M779&lt;=L779,"On-Time","Delayed"),"Pending"))</f>
        <v>0</v>
      </c>
    </row>
    <row r="780" spans="15:15">
      <c r="O780" s="7">
        <f>IF(N780="","",IF(N780="Closed",IF(M780&lt;=L780,"On-Time","Delayed"),"Pending"))</f>
        <v>0</v>
      </c>
    </row>
    <row r="781" spans="15:15">
      <c r="O781" s="7">
        <f>IF(N781="","",IF(N781="Closed",IF(M781&lt;=L781,"On-Time","Delayed"),"Pending"))</f>
        <v>0</v>
      </c>
    </row>
    <row r="782" spans="15:15">
      <c r="O782" s="7">
        <f>IF(N782="","",IF(N782="Closed",IF(M782&lt;=L782,"On-Time","Delayed"),"Pending"))</f>
        <v>0</v>
      </c>
    </row>
    <row r="783" spans="15:15">
      <c r="O783" s="7">
        <f>IF(N783="","",IF(N783="Closed",IF(M783&lt;=L783,"On-Time","Delayed"),"Pending"))</f>
        <v>0</v>
      </c>
    </row>
    <row r="784" spans="15:15">
      <c r="O784" s="7">
        <f>IF(N784="","",IF(N784="Closed",IF(M784&lt;=L784,"On-Time","Delayed"),"Pending"))</f>
        <v>0</v>
      </c>
    </row>
    <row r="785" spans="15:15">
      <c r="O785" s="7">
        <f>IF(N785="","",IF(N785="Closed",IF(M785&lt;=L785,"On-Time","Delayed"),"Pending"))</f>
        <v>0</v>
      </c>
    </row>
    <row r="786" spans="15:15">
      <c r="O786" s="7">
        <f>IF(N786="","",IF(N786="Closed",IF(M786&lt;=L786,"On-Time","Delayed"),"Pending"))</f>
        <v>0</v>
      </c>
    </row>
    <row r="787" spans="15:15">
      <c r="O787" s="7">
        <f>IF(N787="","",IF(N787="Closed",IF(M787&lt;=L787,"On-Time","Delayed"),"Pending"))</f>
        <v>0</v>
      </c>
    </row>
    <row r="788" spans="15:15">
      <c r="O788" s="7">
        <f>IF(N788="","",IF(N788="Closed",IF(M788&lt;=L788,"On-Time","Delayed"),"Pending"))</f>
        <v>0</v>
      </c>
    </row>
    <row r="789" spans="15:15">
      <c r="O789" s="7">
        <f>IF(N789="","",IF(N789="Closed",IF(M789&lt;=L789,"On-Time","Delayed"),"Pending"))</f>
        <v>0</v>
      </c>
    </row>
    <row r="790" spans="15:15">
      <c r="O790" s="7">
        <f>IF(N790="","",IF(N790="Closed",IF(M790&lt;=L790,"On-Time","Delayed"),"Pending"))</f>
        <v>0</v>
      </c>
    </row>
    <row r="791" spans="15:15">
      <c r="O791" s="7">
        <f>IF(N791="","",IF(N791="Closed",IF(M791&lt;=L791,"On-Time","Delayed"),"Pending"))</f>
        <v>0</v>
      </c>
    </row>
    <row r="792" spans="15:15">
      <c r="O792" s="7">
        <f>IF(N792="","",IF(N792="Closed",IF(M792&lt;=L792,"On-Time","Delayed"),"Pending"))</f>
        <v>0</v>
      </c>
    </row>
    <row r="793" spans="15:15">
      <c r="O793" s="7">
        <f>IF(N793="","",IF(N793="Closed",IF(M793&lt;=L793,"On-Time","Delayed"),"Pending"))</f>
        <v>0</v>
      </c>
    </row>
    <row r="794" spans="15:15">
      <c r="O794" s="7">
        <f>IF(N794="","",IF(N794="Closed",IF(M794&lt;=L794,"On-Time","Delayed"),"Pending"))</f>
        <v>0</v>
      </c>
    </row>
    <row r="795" spans="15:15">
      <c r="O795" s="7">
        <f>IF(N795="","",IF(N795="Closed",IF(M795&lt;=L795,"On-Time","Delayed"),"Pending"))</f>
        <v>0</v>
      </c>
    </row>
    <row r="796" spans="15:15">
      <c r="O796" s="7">
        <f>IF(N796="","",IF(N796="Closed",IF(M796&lt;=L796,"On-Time","Delayed"),"Pending"))</f>
        <v>0</v>
      </c>
    </row>
    <row r="797" spans="15:15">
      <c r="O797" s="7">
        <f>IF(N797="","",IF(N797="Closed",IF(M797&lt;=L797,"On-Time","Delayed"),"Pending"))</f>
        <v>0</v>
      </c>
    </row>
    <row r="798" spans="15:15">
      <c r="O798" s="7">
        <f>IF(N798="","",IF(N798="Closed",IF(M798&lt;=L798,"On-Time","Delayed"),"Pending"))</f>
        <v>0</v>
      </c>
    </row>
    <row r="799" spans="15:15">
      <c r="O799" s="7">
        <f>IF(N799="","",IF(N799="Closed",IF(M799&lt;=L799,"On-Time","Delayed"),"Pending"))</f>
        <v>0</v>
      </c>
    </row>
    <row r="800" spans="15:15">
      <c r="O800" s="7">
        <f>IF(N800="","",IF(N800="Closed",IF(M800&lt;=L800,"On-Time","Delayed"),"Pending"))</f>
        <v>0</v>
      </c>
    </row>
    <row r="801" spans="15:15">
      <c r="O801" s="7">
        <f>IF(N801="","",IF(N801="Closed",IF(M801&lt;=L801,"On-Time","Delayed"),"Pending"))</f>
        <v>0</v>
      </c>
    </row>
    <row r="802" spans="15:15">
      <c r="O802" s="7">
        <f>IF(N802="","",IF(N802="Closed",IF(M802&lt;=L802,"On-Time","Delayed"),"Pending"))</f>
        <v>0</v>
      </c>
    </row>
    <row r="803" spans="15:15">
      <c r="O803" s="7">
        <f>IF(N803="","",IF(N803="Closed",IF(M803&lt;=L803,"On-Time","Delayed"),"Pending"))</f>
        <v>0</v>
      </c>
    </row>
    <row r="804" spans="15:15">
      <c r="O804" s="7">
        <f>IF(N804="","",IF(N804="Closed",IF(M804&lt;=L804,"On-Time","Delayed"),"Pending"))</f>
        <v>0</v>
      </c>
    </row>
    <row r="805" spans="15:15">
      <c r="O805" s="7">
        <f>IF(N805="","",IF(N805="Closed",IF(M805&lt;=L805,"On-Time","Delayed"),"Pending"))</f>
        <v>0</v>
      </c>
    </row>
    <row r="806" spans="15:15">
      <c r="O806" s="7">
        <f>IF(N806="","",IF(N806="Closed",IF(M806&lt;=L806,"On-Time","Delayed"),"Pending"))</f>
        <v>0</v>
      </c>
    </row>
    <row r="807" spans="15:15">
      <c r="O807" s="7">
        <f>IF(N807="","",IF(N807="Closed",IF(M807&lt;=L807,"On-Time","Delayed"),"Pending"))</f>
        <v>0</v>
      </c>
    </row>
    <row r="808" spans="15:15">
      <c r="O808" s="7">
        <f>IF(N808="","",IF(N808="Closed",IF(M808&lt;=L808,"On-Time","Delayed"),"Pending"))</f>
        <v>0</v>
      </c>
    </row>
    <row r="809" spans="15:15">
      <c r="O809" s="7">
        <f>IF(N809="","",IF(N809="Closed",IF(M809&lt;=L809,"On-Time","Delayed"),"Pending"))</f>
        <v>0</v>
      </c>
    </row>
    <row r="810" spans="15:15">
      <c r="O810" s="7">
        <f>IF(N810="","",IF(N810="Closed",IF(M810&lt;=L810,"On-Time","Delayed"),"Pending"))</f>
        <v>0</v>
      </c>
    </row>
    <row r="811" spans="15:15">
      <c r="O811" s="7">
        <f>IF(N811="","",IF(N811="Closed",IF(M811&lt;=L811,"On-Time","Delayed"),"Pending"))</f>
        <v>0</v>
      </c>
    </row>
    <row r="812" spans="15:15">
      <c r="O812" s="7">
        <f>IF(N812="","",IF(N812="Closed",IF(M812&lt;=L812,"On-Time","Delayed"),"Pending"))</f>
        <v>0</v>
      </c>
    </row>
    <row r="813" spans="15:15">
      <c r="O813" s="7">
        <f>IF(N813="","",IF(N813="Closed",IF(M813&lt;=L813,"On-Time","Delayed"),"Pending"))</f>
        <v>0</v>
      </c>
    </row>
    <row r="814" spans="15:15">
      <c r="O814" s="7">
        <f>IF(N814="","",IF(N814="Closed",IF(M814&lt;=L814,"On-Time","Delayed"),"Pending"))</f>
        <v>0</v>
      </c>
    </row>
    <row r="815" spans="15:15">
      <c r="O815" s="7">
        <f>IF(N815="","",IF(N815="Closed",IF(M815&lt;=L815,"On-Time","Delayed"),"Pending"))</f>
        <v>0</v>
      </c>
    </row>
    <row r="816" spans="15:15">
      <c r="O816" s="7">
        <f>IF(N816="","",IF(N816="Closed",IF(M816&lt;=L816,"On-Time","Delayed"),"Pending"))</f>
        <v>0</v>
      </c>
    </row>
    <row r="817" spans="15:15">
      <c r="O817" s="7">
        <f>IF(N817="","",IF(N817="Closed",IF(M817&lt;=L817,"On-Time","Delayed"),"Pending"))</f>
        <v>0</v>
      </c>
    </row>
    <row r="818" spans="15:15">
      <c r="O818" s="7">
        <f>IF(N818="","",IF(N818="Closed",IF(M818&lt;=L818,"On-Time","Delayed"),"Pending"))</f>
        <v>0</v>
      </c>
    </row>
    <row r="819" spans="15:15">
      <c r="O819" s="7">
        <f>IF(N819="","",IF(N819="Closed",IF(M819&lt;=L819,"On-Time","Delayed"),"Pending"))</f>
        <v>0</v>
      </c>
    </row>
    <row r="820" spans="15:15">
      <c r="O820" s="7">
        <f>IF(N820="","",IF(N820="Closed",IF(M820&lt;=L820,"On-Time","Delayed"),"Pending"))</f>
        <v>0</v>
      </c>
    </row>
    <row r="821" spans="15:15">
      <c r="O821" s="7">
        <f>IF(N821="","",IF(N821="Closed",IF(M821&lt;=L821,"On-Time","Delayed"),"Pending"))</f>
        <v>0</v>
      </c>
    </row>
    <row r="822" spans="15:15">
      <c r="O822" s="7">
        <f>IF(N822="","",IF(N822="Closed",IF(M822&lt;=L822,"On-Time","Delayed"),"Pending"))</f>
        <v>0</v>
      </c>
    </row>
    <row r="823" spans="15:15">
      <c r="O823" s="7">
        <f>IF(N823="","",IF(N823="Closed",IF(M823&lt;=L823,"On-Time","Delayed"),"Pending"))</f>
        <v>0</v>
      </c>
    </row>
    <row r="824" spans="15:15">
      <c r="O824" s="7">
        <f>IF(N824="","",IF(N824="Closed",IF(M824&lt;=L824,"On-Time","Delayed"),"Pending"))</f>
        <v>0</v>
      </c>
    </row>
    <row r="825" spans="15:15">
      <c r="O825" s="7">
        <f>IF(N825="","",IF(N825="Closed",IF(M825&lt;=L825,"On-Time","Delayed"),"Pending"))</f>
        <v>0</v>
      </c>
    </row>
    <row r="826" spans="15:15">
      <c r="O826" s="7">
        <f>IF(N826="","",IF(N826="Closed",IF(M826&lt;=L826,"On-Time","Delayed"),"Pending"))</f>
        <v>0</v>
      </c>
    </row>
    <row r="827" spans="15:15">
      <c r="O827" s="7">
        <f>IF(N827="","",IF(N827="Closed",IF(M827&lt;=L827,"On-Time","Delayed"),"Pending"))</f>
        <v>0</v>
      </c>
    </row>
    <row r="828" spans="15:15">
      <c r="O828" s="7">
        <f>IF(N828="","",IF(N828="Closed",IF(M828&lt;=L828,"On-Time","Delayed"),"Pending"))</f>
        <v>0</v>
      </c>
    </row>
    <row r="829" spans="15:15">
      <c r="O829" s="7">
        <f>IF(N829="","",IF(N829="Closed",IF(M829&lt;=L829,"On-Time","Delayed"),"Pending"))</f>
        <v>0</v>
      </c>
    </row>
    <row r="830" spans="15:15">
      <c r="O830" s="7">
        <f>IF(N830="","",IF(N830="Closed",IF(M830&lt;=L830,"On-Time","Delayed"),"Pending"))</f>
        <v>0</v>
      </c>
    </row>
    <row r="831" spans="15:15">
      <c r="O831" s="7">
        <f>IF(N831="","",IF(N831="Closed",IF(M831&lt;=L831,"On-Time","Delayed"),"Pending"))</f>
        <v>0</v>
      </c>
    </row>
    <row r="832" spans="15:15">
      <c r="O832" s="7">
        <f>IF(N832="","",IF(N832="Closed",IF(M832&lt;=L832,"On-Time","Delayed"),"Pending"))</f>
        <v>0</v>
      </c>
    </row>
    <row r="833" spans="15:15">
      <c r="O833" s="7">
        <f>IF(N833="","",IF(N833="Closed",IF(M833&lt;=L833,"On-Time","Delayed"),"Pending"))</f>
        <v>0</v>
      </c>
    </row>
    <row r="834" spans="15:15">
      <c r="O834" s="7">
        <f>IF(N834="","",IF(N834="Closed",IF(M834&lt;=L834,"On-Time","Delayed"),"Pending"))</f>
        <v>0</v>
      </c>
    </row>
    <row r="835" spans="15:15">
      <c r="O835" s="7">
        <f>IF(N835="","",IF(N835="Closed",IF(M835&lt;=L835,"On-Time","Delayed"),"Pending"))</f>
        <v>0</v>
      </c>
    </row>
    <row r="836" spans="15:15">
      <c r="O836" s="7">
        <f>IF(N836="","",IF(N836="Closed",IF(M836&lt;=L836,"On-Time","Delayed"),"Pending"))</f>
        <v>0</v>
      </c>
    </row>
    <row r="837" spans="15:15">
      <c r="O837" s="7">
        <f>IF(N837="","",IF(N837="Closed",IF(M837&lt;=L837,"On-Time","Delayed"),"Pending"))</f>
        <v>0</v>
      </c>
    </row>
    <row r="838" spans="15:15">
      <c r="O838" s="7">
        <f>IF(N838="","",IF(N838="Closed",IF(M838&lt;=L838,"On-Time","Delayed"),"Pending"))</f>
        <v>0</v>
      </c>
    </row>
    <row r="839" spans="15:15">
      <c r="O839" s="7">
        <f>IF(N839="","",IF(N839="Closed",IF(M839&lt;=L839,"On-Time","Delayed"),"Pending"))</f>
        <v>0</v>
      </c>
    </row>
    <row r="840" spans="15:15">
      <c r="O840" s="7">
        <f>IF(N840="","",IF(N840="Closed",IF(M840&lt;=L840,"On-Time","Delayed"),"Pending"))</f>
        <v>0</v>
      </c>
    </row>
    <row r="841" spans="15:15">
      <c r="O841" s="7">
        <f>IF(N841="","",IF(N841="Closed",IF(M841&lt;=L841,"On-Time","Delayed"),"Pending"))</f>
        <v>0</v>
      </c>
    </row>
    <row r="842" spans="15:15">
      <c r="O842" s="7">
        <f>IF(N842="","",IF(N842="Closed",IF(M842&lt;=L842,"On-Time","Delayed"),"Pending"))</f>
        <v>0</v>
      </c>
    </row>
    <row r="843" spans="15:15">
      <c r="O843" s="7">
        <f>IF(N843="","",IF(N843="Closed",IF(M843&lt;=L843,"On-Time","Delayed"),"Pending"))</f>
        <v>0</v>
      </c>
    </row>
    <row r="844" spans="15:15">
      <c r="O844" s="7">
        <f>IF(N844="","",IF(N844="Closed",IF(M844&lt;=L844,"On-Time","Delayed"),"Pending"))</f>
        <v>0</v>
      </c>
    </row>
    <row r="845" spans="15:15">
      <c r="O845" s="7">
        <f>IF(N845="","",IF(N845="Closed",IF(M845&lt;=L845,"On-Time","Delayed"),"Pending"))</f>
        <v>0</v>
      </c>
    </row>
    <row r="846" spans="15:15">
      <c r="O846" s="7">
        <f>IF(N846="","",IF(N846="Closed",IF(M846&lt;=L846,"On-Time","Delayed"),"Pending"))</f>
        <v>0</v>
      </c>
    </row>
    <row r="847" spans="15:15">
      <c r="O847" s="7">
        <f>IF(N847="","",IF(N847="Closed",IF(M847&lt;=L847,"On-Time","Delayed"),"Pending"))</f>
        <v>0</v>
      </c>
    </row>
    <row r="848" spans="15:15">
      <c r="O848" s="7">
        <f>IF(N848="","",IF(N848="Closed",IF(M848&lt;=L848,"On-Time","Delayed"),"Pending"))</f>
        <v>0</v>
      </c>
    </row>
    <row r="849" spans="15:15">
      <c r="O849" s="7">
        <f>IF(N849="","",IF(N849="Closed",IF(M849&lt;=L849,"On-Time","Delayed"),"Pending"))</f>
        <v>0</v>
      </c>
    </row>
    <row r="850" spans="15:15">
      <c r="O850" s="7">
        <f>IF(N850="","",IF(N850="Closed",IF(M850&lt;=L850,"On-Time","Delayed"),"Pending"))</f>
        <v>0</v>
      </c>
    </row>
    <row r="851" spans="15:15">
      <c r="O851" s="7">
        <f>IF(N851="","",IF(N851="Closed",IF(M851&lt;=L851,"On-Time","Delayed"),"Pending"))</f>
        <v>0</v>
      </c>
    </row>
    <row r="852" spans="15:15">
      <c r="O852" s="7">
        <f>IF(N852="","",IF(N852="Closed",IF(M852&lt;=L852,"On-Time","Delayed"),"Pending"))</f>
        <v>0</v>
      </c>
    </row>
    <row r="853" spans="15:15">
      <c r="O853" s="7">
        <f>IF(N853="","",IF(N853="Closed",IF(M853&lt;=L853,"On-Time","Delayed"),"Pending"))</f>
        <v>0</v>
      </c>
    </row>
    <row r="854" spans="15:15">
      <c r="O854" s="7">
        <f>IF(N854="","",IF(N854="Closed",IF(M854&lt;=L854,"On-Time","Delayed"),"Pending"))</f>
        <v>0</v>
      </c>
    </row>
    <row r="855" spans="15:15">
      <c r="O855" s="7">
        <f>IF(N855="","",IF(N855="Closed",IF(M855&lt;=L855,"On-Time","Delayed"),"Pending"))</f>
        <v>0</v>
      </c>
    </row>
    <row r="856" spans="15:15">
      <c r="O856" s="7">
        <f>IF(N856="","",IF(N856="Closed",IF(M856&lt;=L856,"On-Time","Delayed"),"Pending"))</f>
        <v>0</v>
      </c>
    </row>
    <row r="857" spans="15:15">
      <c r="O857" s="7">
        <f>IF(N857="","",IF(N857="Closed",IF(M857&lt;=L857,"On-Time","Delayed"),"Pending"))</f>
        <v>0</v>
      </c>
    </row>
    <row r="858" spans="15:15">
      <c r="O858" s="7">
        <f>IF(N858="","",IF(N858="Closed",IF(M858&lt;=L858,"On-Time","Delayed"),"Pending"))</f>
        <v>0</v>
      </c>
    </row>
    <row r="859" spans="15:15">
      <c r="O859" s="7">
        <f>IF(N859="","",IF(N859="Closed",IF(M859&lt;=L859,"On-Time","Delayed"),"Pending"))</f>
        <v>0</v>
      </c>
    </row>
    <row r="860" spans="15:15">
      <c r="O860" s="7">
        <f>IF(N860="","",IF(N860="Closed",IF(M860&lt;=L860,"On-Time","Delayed"),"Pending"))</f>
        <v>0</v>
      </c>
    </row>
    <row r="861" spans="15:15">
      <c r="O861" s="7">
        <f>IF(N861="","",IF(N861="Closed",IF(M861&lt;=L861,"On-Time","Delayed"),"Pending"))</f>
        <v>0</v>
      </c>
    </row>
    <row r="862" spans="15:15">
      <c r="O862" s="7">
        <f>IF(N862="","",IF(N862="Closed",IF(M862&lt;=L862,"On-Time","Delayed"),"Pending"))</f>
        <v>0</v>
      </c>
    </row>
    <row r="863" spans="15:15">
      <c r="O863" s="7">
        <f>IF(N863="","",IF(N863="Closed",IF(M863&lt;=L863,"On-Time","Delayed"),"Pending"))</f>
        <v>0</v>
      </c>
    </row>
    <row r="864" spans="15:15">
      <c r="O864" s="7">
        <f>IF(N864="","",IF(N864="Closed",IF(M864&lt;=L864,"On-Time","Delayed"),"Pending"))</f>
        <v>0</v>
      </c>
    </row>
    <row r="865" spans="15:15">
      <c r="O865" s="7">
        <f>IF(N865="","",IF(N865="Closed",IF(M865&lt;=L865,"On-Time","Delayed"),"Pending"))</f>
        <v>0</v>
      </c>
    </row>
    <row r="866" spans="15:15">
      <c r="O866" s="7">
        <f>IF(N866="","",IF(N866="Closed",IF(M866&lt;=L866,"On-Time","Delayed"),"Pending"))</f>
        <v>0</v>
      </c>
    </row>
    <row r="867" spans="15:15">
      <c r="O867" s="7">
        <f>IF(N867="","",IF(N867="Closed",IF(M867&lt;=L867,"On-Time","Delayed"),"Pending"))</f>
        <v>0</v>
      </c>
    </row>
    <row r="868" spans="15:15">
      <c r="O868" s="7">
        <f>IF(N868="","",IF(N868="Closed",IF(M868&lt;=L868,"On-Time","Delayed"),"Pending"))</f>
        <v>0</v>
      </c>
    </row>
    <row r="869" spans="15:15">
      <c r="O869" s="7">
        <f>IF(N869="","",IF(N869="Closed",IF(M869&lt;=L869,"On-Time","Delayed"),"Pending"))</f>
        <v>0</v>
      </c>
    </row>
    <row r="870" spans="15:15">
      <c r="O870" s="7">
        <f>IF(N870="","",IF(N870="Closed",IF(M870&lt;=L870,"On-Time","Delayed"),"Pending"))</f>
        <v>0</v>
      </c>
    </row>
    <row r="871" spans="15:15">
      <c r="O871" s="7">
        <f>IF(N871="","",IF(N871="Closed",IF(M871&lt;=L871,"On-Time","Delayed"),"Pending"))</f>
        <v>0</v>
      </c>
    </row>
    <row r="872" spans="15:15">
      <c r="O872" s="7">
        <f>IF(N872="","",IF(N872="Closed",IF(M872&lt;=L872,"On-Time","Delayed"),"Pending"))</f>
        <v>0</v>
      </c>
    </row>
    <row r="873" spans="15:15">
      <c r="O873" s="7">
        <f>IF(N873="","",IF(N873="Closed",IF(M873&lt;=L873,"On-Time","Delayed"),"Pending"))</f>
        <v>0</v>
      </c>
    </row>
    <row r="874" spans="15:15">
      <c r="O874" s="7">
        <f>IF(N874="","",IF(N874="Closed",IF(M874&lt;=L874,"On-Time","Delayed"),"Pending"))</f>
        <v>0</v>
      </c>
    </row>
    <row r="875" spans="15:15">
      <c r="O875" s="7">
        <f>IF(N875="","",IF(N875="Closed",IF(M875&lt;=L875,"On-Time","Delayed"),"Pending"))</f>
        <v>0</v>
      </c>
    </row>
    <row r="876" spans="15:15">
      <c r="O876" s="7">
        <f>IF(N876="","",IF(N876="Closed",IF(M876&lt;=L876,"On-Time","Delayed"),"Pending"))</f>
        <v>0</v>
      </c>
    </row>
    <row r="877" spans="15:15">
      <c r="O877" s="7">
        <f>IF(N877="","",IF(N877="Closed",IF(M877&lt;=L877,"On-Time","Delayed"),"Pending"))</f>
        <v>0</v>
      </c>
    </row>
    <row r="878" spans="15:15">
      <c r="O878" s="7">
        <f>IF(N878="","",IF(N878="Closed",IF(M878&lt;=L878,"On-Time","Delayed"),"Pending"))</f>
        <v>0</v>
      </c>
    </row>
    <row r="879" spans="15:15">
      <c r="O879" s="7">
        <f>IF(N879="","",IF(N879="Closed",IF(M879&lt;=L879,"On-Time","Delayed"),"Pending"))</f>
        <v>0</v>
      </c>
    </row>
    <row r="880" spans="15:15">
      <c r="O880" s="7">
        <f>IF(N880="","",IF(N880="Closed",IF(M880&lt;=L880,"On-Time","Delayed"),"Pending"))</f>
        <v>0</v>
      </c>
    </row>
    <row r="881" spans="15:15">
      <c r="O881" s="7">
        <f>IF(N881="","",IF(N881="Closed",IF(M881&lt;=L881,"On-Time","Delayed"),"Pending"))</f>
        <v>0</v>
      </c>
    </row>
    <row r="882" spans="15:15">
      <c r="O882" s="7">
        <f>IF(N882="","",IF(N882="Closed",IF(M882&lt;=L882,"On-Time","Delayed"),"Pending"))</f>
        <v>0</v>
      </c>
    </row>
    <row r="883" spans="15:15">
      <c r="O883" s="7">
        <f>IF(N883="","",IF(N883="Closed",IF(M883&lt;=L883,"On-Time","Delayed"),"Pending"))</f>
        <v>0</v>
      </c>
    </row>
    <row r="884" spans="15:15">
      <c r="O884" s="7">
        <f>IF(N884="","",IF(N884="Closed",IF(M884&lt;=L884,"On-Time","Delayed"),"Pending"))</f>
        <v>0</v>
      </c>
    </row>
    <row r="885" spans="15:15">
      <c r="O885" s="7">
        <f>IF(N885="","",IF(N885="Closed",IF(M885&lt;=L885,"On-Time","Delayed"),"Pending"))</f>
        <v>0</v>
      </c>
    </row>
    <row r="886" spans="15:15">
      <c r="O886" s="7">
        <f>IF(N886="","",IF(N886="Closed",IF(M886&lt;=L886,"On-Time","Delayed"),"Pending"))</f>
        <v>0</v>
      </c>
    </row>
    <row r="887" spans="15:15">
      <c r="O887" s="7">
        <f>IF(N887="","",IF(N887="Closed",IF(M887&lt;=L887,"On-Time","Delayed"),"Pending"))</f>
        <v>0</v>
      </c>
    </row>
    <row r="888" spans="15:15">
      <c r="O888" s="7">
        <f>IF(N888="","",IF(N888="Closed",IF(M888&lt;=L888,"On-Time","Delayed"),"Pending"))</f>
        <v>0</v>
      </c>
    </row>
    <row r="889" spans="15:15">
      <c r="O889" s="7">
        <f>IF(N889="","",IF(N889="Closed",IF(M889&lt;=L889,"On-Time","Delayed"),"Pending"))</f>
        <v>0</v>
      </c>
    </row>
    <row r="890" spans="15:15">
      <c r="O890" s="7">
        <f>IF(N890="","",IF(N890="Closed",IF(M890&lt;=L890,"On-Time","Delayed"),"Pending"))</f>
        <v>0</v>
      </c>
    </row>
    <row r="891" spans="15:15">
      <c r="O891" s="7">
        <f>IF(N891="","",IF(N891="Closed",IF(M891&lt;=L891,"On-Time","Delayed"),"Pending"))</f>
        <v>0</v>
      </c>
    </row>
    <row r="892" spans="15:15">
      <c r="O892" s="7">
        <f>IF(N892="","",IF(N892="Closed",IF(M892&lt;=L892,"On-Time","Delayed"),"Pending"))</f>
        <v>0</v>
      </c>
    </row>
    <row r="893" spans="15:15">
      <c r="O893" s="7">
        <f>IF(N893="","",IF(N893="Closed",IF(M893&lt;=L893,"On-Time","Delayed"),"Pending"))</f>
        <v>0</v>
      </c>
    </row>
    <row r="894" spans="15:15">
      <c r="O894" s="7">
        <f>IF(N894="","",IF(N894="Closed",IF(M894&lt;=L894,"On-Time","Delayed"),"Pending"))</f>
        <v>0</v>
      </c>
    </row>
    <row r="895" spans="15:15">
      <c r="O895" s="7">
        <f>IF(N895="","",IF(N895="Closed",IF(M895&lt;=L895,"On-Time","Delayed"),"Pending"))</f>
        <v>0</v>
      </c>
    </row>
    <row r="896" spans="15:15">
      <c r="O896" s="7">
        <f>IF(N896="","",IF(N896="Closed",IF(M896&lt;=L896,"On-Time","Delayed"),"Pending"))</f>
        <v>0</v>
      </c>
    </row>
    <row r="897" spans="15:15">
      <c r="O897" s="7">
        <f>IF(N897="","",IF(N897="Closed",IF(M897&lt;=L897,"On-Time","Delayed"),"Pending"))</f>
        <v>0</v>
      </c>
    </row>
    <row r="898" spans="15:15">
      <c r="O898" s="7">
        <f>IF(N898="","",IF(N898="Closed",IF(M898&lt;=L898,"On-Time","Delayed"),"Pending"))</f>
        <v>0</v>
      </c>
    </row>
    <row r="899" spans="15:15">
      <c r="O899" s="7">
        <f>IF(N899="","",IF(N899="Closed",IF(M899&lt;=L899,"On-Time","Delayed"),"Pending"))</f>
        <v>0</v>
      </c>
    </row>
    <row r="900" spans="15:15">
      <c r="O900" s="7">
        <f>IF(N900="","",IF(N900="Closed",IF(M900&lt;=L900,"On-Time","Delayed"),"Pending"))</f>
        <v>0</v>
      </c>
    </row>
    <row r="901" spans="15:15">
      <c r="O901" s="7">
        <f>IF(N901="","",IF(N901="Closed",IF(M901&lt;=L901,"On-Time","Delayed"),"Pending"))</f>
        <v>0</v>
      </c>
    </row>
    <row r="902" spans="15:15">
      <c r="O902" s="7">
        <f>IF(N902="","",IF(N902="Closed",IF(M902&lt;=L902,"On-Time","Delayed"),"Pending"))</f>
        <v>0</v>
      </c>
    </row>
    <row r="903" spans="15:15">
      <c r="O903" s="7">
        <f>IF(N903="","",IF(N903="Closed",IF(M903&lt;=L903,"On-Time","Delayed"),"Pending"))</f>
        <v>0</v>
      </c>
    </row>
    <row r="904" spans="15:15">
      <c r="O904" s="7">
        <f>IF(N904="","",IF(N904="Closed",IF(M904&lt;=L904,"On-Time","Delayed"),"Pending"))</f>
        <v>0</v>
      </c>
    </row>
    <row r="905" spans="15:15">
      <c r="O905" s="7">
        <f>IF(N905="","",IF(N905="Closed",IF(M905&lt;=L905,"On-Time","Delayed"),"Pending"))</f>
        <v>0</v>
      </c>
    </row>
    <row r="906" spans="15:15">
      <c r="O906" s="7">
        <f>IF(N906="","",IF(N906="Closed",IF(M906&lt;=L906,"On-Time","Delayed"),"Pending"))</f>
        <v>0</v>
      </c>
    </row>
    <row r="907" spans="15:15">
      <c r="O907" s="7">
        <f>IF(N907="","",IF(N907="Closed",IF(M907&lt;=L907,"On-Time","Delayed"),"Pending"))</f>
        <v>0</v>
      </c>
    </row>
    <row r="908" spans="15:15">
      <c r="O908" s="7">
        <f>IF(N908="","",IF(N908="Closed",IF(M908&lt;=L908,"On-Time","Delayed"),"Pending"))</f>
        <v>0</v>
      </c>
    </row>
    <row r="909" spans="15:15">
      <c r="O909" s="7">
        <f>IF(N909="","",IF(N909="Closed",IF(M909&lt;=L909,"On-Time","Delayed"),"Pending"))</f>
        <v>0</v>
      </c>
    </row>
    <row r="910" spans="15:15">
      <c r="O910" s="7">
        <f>IF(N910="","",IF(N910="Closed",IF(M910&lt;=L910,"On-Time","Delayed"),"Pending"))</f>
        <v>0</v>
      </c>
    </row>
    <row r="911" spans="15:15">
      <c r="O911" s="7">
        <f>IF(N911="","",IF(N911="Closed",IF(M911&lt;=L911,"On-Time","Delayed"),"Pending"))</f>
        <v>0</v>
      </c>
    </row>
    <row r="912" spans="15:15">
      <c r="O912" s="7">
        <f>IF(N912="","",IF(N912="Closed",IF(M912&lt;=L912,"On-Time","Delayed"),"Pending"))</f>
        <v>0</v>
      </c>
    </row>
    <row r="913" spans="15:15">
      <c r="O913" s="7">
        <f>IF(N913="","",IF(N913="Closed",IF(M913&lt;=L913,"On-Time","Delayed"),"Pending"))</f>
        <v>0</v>
      </c>
    </row>
    <row r="914" spans="15:15">
      <c r="O914" s="7">
        <f>IF(N914="","",IF(N914="Closed",IF(M914&lt;=L914,"On-Time","Delayed"),"Pending"))</f>
        <v>0</v>
      </c>
    </row>
    <row r="915" spans="15:15">
      <c r="O915" s="7">
        <f>IF(N915="","",IF(N915="Closed",IF(M915&lt;=L915,"On-Time","Delayed"),"Pending"))</f>
        <v>0</v>
      </c>
    </row>
    <row r="916" spans="15:15">
      <c r="O916" s="7">
        <f>IF(N916="","",IF(N916="Closed",IF(M916&lt;=L916,"On-Time","Delayed"),"Pending"))</f>
        <v>0</v>
      </c>
    </row>
    <row r="917" spans="15:15">
      <c r="O917" s="7">
        <f>IF(N917="","",IF(N917="Closed",IF(M917&lt;=L917,"On-Time","Delayed"),"Pending"))</f>
        <v>0</v>
      </c>
    </row>
    <row r="918" spans="15:15">
      <c r="O918" s="7">
        <f>IF(N918="","",IF(N918="Closed",IF(M918&lt;=L918,"On-Time","Delayed"),"Pending"))</f>
        <v>0</v>
      </c>
    </row>
    <row r="919" spans="15:15">
      <c r="O919" s="7">
        <f>IF(N919="","",IF(N919="Closed",IF(M919&lt;=L919,"On-Time","Delayed"),"Pending"))</f>
        <v>0</v>
      </c>
    </row>
    <row r="920" spans="15:15">
      <c r="O920" s="7">
        <f>IF(N920="","",IF(N920="Closed",IF(M920&lt;=L920,"On-Time","Delayed"),"Pending"))</f>
        <v>0</v>
      </c>
    </row>
    <row r="921" spans="15:15">
      <c r="O921" s="7">
        <f>IF(N921="","",IF(N921="Closed",IF(M921&lt;=L921,"On-Time","Delayed"),"Pending"))</f>
        <v>0</v>
      </c>
    </row>
    <row r="922" spans="15:15">
      <c r="O922" s="7">
        <f>IF(N922="","",IF(N922="Closed",IF(M922&lt;=L922,"On-Time","Delayed"),"Pending"))</f>
        <v>0</v>
      </c>
    </row>
    <row r="923" spans="15:15">
      <c r="O923" s="7">
        <f>IF(N923="","",IF(N923="Closed",IF(M923&lt;=L923,"On-Time","Delayed"),"Pending"))</f>
        <v>0</v>
      </c>
    </row>
    <row r="924" spans="15:15">
      <c r="O924" s="7">
        <f>IF(N924="","",IF(N924="Closed",IF(M924&lt;=L924,"On-Time","Delayed"),"Pending"))</f>
        <v>0</v>
      </c>
    </row>
    <row r="925" spans="15:15">
      <c r="O925" s="7">
        <f>IF(N925="","",IF(N925="Closed",IF(M925&lt;=L925,"On-Time","Delayed"),"Pending"))</f>
        <v>0</v>
      </c>
    </row>
    <row r="926" spans="15:15">
      <c r="O926" s="7">
        <f>IF(N926="","",IF(N926="Closed",IF(M926&lt;=L926,"On-Time","Delayed"),"Pending"))</f>
        <v>0</v>
      </c>
    </row>
    <row r="927" spans="15:15">
      <c r="O927" s="7">
        <f>IF(N927="","",IF(N927="Closed",IF(M927&lt;=L927,"On-Time","Delayed"),"Pending"))</f>
        <v>0</v>
      </c>
    </row>
    <row r="928" spans="15:15">
      <c r="O928" s="7">
        <f>IF(N928="","",IF(N928="Closed",IF(M928&lt;=L928,"On-Time","Delayed"),"Pending"))</f>
        <v>0</v>
      </c>
    </row>
    <row r="929" spans="15:15">
      <c r="O929" s="7">
        <f>IF(N929="","",IF(N929="Closed",IF(M929&lt;=L929,"On-Time","Delayed"),"Pending"))</f>
        <v>0</v>
      </c>
    </row>
    <row r="930" spans="15:15">
      <c r="O930" s="7">
        <f>IF(N930="","",IF(N930="Closed",IF(M930&lt;=L930,"On-Time","Delayed"),"Pending"))</f>
        <v>0</v>
      </c>
    </row>
    <row r="931" spans="15:15">
      <c r="O931" s="7">
        <f>IF(N931="","",IF(N931="Closed",IF(M931&lt;=L931,"On-Time","Delayed"),"Pending"))</f>
        <v>0</v>
      </c>
    </row>
    <row r="932" spans="15:15">
      <c r="O932" s="7">
        <f>IF(N932="","",IF(N932="Closed",IF(M932&lt;=L932,"On-Time","Delayed"),"Pending"))</f>
        <v>0</v>
      </c>
    </row>
    <row r="933" spans="15:15">
      <c r="O933" s="7">
        <f>IF(N933="","",IF(N933="Closed",IF(M933&lt;=L933,"On-Time","Delayed"),"Pending"))</f>
        <v>0</v>
      </c>
    </row>
    <row r="934" spans="15:15">
      <c r="O934" s="7">
        <f>IF(N934="","",IF(N934="Closed",IF(M934&lt;=L934,"On-Time","Delayed"),"Pending"))</f>
        <v>0</v>
      </c>
    </row>
    <row r="935" spans="15:15">
      <c r="O935" s="7">
        <f>IF(N935="","",IF(N935="Closed",IF(M935&lt;=L935,"On-Time","Delayed"),"Pending"))</f>
        <v>0</v>
      </c>
    </row>
    <row r="936" spans="15:15">
      <c r="O936" s="7">
        <f>IF(N936="","",IF(N936="Closed",IF(M936&lt;=L936,"On-Time","Delayed"),"Pending"))</f>
        <v>0</v>
      </c>
    </row>
    <row r="937" spans="15:15">
      <c r="O937" s="7">
        <f>IF(N937="","",IF(N937="Closed",IF(M937&lt;=L937,"On-Time","Delayed"),"Pending"))</f>
        <v>0</v>
      </c>
    </row>
    <row r="938" spans="15:15">
      <c r="O938" s="7">
        <f>IF(N938="","",IF(N938="Closed",IF(M938&lt;=L938,"On-Time","Delayed"),"Pending"))</f>
        <v>0</v>
      </c>
    </row>
    <row r="939" spans="15:15">
      <c r="O939" s="7">
        <f>IF(N939="","",IF(N939="Closed",IF(M939&lt;=L939,"On-Time","Delayed"),"Pending"))</f>
        <v>0</v>
      </c>
    </row>
    <row r="940" spans="15:15">
      <c r="O940" s="7">
        <f>IF(N940="","",IF(N940="Closed",IF(M940&lt;=L940,"On-Time","Delayed"),"Pending"))</f>
        <v>0</v>
      </c>
    </row>
    <row r="941" spans="15:15">
      <c r="O941" s="7">
        <f>IF(N941="","",IF(N941="Closed",IF(M941&lt;=L941,"On-Time","Delayed"),"Pending"))</f>
        <v>0</v>
      </c>
    </row>
    <row r="942" spans="15:15">
      <c r="O942" s="7">
        <f>IF(N942="","",IF(N942="Closed",IF(M942&lt;=L942,"On-Time","Delayed"),"Pending"))</f>
        <v>0</v>
      </c>
    </row>
    <row r="943" spans="15:15">
      <c r="O943" s="7">
        <f>IF(N943="","",IF(N943="Closed",IF(M943&lt;=L943,"On-Time","Delayed"),"Pending"))</f>
        <v>0</v>
      </c>
    </row>
    <row r="944" spans="15:15">
      <c r="O944" s="7">
        <f>IF(N944="","",IF(N944="Closed",IF(M944&lt;=L944,"On-Time","Delayed"),"Pending"))</f>
        <v>0</v>
      </c>
    </row>
    <row r="945" spans="15:15">
      <c r="O945" s="7">
        <f>IF(N945="","",IF(N945="Closed",IF(M945&lt;=L945,"On-Time","Delayed"),"Pending"))</f>
        <v>0</v>
      </c>
    </row>
    <row r="946" spans="15:15">
      <c r="O946" s="7">
        <f>IF(N946="","",IF(N946="Closed",IF(M946&lt;=L946,"On-Time","Delayed"),"Pending"))</f>
        <v>0</v>
      </c>
    </row>
    <row r="947" spans="15:15">
      <c r="O947" s="7">
        <f>IF(N947="","",IF(N947="Closed",IF(M947&lt;=L947,"On-Time","Delayed"),"Pending"))</f>
        <v>0</v>
      </c>
    </row>
    <row r="948" spans="15:15">
      <c r="O948" s="7">
        <f>IF(N948="","",IF(N948="Closed",IF(M948&lt;=L948,"On-Time","Delayed"),"Pending"))</f>
        <v>0</v>
      </c>
    </row>
    <row r="949" spans="15:15">
      <c r="O949" s="7">
        <f>IF(N949="","",IF(N949="Closed",IF(M949&lt;=L949,"On-Time","Delayed"),"Pending"))</f>
        <v>0</v>
      </c>
    </row>
    <row r="950" spans="15:15">
      <c r="O950" s="7">
        <f>IF(N950="","",IF(N950="Closed",IF(M950&lt;=L950,"On-Time","Delayed"),"Pending"))</f>
        <v>0</v>
      </c>
    </row>
    <row r="951" spans="15:15">
      <c r="O951" s="7">
        <f>IF(N951="","",IF(N951="Closed",IF(M951&lt;=L951,"On-Time","Delayed"),"Pending"))</f>
        <v>0</v>
      </c>
    </row>
    <row r="952" spans="15:15">
      <c r="O952" s="7">
        <f>IF(N952="","",IF(N952="Closed",IF(M952&lt;=L952,"On-Time","Delayed"),"Pending"))</f>
        <v>0</v>
      </c>
    </row>
    <row r="953" spans="15:15">
      <c r="O953" s="7">
        <f>IF(N953="","",IF(N953="Closed",IF(M953&lt;=L953,"On-Time","Delayed"),"Pending"))</f>
        <v>0</v>
      </c>
    </row>
    <row r="954" spans="15:15">
      <c r="O954" s="7">
        <f>IF(N954="","",IF(N954="Closed",IF(M954&lt;=L954,"On-Time","Delayed"),"Pending"))</f>
        <v>0</v>
      </c>
    </row>
    <row r="955" spans="15:15">
      <c r="O955" s="7">
        <f>IF(N955="","",IF(N955="Closed",IF(M955&lt;=L955,"On-Time","Delayed"),"Pending"))</f>
        <v>0</v>
      </c>
    </row>
    <row r="956" spans="15:15">
      <c r="O956" s="7">
        <f>IF(N956="","",IF(N956="Closed",IF(M956&lt;=L956,"On-Time","Delayed"),"Pending"))</f>
        <v>0</v>
      </c>
    </row>
    <row r="957" spans="15:15">
      <c r="O957" s="7">
        <f>IF(N957="","",IF(N957="Closed",IF(M957&lt;=L957,"On-Time","Delayed"),"Pending"))</f>
        <v>0</v>
      </c>
    </row>
    <row r="958" spans="15:15">
      <c r="O958" s="7">
        <f>IF(N958="","",IF(N958="Closed",IF(M958&lt;=L958,"On-Time","Delayed"),"Pending"))</f>
        <v>0</v>
      </c>
    </row>
    <row r="959" spans="15:15">
      <c r="O959" s="7">
        <f>IF(N959="","",IF(N959="Closed",IF(M959&lt;=L959,"On-Time","Delayed"),"Pending"))</f>
        <v>0</v>
      </c>
    </row>
    <row r="960" spans="15:15">
      <c r="O960" s="7">
        <f>IF(N960="","",IF(N960="Closed",IF(M960&lt;=L960,"On-Time","Delayed"),"Pending"))</f>
        <v>0</v>
      </c>
    </row>
    <row r="961" spans="15:15">
      <c r="O961" s="7">
        <f>IF(N961="","",IF(N961="Closed",IF(M961&lt;=L961,"On-Time","Delayed"),"Pending"))</f>
        <v>0</v>
      </c>
    </row>
    <row r="962" spans="15:15">
      <c r="O962" s="7">
        <f>IF(N962="","",IF(N962="Closed",IF(M962&lt;=L962,"On-Time","Delayed"),"Pending"))</f>
        <v>0</v>
      </c>
    </row>
    <row r="963" spans="15:15">
      <c r="O963" s="7">
        <f>IF(N963="","",IF(N963="Closed",IF(M963&lt;=L963,"On-Time","Delayed"),"Pending"))</f>
        <v>0</v>
      </c>
    </row>
    <row r="964" spans="15:15">
      <c r="O964" s="7">
        <f>IF(N964="","",IF(N964="Closed",IF(M964&lt;=L964,"On-Time","Delayed"),"Pending"))</f>
        <v>0</v>
      </c>
    </row>
    <row r="965" spans="15:15">
      <c r="O965" s="7">
        <f>IF(N965="","",IF(N965="Closed",IF(M965&lt;=L965,"On-Time","Delayed"),"Pending"))</f>
        <v>0</v>
      </c>
    </row>
    <row r="966" spans="15:15">
      <c r="O966" s="7">
        <f>IF(N966="","",IF(N966="Closed",IF(M966&lt;=L966,"On-Time","Delayed"),"Pending"))</f>
        <v>0</v>
      </c>
    </row>
    <row r="967" spans="15:15">
      <c r="O967" s="7">
        <f>IF(N967="","",IF(N967="Closed",IF(M967&lt;=L967,"On-Time","Delayed"),"Pending"))</f>
        <v>0</v>
      </c>
    </row>
    <row r="968" spans="15:15">
      <c r="O968" s="7">
        <f>IF(N968="","",IF(N968="Closed",IF(M968&lt;=L968,"On-Time","Delayed"),"Pending"))</f>
        <v>0</v>
      </c>
    </row>
    <row r="969" spans="15:15">
      <c r="O969" s="7">
        <f>IF(N969="","",IF(N969="Closed",IF(M969&lt;=L969,"On-Time","Delayed"),"Pending"))</f>
        <v>0</v>
      </c>
    </row>
    <row r="970" spans="15:15">
      <c r="O970" s="7">
        <f>IF(N970="","",IF(N970="Closed",IF(M970&lt;=L970,"On-Time","Delayed"),"Pending"))</f>
        <v>0</v>
      </c>
    </row>
    <row r="971" spans="15:15">
      <c r="O971" s="7">
        <f>IF(N971="","",IF(N971="Closed",IF(M971&lt;=L971,"On-Time","Delayed"),"Pending"))</f>
        <v>0</v>
      </c>
    </row>
    <row r="972" spans="15:15">
      <c r="O972" s="7">
        <f>IF(N972="","",IF(N972="Closed",IF(M972&lt;=L972,"On-Time","Delayed"),"Pending"))</f>
        <v>0</v>
      </c>
    </row>
    <row r="973" spans="15:15">
      <c r="O973" s="7">
        <f>IF(N973="","",IF(N973="Closed",IF(M973&lt;=L973,"On-Time","Delayed"),"Pending"))</f>
        <v>0</v>
      </c>
    </row>
    <row r="974" spans="15:15">
      <c r="O974" s="7">
        <f>IF(N974="","",IF(N974="Closed",IF(M974&lt;=L974,"On-Time","Delayed"),"Pending"))</f>
        <v>0</v>
      </c>
    </row>
    <row r="975" spans="15:15">
      <c r="O975" s="7">
        <f>IF(N975="","",IF(N975="Closed",IF(M975&lt;=L975,"On-Time","Delayed"),"Pending"))</f>
        <v>0</v>
      </c>
    </row>
    <row r="976" spans="15:15">
      <c r="O976" s="7">
        <f>IF(N976="","",IF(N976="Closed",IF(M976&lt;=L976,"On-Time","Delayed"),"Pending"))</f>
        <v>0</v>
      </c>
    </row>
    <row r="977" spans="15:15">
      <c r="O977" s="7">
        <f>IF(N977="","",IF(N977="Closed",IF(M977&lt;=L977,"On-Time","Delayed"),"Pending"))</f>
        <v>0</v>
      </c>
    </row>
    <row r="978" spans="15:15">
      <c r="O978" s="7">
        <f>IF(N978="","",IF(N978="Closed",IF(M978&lt;=L978,"On-Time","Delayed"),"Pending"))</f>
        <v>0</v>
      </c>
    </row>
    <row r="979" spans="15:15">
      <c r="O979" s="7">
        <f>IF(N979="","",IF(N979="Closed",IF(M979&lt;=L979,"On-Time","Delayed"),"Pending"))</f>
        <v>0</v>
      </c>
    </row>
    <row r="980" spans="15:15">
      <c r="O980" s="7">
        <f>IF(N980="","",IF(N980="Closed",IF(M980&lt;=L980,"On-Time","Delayed"),"Pending"))</f>
        <v>0</v>
      </c>
    </row>
    <row r="981" spans="15:15">
      <c r="O981" s="7">
        <f>IF(N981="","",IF(N981="Closed",IF(M981&lt;=L981,"On-Time","Delayed"),"Pending"))</f>
        <v>0</v>
      </c>
    </row>
    <row r="982" spans="15:15">
      <c r="O982" s="7">
        <f>IF(N982="","",IF(N982="Closed",IF(M982&lt;=L982,"On-Time","Delayed"),"Pending"))</f>
        <v>0</v>
      </c>
    </row>
    <row r="983" spans="15:15">
      <c r="O983" s="7">
        <f>IF(N983="","",IF(N983="Closed",IF(M983&lt;=L983,"On-Time","Delayed"),"Pending"))</f>
        <v>0</v>
      </c>
    </row>
    <row r="984" spans="15:15">
      <c r="O984" s="7">
        <f>IF(N984="","",IF(N984="Closed",IF(M984&lt;=L984,"On-Time","Delayed"),"Pending"))</f>
        <v>0</v>
      </c>
    </row>
    <row r="985" spans="15:15">
      <c r="O985" s="7">
        <f>IF(N985="","",IF(N985="Closed",IF(M985&lt;=L985,"On-Time","Delayed"),"Pending"))</f>
        <v>0</v>
      </c>
    </row>
    <row r="986" spans="15:15">
      <c r="O986" s="7">
        <f>IF(N986="","",IF(N986="Closed",IF(M986&lt;=L986,"On-Time","Delayed"),"Pending"))</f>
        <v>0</v>
      </c>
    </row>
    <row r="987" spans="15:15">
      <c r="O987" s="7">
        <f>IF(N987="","",IF(N987="Closed",IF(M987&lt;=L987,"On-Time","Delayed"),"Pending"))</f>
        <v>0</v>
      </c>
    </row>
    <row r="988" spans="15:15">
      <c r="O988" s="7">
        <f>IF(N988="","",IF(N988="Closed",IF(M988&lt;=L988,"On-Time","Delayed"),"Pending"))</f>
        <v>0</v>
      </c>
    </row>
    <row r="989" spans="15:15">
      <c r="O989" s="7">
        <f>IF(N989="","",IF(N989="Closed",IF(M989&lt;=L989,"On-Time","Delayed"),"Pending"))</f>
        <v>0</v>
      </c>
    </row>
    <row r="990" spans="15:15">
      <c r="O990" s="7">
        <f>IF(N990="","",IF(N990="Closed",IF(M990&lt;=L990,"On-Time","Delayed"),"Pending"))</f>
        <v>0</v>
      </c>
    </row>
    <row r="991" spans="15:15">
      <c r="O991" s="7">
        <f>IF(N991="","",IF(N991="Closed",IF(M991&lt;=L991,"On-Time","Delayed"),"Pending"))</f>
        <v>0</v>
      </c>
    </row>
    <row r="992" spans="15:15">
      <c r="O992" s="7">
        <f>IF(N992="","",IF(N992="Closed",IF(M992&lt;=L992,"On-Time","Delayed"),"Pending"))</f>
        <v>0</v>
      </c>
    </row>
    <row r="993" spans="15:15">
      <c r="O993" s="7">
        <f>IF(N993="","",IF(N993="Closed",IF(M993&lt;=L993,"On-Time","Delayed"),"Pending"))</f>
        <v>0</v>
      </c>
    </row>
    <row r="994" spans="15:15">
      <c r="O994" s="7">
        <f>IF(N994="","",IF(N994="Closed",IF(M994&lt;=L994,"On-Time","Delayed"),"Pending"))</f>
        <v>0</v>
      </c>
    </row>
    <row r="995" spans="15:15">
      <c r="O995" s="7">
        <f>IF(N995="","",IF(N995="Closed",IF(M995&lt;=L995,"On-Time","Delayed"),"Pending"))</f>
        <v>0</v>
      </c>
    </row>
    <row r="996" spans="15:15">
      <c r="O996" s="7">
        <f>IF(N996="","",IF(N996="Closed",IF(M996&lt;=L996,"On-Time","Delayed"),"Pending"))</f>
        <v>0</v>
      </c>
    </row>
    <row r="997" spans="15:15">
      <c r="O997" s="7">
        <f>IF(N997="","",IF(N997="Closed",IF(M997&lt;=L997,"On-Time","Delayed"),"Pending"))</f>
        <v>0</v>
      </c>
    </row>
    <row r="998" spans="15:15">
      <c r="O998" s="7">
        <f>IF(N998="","",IF(N998="Closed",IF(M998&lt;=L998,"On-Time","Delayed"),"Pending"))</f>
        <v>0</v>
      </c>
    </row>
    <row r="999" spans="15:15">
      <c r="O999" s="7">
        <f>IF(N999="","",IF(N999="Closed",IF(M999&lt;=L999,"On-Time","Delayed"),"Pending"))</f>
        <v>0</v>
      </c>
    </row>
    <row r="1000" spans="15:15">
      <c r="O1000" s="7">
        <f>IF(N1000="","",IF(N1000="Closed",IF(M1000&lt;=L1000,"On-Time","Delayed"),"Pending"))</f>
        <v>0</v>
      </c>
    </row>
    <row r="1001" spans="15:15">
      <c r="O1001" s="7">
        <f>IF(N1001="","",IF(N1001="Closed",IF(M1001&lt;=L1001,"On-Time","Delayed"),"Pending"))</f>
        <v>0</v>
      </c>
    </row>
    <row r="1002" spans="15:15">
      <c r="O1002" s="7">
        <f>IF(N1002="","",IF(N1002="Closed",IF(M1002&lt;=L1002,"On-Time","Delayed"),"Pending"))</f>
        <v>0</v>
      </c>
    </row>
    <row r="1003" spans="15:15">
      <c r="O1003" s="7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1306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1361</v>
      </c>
      <c r="C3" s="1" t="s">
        <v>1300</v>
      </c>
      <c r="D3" s="1" t="s">
        <v>127</v>
      </c>
      <c r="E3" s="1" t="s">
        <v>1301</v>
      </c>
      <c r="F3" s="1" t="s">
        <v>1120</v>
      </c>
      <c r="G3" s="1" t="s">
        <v>129</v>
      </c>
      <c r="H3" s="1" t="s">
        <v>1362</v>
      </c>
      <c r="I3" s="1" t="s">
        <v>1302</v>
      </c>
      <c r="J3" s="1" t="s">
        <v>209</v>
      </c>
      <c r="K3" s="1" t="s">
        <v>1363</v>
      </c>
      <c r="L3" s="1" t="s">
        <v>1364</v>
      </c>
      <c r="M3" s="1" t="s">
        <v>287</v>
      </c>
      <c r="N3" s="1" t="s">
        <v>1365</v>
      </c>
    </row>
    <row r="4" spans="1:16">
      <c r="A4" s="1">
        <v>1</v>
      </c>
      <c r="B4" s="1" t="s">
        <v>1307</v>
      </c>
      <c r="C4" s="5">
        <v>46028</v>
      </c>
      <c r="D4" s="1" t="s">
        <v>3</v>
      </c>
      <c r="E4" s="6" t="s">
        <v>1254</v>
      </c>
      <c r="F4" s="6" t="s">
        <v>159</v>
      </c>
      <c r="G4" s="1" t="s">
        <v>58</v>
      </c>
      <c r="H4" s="1" t="s">
        <v>61</v>
      </c>
      <c r="I4" s="1" t="s">
        <v>78</v>
      </c>
      <c r="J4" s="1" t="s">
        <v>62</v>
      </c>
      <c r="K4" s="5">
        <v>46068</v>
      </c>
      <c r="L4" s="5">
        <v>46048</v>
      </c>
      <c r="M4" s="1" t="s">
        <v>293</v>
      </c>
      <c r="N4" s="1" t="s">
        <v>300</v>
      </c>
    </row>
    <row r="5" spans="1:16">
      <c r="A5" s="1">
        <v>2</v>
      </c>
      <c r="B5" s="1" t="s">
        <v>1308</v>
      </c>
      <c r="C5" s="5">
        <v>46029</v>
      </c>
      <c r="D5" s="1" t="s">
        <v>3</v>
      </c>
      <c r="E5" s="6" t="s">
        <v>1246</v>
      </c>
      <c r="F5" s="6" t="s">
        <v>159</v>
      </c>
      <c r="G5" s="1" t="s">
        <v>58</v>
      </c>
      <c r="H5" s="1" t="s">
        <v>49</v>
      </c>
      <c r="I5" s="1" t="s">
        <v>66</v>
      </c>
      <c r="J5" s="1" t="s">
        <v>70</v>
      </c>
      <c r="K5" s="5">
        <v>46071</v>
      </c>
      <c r="L5" s="5">
        <v>46049</v>
      </c>
      <c r="M5" s="1" t="s">
        <v>293</v>
      </c>
      <c r="N5" s="1" t="s">
        <v>300</v>
      </c>
    </row>
    <row r="6" spans="1:16">
      <c r="A6" s="1">
        <v>3</v>
      </c>
      <c r="B6" s="1" t="s">
        <v>1309</v>
      </c>
      <c r="C6" s="5">
        <v>46032</v>
      </c>
      <c r="D6" s="1" t="s">
        <v>3</v>
      </c>
      <c r="E6" s="6" t="s">
        <v>1252</v>
      </c>
      <c r="F6" s="6" t="s">
        <v>154</v>
      </c>
      <c r="G6" s="1" t="s">
        <v>39</v>
      </c>
      <c r="H6" s="1" t="s">
        <v>26</v>
      </c>
      <c r="I6" s="1" t="s">
        <v>104</v>
      </c>
      <c r="J6" s="1" t="s">
        <v>28</v>
      </c>
      <c r="K6" s="5">
        <v>46052</v>
      </c>
      <c r="L6" s="5">
        <v>46039</v>
      </c>
      <c r="M6" s="1" t="s">
        <v>293</v>
      </c>
      <c r="N6" s="1" t="s">
        <v>1310</v>
      </c>
    </row>
    <row r="7" spans="1:16">
      <c r="A7" s="1">
        <v>4</v>
      </c>
      <c r="B7" s="1" t="s">
        <v>1311</v>
      </c>
      <c r="C7" s="5">
        <v>46079</v>
      </c>
      <c r="D7" s="1" t="s">
        <v>19</v>
      </c>
      <c r="E7" s="6" t="s">
        <v>1257</v>
      </c>
      <c r="F7" s="6" t="s">
        <v>142</v>
      </c>
      <c r="G7" s="1" t="s">
        <v>89</v>
      </c>
      <c r="H7" s="1" t="s">
        <v>20</v>
      </c>
      <c r="I7" s="1" t="s">
        <v>28</v>
      </c>
      <c r="J7" s="1" t="s">
        <v>104</v>
      </c>
      <c r="K7" s="5">
        <v>46117</v>
      </c>
      <c r="L7" s="5">
        <v>46116</v>
      </c>
      <c r="M7" s="1" t="s">
        <v>293</v>
      </c>
      <c r="N7" s="1" t="s">
        <v>1312</v>
      </c>
    </row>
    <row r="8" spans="1:16">
      <c r="A8" s="1">
        <v>5</v>
      </c>
      <c r="B8" s="1" t="s">
        <v>1313</v>
      </c>
      <c r="C8" s="5">
        <v>46071</v>
      </c>
      <c r="D8" s="1" t="s">
        <v>19</v>
      </c>
      <c r="E8" s="6" t="s">
        <v>1246</v>
      </c>
      <c r="F8" s="6" t="s">
        <v>154</v>
      </c>
      <c r="G8" s="1" t="s">
        <v>5</v>
      </c>
      <c r="H8" s="1" t="s">
        <v>26</v>
      </c>
      <c r="I8" s="1" t="s">
        <v>32</v>
      </c>
      <c r="J8" s="1" t="s">
        <v>36</v>
      </c>
      <c r="K8" s="5">
        <v>46108</v>
      </c>
      <c r="L8" s="5">
        <v>46106</v>
      </c>
      <c r="M8" s="1" t="s">
        <v>254</v>
      </c>
      <c r="N8" s="1" t="s">
        <v>296</v>
      </c>
    </row>
    <row r="9" spans="1:16">
      <c r="A9" s="1">
        <v>6</v>
      </c>
      <c r="B9" s="1" t="s">
        <v>1314</v>
      </c>
      <c r="C9" s="5">
        <v>46064</v>
      </c>
      <c r="D9" s="1" t="s">
        <v>19</v>
      </c>
      <c r="E9" s="6" t="s">
        <v>1250</v>
      </c>
      <c r="F9" s="6" t="s">
        <v>142</v>
      </c>
      <c r="G9" s="1" t="s">
        <v>89</v>
      </c>
      <c r="H9" s="1" t="s">
        <v>91</v>
      </c>
      <c r="I9" s="1" t="s">
        <v>93</v>
      </c>
      <c r="J9" s="1" t="s">
        <v>70</v>
      </c>
      <c r="K9" s="5">
        <v>46095</v>
      </c>
      <c r="L9" s="5">
        <v>46082</v>
      </c>
      <c r="M9" s="1" t="s">
        <v>293</v>
      </c>
      <c r="N9" s="1" t="s">
        <v>1315</v>
      </c>
    </row>
    <row r="10" spans="1:16">
      <c r="A10" s="1">
        <v>7</v>
      </c>
      <c r="B10" s="1" t="s">
        <v>1316</v>
      </c>
      <c r="C10" s="5">
        <v>46062</v>
      </c>
      <c r="D10" s="1" t="s">
        <v>19</v>
      </c>
      <c r="E10" s="6" t="s">
        <v>1254</v>
      </c>
      <c r="F10" s="6" t="s">
        <v>142</v>
      </c>
      <c r="G10" s="1" t="s">
        <v>89</v>
      </c>
      <c r="H10" s="1" t="s">
        <v>91</v>
      </c>
      <c r="I10" s="1" t="s">
        <v>15</v>
      </c>
      <c r="J10" s="1" t="s">
        <v>15</v>
      </c>
      <c r="K10" s="5">
        <v>46078</v>
      </c>
      <c r="L10" s="5">
        <v>46080</v>
      </c>
      <c r="M10" s="1" t="s">
        <v>293</v>
      </c>
      <c r="N10" s="1" t="s">
        <v>1312</v>
      </c>
    </row>
    <row r="11" spans="1:16">
      <c r="A11" s="1">
        <v>8</v>
      </c>
      <c r="B11" s="1" t="s">
        <v>1317</v>
      </c>
      <c r="C11" s="5">
        <v>46088</v>
      </c>
      <c r="D11" s="1" t="s">
        <v>44</v>
      </c>
      <c r="E11" s="6" t="s">
        <v>1252</v>
      </c>
      <c r="F11" s="6" t="s">
        <v>142</v>
      </c>
      <c r="G11" s="1" t="s">
        <v>13</v>
      </c>
      <c r="H11" s="1" t="s">
        <v>61</v>
      </c>
      <c r="I11" s="1" t="s">
        <v>70</v>
      </c>
      <c r="J11" s="1" t="s">
        <v>70</v>
      </c>
      <c r="K11" s="5">
        <v>46129</v>
      </c>
      <c r="L11" s="5">
        <v>46128</v>
      </c>
      <c r="M11" s="1" t="s">
        <v>297</v>
      </c>
      <c r="N11" s="1" t="s">
        <v>1318</v>
      </c>
    </row>
    <row r="12" spans="1:16">
      <c r="A12" s="1">
        <v>9</v>
      </c>
      <c r="B12" s="1" t="s">
        <v>1319</v>
      </c>
      <c r="C12" s="5">
        <v>46082</v>
      </c>
      <c r="D12" s="1" t="s">
        <v>44</v>
      </c>
      <c r="E12" s="6" t="s">
        <v>1248</v>
      </c>
      <c r="F12" s="6" t="s">
        <v>154</v>
      </c>
      <c r="G12" s="1" t="s">
        <v>46</v>
      </c>
      <c r="H12" s="1" t="s">
        <v>4</v>
      </c>
      <c r="I12" s="1" t="s">
        <v>62</v>
      </c>
      <c r="J12" s="1" t="s">
        <v>70</v>
      </c>
      <c r="K12" s="5">
        <v>46113</v>
      </c>
      <c r="L12" s="5">
        <v>46098</v>
      </c>
      <c r="M12" s="1" t="s">
        <v>297</v>
      </c>
      <c r="N12" s="1" t="s">
        <v>296</v>
      </c>
    </row>
    <row r="13" spans="1:16">
      <c r="A13" s="1">
        <v>10</v>
      </c>
      <c r="B13" s="1" t="s">
        <v>1320</v>
      </c>
      <c r="C13" s="5">
        <v>46107</v>
      </c>
      <c r="D13" s="1" t="s">
        <v>44</v>
      </c>
      <c r="E13" s="6" t="s">
        <v>1250</v>
      </c>
      <c r="F13" s="6" t="s">
        <v>159</v>
      </c>
      <c r="G13" s="1" t="s">
        <v>92</v>
      </c>
      <c r="H13" s="1" t="s">
        <v>61</v>
      </c>
      <c r="I13" s="1" t="s">
        <v>62</v>
      </c>
      <c r="J13" s="1" t="s">
        <v>93</v>
      </c>
      <c r="K13" s="5">
        <v>46147</v>
      </c>
      <c r="L13" s="5">
        <v>46123</v>
      </c>
      <c r="M13" s="1" t="s">
        <v>293</v>
      </c>
      <c r="N13" s="1" t="s">
        <v>1310</v>
      </c>
    </row>
    <row r="14" spans="1:16">
      <c r="A14" s="1">
        <v>11</v>
      </c>
      <c r="B14" s="1" t="s">
        <v>1321</v>
      </c>
      <c r="C14" s="5">
        <v>46137</v>
      </c>
      <c r="D14" s="1" t="s">
        <v>53</v>
      </c>
      <c r="E14" s="6" t="s">
        <v>1254</v>
      </c>
      <c r="F14" s="6" t="s">
        <v>142</v>
      </c>
      <c r="G14" s="1" t="s">
        <v>92</v>
      </c>
      <c r="H14" s="1" t="s">
        <v>91</v>
      </c>
      <c r="I14" s="1" t="s">
        <v>66</v>
      </c>
      <c r="J14" s="1" t="s">
        <v>68</v>
      </c>
      <c r="K14" s="5">
        <v>46150</v>
      </c>
      <c r="L14" s="5">
        <v>46145</v>
      </c>
      <c r="M14" s="1" t="s">
        <v>293</v>
      </c>
      <c r="N14" s="1" t="s">
        <v>1318</v>
      </c>
    </row>
    <row r="15" spans="1:16">
      <c r="A15" s="1">
        <v>12</v>
      </c>
      <c r="B15" s="1" t="s">
        <v>1322</v>
      </c>
      <c r="C15" s="5">
        <v>46114</v>
      </c>
      <c r="D15" s="1" t="s">
        <v>53</v>
      </c>
      <c r="E15" s="6" t="s">
        <v>1257</v>
      </c>
      <c r="F15" s="6" t="s">
        <v>154</v>
      </c>
      <c r="G15" s="1" t="s">
        <v>13</v>
      </c>
      <c r="H15" s="1" t="s">
        <v>26</v>
      </c>
      <c r="I15" s="1" t="s">
        <v>32</v>
      </c>
      <c r="J15" s="1" t="s">
        <v>62</v>
      </c>
      <c r="K15" s="5">
        <v>46139</v>
      </c>
      <c r="L15" s="5">
        <v>46123</v>
      </c>
      <c r="M15" s="1" t="s">
        <v>293</v>
      </c>
      <c r="N15" s="1" t="s">
        <v>1318</v>
      </c>
    </row>
    <row r="16" spans="1:16">
      <c r="A16" s="1">
        <v>13</v>
      </c>
      <c r="B16" s="1" t="s">
        <v>1323</v>
      </c>
      <c r="C16" s="5">
        <v>46117</v>
      </c>
      <c r="D16" s="1" t="s">
        <v>53</v>
      </c>
      <c r="E16" s="6" t="s">
        <v>1257</v>
      </c>
      <c r="F16" s="6" t="s">
        <v>159</v>
      </c>
      <c r="G16" s="1" t="s">
        <v>13</v>
      </c>
      <c r="H16" s="1" t="s">
        <v>91</v>
      </c>
      <c r="I16" s="1" t="s">
        <v>66</v>
      </c>
      <c r="J16" s="1" t="s">
        <v>28</v>
      </c>
      <c r="K16" s="5">
        <v>46138</v>
      </c>
      <c r="L16" s="5">
        <v>46149</v>
      </c>
      <c r="M16" s="1" t="s">
        <v>293</v>
      </c>
      <c r="N16" s="1" t="s">
        <v>296</v>
      </c>
    </row>
    <row r="17" spans="1:14">
      <c r="A17" s="1">
        <v>14</v>
      </c>
      <c r="B17" s="1" t="s">
        <v>1324</v>
      </c>
      <c r="C17" s="5">
        <v>46135</v>
      </c>
      <c r="D17" s="1" t="s">
        <v>53</v>
      </c>
      <c r="E17" s="6" t="s">
        <v>1257</v>
      </c>
      <c r="F17" s="6" t="s">
        <v>162</v>
      </c>
      <c r="G17" s="1" t="s">
        <v>13</v>
      </c>
      <c r="H17" s="1" t="s">
        <v>20</v>
      </c>
      <c r="I17" s="1" t="s">
        <v>41</v>
      </c>
      <c r="J17" s="1" t="s">
        <v>62</v>
      </c>
      <c r="K17" s="5">
        <v>46156</v>
      </c>
      <c r="L17" s="5">
        <v>46156</v>
      </c>
      <c r="M17" s="1" t="s">
        <v>293</v>
      </c>
      <c r="N17" s="1" t="s">
        <v>1315</v>
      </c>
    </row>
    <row r="18" spans="1:14">
      <c r="A18" s="1">
        <v>15</v>
      </c>
      <c r="B18" s="1" t="s">
        <v>1325</v>
      </c>
      <c r="C18" s="5">
        <v>46125</v>
      </c>
      <c r="D18" s="1" t="s">
        <v>53</v>
      </c>
      <c r="E18" s="6" t="s">
        <v>1252</v>
      </c>
      <c r="F18" s="6" t="s">
        <v>142</v>
      </c>
      <c r="G18" s="1" t="s">
        <v>39</v>
      </c>
      <c r="H18" s="1" t="s">
        <v>49</v>
      </c>
      <c r="I18" s="1" t="s">
        <v>62</v>
      </c>
      <c r="J18" s="1" t="s">
        <v>22</v>
      </c>
      <c r="K18" s="5">
        <v>46160</v>
      </c>
      <c r="L18" s="5">
        <v>46156</v>
      </c>
      <c r="M18" s="1" t="s">
        <v>254</v>
      </c>
      <c r="N18" s="1" t="s">
        <v>1312</v>
      </c>
    </row>
    <row r="19" spans="1:14">
      <c r="A19" s="1">
        <v>16</v>
      </c>
      <c r="B19" s="1" t="s">
        <v>1326</v>
      </c>
      <c r="C19" s="5">
        <v>46124</v>
      </c>
      <c r="D19" s="1" t="s">
        <v>53</v>
      </c>
      <c r="E19" s="6" t="s">
        <v>1257</v>
      </c>
      <c r="F19" s="6" t="s">
        <v>154</v>
      </c>
      <c r="G19" s="1" t="s">
        <v>50</v>
      </c>
      <c r="H19" s="1" t="s">
        <v>64</v>
      </c>
      <c r="I19" s="1" t="s">
        <v>28</v>
      </c>
      <c r="J19" s="1" t="s">
        <v>15</v>
      </c>
      <c r="K19" s="5">
        <v>46158</v>
      </c>
      <c r="L19" s="5">
        <v>46148</v>
      </c>
      <c r="M19" s="1" t="s">
        <v>254</v>
      </c>
      <c r="N19" s="1" t="s">
        <v>300</v>
      </c>
    </row>
    <row r="20" spans="1:14">
      <c r="A20" s="1">
        <v>17</v>
      </c>
      <c r="B20" s="1" t="s">
        <v>1327</v>
      </c>
      <c r="C20" s="5">
        <v>46136</v>
      </c>
      <c r="D20" s="1" t="s">
        <v>53</v>
      </c>
      <c r="E20" s="6" t="s">
        <v>1248</v>
      </c>
      <c r="F20" s="6" t="s">
        <v>142</v>
      </c>
      <c r="G20" s="1" t="s">
        <v>65</v>
      </c>
      <c r="H20" s="1" t="s">
        <v>38</v>
      </c>
      <c r="I20" s="1" t="s">
        <v>93</v>
      </c>
      <c r="J20" s="1" t="s">
        <v>70</v>
      </c>
      <c r="K20" s="5">
        <v>46176</v>
      </c>
      <c r="L20" s="5">
        <v>46153</v>
      </c>
      <c r="M20" s="1" t="s">
        <v>238</v>
      </c>
      <c r="N20" s="1" t="s">
        <v>1318</v>
      </c>
    </row>
    <row r="21" spans="1:14">
      <c r="A21" s="1">
        <v>18</v>
      </c>
      <c r="B21" s="1" t="s">
        <v>1328</v>
      </c>
      <c r="C21" s="5">
        <v>46166</v>
      </c>
      <c r="D21" s="1" t="s">
        <v>60</v>
      </c>
      <c r="E21" s="6" t="s">
        <v>1252</v>
      </c>
      <c r="F21" s="6" t="s">
        <v>142</v>
      </c>
      <c r="G21" s="1" t="s">
        <v>5</v>
      </c>
      <c r="H21" s="1" t="s">
        <v>38</v>
      </c>
      <c r="I21" s="1" t="s">
        <v>70</v>
      </c>
      <c r="J21" s="1" t="s">
        <v>68</v>
      </c>
      <c r="K21" s="5">
        <v>46179</v>
      </c>
      <c r="L21" s="5">
        <v>46194</v>
      </c>
      <c r="M21" s="1" t="s">
        <v>293</v>
      </c>
      <c r="N21" s="1" t="s">
        <v>1315</v>
      </c>
    </row>
    <row r="22" spans="1:14">
      <c r="A22" s="1">
        <v>19</v>
      </c>
      <c r="B22" s="1" t="s">
        <v>1329</v>
      </c>
      <c r="C22" s="5">
        <v>46157</v>
      </c>
      <c r="D22" s="1" t="s">
        <v>60</v>
      </c>
      <c r="E22" s="6" t="s">
        <v>1252</v>
      </c>
      <c r="F22" s="6" t="s">
        <v>154</v>
      </c>
      <c r="G22" s="1" t="s">
        <v>5</v>
      </c>
      <c r="H22" s="1" t="s">
        <v>30</v>
      </c>
      <c r="I22" s="1" t="s">
        <v>104</v>
      </c>
      <c r="J22" s="1" t="s">
        <v>22</v>
      </c>
      <c r="K22" s="5">
        <v>46201</v>
      </c>
      <c r="L22" s="5">
        <v>46164</v>
      </c>
      <c r="M22" s="1" t="s">
        <v>254</v>
      </c>
      <c r="N22" s="1" t="s">
        <v>1330</v>
      </c>
    </row>
    <row r="23" spans="1:14">
      <c r="A23" s="1">
        <v>20</v>
      </c>
      <c r="B23" s="1" t="s">
        <v>1331</v>
      </c>
      <c r="C23" s="5">
        <v>46199</v>
      </c>
      <c r="D23" s="1" t="s">
        <v>73</v>
      </c>
      <c r="E23" s="6" t="s">
        <v>1246</v>
      </c>
      <c r="F23" s="6" t="s">
        <v>154</v>
      </c>
      <c r="G23" s="1" t="s">
        <v>39</v>
      </c>
      <c r="H23" s="1" t="s">
        <v>26</v>
      </c>
      <c r="I23" s="1" t="s">
        <v>41</v>
      </c>
      <c r="J23" s="1" t="s">
        <v>66</v>
      </c>
      <c r="K23" s="5">
        <v>46228</v>
      </c>
      <c r="L23" s="5">
        <v>46231</v>
      </c>
      <c r="M23" s="1" t="s">
        <v>254</v>
      </c>
      <c r="N23" s="1" t="s">
        <v>1310</v>
      </c>
    </row>
    <row r="24" spans="1:14">
      <c r="A24" s="1">
        <v>21</v>
      </c>
      <c r="B24" s="1" t="s">
        <v>1332</v>
      </c>
      <c r="C24" s="5">
        <v>46195</v>
      </c>
      <c r="D24" s="1" t="s">
        <v>73</v>
      </c>
      <c r="E24" s="6" t="s">
        <v>1254</v>
      </c>
      <c r="F24" s="6" t="s">
        <v>154</v>
      </c>
      <c r="G24" s="1" t="s">
        <v>92</v>
      </c>
      <c r="H24" s="1" t="s">
        <v>16</v>
      </c>
      <c r="I24" s="1" t="s">
        <v>28</v>
      </c>
      <c r="J24" s="1" t="s">
        <v>41</v>
      </c>
      <c r="K24" s="5">
        <v>46233</v>
      </c>
      <c r="L24" s="5">
        <v>46240</v>
      </c>
      <c r="M24" s="1" t="s">
        <v>254</v>
      </c>
      <c r="N24" s="1" t="s">
        <v>300</v>
      </c>
    </row>
    <row r="25" spans="1:14">
      <c r="A25" s="1">
        <v>22</v>
      </c>
      <c r="B25" s="1" t="s">
        <v>1333</v>
      </c>
      <c r="C25" s="5">
        <v>46201</v>
      </c>
      <c r="D25" s="1" t="s">
        <v>73</v>
      </c>
      <c r="E25" s="6" t="s">
        <v>1254</v>
      </c>
      <c r="F25" s="6" t="s">
        <v>162</v>
      </c>
      <c r="G25" s="1" t="s">
        <v>58</v>
      </c>
      <c r="H25" s="1" t="s">
        <v>61</v>
      </c>
      <c r="I25" s="1" t="s">
        <v>36</v>
      </c>
      <c r="J25" s="1" t="s">
        <v>32</v>
      </c>
      <c r="K25" s="5">
        <v>46224</v>
      </c>
      <c r="L25" s="5">
        <v>46238</v>
      </c>
      <c r="M25" s="1" t="s">
        <v>293</v>
      </c>
      <c r="N25" s="1" t="s">
        <v>1318</v>
      </c>
    </row>
    <row r="26" spans="1:14">
      <c r="A26" s="1">
        <v>23</v>
      </c>
      <c r="B26" s="1" t="s">
        <v>1334</v>
      </c>
      <c r="C26" s="5">
        <v>46200</v>
      </c>
      <c r="D26" s="1" t="s">
        <v>73</v>
      </c>
      <c r="E26" s="6" t="s">
        <v>1252</v>
      </c>
      <c r="F26" s="6" t="s">
        <v>154</v>
      </c>
      <c r="G26" s="1" t="s">
        <v>50</v>
      </c>
      <c r="H26" s="1" t="s">
        <v>57</v>
      </c>
      <c r="I26" s="1" t="s">
        <v>104</v>
      </c>
      <c r="J26" s="1" t="s">
        <v>66</v>
      </c>
      <c r="K26" s="5">
        <v>46237</v>
      </c>
      <c r="L26" s="5">
        <v>46226</v>
      </c>
      <c r="M26" s="1" t="s">
        <v>293</v>
      </c>
      <c r="N26" s="1" t="s">
        <v>1315</v>
      </c>
    </row>
    <row r="27" spans="1:14">
      <c r="A27" s="1">
        <v>24</v>
      </c>
      <c r="B27" s="1" t="s">
        <v>1335</v>
      </c>
      <c r="C27" s="5">
        <v>46179</v>
      </c>
      <c r="D27" s="1" t="s">
        <v>73</v>
      </c>
      <c r="E27" s="6" t="s">
        <v>1254</v>
      </c>
      <c r="F27" s="6" t="s">
        <v>142</v>
      </c>
      <c r="G27" s="1" t="s">
        <v>65</v>
      </c>
      <c r="H27" s="1" t="s">
        <v>4</v>
      </c>
      <c r="I27" s="1" t="s">
        <v>104</v>
      </c>
      <c r="J27" s="1" t="s">
        <v>36</v>
      </c>
      <c r="K27" s="5">
        <v>46188</v>
      </c>
      <c r="L27" s="5">
        <v>46186</v>
      </c>
      <c r="M27" s="1" t="s">
        <v>238</v>
      </c>
      <c r="N27" s="1" t="s">
        <v>296</v>
      </c>
    </row>
    <row r="28" spans="1:14">
      <c r="A28" s="1">
        <v>25</v>
      </c>
      <c r="B28" s="1" t="s">
        <v>1336</v>
      </c>
      <c r="C28" s="5">
        <v>46230</v>
      </c>
      <c r="D28" s="1" t="s">
        <v>76</v>
      </c>
      <c r="E28" s="6" t="s">
        <v>1254</v>
      </c>
      <c r="F28" s="6" t="s">
        <v>154</v>
      </c>
      <c r="G28" s="1" t="s">
        <v>50</v>
      </c>
      <c r="H28" s="1" t="s">
        <v>20</v>
      </c>
      <c r="I28" s="1" t="s">
        <v>104</v>
      </c>
      <c r="J28" s="1" t="s">
        <v>36</v>
      </c>
      <c r="K28" s="5">
        <v>46267</v>
      </c>
      <c r="L28" s="5">
        <v>46240</v>
      </c>
      <c r="M28" s="1" t="s">
        <v>254</v>
      </c>
      <c r="N28" s="1" t="s">
        <v>1337</v>
      </c>
    </row>
    <row r="29" spans="1:14">
      <c r="A29" s="1">
        <v>26</v>
      </c>
      <c r="B29" s="1" t="s">
        <v>1338</v>
      </c>
      <c r="C29" s="5">
        <v>46221</v>
      </c>
      <c r="D29" s="1" t="s">
        <v>76</v>
      </c>
      <c r="E29" s="6" t="s">
        <v>1250</v>
      </c>
      <c r="F29" s="6" t="s">
        <v>142</v>
      </c>
      <c r="G29" s="1" t="s">
        <v>13</v>
      </c>
      <c r="H29" s="1" t="s">
        <v>45</v>
      </c>
      <c r="I29" s="1" t="s">
        <v>78</v>
      </c>
      <c r="J29" s="1" t="s">
        <v>28</v>
      </c>
      <c r="K29" s="5">
        <v>46245</v>
      </c>
      <c r="L29" s="5">
        <v>46237</v>
      </c>
      <c r="M29" s="1" t="s">
        <v>293</v>
      </c>
      <c r="N29" s="1" t="s">
        <v>300</v>
      </c>
    </row>
    <row r="30" spans="1:14">
      <c r="A30" s="1">
        <v>27</v>
      </c>
      <c r="B30" s="1" t="s">
        <v>1339</v>
      </c>
      <c r="C30" s="5">
        <v>46228</v>
      </c>
      <c r="D30" s="1" t="s">
        <v>76</v>
      </c>
      <c r="E30" s="6" t="s">
        <v>1257</v>
      </c>
      <c r="F30" s="6" t="s">
        <v>154</v>
      </c>
      <c r="G30" s="1" t="s">
        <v>13</v>
      </c>
      <c r="H30" s="1" t="s">
        <v>12</v>
      </c>
      <c r="I30" s="1" t="s">
        <v>93</v>
      </c>
      <c r="J30" s="1" t="s">
        <v>22</v>
      </c>
      <c r="K30" s="5">
        <v>46237</v>
      </c>
      <c r="L30" s="5">
        <v>46256</v>
      </c>
      <c r="M30" s="1" t="s">
        <v>254</v>
      </c>
      <c r="N30" s="1" t="s">
        <v>1330</v>
      </c>
    </row>
    <row r="31" spans="1:14">
      <c r="A31" s="1">
        <v>28</v>
      </c>
      <c r="B31" s="1" t="s">
        <v>1340</v>
      </c>
      <c r="C31" s="5">
        <v>46228</v>
      </c>
      <c r="D31" s="1" t="s">
        <v>76</v>
      </c>
      <c r="E31" s="6" t="s">
        <v>1248</v>
      </c>
      <c r="F31" s="6" t="s">
        <v>154</v>
      </c>
      <c r="G31" s="1" t="s">
        <v>46</v>
      </c>
      <c r="H31" s="1" t="s">
        <v>45</v>
      </c>
      <c r="I31" s="1" t="s">
        <v>41</v>
      </c>
      <c r="J31" s="1" t="s">
        <v>70</v>
      </c>
      <c r="K31" s="5">
        <v>46258</v>
      </c>
      <c r="L31" s="5">
        <v>46236</v>
      </c>
      <c r="M31" s="1" t="s">
        <v>254</v>
      </c>
      <c r="N31" s="1" t="s">
        <v>1337</v>
      </c>
    </row>
    <row r="32" spans="1:14">
      <c r="A32" s="1">
        <v>29</v>
      </c>
      <c r="B32" s="1" t="s">
        <v>1341</v>
      </c>
      <c r="C32" s="5">
        <v>46255</v>
      </c>
      <c r="D32" s="1" t="s">
        <v>86</v>
      </c>
      <c r="E32" s="6" t="s">
        <v>1248</v>
      </c>
      <c r="F32" s="6" t="s">
        <v>142</v>
      </c>
      <c r="G32" s="1" t="s">
        <v>13</v>
      </c>
      <c r="H32" s="1" t="s">
        <v>61</v>
      </c>
      <c r="I32" s="1" t="s">
        <v>15</v>
      </c>
      <c r="J32" s="1" t="s">
        <v>32</v>
      </c>
      <c r="K32" s="5">
        <v>46292</v>
      </c>
      <c r="L32" s="5">
        <v>46267</v>
      </c>
      <c r="M32" s="1" t="s">
        <v>254</v>
      </c>
      <c r="N32" s="1" t="s">
        <v>1315</v>
      </c>
    </row>
    <row r="33" spans="1:14">
      <c r="A33" s="1">
        <v>30</v>
      </c>
      <c r="B33" s="1" t="s">
        <v>1342</v>
      </c>
      <c r="C33" s="5">
        <v>46235</v>
      </c>
      <c r="D33" s="1" t="s">
        <v>86</v>
      </c>
      <c r="E33" s="6" t="s">
        <v>1246</v>
      </c>
      <c r="F33" s="6" t="s">
        <v>142</v>
      </c>
      <c r="G33" s="1" t="s">
        <v>46</v>
      </c>
      <c r="H33" s="1" t="s">
        <v>30</v>
      </c>
      <c r="I33" s="1" t="s">
        <v>15</v>
      </c>
      <c r="J33" s="1" t="s">
        <v>36</v>
      </c>
      <c r="K33" s="5">
        <v>46240</v>
      </c>
      <c r="L33" s="5">
        <v>46250</v>
      </c>
      <c r="M33" s="1" t="s">
        <v>293</v>
      </c>
      <c r="N33" s="1" t="s">
        <v>300</v>
      </c>
    </row>
    <row r="34" spans="1:14">
      <c r="A34" s="1">
        <v>31</v>
      </c>
      <c r="B34" s="1" t="s">
        <v>1343</v>
      </c>
      <c r="C34" s="5">
        <v>46251</v>
      </c>
      <c r="D34" s="1" t="s">
        <v>86</v>
      </c>
      <c r="E34" s="6" t="s">
        <v>1246</v>
      </c>
      <c r="F34" s="6" t="s">
        <v>154</v>
      </c>
      <c r="G34" s="1" t="s">
        <v>50</v>
      </c>
      <c r="H34" s="1" t="s">
        <v>61</v>
      </c>
      <c r="I34" s="1" t="s">
        <v>93</v>
      </c>
      <c r="J34" s="1" t="s">
        <v>62</v>
      </c>
      <c r="K34" s="5">
        <v>46288</v>
      </c>
      <c r="L34" s="5">
        <v>46268</v>
      </c>
      <c r="M34" s="1" t="s">
        <v>238</v>
      </c>
      <c r="N34" s="1" t="s">
        <v>1312</v>
      </c>
    </row>
    <row r="35" spans="1:14">
      <c r="A35" s="1">
        <v>32</v>
      </c>
      <c r="B35" s="1" t="s">
        <v>1344</v>
      </c>
      <c r="C35" s="5">
        <v>46246</v>
      </c>
      <c r="D35" s="1" t="s">
        <v>86</v>
      </c>
      <c r="E35" s="6" t="s">
        <v>1246</v>
      </c>
      <c r="F35" s="6" t="s">
        <v>142</v>
      </c>
      <c r="G35" s="1" t="s">
        <v>58</v>
      </c>
      <c r="H35" s="1" t="s">
        <v>57</v>
      </c>
      <c r="I35" s="1" t="s">
        <v>41</v>
      </c>
      <c r="J35" s="1" t="s">
        <v>68</v>
      </c>
      <c r="K35" s="5">
        <v>46283</v>
      </c>
      <c r="L35" s="5">
        <v>46254</v>
      </c>
      <c r="M35" s="1" t="s">
        <v>254</v>
      </c>
      <c r="N35" s="1" t="s">
        <v>1330</v>
      </c>
    </row>
    <row r="36" spans="1:14">
      <c r="A36" s="1">
        <v>33</v>
      </c>
      <c r="B36" s="1" t="s">
        <v>1345</v>
      </c>
      <c r="C36" s="5">
        <v>46262</v>
      </c>
      <c r="D36" s="1" t="s">
        <v>86</v>
      </c>
      <c r="E36" s="6" t="s">
        <v>1252</v>
      </c>
      <c r="F36" s="6" t="s">
        <v>142</v>
      </c>
      <c r="G36" s="1" t="s">
        <v>39</v>
      </c>
      <c r="H36" s="1" t="s">
        <v>64</v>
      </c>
      <c r="I36" s="1" t="s">
        <v>32</v>
      </c>
      <c r="J36" s="1" t="s">
        <v>62</v>
      </c>
      <c r="K36" s="5">
        <v>46293</v>
      </c>
      <c r="L36" s="5">
        <v>46267</v>
      </c>
      <c r="M36" s="1" t="s">
        <v>293</v>
      </c>
      <c r="N36" s="1" t="s">
        <v>1310</v>
      </c>
    </row>
    <row r="37" spans="1:14">
      <c r="A37" s="1">
        <v>34</v>
      </c>
      <c r="B37" s="1" t="s">
        <v>1346</v>
      </c>
      <c r="C37" s="5">
        <v>46293</v>
      </c>
      <c r="D37" s="1" t="s">
        <v>102</v>
      </c>
      <c r="E37" s="6" t="s">
        <v>1254</v>
      </c>
      <c r="F37" s="6" t="s">
        <v>154</v>
      </c>
      <c r="G37" s="1" t="s">
        <v>27</v>
      </c>
      <c r="H37" s="1" t="s">
        <v>20</v>
      </c>
      <c r="I37" s="1" t="s">
        <v>36</v>
      </c>
      <c r="J37" s="1" t="s">
        <v>22</v>
      </c>
      <c r="K37" s="5">
        <v>46320</v>
      </c>
      <c r="L37" s="5">
        <v>46311</v>
      </c>
      <c r="M37" s="1" t="s">
        <v>293</v>
      </c>
      <c r="N37" s="1" t="s">
        <v>1337</v>
      </c>
    </row>
    <row r="38" spans="1:14">
      <c r="A38" s="1">
        <v>35</v>
      </c>
      <c r="B38" s="1" t="s">
        <v>1347</v>
      </c>
      <c r="C38" s="5">
        <v>46293</v>
      </c>
      <c r="D38" s="1" t="s">
        <v>102</v>
      </c>
      <c r="E38" s="6" t="s">
        <v>1248</v>
      </c>
      <c r="F38" s="6" t="s">
        <v>154</v>
      </c>
      <c r="G38" s="1" t="s">
        <v>46</v>
      </c>
      <c r="H38" s="1" t="s">
        <v>30</v>
      </c>
      <c r="I38" s="1" t="s">
        <v>36</v>
      </c>
      <c r="J38" s="1" t="s">
        <v>78</v>
      </c>
      <c r="K38" s="5">
        <v>46309</v>
      </c>
      <c r="L38" s="5">
        <v>46315</v>
      </c>
      <c r="M38" s="1" t="s">
        <v>293</v>
      </c>
      <c r="N38" s="1" t="s">
        <v>1337</v>
      </c>
    </row>
    <row r="39" spans="1:14">
      <c r="A39" s="1">
        <v>36</v>
      </c>
      <c r="B39" s="1" t="s">
        <v>1348</v>
      </c>
      <c r="C39" s="5">
        <v>46283</v>
      </c>
      <c r="D39" s="1" t="s">
        <v>102</v>
      </c>
      <c r="E39" s="6" t="s">
        <v>1246</v>
      </c>
      <c r="F39" s="6" t="s">
        <v>142</v>
      </c>
      <c r="G39" s="1" t="s">
        <v>50</v>
      </c>
      <c r="H39" s="1" t="s">
        <v>20</v>
      </c>
      <c r="I39" s="1" t="s">
        <v>104</v>
      </c>
      <c r="J39" s="1" t="s">
        <v>15</v>
      </c>
      <c r="K39" s="5">
        <v>46309</v>
      </c>
      <c r="L39" s="5">
        <v>46293</v>
      </c>
      <c r="M39" s="1" t="s">
        <v>254</v>
      </c>
      <c r="N39" s="1" t="s">
        <v>1315</v>
      </c>
    </row>
    <row r="40" spans="1:14">
      <c r="A40" s="1">
        <v>37</v>
      </c>
      <c r="B40" s="1" t="s">
        <v>1349</v>
      </c>
      <c r="C40" s="5">
        <v>46269</v>
      </c>
      <c r="D40" s="1" t="s">
        <v>102</v>
      </c>
      <c r="E40" s="6" t="s">
        <v>1257</v>
      </c>
      <c r="F40" s="6" t="s">
        <v>159</v>
      </c>
      <c r="G40" s="1" t="s">
        <v>50</v>
      </c>
      <c r="H40" s="1" t="s">
        <v>64</v>
      </c>
      <c r="I40" s="1" t="s">
        <v>36</v>
      </c>
      <c r="J40" s="1" t="s">
        <v>41</v>
      </c>
      <c r="K40" s="5">
        <v>46296</v>
      </c>
      <c r="L40" s="5">
        <v>46296</v>
      </c>
      <c r="M40" s="1" t="s">
        <v>293</v>
      </c>
      <c r="N40" s="1" t="s">
        <v>1318</v>
      </c>
    </row>
    <row r="41" spans="1:14">
      <c r="A41" s="1">
        <v>38</v>
      </c>
      <c r="B41" s="1" t="s">
        <v>1350</v>
      </c>
      <c r="C41" s="5">
        <v>46280</v>
      </c>
      <c r="D41" s="1" t="s">
        <v>102</v>
      </c>
      <c r="E41" s="6" t="s">
        <v>1257</v>
      </c>
      <c r="F41" s="6" t="s">
        <v>162</v>
      </c>
      <c r="G41" s="1" t="s">
        <v>27</v>
      </c>
      <c r="H41" s="1" t="s">
        <v>38</v>
      </c>
      <c r="I41" s="1" t="s">
        <v>28</v>
      </c>
      <c r="J41" s="1" t="s">
        <v>41</v>
      </c>
      <c r="K41" s="5">
        <v>46312</v>
      </c>
      <c r="L41" s="5">
        <v>46298</v>
      </c>
      <c r="M41" s="1" t="s">
        <v>293</v>
      </c>
      <c r="N41" s="1" t="s">
        <v>1315</v>
      </c>
    </row>
    <row r="42" spans="1:14">
      <c r="A42" s="1">
        <v>39</v>
      </c>
      <c r="B42" s="1" t="s">
        <v>1351</v>
      </c>
      <c r="C42" s="5">
        <v>46300</v>
      </c>
      <c r="D42" s="1" t="s">
        <v>106</v>
      </c>
      <c r="E42" s="6" t="s">
        <v>1257</v>
      </c>
      <c r="F42" s="6" t="s">
        <v>154</v>
      </c>
      <c r="G42" s="1" t="s">
        <v>50</v>
      </c>
      <c r="H42" s="1" t="s">
        <v>57</v>
      </c>
      <c r="I42" s="1" t="s">
        <v>15</v>
      </c>
      <c r="J42" s="1" t="s">
        <v>62</v>
      </c>
      <c r="K42" s="5">
        <v>46333</v>
      </c>
      <c r="L42" s="5">
        <v>46342</v>
      </c>
      <c r="M42" s="1" t="s">
        <v>293</v>
      </c>
      <c r="N42" s="1" t="s">
        <v>1330</v>
      </c>
    </row>
    <row r="43" spans="1:14">
      <c r="A43" s="1">
        <v>40</v>
      </c>
      <c r="B43" s="1" t="s">
        <v>1352</v>
      </c>
      <c r="C43" s="5">
        <v>46322</v>
      </c>
      <c r="D43" s="1" t="s">
        <v>106</v>
      </c>
      <c r="E43" s="6" t="s">
        <v>1252</v>
      </c>
      <c r="F43" s="6" t="s">
        <v>154</v>
      </c>
      <c r="G43" s="1" t="s">
        <v>46</v>
      </c>
      <c r="H43" s="1" t="s">
        <v>4</v>
      </c>
      <c r="I43" s="1" t="s">
        <v>36</v>
      </c>
      <c r="J43" s="1" t="s">
        <v>62</v>
      </c>
      <c r="K43" s="5">
        <v>46330</v>
      </c>
      <c r="L43" s="5">
        <v>46348</v>
      </c>
      <c r="M43" s="1" t="s">
        <v>293</v>
      </c>
      <c r="N43" s="1" t="s">
        <v>1312</v>
      </c>
    </row>
    <row r="44" spans="1:14">
      <c r="A44" s="1">
        <v>41</v>
      </c>
      <c r="B44" s="1" t="s">
        <v>1353</v>
      </c>
      <c r="C44" s="5">
        <v>46303</v>
      </c>
      <c r="D44" s="1" t="s">
        <v>106</v>
      </c>
      <c r="E44" s="6" t="s">
        <v>1254</v>
      </c>
      <c r="F44" s="6" t="s">
        <v>154</v>
      </c>
      <c r="G44" s="1" t="s">
        <v>46</v>
      </c>
      <c r="H44" s="1" t="s">
        <v>57</v>
      </c>
      <c r="I44" s="1" t="s">
        <v>66</v>
      </c>
      <c r="J44" s="1" t="s">
        <v>22</v>
      </c>
      <c r="K44" s="5">
        <v>46329</v>
      </c>
      <c r="L44" s="5">
        <v>46343</v>
      </c>
      <c r="M44" s="1" t="s">
        <v>293</v>
      </c>
      <c r="N44" s="1" t="s">
        <v>1318</v>
      </c>
    </row>
    <row r="45" spans="1:14">
      <c r="A45" s="1">
        <v>42</v>
      </c>
      <c r="B45" s="1" t="s">
        <v>1354</v>
      </c>
      <c r="C45" s="5">
        <v>46303</v>
      </c>
      <c r="D45" s="1" t="s">
        <v>106</v>
      </c>
      <c r="E45" s="6" t="s">
        <v>1246</v>
      </c>
      <c r="F45" s="6" t="s">
        <v>154</v>
      </c>
      <c r="G45" s="1" t="s">
        <v>65</v>
      </c>
      <c r="H45" s="1" t="s">
        <v>20</v>
      </c>
      <c r="I45" s="1" t="s">
        <v>104</v>
      </c>
      <c r="J45" s="1" t="s">
        <v>32</v>
      </c>
      <c r="K45" s="5">
        <v>46320</v>
      </c>
      <c r="L45" s="5">
        <v>46309</v>
      </c>
      <c r="M45" s="1" t="s">
        <v>293</v>
      </c>
      <c r="N45" s="1" t="s">
        <v>296</v>
      </c>
    </row>
    <row r="46" spans="1:14">
      <c r="A46" s="1">
        <v>43</v>
      </c>
      <c r="B46" s="1" t="s">
        <v>1355</v>
      </c>
      <c r="C46" s="5">
        <v>46343</v>
      </c>
      <c r="D46" s="1" t="s">
        <v>111</v>
      </c>
      <c r="E46" s="6" t="s">
        <v>1248</v>
      </c>
      <c r="F46" s="6" t="s">
        <v>162</v>
      </c>
      <c r="G46" s="1" t="s">
        <v>65</v>
      </c>
      <c r="H46" s="1" t="s">
        <v>61</v>
      </c>
      <c r="I46" s="1" t="s">
        <v>7</v>
      </c>
      <c r="J46" s="1" t="s">
        <v>62</v>
      </c>
      <c r="K46" s="5">
        <v>46359</v>
      </c>
      <c r="L46" s="5">
        <v>46348</v>
      </c>
      <c r="M46" s="1" t="s">
        <v>293</v>
      </c>
      <c r="N46" s="1" t="s">
        <v>296</v>
      </c>
    </row>
    <row r="47" spans="1:14">
      <c r="A47" s="1">
        <v>44</v>
      </c>
      <c r="B47" s="1" t="s">
        <v>1356</v>
      </c>
      <c r="C47" s="5">
        <v>46352</v>
      </c>
      <c r="D47" s="1" t="s">
        <v>111</v>
      </c>
      <c r="E47" s="6" t="s">
        <v>1252</v>
      </c>
      <c r="F47" s="6" t="s">
        <v>142</v>
      </c>
      <c r="G47" s="1" t="s">
        <v>39</v>
      </c>
      <c r="H47" s="1" t="s">
        <v>16</v>
      </c>
      <c r="I47" s="1" t="s">
        <v>104</v>
      </c>
      <c r="J47" s="1" t="s">
        <v>93</v>
      </c>
      <c r="K47" s="5">
        <v>46389</v>
      </c>
      <c r="L47" s="5">
        <v>46396</v>
      </c>
      <c r="M47" s="1" t="s">
        <v>293</v>
      </c>
      <c r="N47" s="1" t="s">
        <v>1318</v>
      </c>
    </row>
    <row r="48" spans="1:14">
      <c r="A48" s="1">
        <v>45</v>
      </c>
      <c r="B48" s="1" t="s">
        <v>1357</v>
      </c>
      <c r="C48" s="5">
        <v>46336</v>
      </c>
      <c r="D48" s="1" t="s">
        <v>111</v>
      </c>
      <c r="E48" s="6" t="s">
        <v>1248</v>
      </c>
      <c r="F48" s="6" t="s">
        <v>154</v>
      </c>
      <c r="G48" s="1" t="s">
        <v>5</v>
      </c>
      <c r="H48" s="1" t="s">
        <v>57</v>
      </c>
      <c r="I48" s="1" t="s">
        <v>68</v>
      </c>
      <c r="J48" s="1" t="s">
        <v>104</v>
      </c>
      <c r="K48" s="5">
        <v>46342</v>
      </c>
      <c r="L48" s="5">
        <v>46351</v>
      </c>
      <c r="M48" s="1" t="s">
        <v>293</v>
      </c>
      <c r="N48" s="1" t="s">
        <v>296</v>
      </c>
    </row>
    <row r="49" spans="1:14">
      <c r="A49" s="1">
        <v>46</v>
      </c>
      <c r="B49" s="1" t="s">
        <v>1358</v>
      </c>
      <c r="C49" s="5">
        <v>46376</v>
      </c>
      <c r="D49" s="1" t="s">
        <v>122</v>
      </c>
      <c r="E49" s="6" t="s">
        <v>1254</v>
      </c>
      <c r="F49" s="6" t="s">
        <v>159</v>
      </c>
      <c r="G49" s="1" t="s">
        <v>27</v>
      </c>
      <c r="H49" s="1" t="s">
        <v>26</v>
      </c>
      <c r="I49" s="1" t="s">
        <v>22</v>
      </c>
      <c r="J49" s="1" t="s">
        <v>41</v>
      </c>
      <c r="K49" s="5">
        <v>46404</v>
      </c>
      <c r="L49" s="5">
        <v>46409</v>
      </c>
      <c r="M49" s="1" t="s">
        <v>293</v>
      </c>
      <c r="N49" s="1" t="s">
        <v>1310</v>
      </c>
    </row>
    <row r="50" spans="1:14">
      <c r="A50" s="1">
        <v>47</v>
      </c>
      <c r="B50" s="1" t="s">
        <v>1359</v>
      </c>
      <c r="C50" s="5">
        <v>46360</v>
      </c>
      <c r="D50" s="1" t="s">
        <v>122</v>
      </c>
      <c r="E50" s="6" t="s">
        <v>1248</v>
      </c>
      <c r="F50" s="6" t="s">
        <v>159</v>
      </c>
      <c r="G50" s="1" t="s">
        <v>39</v>
      </c>
      <c r="H50" s="1" t="s">
        <v>45</v>
      </c>
      <c r="I50" s="1" t="s">
        <v>62</v>
      </c>
      <c r="J50" s="1" t="s">
        <v>28</v>
      </c>
      <c r="K50" s="5">
        <v>46372</v>
      </c>
      <c r="L50" s="5">
        <v>46404</v>
      </c>
      <c r="M50" s="1" t="s">
        <v>293</v>
      </c>
      <c r="N50" s="1" t="s">
        <v>300</v>
      </c>
    </row>
    <row r="51" spans="1:14">
      <c r="A51" s="1">
        <v>48</v>
      </c>
      <c r="B51" s="1" t="s">
        <v>1360</v>
      </c>
      <c r="C51" s="5">
        <v>46363</v>
      </c>
      <c r="D51" s="1" t="s">
        <v>122</v>
      </c>
      <c r="E51" s="6" t="s">
        <v>1257</v>
      </c>
      <c r="F51" s="6" t="s">
        <v>154</v>
      </c>
      <c r="G51" s="1" t="s">
        <v>65</v>
      </c>
      <c r="H51" s="1" t="s">
        <v>91</v>
      </c>
      <c r="I51" s="1" t="s">
        <v>68</v>
      </c>
      <c r="J51" s="1" t="s">
        <v>28</v>
      </c>
      <c r="K51" s="5">
        <v>46384</v>
      </c>
      <c r="L51" s="5">
        <v>46394</v>
      </c>
      <c r="M51" s="1" t="s">
        <v>293</v>
      </c>
      <c r="N51" s="1" t="s">
        <v>300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1366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1425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1426</v>
      </c>
      <c r="I3" s="1" t="s">
        <v>210</v>
      </c>
      <c r="J3" s="1" t="s">
        <v>1427</v>
      </c>
      <c r="K3" s="1" t="s">
        <v>413</v>
      </c>
      <c r="L3" s="1" t="s">
        <v>357</v>
      </c>
      <c r="M3" s="1" t="s">
        <v>287</v>
      </c>
    </row>
    <row r="4" spans="1:15">
      <c r="A4" s="1">
        <v>1</v>
      </c>
      <c r="B4" s="1" t="s">
        <v>1367</v>
      </c>
      <c r="C4" s="5">
        <v>46032</v>
      </c>
      <c r="D4" s="1" t="s">
        <v>3</v>
      </c>
      <c r="E4" s="6" t="s">
        <v>1368</v>
      </c>
      <c r="F4" s="6" t="s">
        <v>89</v>
      </c>
      <c r="G4" s="1" t="s">
        <v>82</v>
      </c>
      <c r="H4" s="1" t="s">
        <v>32</v>
      </c>
      <c r="I4" s="1" t="s">
        <v>142</v>
      </c>
      <c r="J4" s="1" t="s">
        <v>26</v>
      </c>
      <c r="K4" s="1" t="s">
        <v>64</v>
      </c>
      <c r="L4" s="5">
        <v>46068</v>
      </c>
      <c r="M4" s="1" t="s">
        <v>293</v>
      </c>
    </row>
    <row r="5" spans="1:15">
      <c r="A5" s="1">
        <v>2</v>
      </c>
      <c r="B5" s="1" t="s">
        <v>1369</v>
      </c>
      <c r="C5" s="5">
        <v>46038</v>
      </c>
      <c r="D5" s="1" t="s">
        <v>3</v>
      </c>
      <c r="E5" s="6" t="s">
        <v>1370</v>
      </c>
      <c r="F5" s="6" t="s">
        <v>39</v>
      </c>
      <c r="G5" s="1" t="s">
        <v>77</v>
      </c>
      <c r="H5" s="1" t="s">
        <v>22</v>
      </c>
      <c r="I5" s="1" t="s">
        <v>142</v>
      </c>
      <c r="J5" s="1" t="s">
        <v>30</v>
      </c>
      <c r="K5" s="1" t="s">
        <v>54</v>
      </c>
      <c r="L5" s="5">
        <v>46057</v>
      </c>
      <c r="M5" s="1" t="s">
        <v>293</v>
      </c>
    </row>
    <row r="6" spans="1:15">
      <c r="A6" s="1">
        <v>3</v>
      </c>
      <c r="B6" s="1" t="s">
        <v>1371</v>
      </c>
      <c r="C6" s="5">
        <v>46027</v>
      </c>
      <c r="D6" s="1" t="s">
        <v>3</v>
      </c>
      <c r="E6" s="6" t="s">
        <v>1372</v>
      </c>
      <c r="F6" s="6" t="s">
        <v>5</v>
      </c>
      <c r="G6" s="1" t="s">
        <v>6</v>
      </c>
      <c r="H6" s="1" t="s">
        <v>22</v>
      </c>
      <c r="I6" s="1" t="s">
        <v>154</v>
      </c>
      <c r="J6" s="1" t="s">
        <v>12</v>
      </c>
      <c r="K6" s="1" t="s">
        <v>45</v>
      </c>
      <c r="L6" s="5">
        <v>46037</v>
      </c>
      <c r="M6" s="1" t="s">
        <v>254</v>
      </c>
    </row>
    <row r="7" spans="1:15">
      <c r="A7" s="1">
        <v>4</v>
      </c>
      <c r="B7" s="1" t="s">
        <v>1373</v>
      </c>
      <c r="C7" s="5">
        <v>46049</v>
      </c>
      <c r="D7" s="1" t="s">
        <v>3</v>
      </c>
      <c r="E7" s="6" t="s">
        <v>1368</v>
      </c>
      <c r="F7" s="6" t="s">
        <v>5</v>
      </c>
      <c r="G7" s="1" t="s">
        <v>51</v>
      </c>
      <c r="H7" s="1" t="s">
        <v>68</v>
      </c>
      <c r="I7" s="1" t="s">
        <v>142</v>
      </c>
      <c r="J7" s="1" t="s">
        <v>54</v>
      </c>
      <c r="K7" s="1" t="s">
        <v>20</v>
      </c>
      <c r="L7" s="5">
        <v>46080</v>
      </c>
      <c r="M7" s="1" t="s">
        <v>254</v>
      </c>
    </row>
    <row r="8" spans="1:15">
      <c r="A8" s="1">
        <v>5</v>
      </c>
      <c r="B8" s="1" t="s">
        <v>1374</v>
      </c>
      <c r="C8" s="5">
        <v>46076</v>
      </c>
      <c r="D8" s="1" t="s">
        <v>19</v>
      </c>
      <c r="E8" s="6" t="s">
        <v>1375</v>
      </c>
      <c r="F8" s="6" t="s">
        <v>46</v>
      </c>
      <c r="G8" s="1" t="s">
        <v>31</v>
      </c>
      <c r="H8" s="1" t="s">
        <v>104</v>
      </c>
      <c r="I8" s="1" t="s">
        <v>162</v>
      </c>
      <c r="J8" s="1" t="s">
        <v>57</v>
      </c>
      <c r="K8" s="1" t="s">
        <v>4</v>
      </c>
      <c r="L8" s="5">
        <v>46101</v>
      </c>
      <c r="M8" s="1" t="s">
        <v>293</v>
      </c>
    </row>
    <row r="9" spans="1:15">
      <c r="A9" s="1">
        <v>6</v>
      </c>
      <c r="B9" s="1" t="s">
        <v>1376</v>
      </c>
      <c r="C9" s="5">
        <v>46064</v>
      </c>
      <c r="D9" s="1" t="s">
        <v>19</v>
      </c>
      <c r="E9" s="6" t="s">
        <v>1377</v>
      </c>
      <c r="F9" s="6" t="s">
        <v>46</v>
      </c>
      <c r="G9" s="1" t="s">
        <v>40</v>
      </c>
      <c r="H9" s="1" t="s">
        <v>93</v>
      </c>
      <c r="I9" s="1" t="s">
        <v>159</v>
      </c>
      <c r="J9" s="1" t="s">
        <v>16</v>
      </c>
      <c r="K9" s="1" t="s">
        <v>16</v>
      </c>
      <c r="L9" s="5">
        <v>46104</v>
      </c>
      <c r="M9" s="1" t="s">
        <v>254</v>
      </c>
    </row>
    <row r="10" spans="1:15">
      <c r="A10" s="1">
        <v>7</v>
      </c>
      <c r="B10" s="1" t="s">
        <v>1378</v>
      </c>
      <c r="C10" s="5">
        <v>46056</v>
      </c>
      <c r="D10" s="1" t="s">
        <v>19</v>
      </c>
      <c r="E10" s="6" t="s">
        <v>1379</v>
      </c>
      <c r="F10" s="6" t="s">
        <v>89</v>
      </c>
      <c r="G10" s="1" t="s">
        <v>51</v>
      </c>
      <c r="H10" s="1" t="s">
        <v>15</v>
      </c>
      <c r="I10" s="1" t="s">
        <v>154</v>
      </c>
      <c r="J10" s="1" t="s">
        <v>26</v>
      </c>
      <c r="K10" s="1" t="s">
        <v>38</v>
      </c>
      <c r="L10" s="5">
        <v>46081</v>
      </c>
      <c r="M10" s="1" t="s">
        <v>254</v>
      </c>
    </row>
    <row r="11" spans="1:15">
      <c r="A11" s="1">
        <v>8</v>
      </c>
      <c r="B11" s="1" t="s">
        <v>1380</v>
      </c>
      <c r="C11" s="5">
        <v>46074</v>
      </c>
      <c r="D11" s="1" t="s">
        <v>19</v>
      </c>
      <c r="E11" s="6" t="s">
        <v>1381</v>
      </c>
      <c r="F11" s="6" t="s">
        <v>39</v>
      </c>
      <c r="G11" s="1" t="s">
        <v>35</v>
      </c>
      <c r="H11" s="1" t="s">
        <v>22</v>
      </c>
      <c r="I11" s="1" t="s">
        <v>154</v>
      </c>
      <c r="J11" s="1" t="s">
        <v>49</v>
      </c>
      <c r="K11" s="1" t="s">
        <v>26</v>
      </c>
      <c r="L11" s="5">
        <v>46094</v>
      </c>
      <c r="M11" s="1" t="s">
        <v>293</v>
      </c>
    </row>
    <row r="12" spans="1:15">
      <c r="A12" s="1">
        <v>9</v>
      </c>
      <c r="B12" s="1" t="s">
        <v>1382</v>
      </c>
      <c r="C12" s="5">
        <v>46084</v>
      </c>
      <c r="D12" s="1" t="s">
        <v>44</v>
      </c>
      <c r="E12" s="6" t="s">
        <v>1372</v>
      </c>
      <c r="F12" s="6" t="s">
        <v>58</v>
      </c>
      <c r="G12" s="1" t="s">
        <v>35</v>
      </c>
      <c r="H12" s="1" t="s">
        <v>32</v>
      </c>
      <c r="I12" s="1" t="s">
        <v>142</v>
      </c>
      <c r="J12" s="1" t="s">
        <v>16</v>
      </c>
      <c r="K12" s="1" t="s">
        <v>30</v>
      </c>
      <c r="L12" s="5">
        <v>46112</v>
      </c>
      <c r="M12" s="1" t="s">
        <v>297</v>
      </c>
    </row>
    <row r="13" spans="1:15">
      <c r="A13" s="1">
        <v>10</v>
      </c>
      <c r="B13" s="1" t="s">
        <v>1383</v>
      </c>
      <c r="C13" s="5">
        <v>46101</v>
      </c>
      <c r="D13" s="1" t="s">
        <v>44</v>
      </c>
      <c r="E13" s="6" t="s">
        <v>1384</v>
      </c>
      <c r="F13" s="6" t="s">
        <v>13</v>
      </c>
      <c r="G13" s="1" t="s">
        <v>31</v>
      </c>
      <c r="H13" s="1" t="s">
        <v>78</v>
      </c>
      <c r="I13" s="1" t="s">
        <v>142</v>
      </c>
      <c r="J13" s="1" t="s">
        <v>4</v>
      </c>
      <c r="K13" s="1" t="s">
        <v>91</v>
      </c>
      <c r="L13" s="5">
        <v>46134</v>
      </c>
      <c r="M13" s="1" t="s">
        <v>293</v>
      </c>
    </row>
    <row r="14" spans="1:15">
      <c r="A14" s="1">
        <v>11</v>
      </c>
      <c r="B14" s="1" t="s">
        <v>1385</v>
      </c>
      <c r="C14" s="5">
        <v>46109</v>
      </c>
      <c r="D14" s="1" t="s">
        <v>44</v>
      </c>
      <c r="E14" s="6" t="s">
        <v>1379</v>
      </c>
      <c r="F14" s="6" t="s">
        <v>39</v>
      </c>
      <c r="G14" s="1" t="s">
        <v>51</v>
      </c>
      <c r="H14" s="1" t="s">
        <v>32</v>
      </c>
      <c r="I14" s="1" t="s">
        <v>154</v>
      </c>
      <c r="J14" s="1" t="s">
        <v>4</v>
      </c>
      <c r="K14" s="1" t="s">
        <v>61</v>
      </c>
      <c r="L14" s="5">
        <v>46125</v>
      </c>
      <c r="M14" s="1" t="s">
        <v>293</v>
      </c>
    </row>
    <row r="15" spans="1:15">
      <c r="A15" s="1">
        <v>12</v>
      </c>
      <c r="B15" s="1" t="s">
        <v>1386</v>
      </c>
      <c r="C15" s="5">
        <v>46108</v>
      </c>
      <c r="D15" s="1" t="s">
        <v>44</v>
      </c>
      <c r="E15" s="6" t="s">
        <v>1368</v>
      </c>
      <c r="F15" s="6" t="s">
        <v>89</v>
      </c>
      <c r="G15" s="1" t="s">
        <v>82</v>
      </c>
      <c r="H15" s="1" t="s">
        <v>41</v>
      </c>
      <c r="I15" s="1" t="s">
        <v>154</v>
      </c>
      <c r="J15" s="1" t="s">
        <v>91</v>
      </c>
      <c r="K15" s="1" t="s">
        <v>49</v>
      </c>
      <c r="L15" s="5">
        <v>46126</v>
      </c>
      <c r="M15" s="1" t="s">
        <v>293</v>
      </c>
    </row>
    <row r="16" spans="1:15">
      <c r="A16" s="1">
        <v>13</v>
      </c>
      <c r="B16" s="1" t="s">
        <v>1387</v>
      </c>
      <c r="C16" s="5">
        <v>46085</v>
      </c>
      <c r="D16" s="1" t="s">
        <v>44</v>
      </c>
      <c r="E16" s="6" t="s">
        <v>1372</v>
      </c>
      <c r="F16" s="6" t="s">
        <v>46</v>
      </c>
      <c r="G16" s="1" t="s">
        <v>82</v>
      </c>
      <c r="H16" s="1" t="s">
        <v>66</v>
      </c>
      <c r="I16" s="1" t="s">
        <v>154</v>
      </c>
      <c r="J16" s="1" t="s">
        <v>26</v>
      </c>
      <c r="K16" s="1" t="s">
        <v>4</v>
      </c>
      <c r="L16" s="5">
        <v>46130</v>
      </c>
      <c r="M16" s="1" t="s">
        <v>293</v>
      </c>
    </row>
    <row r="17" spans="1:13">
      <c r="A17" s="1">
        <v>14</v>
      </c>
      <c r="B17" s="1" t="s">
        <v>1388</v>
      </c>
      <c r="C17" s="5">
        <v>46102</v>
      </c>
      <c r="D17" s="1" t="s">
        <v>44</v>
      </c>
      <c r="E17" s="6" t="s">
        <v>1375</v>
      </c>
      <c r="F17" s="6" t="s">
        <v>50</v>
      </c>
      <c r="G17" s="1" t="s">
        <v>87</v>
      </c>
      <c r="H17" s="1" t="s">
        <v>7</v>
      </c>
      <c r="I17" s="1" t="s">
        <v>159</v>
      </c>
      <c r="J17" s="1" t="s">
        <v>16</v>
      </c>
      <c r="K17" s="1" t="s">
        <v>30</v>
      </c>
      <c r="L17" s="5">
        <v>46119</v>
      </c>
      <c r="M17" s="1" t="s">
        <v>293</v>
      </c>
    </row>
    <row r="18" spans="1:13">
      <c r="A18" s="1">
        <v>15</v>
      </c>
      <c r="B18" s="1" t="s">
        <v>1389</v>
      </c>
      <c r="C18" s="5">
        <v>46136</v>
      </c>
      <c r="D18" s="1" t="s">
        <v>53</v>
      </c>
      <c r="E18" s="6" t="s">
        <v>1368</v>
      </c>
      <c r="F18" s="6" t="s">
        <v>65</v>
      </c>
      <c r="G18" s="1" t="s">
        <v>6</v>
      </c>
      <c r="H18" s="1" t="s">
        <v>78</v>
      </c>
      <c r="I18" s="1" t="s">
        <v>142</v>
      </c>
      <c r="J18" s="1" t="s">
        <v>26</v>
      </c>
      <c r="K18" s="1" t="s">
        <v>4</v>
      </c>
      <c r="L18" s="5">
        <v>46141</v>
      </c>
      <c r="M18" s="1" t="s">
        <v>293</v>
      </c>
    </row>
    <row r="19" spans="1:13">
      <c r="A19" s="1">
        <v>16</v>
      </c>
      <c r="B19" s="1" t="s">
        <v>1390</v>
      </c>
      <c r="C19" s="5">
        <v>46123</v>
      </c>
      <c r="D19" s="1" t="s">
        <v>53</v>
      </c>
      <c r="E19" s="6" t="s">
        <v>1370</v>
      </c>
      <c r="F19" s="6" t="s">
        <v>65</v>
      </c>
      <c r="G19" s="1" t="s">
        <v>95</v>
      </c>
      <c r="H19" s="1" t="s">
        <v>70</v>
      </c>
      <c r="I19" s="1" t="s">
        <v>142</v>
      </c>
      <c r="J19" s="1" t="s">
        <v>45</v>
      </c>
      <c r="K19" s="1" t="s">
        <v>54</v>
      </c>
      <c r="L19" s="5">
        <v>46131</v>
      </c>
      <c r="M19" s="1" t="s">
        <v>297</v>
      </c>
    </row>
    <row r="20" spans="1:13">
      <c r="A20" s="1">
        <v>17</v>
      </c>
      <c r="B20" s="1" t="s">
        <v>1391</v>
      </c>
      <c r="C20" s="5">
        <v>46134</v>
      </c>
      <c r="D20" s="1" t="s">
        <v>53</v>
      </c>
      <c r="E20" s="6" t="s">
        <v>1368</v>
      </c>
      <c r="F20" s="6" t="s">
        <v>27</v>
      </c>
      <c r="G20" s="1" t="s">
        <v>35</v>
      </c>
      <c r="H20" s="1" t="s">
        <v>7</v>
      </c>
      <c r="I20" s="1" t="s">
        <v>154</v>
      </c>
      <c r="J20" s="1" t="s">
        <v>30</v>
      </c>
      <c r="K20" s="1" t="s">
        <v>64</v>
      </c>
      <c r="L20" s="5">
        <v>46170</v>
      </c>
      <c r="M20" s="1" t="s">
        <v>293</v>
      </c>
    </row>
    <row r="21" spans="1:13">
      <c r="A21" s="1">
        <v>18</v>
      </c>
      <c r="B21" s="1" t="s">
        <v>1392</v>
      </c>
      <c r="C21" s="5">
        <v>46130</v>
      </c>
      <c r="D21" s="1" t="s">
        <v>53</v>
      </c>
      <c r="E21" s="6" t="s">
        <v>1379</v>
      </c>
      <c r="F21" s="6" t="s">
        <v>27</v>
      </c>
      <c r="G21" s="1" t="s">
        <v>82</v>
      </c>
      <c r="H21" s="1" t="s">
        <v>22</v>
      </c>
      <c r="I21" s="1" t="s">
        <v>159</v>
      </c>
      <c r="J21" s="1" t="s">
        <v>30</v>
      </c>
      <c r="K21" s="1" t="s">
        <v>49</v>
      </c>
      <c r="L21" s="5">
        <v>46145</v>
      </c>
      <c r="M21" s="1" t="s">
        <v>293</v>
      </c>
    </row>
    <row r="22" spans="1:13">
      <c r="A22" s="1">
        <v>19</v>
      </c>
      <c r="B22" s="1" t="s">
        <v>1393</v>
      </c>
      <c r="C22" s="5">
        <v>46140</v>
      </c>
      <c r="D22" s="1" t="s">
        <v>53</v>
      </c>
      <c r="E22" s="6" t="s">
        <v>1377</v>
      </c>
      <c r="F22" s="6" t="s">
        <v>50</v>
      </c>
      <c r="G22" s="1" t="s">
        <v>51</v>
      </c>
      <c r="H22" s="1" t="s">
        <v>104</v>
      </c>
      <c r="I22" s="1" t="s">
        <v>154</v>
      </c>
      <c r="J22" s="1" t="s">
        <v>4</v>
      </c>
      <c r="K22" s="1" t="s">
        <v>12</v>
      </c>
      <c r="L22" s="5">
        <v>46154</v>
      </c>
      <c r="M22" s="1" t="s">
        <v>293</v>
      </c>
    </row>
    <row r="23" spans="1:13">
      <c r="A23" s="1">
        <v>20</v>
      </c>
      <c r="B23" s="1" t="s">
        <v>1394</v>
      </c>
      <c r="C23" s="5">
        <v>46120</v>
      </c>
      <c r="D23" s="1" t="s">
        <v>53</v>
      </c>
      <c r="E23" s="6" t="s">
        <v>1395</v>
      </c>
      <c r="F23" s="6" t="s">
        <v>13</v>
      </c>
      <c r="G23" s="1" t="s">
        <v>77</v>
      </c>
      <c r="H23" s="1" t="s">
        <v>15</v>
      </c>
      <c r="I23" s="1" t="s">
        <v>142</v>
      </c>
      <c r="J23" s="1" t="s">
        <v>20</v>
      </c>
      <c r="K23" s="1" t="s">
        <v>4</v>
      </c>
      <c r="L23" s="5">
        <v>46163</v>
      </c>
      <c r="M23" s="1" t="s">
        <v>293</v>
      </c>
    </row>
    <row r="24" spans="1:13">
      <c r="A24" s="1">
        <v>21</v>
      </c>
      <c r="B24" s="1" t="s">
        <v>1396</v>
      </c>
      <c r="C24" s="5">
        <v>46146</v>
      </c>
      <c r="D24" s="1" t="s">
        <v>60</v>
      </c>
      <c r="E24" s="6" t="s">
        <v>1381</v>
      </c>
      <c r="F24" s="6" t="s">
        <v>39</v>
      </c>
      <c r="G24" s="1" t="s">
        <v>95</v>
      </c>
      <c r="H24" s="1" t="s">
        <v>22</v>
      </c>
      <c r="I24" s="1" t="s">
        <v>154</v>
      </c>
      <c r="J24" s="1" t="s">
        <v>4</v>
      </c>
      <c r="K24" s="1" t="s">
        <v>91</v>
      </c>
      <c r="L24" s="5">
        <v>46156</v>
      </c>
      <c r="M24" s="1" t="s">
        <v>293</v>
      </c>
    </row>
    <row r="25" spans="1:13">
      <c r="A25" s="1">
        <v>22</v>
      </c>
      <c r="B25" s="1" t="s">
        <v>1397</v>
      </c>
      <c r="C25" s="5">
        <v>46153</v>
      </c>
      <c r="D25" s="1" t="s">
        <v>60</v>
      </c>
      <c r="E25" s="6" t="s">
        <v>1370</v>
      </c>
      <c r="F25" s="6" t="s">
        <v>89</v>
      </c>
      <c r="G25" s="1" t="s">
        <v>95</v>
      </c>
      <c r="H25" s="1" t="s">
        <v>28</v>
      </c>
      <c r="I25" s="1" t="s">
        <v>142</v>
      </c>
      <c r="J25" s="1" t="s">
        <v>26</v>
      </c>
      <c r="K25" s="1" t="s">
        <v>64</v>
      </c>
      <c r="L25" s="5">
        <v>46176</v>
      </c>
      <c r="M25" s="1" t="s">
        <v>293</v>
      </c>
    </row>
    <row r="26" spans="1:13">
      <c r="A26" s="1">
        <v>23</v>
      </c>
      <c r="B26" s="1" t="s">
        <v>1398</v>
      </c>
      <c r="C26" s="5">
        <v>46179</v>
      </c>
      <c r="D26" s="1" t="s">
        <v>73</v>
      </c>
      <c r="E26" s="6" t="s">
        <v>1384</v>
      </c>
      <c r="F26" s="6" t="s">
        <v>50</v>
      </c>
      <c r="G26" s="1" t="s">
        <v>35</v>
      </c>
      <c r="H26" s="1" t="s">
        <v>70</v>
      </c>
      <c r="I26" s="1" t="s">
        <v>142</v>
      </c>
      <c r="J26" s="1" t="s">
        <v>49</v>
      </c>
      <c r="K26" s="1" t="s">
        <v>20</v>
      </c>
      <c r="L26" s="5">
        <v>46215</v>
      </c>
      <c r="M26" s="1" t="s">
        <v>293</v>
      </c>
    </row>
    <row r="27" spans="1:13">
      <c r="A27" s="1">
        <v>24</v>
      </c>
      <c r="B27" s="1" t="s">
        <v>1399</v>
      </c>
      <c r="C27" s="5">
        <v>46201</v>
      </c>
      <c r="D27" s="1" t="s">
        <v>73</v>
      </c>
      <c r="E27" s="6" t="s">
        <v>1375</v>
      </c>
      <c r="F27" s="6" t="s">
        <v>65</v>
      </c>
      <c r="G27" s="1" t="s">
        <v>82</v>
      </c>
      <c r="H27" s="1" t="s">
        <v>36</v>
      </c>
      <c r="I27" s="1" t="s">
        <v>142</v>
      </c>
      <c r="J27" s="1" t="s">
        <v>57</v>
      </c>
      <c r="K27" s="1" t="s">
        <v>91</v>
      </c>
      <c r="L27" s="5">
        <v>46209</v>
      </c>
      <c r="M27" s="1" t="s">
        <v>293</v>
      </c>
    </row>
    <row r="28" spans="1:13">
      <c r="A28" s="1">
        <v>25</v>
      </c>
      <c r="B28" s="1" t="s">
        <v>1400</v>
      </c>
      <c r="C28" s="5">
        <v>46178</v>
      </c>
      <c r="D28" s="1" t="s">
        <v>73</v>
      </c>
      <c r="E28" s="6" t="s">
        <v>1375</v>
      </c>
      <c r="F28" s="6" t="s">
        <v>58</v>
      </c>
      <c r="G28" s="1" t="s">
        <v>82</v>
      </c>
      <c r="H28" s="1" t="s">
        <v>15</v>
      </c>
      <c r="I28" s="1" t="s">
        <v>154</v>
      </c>
      <c r="J28" s="1" t="s">
        <v>26</v>
      </c>
      <c r="K28" s="1" t="s">
        <v>4</v>
      </c>
      <c r="L28" s="5">
        <v>46223</v>
      </c>
      <c r="M28" s="1" t="s">
        <v>254</v>
      </c>
    </row>
    <row r="29" spans="1:13">
      <c r="A29" s="1">
        <v>26</v>
      </c>
      <c r="B29" s="1" t="s">
        <v>1401</v>
      </c>
      <c r="C29" s="5">
        <v>46208</v>
      </c>
      <c r="D29" s="1" t="s">
        <v>76</v>
      </c>
      <c r="E29" s="6" t="s">
        <v>1370</v>
      </c>
      <c r="F29" s="6" t="s">
        <v>65</v>
      </c>
      <c r="G29" s="1" t="s">
        <v>51</v>
      </c>
      <c r="H29" s="1" t="s">
        <v>41</v>
      </c>
      <c r="I29" s="1" t="s">
        <v>142</v>
      </c>
      <c r="J29" s="1" t="s">
        <v>91</v>
      </c>
      <c r="K29" s="1" t="s">
        <v>54</v>
      </c>
      <c r="L29" s="5">
        <v>46224</v>
      </c>
      <c r="M29" s="1" t="s">
        <v>238</v>
      </c>
    </row>
    <row r="30" spans="1:13">
      <c r="A30" s="1">
        <v>27</v>
      </c>
      <c r="B30" s="1" t="s">
        <v>1402</v>
      </c>
      <c r="C30" s="5">
        <v>46207</v>
      </c>
      <c r="D30" s="1" t="s">
        <v>76</v>
      </c>
      <c r="E30" s="6" t="s">
        <v>1379</v>
      </c>
      <c r="F30" s="6" t="s">
        <v>65</v>
      </c>
      <c r="G30" s="1" t="s">
        <v>87</v>
      </c>
      <c r="H30" s="1" t="s">
        <v>15</v>
      </c>
      <c r="I30" s="1" t="s">
        <v>159</v>
      </c>
      <c r="J30" s="1" t="s">
        <v>61</v>
      </c>
      <c r="K30" s="1" t="s">
        <v>4</v>
      </c>
      <c r="L30" s="5">
        <v>46252</v>
      </c>
      <c r="M30" s="1" t="s">
        <v>293</v>
      </c>
    </row>
    <row r="31" spans="1:13">
      <c r="A31" s="1">
        <v>28</v>
      </c>
      <c r="B31" s="1" t="s">
        <v>1403</v>
      </c>
      <c r="C31" s="5">
        <v>46205</v>
      </c>
      <c r="D31" s="1" t="s">
        <v>76</v>
      </c>
      <c r="E31" s="6" t="s">
        <v>1375</v>
      </c>
      <c r="F31" s="6" t="s">
        <v>13</v>
      </c>
      <c r="G31" s="1" t="s">
        <v>6</v>
      </c>
      <c r="H31" s="1" t="s">
        <v>93</v>
      </c>
      <c r="I31" s="1" t="s">
        <v>159</v>
      </c>
      <c r="J31" s="1" t="s">
        <v>38</v>
      </c>
      <c r="K31" s="1" t="s">
        <v>30</v>
      </c>
      <c r="L31" s="5">
        <v>46213</v>
      </c>
      <c r="M31" s="1" t="s">
        <v>297</v>
      </c>
    </row>
    <row r="32" spans="1:13">
      <c r="A32" s="1">
        <v>29</v>
      </c>
      <c r="B32" s="1" t="s">
        <v>1404</v>
      </c>
      <c r="C32" s="5">
        <v>46220</v>
      </c>
      <c r="D32" s="1" t="s">
        <v>76</v>
      </c>
      <c r="E32" s="6" t="s">
        <v>1381</v>
      </c>
      <c r="F32" s="6" t="s">
        <v>13</v>
      </c>
      <c r="G32" s="1" t="s">
        <v>82</v>
      </c>
      <c r="H32" s="1" t="s">
        <v>22</v>
      </c>
      <c r="I32" s="1" t="s">
        <v>159</v>
      </c>
      <c r="J32" s="1" t="s">
        <v>16</v>
      </c>
      <c r="K32" s="1" t="s">
        <v>61</v>
      </c>
      <c r="L32" s="5">
        <v>46245</v>
      </c>
      <c r="M32" s="1" t="s">
        <v>293</v>
      </c>
    </row>
    <row r="33" spans="1:13">
      <c r="A33" s="1">
        <v>30</v>
      </c>
      <c r="B33" s="1" t="s">
        <v>1405</v>
      </c>
      <c r="C33" s="5">
        <v>46260</v>
      </c>
      <c r="D33" s="1" t="s">
        <v>86</v>
      </c>
      <c r="E33" s="6" t="s">
        <v>1375</v>
      </c>
      <c r="F33" s="6" t="s">
        <v>27</v>
      </c>
      <c r="G33" s="1" t="s">
        <v>21</v>
      </c>
      <c r="H33" s="1" t="s">
        <v>66</v>
      </c>
      <c r="I33" s="1" t="s">
        <v>142</v>
      </c>
      <c r="J33" s="1" t="s">
        <v>20</v>
      </c>
      <c r="K33" s="1" t="s">
        <v>38</v>
      </c>
      <c r="L33" s="5">
        <v>46291</v>
      </c>
      <c r="M33" s="1" t="s">
        <v>254</v>
      </c>
    </row>
    <row r="34" spans="1:13">
      <c r="A34" s="1">
        <v>31</v>
      </c>
      <c r="B34" s="1" t="s">
        <v>1406</v>
      </c>
      <c r="C34" s="5">
        <v>46259</v>
      </c>
      <c r="D34" s="1" t="s">
        <v>86</v>
      </c>
      <c r="E34" s="6" t="s">
        <v>1377</v>
      </c>
      <c r="F34" s="6" t="s">
        <v>5</v>
      </c>
      <c r="G34" s="1" t="s">
        <v>40</v>
      </c>
      <c r="H34" s="1" t="s">
        <v>93</v>
      </c>
      <c r="I34" s="1" t="s">
        <v>142</v>
      </c>
      <c r="J34" s="1" t="s">
        <v>64</v>
      </c>
      <c r="K34" s="1" t="s">
        <v>26</v>
      </c>
      <c r="L34" s="5">
        <v>46271</v>
      </c>
      <c r="M34" s="1" t="s">
        <v>254</v>
      </c>
    </row>
    <row r="35" spans="1:13">
      <c r="A35" s="1">
        <v>32</v>
      </c>
      <c r="B35" s="1" t="s">
        <v>1407</v>
      </c>
      <c r="C35" s="5">
        <v>46256</v>
      </c>
      <c r="D35" s="1" t="s">
        <v>86</v>
      </c>
      <c r="E35" s="6" t="s">
        <v>1381</v>
      </c>
      <c r="F35" s="6" t="s">
        <v>89</v>
      </c>
      <c r="G35" s="1" t="s">
        <v>14</v>
      </c>
      <c r="H35" s="1" t="s">
        <v>36</v>
      </c>
      <c r="I35" s="1" t="s">
        <v>142</v>
      </c>
      <c r="J35" s="1" t="s">
        <v>12</v>
      </c>
      <c r="K35" s="1" t="s">
        <v>57</v>
      </c>
      <c r="L35" s="5">
        <v>46288</v>
      </c>
      <c r="M35" s="1" t="s">
        <v>297</v>
      </c>
    </row>
    <row r="36" spans="1:13">
      <c r="A36" s="1">
        <v>33</v>
      </c>
      <c r="B36" s="1" t="s">
        <v>1408</v>
      </c>
      <c r="C36" s="5">
        <v>46249</v>
      </c>
      <c r="D36" s="1" t="s">
        <v>86</v>
      </c>
      <c r="E36" s="6" t="s">
        <v>1395</v>
      </c>
      <c r="F36" s="6" t="s">
        <v>5</v>
      </c>
      <c r="G36" s="1" t="s">
        <v>6</v>
      </c>
      <c r="H36" s="1" t="s">
        <v>66</v>
      </c>
      <c r="I36" s="1" t="s">
        <v>159</v>
      </c>
      <c r="J36" s="1" t="s">
        <v>30</v>
      </c>
      <c r="K36" s="1" t="s">
        <v>30</v>
      </c>
      <c r="L36" s="5">
        <v>46273</v>
      </c>
      <c r="M36" s="1" t="s">
        <v>238</v>
      </c>
    </row>
    <row r="37" spans="1:13">
      <c r="A37" s="1">
        <v>34</v>
      </c>
      <c r="B37" s="1" t="s">
        <v>1409</v>
      </c>
      <c r="C37" s="5">
        <v>46286</v>
      </c>
      <c r="D37" s="1" t="s">
        <v>102</v>
      </c>
      <c r="E37" s="6" t="s">
        <v>1375</v>
      </c>
      <c r="F37" s="6" t="s">
        <v>50</v>
      </c>
      <c r="G37" s="1" t="s">
        <v>40</v>
      </c>
      <c r="H37" s="1" t="s">
        <v>93</v>
      </c>
      <c r="I37" s="1" t="s">
        <v>154</v>
      </c>
      <c r="J37" s="1" t="s">
        <v>49</v>
      </c>
      <c r="K37" s="1" t="s">
        <v>57</v>
      </c>
      <c r="L37" s="5">
        <v>46296</v>
      </c>
      <c r="M37" s="1" t="s">
        <v>238</v>
      </c>
    </row>
    <row r="38" spans="1:13">
      <c r="A38" s="1">
        <v>35</v>
      </c>
      <c r="B38" s="1" t="s">
        <v>1410</v>
      </c>
      <c r="C38" s="5">
        <v>46271</v>
      </c>
      <c r="D38" s="1" t="s">
        <v>102</v>
      </c>
      <c r="E38" s="6" t="s">
        <v>1411</v>
      </c>
      <c r="F38" s="6" t="s">
        <v>92</v>
      </c>
      <c r="G38" s="1" t="s">
        <v>82</v>
      </c>
      <c r="H38" s="1" t="s">
        <v>32</v>
      </c>
      <c r="I38" s="1" t="s">
        <v>142</v>
      </c>
      <c r="J38" s="1" t="s">
        <v>4</v>
      </c>
      <c r="K38" s="1" t="s">
        <v>4</v>
      </c>
      <c r="L38" s="5">
        <v>46314</v>
      </c>
      <c r="M38" s="1" t="s">
        <v>238</v>
      </c>
    </row>
    <row r="39" spans="1:13">
      <c r="A39" s="1">
        <v>36</v>
      </c>
      <c r="B39" s="1" t="s">
        <v>1412</v>
      </c>
      <c r="C39" s="5">
        <v>46287</v>
      </c>
      <c r="D39" s="1" t="s">
        <v>102</v>
      </c>
      <c r="E39" s="6" t="s">
        <v>1395</v>
      </c>
      <c r="F39" s="6" t="s">
        <v>92</v>
      </c>
      <c r="G39" s="1" t="s">
        <v>35</v>
      </c>
      <c r="H39" s="1" t="s">
        <v>104</v>
      </c>
      <c r="I39" s="1" t="s">
        <v>154</v>
      </c>
      <c r="J39" s="1" t="s">
        <v>91</v>
      </c>
      <c r="K39" s="1" t="s">
        <v>20</v>
      </c>
      <c r="L39" s="5">
        <v>46321</v>
      </c>
      <c r="M39" s="1" t="s">
        <v>293</v>
      </c>
    </row>
    <row r="40" spans="1:13">
      <c r="A40" s="1">
        <v>37</v>
      </c>
      <c r="B40" s="1" t="s">
        <v>1413</v>
      </c>
      <c r="C40" s="5">
        <v>46287</v>
      </c>
      <c r="D40" s="1" t="s">
        <v>102</v>
      </c>
      <c r="E40" s="6" t="s">
        <v>1379</v>
      </c>
      <c r="F40" s="6" t="s">
        <v>89</v>
      </c>
      <c r="G40" s="1" t="s">
        <v>77</v>
      </c>
      <c r="H40" s="1" t="s">
        <v>78</v>
      </c>
      <c r="I40" s="1" t="s">
        <v>162</v>
      </c>
      <c r="J40" s="1" t="s">
        <v>61</v>
      </c>
      <c r="K40" s="1" t="s">
        <v>61</v>
      </c>
      <c r="L40" s="5">
        <v>46318</v>
      </c>
      <c r="M40" s="1" t="s">
        <v>238</v>
      </c>
    </row>
    <row r="41" spans="1:13">
      <c r="A41" s="1">
        <v>38</v>
      </c>
      <c r="B41" s="1" t="s">
        <v>1414</v>
      </c>
      <c r="C41" s="5">
        <v>46266</v>
      </c>
      <c r="D41" s="1" t="s">
        <v>102</v>
      </c>
      <c r="E41" s="6" t="s">
        <v>1370</v>
      </c>
      <c r="F41" s="6" t="s">
        <v>39</v>
      </c>
      <c r="G41" s="1" t="s">
        <v>87</v>
      </c>
      <c r="H41" s="1" t="s">
        <v>93</v>
      </c>
      <c r="I41" s="1" t="s">
        <v>162</v>
      </c>
      <c r="J41" s="1" t="s">
        <v>57</v>
      </c>
      <c r="K41" s="1" t="s">
        <v>54</v>
      </c>
      <c r="L41" s="5">
        <v>46310</v>
      </c>
      <c r="M41" s="1" t="s">
        <v>254</v>
      </c>
    </row>
    <row r="42" spans="1:13">
      <c r="A42" s="1">
        <v>39</v>
      </c>
      <c r="B42" s="1" t="s">
        <v>1415</v>
      </c>
      <c r="C42" s="5">
        <v>46281</v>
      </c>
      <c r="D42" s="1" t="s">
        <v>102</v>
      </c>
      <c r="E42" s="6" t="s">
        <v>1375</v>
      </c>
      <c r="F42" s="6" t="s">
        <v>89</v>
      </c>
      <c r="G42" s="1" t="s">
        <v>31</v>
      </c>
      <c r="H42" s="1" t="s">
        <v>7</v>
      </c>
      <c r="I42" s="1" t="s">
        <v>159</v>
      </c>
      <c r="J42" s="1" t="s">
        <v>20</v>
      </c>
      <c r="K42" s="1" t="s">
        <v>61</v>
      </c>
      <c r="L42" s="5">
        <v>46294</v>
      </c>
      <c r="M42" s="1" t="s">
        <v>293</v>
      </c>
    </row>
    <row r="43" spans="1:13">
      <c r="A43" s="1">
        <v>40</v>
      </c>
      <c r="B43" s="1" t="s">
        <v>1416</v>
      </c>
      <c r="C43" s="5">
        <v>46278</v>
      </c>
      <c r="D43" s="1" t="s">
        <v>102</v>
      </c>
      <c r="E43" s="6" t="s">
        <v>1377</v>
      </c>
      <c r="F43" s="6" t="s">
        <v>65</v>
      </c>
      <c r="G43" s="1" t="s">
        <v>82</v>
      </c>
      <c r="H43" s="1" t="s">
        <v>93</v>
      </c>
      <c r="I43" s="1" t="s">
        <v>154</v>
      </c>
      <c r="J43" s="1" t="s">
        <v>4</v>
      </c>
      <c r="K43" s="1" t="s">
        <v>38</v>
      </c>
      <c r="L43" s="5">
        <v>46287</v>
      </c>
      <c r="M43" s="1" t="s">
        <v>293</v>
      </c>
    </row>
    <row r="44" spans="1:13">
      <c r="A44" s="1">
        <v>41</v>
      </c>
      <c r="B44" s="1" t="s">
        <v>1417</v>
      </c>
      <c r="C44" s="5">
        <v>46302</v>
      </c>
      <c r="D44" s="1" t="s">
        <v>106</v>
      </c>
      <c r="E44" s="6" t="s">
        <v>1384</v>
      </c>
      <c r="F44" s="6" t="s">
        <v>46</v>
      </c>
      <c r="G44" s="1" t="s">
        <v>21</v>
      </c>
      <c r="H44" s="1" t="s">
        <v>22</v>
      </c>
      <c r="I44" s="1" t="s">
        <v>142</v>
      </c>
      <c r="J44" s="1" t="s">
        <v>54</v>
      </c>
      <c r="K44" s="1" t="s">
        <v>30</v>
      </c>
      <c r="L44" s="5">
        <v>46346</v>
      </c>
      <c r="M44" s="1" t="s">
        <v>293</v>
      </c>
    </row>
    <row r="45" spans="1:13">
      <c r="A45" s="1">
        <v>42</v>
      </c>
      <c r="B45" s="1" t="s">
        <v>1418</v>
      </c>
      <c r="C45" s="5">
        <v>46323</v>
      </c>
      <c r="D45" s="1" t="s">
        <v>106</v>
      </c>
      <c r="E45" s="6" t="s">
        <v>1368</v>
      </c>
      <c r="F45" s="6" t="s">
        <v>13</v>
      </c>
      <c r="G45" s="1" t="s">
        <v>77</v>
      </c>
      <c r="H45" s="1" t="s">
        <v>70</v>
      </c>
      <c r="I45" s="1" t="s">
        <v>159</v>
      </c>
      <c r="J45" s="1" t="s">
        <v>64</v>
      </c>
      <c r="K45" s="1" t="s">
        <v>49</v>
      </c>
      <c r="L45" s="5">
        <v>46347</v>
      </c>
      <c r="M45" s="1" t="s">
        <v>238</v>
      </c>
    </row>
    <row r="46" spans="1:13">
      <c r="A46" s="1">
        <v>43</v>
      </c>
      <c r="B46" s="1" t="s">
        <v>1419</v>
      </c>
      <c r="C46" s="5">
        <v>46347</v>
      </c>
      <c r="D46" s="1" t="s">
        <v>111</v>
      </c>
      <c r="E46" s="6" t="s">
        <v>1372</v>
      </c>
      <c r="F46" s="6" t="s">
        <v>39</v>
      </c>
      <c r="G46" s="1" t="s">
        <v>87</v>
      </c>
      <c r="H46" s="1" t="s">
        <v>15</v>
      </c>
      <c r="I46" s="1" t="s">
        <v>159</v>
      </c>
      <c r="J46" s="1" t="s">
        <v>91</v>
      </c>
      <c r="K46" s="1" t="s">
        <v>26</v>
      </c>
      <c r="L46" s="5">
        <v>46353</v>
      </c>
      <c r="M46" s="1" t="s">
        <v>293</v>
      </c>
    </row>
    <row r="47" spans="1:13">
      <c r="A47" s="1">
        <v>44</v>
      </c>
      <c r="B47" s="1" t="s">
        <v>1420</v>
      </c>
      <c r="C47" s="5">
        <v>46342</v>
      </c>
      <c r="D47" s="1" t="s">
        <v>111</v>
      </c>
      <c r="E47" s="6" t="s">
        <v>1381</v>
      </c>
      <c r="F47" s="6" t="s">
        <v>13</v>
      </c>
      <c r="G47" s="1" t="s">
        <v>31</v>
      </c>
      <c r="H47" s="1" t="s">
        <v>22</v>
      </c>
      <c r="I47" s="1" t="s">
        <v>154</v>
      </c>
      <c r="J47" s="1" t="s">
        <v>49</v>
      </c>
      <c r="K47" s="1" t="s">
        <v>30</v>
      </c>
      <c r="L47" s="5">
        <v>46360</v>
      </c>
      <c r="M47" s="1" t="s">
        <v>254</v>
      </c>
    </row>
    <row r="48" spans="1:13">
      <c r="A48" s="1">
        <v>45</v>
      </c>
      <c r="B48" s="1" t="s">
        <v>1421</v>
      </c>
      <c r="C48" s="5">
        <v>46347</v>
      </c>
      <c r="D48" s="1" t="s">
        <v>111</v>
      </c>
      <c r="E48" s="6" t="s">
        <v>1370</v>
      </c>
      <c r="F48" s="6" t="s">
        <v>5</v>
      </c>
      <c r="G48" s="1" t="s">
        <v>40</v>
      </c>
      <c r="H48" s="1" t="s">
        <v>28</v>
      </c>
      <c r="I48" s="1" t="s">
        <v>154</v>
      </c>
      <c r="J48" s="1" t="s">
        <v>26</v>
      </c>
      <c r="K48" s="1" t="s">
        <v>12</v>
      </c>
      <c r="L48" s="5">
        <v>46386</v>
      </c>
      <c r="M48" s="1" t="s">
        <v>293</v>
      </c>
    </row>
    <row r="49" spans="1:13">
      <c r="A49" s="1">
        <v>46</v>
      </c>
      <c r="B49" s="1" t="s">
        <v>1422</v>
      </c>
      <c r="C49" s="5">
        <v>46383</v>
      </c>
      <c r="D49" s="1" t="s">
        <v>122</v>
      </c>
      <c r="E49" s="6" t="s">
        <v>1411</v>
      </c>
      <c r="F49" s="6" t="s">
        <v>46</v>
      </c>
      <c r="G49" s="1" t="s">
        <v>31</v>
      </c>
      <c r="H49" s="1" t="s">
        <v>7</v>
      </c>
      <c r="I49" s="1" t="s">
        <v>154</v>
      </c>
      <c r="J49" s="1" t="s">
        <v>4</v>
      </c>
      <c r="K49" s="1" t="s">
        <v>20</v>
      </c>
      <c r="L49" s="5">
        <v>46417</v>
      </c>
      <c r="M49" s="1" t="s">
        <v>293</v>
      </c>
    </row>
    <row r="50" spans="1:13">
      <c r="A50" s="1">
        <v>47</v>
      </c>
      <c r="B50" s="1" t="s">
        <v>1423</v>
      </c>
      <c r="C50" s="5">
        <v>46374</v>
      </c>
      <c r="D50" s="1" t="s">
        <v>122</v>
      </c>
      <c r="E50" s="6" t="s">
        <v>1384</v>
      </c>
      <c r="F50" s="6" t="s">
        <v>50</v>
      </c>
      <c r="G50" s="1" t="s">
        <v>14</v>
      </c>
      <c r="H50" s="1" t="s">
        <v>78</v>
      </c>
      <c r="I50" s="1" t="s">
        <v>142</v>
      </c>
      <c r="J50" s="1" t="s">
        <v>30</v>
      </c>
      <c r="K50" s="1" t="s">
        <v>57</v>
      </c>
      <c r="L50" s="5">
        <v>46407</v>
      </c>
      <c r="M50" s="1" t="s">
        <v>293</v>
      </c>
    </row>
    <row r="51" spans="1:13">
      <c r="A51" s="1">
        <v>48</v>
      </c>
      <c r="B51" s="1" t="s">
        <v>1424</v>
      </c>
      <c r="C51" s="5">
        <v>46372</v>
      </c>
      <c r="D51" s="1" t="s">
        <v>122</v>
      </c>
      <c r="E51" s="6" t="s">
        <v>1395</v>
      </c>
      <c r="F51" s="6" t="s">
        <v>5</v>
      </c>
      <c r="G51" s="1" t="s">
        <v>35</v>
      </c>
      <c r="H51" s="1" t="s">
        <v>104</v>
      </c>
      <c r="I51" s="1" t="s">
        <v>142</v>
      </c>
      <c r="J51" s="1" t="s">
        <v>61</v>
      </c>
      <c r="K51" s="1" t="s">
        <v>57</v>
      </c>
      <c r="L51" s="5">
        <v>46396</v>
      </c>
      <c r="M51" s="1" t="s">
        <v>238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1428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1425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1426</v>
      </c>
      <c r="I3" s="1" t="s">
        <v>210</v>
      </c>
      <c r="J3" s="1" t="s">
        <v>1427</v>
      </c>
      <c r="K3" s="1" t="s">
        <v>413</v>
      </c>
      <c r="L3" s="1" t="s">
        <v>357</v>
      </c>
      <c r="M3" s="1" t="s">
        <v>287</v>
      </c>
    </row>
    <row r="4" spans="1:15">
      <c r="A4" s="1">
        <v>1</v>
      </c>
      <c r="B4" s="1" t="s">
        <v>1429</v>
      </c>
      <c r="C4" s="5">
        <v>46046</v>
      </c>
      <c r="D4" s="1" t="s">
        <v>3</v>
      </c>
      <c r="E4" s="6" t="s">
        <v>1430</v>
      </c>
      <c r="F4" s="6" t="s">
        <v>46</v>
      </c>
      <c r="G4" s="1" t="s">
        <v>80</v>
      </c>
      <c r="H4" s="1" t="s">
        <v>104</v>
      </c>
      <c r="I4" s="1" t="s">
        <v>159</v>
      </c>
      <c r="J4" s="1" t="s">
        <v>20</v>
      </c>
      <c r="K4" s="1" t="s">
        <v>91</v>
      </c>
      <c r="L4" s="5">
        <v>46086</v>
      </c>
      <c r="M4" s="1" t="s">
        <v>293</v>
      </c>
    </row>
    <row r="5" spans="1:15">
      <c r="A5" s="1">
        <v>2</v>
      </c>
      <c r="B5" s="1" t="s">
        <v>1431</v>
      </c>
      <c r="C5" s="5">
        <v>46031</v>
      </c>
      <c r="D5" s="1" t="s">
        <v>3</v>
      </c>
      <c r="E5" s="6" t="s">
        <v>1432</v>
      </c>
      <c r="F5" s="6" t="s">
        <v>13</v>
      </c>
      <c r="G5" s="1" t="s">
        <v>14</v>
      </c>
      <c r="H5" s="1" t="s">
        <v>22</v>
      </c>
      <c r="I5" s="1" t="s">
        <v>154</v>
      </c>
      <c r="J5" s="1" t="s">
        <v>20</v>
      </c>
      <c r="K5" s="1" t="s">
        <v>20</v>
      </c>
      <c r="L5" s="5">
        <v>46043</v>
      </c>
      <c r="M5" s="1" t="s">
        <v>293</v>
      </c>
    </row>
    <row r="6" spans="1:15">
      <c r="A6" s="1">
        <v>3</v>
      </c>
      <c r="B6" s="1" t="s">
        <v>1433</v>
      </c>
      <c r="C6" s="5">
        <v>46068</v>
      </c>
      <c r="D6" s="1" t="s">
        <v>19</v>
      </c>
      <c r="E6" s="6" t="s">
        <v>1434</v>
      </c>
      <c r="F6" s="6" t="s">
        <v>89</v>
      </c>
      <c r="G6" s="1" t="s">
        <v>35</v>
      </c>
      <c r="H6" s="1" t="s">
        <v>41</v>
      </c>
      <c r="I6" s="1" t="s">
        <v>142</v>
      </c>
      <c r="J6" s="1" t="s">
        <v>38</v>
      </c>
      <c r="K6" s="1" t="s">
        <v>38</v>
      </c>
      <c r="L6" s="5">
        <v>46112</v>
      </c>
      <c r="M6" s="1" t="s">
        <v>293</v>
      </c>
    </row>
    <row r="7" spans="1:15">
      <c r="A7" s="1">
        <v>4</v>
      </c>
      <c r="B7" s="1" t="s">
        <v>1435</v>
      </c>
      <c r="C7" s="5">
        <v>46060</v>
      </c>
      <c r="D7" s="1" t="s">
        <v>19</v>
      </c>
      <c r="E7" s="6" t="s">
        <v>1434</v>
      </c>
      <c r="F7" s="6" t="s">
        <v>46</v>
      </c>
      <c r="G7" s="1" t="s">
        <v>40</v>
      </c>
      <c r="H7" s="1" t="s">
        <v>78</v>
      </c>
      <c r="I7" s="1" t="s">
        <v>159</v>
      </c>
      <c r="J7" s="1" t="s">
        <v>26</v>
      </c>
      <c r="K7" s="1" t="s">
        <v>64</v>
      </c>
      <c r="L7" s="5">
        <v>46072</v>
      </c>
      <c r="M7" s="1" t="s">
        <v>297</v>
      </c>
    </row>
    <row r="8" spans="1:15">
      <c r="A8" s="1">
        <v>5</v>
      </c>
      <c r="B8" s="1" t="s">
        <v>1436</v>
      </c>
      <c r="C8" s="5">
        <v>46067</v>
      </c>
      <c r="D8" s="1" t="s">
        <v>19</v>
      </c>
      <c r="E8" s="6" t="s">
        <v>1437</v>
      </c>
      <c r="F8" s="6" t="s">
        <v>89</v>
      </c>
      <c r="G8" s="1" t="s">
        <v>21</v>
      </c>
      <c r="H8" s="1" t="s">
        <v>93</v>
      </c>
      <c r="I8" s="1" t="s">
        <v>162</v>
      </c>
      <c r="J8" s="1" t="s">
        <v>64</v>
      </c>
      <c r="K8" s="1" t="s">
        <v>64</v>
      </c>
      <c r="L8" s="5">
        <v>46109</v>
      </c>
      <c r="M8" s="1" t="s">
        <v>293</v>
      </c>
    </row>
    <row r="9" spans="1:15">
      <c r="A9" s="1">
        <v>6</v>
      </c>
      <c r="B9" s="1" t="s">
        <v>1438</v>
      </c>
      <c r="C9" s="5">
        <v>46054</v>
      </c>
      <c r="D9" s="1" t="s">
        <v>19</v>
      </c>
      <c r="E9" s="6" t="s">
        <v>1439</v>
      </c>
      <c r="F9" s="6" t="s">
        <v>13</v>
      </c>
      <c r="G9" s="1" t="s">
        <v>35</v>
      </c>
      <c r="H9" s="1" t="s">
        <v>104</v>
      </c>
      <c r="I9" s="1" t="s">
        <v>159</v>
      </c>
      <c r="J9" s="1" t="s">
        <v>30</v>
      </c>
      <c r="K9" s="1" t="s">
        <v>4</v>
      </c>
      <c r="L9" s="5">
        <v>46091</v>
      </c>
      <c r="M9" s="1" t="s">
        <v>293</v>
      </c>
    </row>
    <row r="10" spans="1:15">
      <c r="A10" s="1">
        <v>7</v>
      </c>
      <c r="B10" s="1" t="s">
        <v>1440</v>
      </c>
      <c r="C10" s="5">
        <v>46100</v>
      </c>
      <c r="D10" s="1" t="s">
        <v>44</v>
      </c>
      <c r="E10" s="6" t="s">
        <v>1312</v>
      </c>
      <c r="F10" s="6" t="s">
        <v>58</v>
      </c>
      <c r="G10" s="1" t="s">
        <v>21</v>
      </c>
      <c r="H10" s="1" t="s">
        <v>104</v>
      </c>
      <c r="I10" s="1" t="s">
        <v>142</v>
      </c>
      <c r="J10" s="1" t="s">
        <v>57</v>
      </c>
      <c r="K10" s="1" t="s">
        <v>4</v>
      </c>
      <c r="L10" s="5">
        <v>46135</v>
      </c>
      <c r="M10" s="1" t="s">
        <v>254</v>
      </c>
    </row>
    <row r="11" spans="1:15">
      <c r="A11" s="1">
        <v>8</v>
      </c>
      <c r="B11" s="1" t="s">
        <v>1441</v>
      </c>
      <c r="C11" s="5">
        <v>46098</v>
      </c>
      <c r="D11" s="1" t="s">
        <v>44</v>
      </c>
      <c r="E11" s="6" t="s">
        <v>1439</v>
      </c>
      <c r="F11" s="6" t="s">
        <v>5</v>
      </c>
      <c r="G11" s="1" t="s">
        <v>87</v>
      </c>
      <c r="H11" s="1" t="s">
        <v>70</v>
      </c>
      <c r="I11" s="1" t="s">
        <v>154</v>
      </c>
      <c r="J11" s="1" t="s">
        <v>91</v>
      </c>
      <c r="K11" s="1" t="s">
        <v>12</v>
      </c>
      <c r="L11" s="5">
        <v>46130</v>
      </c>
      <c r="M11" s="1" t="s">
        <v>293</v>
      </c>
    </row>
    <row r="12" spans="1:15">
      <c r="A12" s="1">
        <v>9</v>
      </c>
      <c r="B12" s="1" t="s">
        <v>1442</v>
      </c>
      <c r="C12" s="5">
        <v>46083</v>
      </c>
      <c r="D12" s="1" t="s">
        <v>44</v>
      </c>
      <c r="E12" s="6" t="s">
        <v>1432</v>
      </c>
      <c r="F12" s="6" t="s">
        <v>39</v>
      </c>
      <c r="G12" s="1" t="s">
        <v>31</v>
      </c>
      <c r="H12" s="1" t="s">
        <v>62</v>
      </c>
      <c r="I12" s="1" t="s">
        <v>159</v>
      </c>
      <c r="J12" s="1" t="s">
        <v>20</v>
      </c>
      <c r="K12" s="1" t="s">
        <v>30</v>
      </c>
      <c r="L12" s="5">
        <v>46094</v>
      </c>
      <c r="M12" s="1" t="s">
        <v>297</v>
      </c>
    </row>
    <row r="13" spans="1:15">
      <c r="A13" s="1">
        <v>10</v>
      </c>
      <c r="B13" s="1" t="s">
        <v>1443</v>
      </c>
      <c r="C13" s="5">
        <v>46087</v>
      </c>
      <c r="D13" s="1" t="s">
        <v>44</v>
      </c>
      <c r="E13" s="6" t="s">
        <v>1430</v>
      </c>
      <c r="F13" s="6" t="s">
        <v>27</v>
      </c>
      <c r="G13" s="1" t="s">
        <v>31</v>
      </c>
      <c r="H13" s="1" t="s">
        <v>36</v>
      </c>
      <c r="I13" s="1" t="s">
        <v>154</v>
      </c>
      <c r="J13" s="1" t="s">
        <v>4</v>
      </c>
      <c r="K13" s="1" t="s">
        <v>91</v>
      </c>
      <c r="L13" s="5">
        <v>46108</v>
      </c>
      <c r="M13" s="1" t="s">
        <v>254</v>
      </c>
    </row>
    <row r="14" spans="1:15">
      <c r="A14" s="1">
        <v>11</v>
      </c>
      <c r="B14" s="1" t="s">
        <v>1444</v>
      </c>
      <c r="C14" s="5">
        <v>46121</v>
      </c>
      <c r="D14" s="1" t="s">
        <v>53</v>
      </c>
      <c r="E14" s="6" t="s">
        <v>1445</v>
      </c>
      <c r="F14" s="6" t="s">
        <v>39</v>
      </c>
      <c r="G14" s="1" t="s">
        <v>95</v>
      </c>
      <c r="H14" s="1" t="s">
        <v>15</v>
      </c>
      <c r="I14" s="1" t="s">
        <v>159</v>
      </c>
      <c r="J14" s="1" t="s">
        <v>38</v>
      </c>
      <c r="K14" s="1" t="s">
        <v>38</v>
      </c>
      <c r="L14" s="5">
        <v>46137</v>
      </c>
      <c r="M14" s="1" t="s">
        <v>293</v>
      </c>
    </row>
    <row r="15" spans="1:15">
      <c r="A15" s="1">
        <v>12</v>
      </c>
      <c r="B15" s="1" t="s">
        <v>1446</v>
      </c>
      <c r="C15" s="5">
        <v>46129</v>
      </c>
      <c r="D15" s="1" t="s">
        <v>53</v>
      </c>
      <c r="E15" s="6" t="s">
        <v>1447</v>
      </c>
      <c r="F15" s="6" t="s">
        <v>13</v>
      </c>
      <c r="G15" s="1" t="s">
        <v>40</v>
      </c>
      <c r="H15" s="1" t="s">
        <v>70</v>
      </c>
      <c r="I15" s="1" t="s">
        <v>142</v>
      </c>
      <c r="J15" s="1" t="s">
        <v>38</v>
      </c>
      <c r="K15" s="1" t="s">
        <v>54</v>
      </c>
      <c r="L15" s="5">
        <v>46154</v>
      </c>
      <c r="M15" s="1" t="s">
        <v>238</v>
      </c>
    </row>
    <row r="16" spans="1:15">
      <c r="A16" s="1">
        <v>13</v>
      </c>
      <c r="B16" s="1" t="s">
        <v>1448</v>
      </c>
      <c r="C16" s="5">
        <v>46117</v>
      </c>
      <c r="D16" s="1" t="s">
        <v>53</v>
      </c>
      <c r="E16" s="6" t="s">
        <v>1449</v>
      </c>
      <c r="F16" s="6" t="s">
        <v>46</v>
      </c>
      <c r="G16" s="1" t="s">
        <v>14</v>
      </c>
      <c r="H16" s="1" t="s">
        <v>78</v>
      </c>
      <c r="I16" s="1" t="s">
        <v>142</v>
      </c>
      <c r="J16" s="1" t="s">
        <v>16</v>
      </c>
      <c r="K16" s="1" t="s">
        <v>12</v>
      </c>
      <c r="L16" s="5">
        <v>46127</v>
      </c>
      <c r="M16" s="1" t="s">
        <v>293</v>
      </c>
    </row>
    <row r="17" spans="1:13">
      <c r="A17" s="1">
        <v>14</v>
      </c>
      <c r="B17" s="1" t="s">
        <v>1450</v>
      </c>
      <c r="C17" s="5">
        <v>46132</v>
      </c>
      <c r="D17" s="1" t="s">
        <v>53</v>
      </c>
      <c r="E17" s="6" t="s">
        <v>1445</v>
      </c>
      <c r="F17" s="6" t="s">
        <v>46</v>
      </c>
      <c r="G17" s="1" t="s">
        <v>95</v>
      </c>
      <c r="H17" s="1" t="s">
        <v>15</v>
      </c>
      <c r="I17" s="1" t="s">
        <v>162</v>
      </c>
      <c r="J17" s="1" t="s">
        <v>4</v>
      </c>
      <c r="K17" s="1" t="s">
        <v>16</v>
      </c>
      <c r="L17" s="5">
        <v>46145</v>
      </c>
      <c r="M17" s="1" t="s">
        <v>293</v>
      </c>
    </row>
    <row r="18" spans="1:13">
      <c r="A18" s="1">
        <v>15</v>
      </c>
      <c r="B18" s="1" t="s">
        <v>1451</v>
      </c>
      <c r="C18" s="5">
        <v>46115</v>
      </c>
      <c r="D18" s="1" t="s">
        <v>53</v>
      </c>
      <c r="E18" s="6" t="s">
        <v>1452</v>
      </c>
      <c r="F18" s="6" t="s">
        <v>50</v>
      </c>
      <c r="G18" s="1" t="s">
        <v>82</v>
      </c>
      <c r="H18" s="1" t="s">
        <v>15</v>
      </c>
      <c r="I18" s="1" t="s">
        <v>142</v>
      </c>
      <c r="J18" s="1" t="s">
        <v>57</v>
      </c>
      <c r="K18" s="1" t="s">
        <v>26</v>
      </c>
      <c r="L18" s="5">
        <v>46131</v>
      </c>
      <c r="M18" s="1" t="s">
        <v>297</v>
      </c>
    </row>
    <row r="19" spans="1:13">
      <c r="A19" s="1">
        <v>16</v>
      </c>
      <c r="B19" s="1" t="s">
        <v>1453</v>
      </c>
      <c r="C19" s="5">
        <v>46161</v>
      </c>
      <c r="D19" s="1" t="s">
        <v>60</v>
      </c>
      <c r="E19" s="6" t="s">
        <v>1452</v>
      </c>
      <c r="F19" s="6" t="s">
        <v>50</v>
      </c>
      <c r="G19" s="1" t="s">
        <v>51</v>
      </c>
      <c r="H19" s="1" t="s">
        <v>7</v>
      </c>
      <c r="I19" s="1" t="s">
        <v>142</v>
      </c>
      <c r="J19" s="1" t="s">
        <v>49</v>
      </c>
      <c r="K19" s="1" t="s">
        <v>38</v>
      </c>
      <c r="L19" s="5">
        <v>46188</v>
      </c>
      <c r="M19" s="1" t="s">
        <v>297</v>
      </c>
    </row>
    <row r="20" spans="1:13">
      <c r="A20" s="1">
        <v>17</v>
      </c>
      <c r="B20" s="1" t="s">
        <v>1454</v>
      </c>
      <c r="C20" s="5">
        <v>46158</v>
      </c>
      <c r="D20" s="1" t="s">
        <v>60</v>
      </c>
      <c r="E20" s="6" t="s">
        <v>1445</v>
      </c>
      <c r="F20" s="6" t="s">
        <v>89</v>
      </c>
      <c r="G20" s="1" t="s">
        <v>80</v>
      </c>
      <c r="H20" s="1" t="s">
        <v>93</v>
      </c>
      <c r="I20" s="1" t="s">
        <v>154</v>
      </c>
      <c r="J20" s="1" t="s">
        <v>91</v>
      </c>
      <c r="K20" s="1" t="s">
        <v>64</v>
      </c>
      <c r="L20" s="5">
        <v>46188</v>
      </c>
      <c r="M20" s="1" t="s">
        <v>293</v>
      </c>
    </row>
    <row r="21" spans="1:13">
      <c r="A21" s="1">
        <v>18</v>
      </c>
      <c r="B21" s="1" t="s">
        <v>1455</v>
      </c>
      <c r="C21" s="5">
        <v>46145</v>
      </c>
      <c r="D21" s="1" t="s">
        <v>60</v>
      </c>
      <c r="E21" s="6" t="s">
        <v>1434</v>
      </c>
      <c r="F21" s="6" t="s">
        <v>50</v>
      </c>
      <c r="G21" s="1" t="s">
        <v>95</v>
      </c>
      <c r="H21" s="1" t="s">
        <v>93</v>
      </c>
      <c r="I21" s="1" t="s">
        <v>159</v>
      </c>
      <c r="J21" s="1" t="s">
        <v>54</v>
      </c>
      <c r="K21" s="1" t="s">
        <v>49</v>
      </c>
      <c r="L21" s="5">
        <v>46166</v>
      </c>
      <c r="M21" s="1" t="s">
        <v>293</v>
      </c>
    </row>
    <row r="22" spans="1:13">
      <c r="A22" s="1">
        <v>19</v>
      </c>
      <c r="B22" s="1" t="s">
        <v>1456</v>
      </c>
      <c r="C22" s="5">
        <v>46156</v>
      </c>
      <c r="D22" s="1" t="s">
        <v>60</v>
      </c>
      <c r="E22" s="6" t="s">
        <v>1437</v>
      </c>
      <c r="F22" s="6" t="s">
        <v>13</v>
      </c>
      <c r="G22" s="1" t="s">
        <v>51</v>
      </c>
      <c r="H22" s="1" t="s">
        <v>41</v>
      </c>
      <c r="I22" s="1" t="s">
        <v>159</v>
      </c>
      <c r="J22" s="1" t="s">
        <v>4</v>
      </c>
      <c r="K22" s="1" t="s">
        <v>26</v>
      </c>
      <c r="L22" s="5">
        <v>46180</v>
      </c>
      <c r="M22" s="1" t="s">
        <v>254</v>
      </c>
    </row>
    <row r="23" spans="1:13">
      <c r="A23" s="1">
        <v>20</v>
      </c>
      <c r="B23" s="1" t="s">
        <v>1457</v>
      </c>
      <c r="C23" s="5">
        <v>46198</v>
      </c>
      <c r="D23" s="1" t="s">
        <v>73</v>
      </c>
      <c r="E23" s="6" t="s">
        <v>1452</v>
      </c>
      <c r="F23" s="6" t="s">
        <v>89</v>
      </c>
      <c r="G23" s="1" t="s">
        <v>40</v>
      </c>
      <c r="H23" s="1" t="s">
        <v>28</v>
      </c>
      <c r="I23" s="1" t="s">
        <v>142</v>
      </c>
      <c r="J23" s="1" t="s">
        <v>38</v>
      </c>
      <c r="K23" s="1" t="s">
        <v>26</v>
      </c>
      <c r="L23" s="5">
        <v>46218</v>
      </c>
      <c r="M23" s="1" t="s">
        <v>297</v>
      </c>
    </row>
    <row r="24" spans="1:13">
      <c r="A24" s="1">
        <v>21</v>
      </c>
      <c r="B24" s="1" t="s">
        <v>1458</v>
      </c>
      <c r="C24" s="5">
        <v>46197</v>
      </c>
      <c r="D24" s="1" t="s">
        <v>73</v>
      </c>
      <c r="E24" s="6" t="s">
        <v>1452</v>
      </c>
      <c r="F24" s="6" t="s">
        <v>89</v>
      </c>
      <c r="G24" s="1" t="s">
        <v>77</v>
      </c>
      <c r="H24" s="1" t="s">
        <v>62</v>
      </c>
      <c r="I24" s="1" t="s">
        <v>142</v>
      </c>
      <c r="J24" s="1" t="s">
        <v>91</v>
      </c>
      <c r="K24" s="1" t="s">
        <v>64</v>
      </c>
      <c r="L24" s="5">
        <v>46219</v>
      </c>
      <c r="M24" s="1" t="s">
        <v>293</v>
      </c>
    </row>
    <row r="25" spans="1:13">
      <c r="A25" s="1">
        <v>22</v>
      </c>
      <c r="B25" s="1" t="s">
        <v>1459</v>
      </c>
      <c r="C25" s="5">
        <v>46193</v>
      </c>
      <c r="D25" s="1" t="s">
        <v>73</v>
      </c>
      <c r="E25" s="6" t="s">
        <v>1432</v>
      </c>
      <c r="F25" s="6" t="s">
        <v>65</v>
      </c>
      <c r="G25" s="1" t="s">
        <v>40</v>
      </c>
      <c r="H25" s="1" t="s">
        <v>41</v>
      </c>
      <c r="I25" s="1" t="s">
        <v>154</v>
      </c>
      <c r="J25" s="1" t="s">
        <v>64</v>
      </c>
      <c r="K25" s="1" t="s">
        <v>64</v>
      </c>
      <c r="L25" s="5">
        <v>46221</v>
      </c>
      <c r="M25" s="1" t="s">
        <v>297</v>
      </c>
    </row>
    <row r="26" spans="1:13">
      <c r="A26" s="1">
        <v>23</v>
      </c>
      <c r="B26" s="1" t="s">
        <v>1460</v>
      </c>
      <c r="C26" s="5">
        <v>46224</v>
      </c>
      <c r="D26" s="1" t="s">
        <v>76</v>
      </c>
      <c r="E26" s="6" t="s">
        <v>1449</v>
      </c>
      <c r="F26" s="6" t="s">
        <v>65</v>
      </c>
      <c r="G26" s="1" t="s">
        <v>51</v>
      </c>
      <c r="H26" s="1" t="s">
        <v>62</v>
      </c>
      <c r="I26" s="1" t="s">
        <v>154</v>
      </c>
      <c r="J26" s="1" t="s">
        <v>16</v>
      </c>
      <c r="K26" s="1" t="s">
        <v>4</v>
      </c>
      <c r="L26" s="5">
        <v>46256</v>
      </c>
      <c r="M26" s="1" t="s">
        <v>254</v>
      </c>
    </row>
    <row r="27" spans="1:13">
      <c r="A27" s="1">
        <v>24</v>
      </c>
      <c r="B27" s="1" t="s">
        <v>1461</v>
      </c>
      <c r="C27" s="5">
        <v>46230</v>
      </c>
      <c r="D27" s="1" t="s">
        <v>76</v>
      </c>
      <c r="E27" s="6" t="s">
        <v>1447</v>
      </c>
      <c r="F27" s="6" t="s">
        <v>58</v>
      </c>
      <c r="G27" s="1" t="s">
        <v>6</v>
      </c>
      <c r="H27" s="1" t="s">
        <v>15</v>
      </c>
      <c r="I27" s="1" t="s">
        <v>142</v>
      </c>
      <c r="J27" s="1" t="s">
        <v>30</v>
      </c>
      <c r="K27" s="1" t="s">
        <v>61</v>
      </c>
      <c r="L27" s="5">
        <v>46258</v>
      </c>
      <c r="M27" s="1" t="s">
        <v>293</v>
      </c>
    </row>
    <row r="28" spans="1:13">
      <c r="A28" s="1">
        <v>25</v>
      </c>
      <c r="B28" s="1" t="s">
        <v>1462</v>
      </c>
      <c r="C28" s="5">
        <v>46216</v>
      </c>
      <c r="D28" s="1" t="s">
        <v>76</v>
      </c>
      <c r="E28" s="6" t="s">
        <v>1452</v>
      </c>
      <c r="F28" s="6" t="s">
        <v>65</v>
      </c>
      <c r="G28" s="1" t="s">
        <v>14</v>
      </c>
      <c r="H28" s="1" t="s">
        <v>15</v>
      </c>
      <c r="I28" s="1" t="s">
        <v>154</v>
      </c>
      <c r="J28" s="1" t="s">
        <v>26</v>
      </c>
      <c r="K28" s="1" t="s">
        <v>26</v>
      </c>
      <c r="L28" s="5">
        <v>46256</v>
      </c>
      <c r="M28" s="1" t="s">
        <v>254</v>
      </c>
    </row>
    <row r="29" spans="1:13">
      <c r="A29" s="1">
        <v>26</v>
      </c>
      <c r="B29" s="1" t="s">
        <v>1463</v>
      </c>
      <c r="C29" s="5">
        <v>46231</v>
      </c>
      <c r="D29" s="1" t="s">
        <v>76</v>
      </c>
      <c r="E29" s="6" t="s">
        <v>1430</v>
      </c>
      <c r="F29" s="6" t="s">
        <v>13</v>
      </c>
      <c r="G29" s="1" t="s">
        <v>35</v>
      </c>
      <c r="H29" s="1" t="s">
        <v>7</v>
      </c>
      <c r="I29" s="1" t="s">
        <v>159</v>
      </c>
      <c r="J29" s="1" t="s">
        <v>26</v>
      </c>
      <c r="K29" s="1" t="s">
        <v>16</v>
      </c>
      <c r="L29" s="5">
        <v>46255</v>
      </c>
      <c r="M29" s="1" t="s">
        <v>254</v>
      </c>
    </row>
    <row r="30" spans="1:13">
      <c r="A30" s="1">
        <v>27</v>
      </c>
      <c r="B30" s="1" t="s">
        <v>1464</v>
      </c>
      <c r="C30" s="5">
        <v>46228</v>
      </c>
      <c r="D30" s="1" t="s">
        <v>76</v>
      </c>
      <c r="E30" s="6" t="s">
        <v>1432</v>
      </c>
      <c r="F30" s="6" t="s">
        <v>46</v>
      </c>
      <c r="G30" s="1" t="s">
        <v>6</v>
      </c>
      <c r="H30" s="1" t="s">
        <v>36</v>
      </c>
      <c r="I30" s="1" t="s">
        <v>142</v>
      </c>
      <c r="J30" s="1" t="s">
        <v>26</v>
      </c>
      <c r="K30" s="1" t="s">
        <v>61</v>
      </c>
      <c r="L30" s="5">
        <v>46261</v>
      </c>
      <c r="M30" s="1" t="s">
        <v>254</v>
      </c>
    </row>
    <row r="31" spans="1:13">
      <c r="A31" s="1">
        <v>28</v>
      </c>
      <c r="B31" s="1" t="s">
        <v>1465</v>
      </c>
      <c r="C31" s="5">
        <v>46227</v>
      </c>
      <c r="D31" s="1" t="s">
        <v>76</v>
      </c>
      <c r="E31" s="6" t="s">
        <v>1452</v>
      </c>
      <c r="F31" s="6" t="s">
        <v>46</v>
      </c>
      <c r="G31" s="1" t="s">
        <v>35</v>
      </c>
      <c r="H31" s="1" t="s">
        <v>7</v>
      </c>
      <c r="I31" s="1" t="s">
        <v>159</v>
      </c>
      <c r="J31" s="1" t="s">
        <v>16</v>
      </c>
      <c r="K31" s="1" t="s">
        <v>4</v>
      </c>
      <c r="L31" s="5">
        <v>46258</v>
      </c>
      <c r="M31" s="1" t="s">
        <v>293</v>
      </c>
    </row>
    <row r="32" spans="1:13">
      <c r="A32" s="1">
        <v>29</v>
      </c>
      <c r="B32" s="1" t="s">
        <v>1466</v>
      </c>
      <c r="C32" s="5">
        <v>46221</v>
      </c>
      <c r="D32" s="1" t="s">
        <v>76</v>
      </c>
      <c r="E32" s="6" t="s">
        <v>1447</v>
      </c>
      <c r="F32" s="6" t="s">
        <v>92</v>
      </c>
      <c r="G32" s="1" t="s">
        <v>80</v>
      </c>
      <c r="H32" s="1" t="s">
        <v>32</v>
      </c>
      <c r="I32" s="1" t="s">
        <v>154</v>
      </c>
      <c r="J32" s="1" t="s">
        <v>12</v>
      </c>
      <c r="K32" s="1" t="s">
        <v>64</v>
      </c>
      <c r="L32" s="5">
        <v>46249</v>
      </c>
      <c r="M32" s="1" t="s">
        <v>297</v>
      </c>
    </row>
    <row r="33" spans="1:13">
      <c r="A33" s="1">
        <v>30</v>
      </c>
      <c r="B33" s="1" t="s">
        <v>1467</v>
      </c>
      <c r="C33" s="5">
        <v>46257</v>
      </c>
      <c r="D33" s="1" t="s">
        <v>86</v>
      </c>
      <c r="E33" s="6" t="s">
        <v>1430</v>
      </c>
      <c r="F33" s="6" t="s">
        <v>50</v>
      </c>
      <c r="G33" s="1" t="s">
        <v>87</v>
      </c>
      <c r="H33" s="1" t="s">
        <v>22</v>
      </c>
      <c r="I33" s="1" t="s">
        <v>142</v>
      </c>
      <c r="J33" s="1" t="s">
        <v>26</v>
      </c>
      <c r="K33" s="1" t="s">
        <v>91</v>
      </c>
      <c r="L33" s="5">
        <v>46297</v>
      </c>
      <c r="M33" s="1" t="s">
        <v>293</v>
      </c>
    </row>
    <row r="34" spans="1:13">
      <c r="A34" s="1">
        <v>31</v>
      </c>
      <c r="B34" s="1" t="s">
        <v>1468</v>
      </c>
      <c r="C34" s="5">
        <v>46252</v>
      </c>
      <c r="D34" s="1" t="s">
        <v>86</v>
      </c>
      <c r="E34" s="6" t="s">
        <v>1432</v>
      </c>
      <c r="F34" s="6" t="s">
        <v>89</v>
      </c>
      <c r="G34" s="1" t="s">
        <v>80</v>
      </c>
      <c r="H34" s="1" t="s">
        <v>93</v>
      </c>
      <c r="I34" s="1" t="s">
        <v>154</v>
      </c>
      <c r="J34" s="1" t="s">
        <v>12</v>
      </c>
      <c r="K34" s="1" t="s">
        <v>12</v>
      </c>
      <c r="L34" s="5">
        <v>46294</v>
      </c>
      <c r="M34" s="1" t="s">
        <v>293</v>
      </c>
    </row>
    <row r="35" spans="1:13">
      <c r="A35" s="1">
        <v>32</v>
      </c>
      <c r="B35" s="1" t="s">
        <v>1469</v>
      </c>
      <c r="C35" s="5">
        <v>46240</v>
      </c>
      <c r="D35" s="1" t="s">
        <v>86</v>
      </c>
      <c r="E35" s="6" t="s">
        <v>1449</v>
      </c>
      <c r="F35" s="6" t="s">
        <v>50</v>
      </c>
      <c r="G35" s="1" t="s">
        <v>21</v>
      </c>
      <c r="H35" s="1" t="s">
        <v>78</v>
      </c>
      <c r="I35" s="1" t="s">
        <v>142</v>
      </c>
      <c r="J35" s="1" t="s">
        <v>38</v>
      </c>
      <c r="K35" s="1" t="s">
        <v>20</v>
      </c>
      <c r="L35" s="5">
        <v>46277</v>
      </c>
      <c r="M35" s="1" t="s">
        <v>293</v>
      </c>
    </row>
    <row r="36" spans="1:13">
      <c r="A36" s="1">
        <v>33</v>
      </c>
      <c r="B36" s="1" t="s">
        <v>1470</v>
      </c>
      <c r="C36" s="5">
        <v>46247</v>
      </c>
      <c r="D36" s="1" t="s">
        <v>86</v>
      </c>
      <c r="E36" s="6" t="s">
        <v>1449</v>
      </c>
      <c r="F36" s="6" t="s">
        <v>46</v>
      </c>
      <c r="G36" s="1" t="s">
        <v>35</v>
      </c>
      <c r="H36" s="1" t="s">
        <v>93</v>
      </c>
      <c r="I36" s="1" t="s">
        <v>154</v>
      </c>
      <c r="J36" s="1" t="s">
        <v>16</v>
      </c>
      <c r="K36" s="1" t="s">
        <v>20</v>
      </c>
      <c r="L36" s="5">
        <v>46268</v>
      </c>
      <c r="M36" s="1" t="s">
        <v>293</v>
      </c>
    </row>
    <row r="37" spans="1:13">
      <c r="A37" s="1">
        <v>34</v>
      </c>
      <c r="B37" s="1" t="s">
        <v>1471</v>
      </c>
      <c r="C37" s="5">
        <v>46260</v>
      </c>
      <c r="D37" s="1" t="s">
        <v>86</v>
      </c>
      <c r="E37" s="6" t="s">
        <v>1449</v>
      </c>
      <c r="F37" s="6" t="s">
        <v>5</v>
      </c>
      <c r="G37" s="1" t="s">
        <v>35</v>
      </c>
      <c r="H37" s="1" t="s">
        <v>36</v>
      </c>
      <c r="I37" s="1" t="s">
        <v>159</v>
      </c>
      <c r="J37" s="1" t="s">
        <v>30</v>
      </c>
      <c r="K37" s="1" t="s">
        <v>26</v>
      </c>
      <c r="L37" s="5">
        <v>46295</v>
      </c>
      <c r="M37" s="1" t="s">
        <v>293</v>
      </c>
    </row>
    <row r="38" spans="1:13">
      <c r="A38" s="1">
        <v>35</v>
      </c>
      <c r="B38" s="1" t="s">
        <v>1472</v>
      </c>
      <c r="C38" s="5">
        <v>46283</v>
      </c>
      <c r="D38" s="1" t="s">
        <v>102</v>
      </c>
      <c r="E38" s="6" t="s">
        <v>1452</v>
      </c>
      <c r="F38" s="6" t="s">
        <v>92</v>
      </c>
      <c r="G38" s="1" t="s">
        <v>82</v>
      </c>
      <c r="H38" s="1" t="s">
        <v>68</v>
      </c>
      <c r="I38" s="1" t="s">
        <v>142</v>
      </c>
      <c r="J38" s="1" t="s">
        <v>20</v>
      </c>
      <c r="K38" s="1" t="s">
        <v>45</v>
      </c>
      <c r="L38" s="5">
        <v>46292</v>
      </c>
      <c r="M38" s="1" t="s">
        <v>293</v>
      </c>
    </row>
    <row r="39" spans="1:13">
      <c r="A39" s="1">
        <v>36</v>
      </c>
      <c r="B39" s="1" t="s">
        <v>1473</v>
      </c>
      <c r="C39" s="5">
        <v>46291</v>
      </c>
      <c r="D39" s="1" t="s">
        <v>102</v>
      </c>
      <c r="E39" s="6" t="s">
        <v>1452</v>
      </c>
      <c r="F39" s="6" t="s">
        <v>65</v>
      </c>
      <c r="G39" s="1" t="s">
        <v>95</v>
      </c>
      <c r="H39" s="1" t="s">
        <v>93</v>
      </c>
      <c r="I39" s="1" t="s">
        <v>142</v>
      </c>
      <c r="J39" s="1" t="s">
        <v>54</v>
      </c>
      <c r="K39" s="1" t="s">
        <v>54</v>
      </c>
      <c r="L39" s="5">
        <v>46334</v>
      </c>
      <c r="M39" s="1" t="s">
        <v>297</v>
      </c>
    </row>
    <row r="40" spans="1:13">
      <c r="A40" s="1">
        <v>37</v>
      </c>
      <c r="B40" s="1" t="s">
        <v>1474</v>
      </c>
      <c r="C40" s="5">
        <v>46273</v>
      </c>
      <c r="D40" s="1" t="s">
        <v>102</v>
      </c>
      <c r="E40" s="6" t="s">
        <v>1452</v>
      </c>
      <c r="F40" s="6" t="s">
        <v>50</v>
      </c>
      <c r="G40" s="1" t="s">
        <v>77</v>
      </c>
      <c r="H40" s="1" t="s">
        <v>28</v>
      </c>
      <c r="I40" s="1" t="s">
        <v>142</v>
      </c>
      <c r="J40" s="1" t="s">
        <v>4</v>
      </c>
      <c r="K40" s="1" t="s">
        <v>38</v>
      </c>
      <c r="L40" s="5">
        <v>46318</v>
      </c>
      <c r="M40" s="1" t="s">
        <v>293</v>
      </c>
    </row>
    <row r="41" spans="1:13">
      <c r="A41" s="1">
        <v>38</v>
      </c>
      <c r="B41" s="1" t="s">
        <v>1475</v>
      </c>
      <c r="C41" s="5">
        <v>46317</v>
      </c>
      <c r="D41" s="1" t="s">
        <v>106</v>
      </c>
      <c r="E41" s="6" t="s">
        <v>1432</v>
      </c>
      <c r="F41" s="6" t="s">
        <v>39</v>
      </c>
      <c r="G41" s="1" t="s">
        <v>95</v>
      </c>
      <c r="H41" s="1" t="s">
        <v>32</v>
      </c>
      <c r="I41" s="1" t="s">
        <v>154</v>
      </c>
      <c r="J41" s="1" t="s">
        <v>16</v>
      </c>
      <c r="K41" s="1" t="s">
        <v>30</v>
      </c>
      <c r="L41" s="5">
        <v>46360</v>
      </c>
      <c r="M41" s="1" t="s">
        <v>293</v>
      </c>
    </row>
    <row r="42" spans="1:13">
      <c r="A42" s="1">
        <v>39</v>
      </c>
      <c r="B42" s="1" t="s">
        <v>1476</v>
      </c>
      <c r="C42" s="5">
        <v>46301</v>
      </c>
      <c r="D42" s="1" t="s">
        <v>106</v>
      </c>
      <c r="E42" s="6" t="s">
        <v>1437</v>
      </c>
      <c r="F42" s="6" t="s">
        <v>5</v>
      </c>
      <c r="G42" s="1" t="s">
        <v>40</v>
      </c>
      <c r="H42" s="1" t="s">
        <v>41</v>
      </c>
      <c r="I42" s="1" t="s">
        <v>154</v>
      </c>
      <c r="J42" s="1" t="s">
        <v>38</v>
      </c>
      <c r="K42" s="1" t="s">
        <v>38</v>
      </c>
      <c r="L42" s="5">
        <v>46331</v>
      </c>
      <c r="M42" s="1" t="s">
        <v>254</v>
      </c>
    </row>
    <row r="43" spans="1:13">
      <c r="A43" s="1">
        <v>40</v>
      </c>
      <c r="B43" s="1" t="s">
        <v>1477</v>
      </c>
      <c r="C43" s="5">
        <v>46300</v>
      </c>
      <c r="D43" s="1" t="s">
        <v>106</v>
      </c>
      <c r="E43" s="6" t="s">
        <v>1449</v>
      </c>
      <c r="F43" s="6" t="s">
        <v>5</v>
      </c>
      <c r="G43" s="1" t="s">
        <v>51</v>
      </c>
      <c r="H43" s="1" t="s">
        <v>70</v>
      </c>
      <c r="I43" s="1" t="s">
        <v>154</v>
      </c>
      <c r="J43" s="1" t="s">
        <v>91</v>
      </c>
      <c r="K43" s="1" t="s">
        <v>91</v>
      </c>
      <c r="L43" s="5">
        <v>46328</v>
      </c>
      <c r="M43" s="1" t="s">
        <v>238</v>
      </c>
    </row>
    <row r="44" spans="1:13">
      <c r="A44" s="1">
        <v>41</v>
      </c>
      <c r="B44" s="1" t="s">
        <v>1478</v>
      </c>
      <c r="C44" s="5">
        <v>46297</v>
      </c>
      <c r="D44" s="1" t="s">
        <v>106</v>
      </c>
      <c r="E44" s="6" t="s">
        <v>1452</v>
      </c>
      <c r="F44" s="6" t="s">
        <v>27</v>
      </c>
      <c r="G44" s="1" t="s">
        <v>82</v>
      </c>
      <c r="H44" s="1" t="s">
        <v>93</v>
      </c>
      <c r="I44" s="1" t="s">
        <v>142</v>
      </c>
      <c r="J44" s="1" t="s">
        <v>20</v>
      </c>
      <c r="K44" s="1" t="s">
        <v>26</v>
      </c>
      <c r="L44" s="5">
        <v>46309</v>
      </c>
      <c r="M44" s="1" t="s">
        <v>293</v>
      </c>
    </row>
    <row r="45" spans="1:13">
      <c r="A45" s="1">
        <v>42</v>
      </c>
      <c r="B45" s="1" t="s">
        <v>1479</v>
      </c>
      <c r="C45" s="5">
        <v>46322</v>
      </c>
      <c r="D45" s="1" t="s">
        <v>106</v>
      </c>
      <c r="E45" s="6" t="s">
        <v>1432</v>
      </c>
      <c r="F45" s="6" t="s">
        <v>46</v>
      </c>
      <c r="G45" s="1" t="s">
        <v>87</v>
      </c>
      <c r="H45" s="1" t="s">
        <v>15</v>
      </c>
      <c r="I45" s="1" t="s">
        <v>154</v>
      </c>
      <c r="J45" s="1" t="s">
        <v>49</v>
      </c>
      <c r="K45" s="1" t="s">
        <v>45</v>
      </c>
      <c r="L45" s="5">
        <v>46358</v>
      </c>
      <c r="M45" s="1" t="s">
        <v>293</v>
      </c>
    </row>
    <row r="46" spans="1:13">
      <c r="A46" s="1">
        <v>43</v>
      </c>
      <c r="B46" s="1" t="s">
        <v>1480</v>
      </c>
      <c r="C46" s="5">
        <v>46296</v>
      </c>
      <c r="D46" s="1" t="s">
        <v>106</v>
      </c>
      <c r="E46" s="6" t="s">
        <v>1312</v>
      </c>
      <c r="F46" s="6" t="s">
        <v>46</v>
      </c>
      <c r="G46" s="1" t="s">
        <v>14</v>
      </c>
      <c r="H46" s="1" t="s">
        <v>104</v>
      </c>
      <c r="I46" s="1" t="s">
        <v>159</v>
      </c>
      <c r="J46" s="1" t="s">
        <v>57</v>
      </c>
      <c r="K46" s="1" t="s">
        <v>91</v>
      </c>
      <c r="L46" s="5">
        <v>46333</v>
      </c>
      <c r="M46" s="1" t="s">
        <v>297</v>
      </c>
    </row>
    <row r="47" spans="1:13">
      <c r="A47" s="1">
        <v>44</v>
      </c>
      <c r="B47" s="1" t="s">
        <v>1481</v>
      </c>
      <c r="C47" s="5">
        <v>46350</v>
      </c>
      <c r="D47" s="1" t="s">
        <v>111</v>
      </c>
      <c r="E47" s="6" t="s">
        <v>1312</v>
      </c>
      <c r="F47" s="6" t="s">
        <v>13</v>
      </c>
      <c r="G47" s="1" t="s">
        <v>14</v>
      </c>
      <c r="H47" s="1" t="s">
        <v>70</v>
      </c>
      <c r="I47" s="1" t="s">
        <v>142</v>
      </c>
      <c r="J47" s="1" t="s">
        <v>61</v>
      </c>
      <c r="K47" s="1" t="s">
        <v>49</v>
      </c>
      <c r="L47" s="5">
        <v>46380</v>
      </c>
      <c r="M47" s="1" t="s">
        <v>293</v>
      </c>
    </row>
    <row r="48" spans="1:13">
      <c r="A48" s="1">
        <v>45</v>
      </c>
      <c r="B48" s="1" t="s">
        <v>1482</v>
      </c>
      <c r="C48" s="5">
        <v>46329</v>
      </c>
      <c r="D48" s="1" t="s">
        <v>111</v>
      </c>
      <c r="E48" s="6" t="s">
        <v>1434</v>
      </c>
      <c r="F48" s="6" t="s">
        <v>65</v>
      </c>
      <c r="G48" s="1" t="s">
        <v>31</v>
      </c>
      <c r="H48" s="1" t="s">
        <v>68</v>
      </c>
      <c r="I48" s="1" t="s">
        <v>162</v>
      </c>
      <c r="J48" s="1" t="s">
        <v>30</v>
      </c>
      <c r="K48" s="1" t="s">
        <v>54</v>
      </c>
      <c r="L48" s="5">
        <v>46363</v>
      </c>
      <c r="M48" s="1" t="s">
        <v>238</v>
      </c>
    </row>
    <row r="49" spans="1:13">
      <c r="A49" s="1">
        <v>46</v>
      </c>
      <c r="B49" s="1" t="s">
        <v>1483</v>
      </c>
      <c r="C49" s="5">
        <v>46377</v>
      </c>
      <c r="D49" s="1" t="s">
        <v>122</v>
      </c>
      <c r="E49" s="6" t="s">
        <v>1434</v>
      </c>
      <c r="F49" s="6" t="s">
        <v>27</v>
      </c>
      <c r="G49" s="1" t="s">
        <v>40</v>
      </c>
      <c r="H49" s="1" t="s">
        <v>93</v>
      </c>
      <c r="I49" s="1" t="s">
        <v>142</v>
      </c>
      <c r="J49" s="1" t="s">
        <v>4</v>
      </c>
      <c r="K49" s="1" t="s">
        <v>45</v>
      </c>
      <c r="L49" s="5">
        <v>46386</v>
      </c>
      <c r="M49" s="1" t="s">
        <v>293</v>
      </c>
    </row>
    <row r="50" spans="1:13">
      <c r="A50" s="1">
        <v>47</v>
      </c>
      <c r="B50" s="1" t="s">
        <v>1484</v>
      </c>
      <c r="C50" s="5">
        <v>46361</v>
      </c>
      <c r="D50" s="1" t="s">
        <v>122</v>
      </c>
      <c r="E50" s="6" t="s">
        <v>1449</v>
      </c>
      <c r="F50" s="6" t="s">
        <v>65</v>
      </c>
      <c r="G50" s="1" t="s">
        <v>14</v>
      </c>
      <c r="H50" s="1" t="s">
        <v>32</v>
      </c>
      <c r="I50" s="1" t="s">
        <v>142</v>
      </c>
      <c r="J50" s="1" t="s">
        <v>30</v>
      </c>
      <c r="K50" s="1" t="s">
        <v>12</v>
      </c>
      <c r="L50" s="5">
        <v>46406</v>
      </c>
      <c r="M50" s="1" t="s">
        <v>293</v>
      </c>
    </row>
    <row r="51" spans="1:13">
      <c r="A51" s="1">
        <v>48</v>
      </c>
      <c r="B51" s="1" t="s">
        <v>1485</v>
      </c>
      <c r="C51" s="5">
        <v>46378</v>
      </c>
      <c r="D51" s="1" t="s">
        <v>122</v>
      </c>
      <c r="E51" s="6" t="s">
        <v>1445</v>
      </c>
      <c r="F51" s="6" t="s">
        <v>39</v>
      </c>
      <c r="G51" s="1" t="s">
        <v>21</v>
      </c>
      <c r="H51" s="1" t="s">
        <v>93</v>
      </c>
      <c r="I51" s="1" t="s">
        <v>142</v>
      </c>
      <c r="J51" s="1" t="s">
        <v>91</v>
      </c>
      <c r="K51" s="1" t="s">
        <v>64</v>
      </c>
      <c r="L51" s="5">
        <v>46384</v>
      </c>
      <c r="M51" s="1" t="s">
        <v>293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1486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1575</v>
      </c>
      <c r="C3" s="1" t="s">
        <v>126</v>
      </c>
      <c r="D3" s="1" t="s">
        <v>127</v>
      </c>
      <c r="E3" s="1" t="s">
        <v>1576</v>
      </c>
      <c r="F3" s="1" t="s">
        <v>1577</v>
      </c>
      <c r="G3" s="1" t="s">
        <v>1578</v>
      </c>
      <c r="H3" s="1" t="s">
        <v>129</v>
      </c>
      <c r="I3" s="1" t="s">
        <v>1579</v>
      </c>
      <c r="J3" s="1" t="s">
        <v>1580</v>
      </c>
      <c r="K3" s="1" t="s">
        <v>1581</v>
      </c>
      <c r="L3" s="1" t="s">
        <v>130</v>
      </c>
      <c r="M3" s="1" t="s">
        <v>1582</v>
      </c>
      <c r="N3" s="1" t="s">
        <v>1583</v>
      </c>
      <c r="O3" s="1" t="s">
        <v>1584</v>
      </c>
      <c r="P3" s="1" t="s">
        <v>1585</v>
      </c>
      <c r="Q3" s="1" t="s">
        <v>1586</v>
      </c>
      <c r="R3" s="1" t="s">
        <v>352</v>
      </c>
      <c r="S3" s="1" t="s">
        <v>1587</v>
      </c>
      <c r="T3" s="1" t="s">
        <v>1588</v>
      </c>
      <c r="U3" s="1" t="s">
        <v>1589</v>
      </c>
      <c r="V3" s="1" t="s">
        <v>1590</v>
      </c>
      <c r="W3" s="1" t="s">
        <v>413</v>
      </c>
      <c r="X3" s="1" t="s">
        <v>1591</v>
      </c>
      <c r="Y3" s="1" t="s">
        <v>1592</v>
      </c>
      <c r="Z3" s="1" t="s">
        <v>1593</v>
      </c>
      <c r="AA3" s="1" t="s">
        <v>1594</v>
      </c>
      <c r="AB3" s="1" t="s">
        <v>287</v>
      </c>
      <c r="AC3" s="2" t="s">
        <v>1595</v>
      </c>
      <c r="AD3" s="1" t="s">
        <v>1596</v>
      </c>
    </row>
    <row r="4" spans="1:32">
      <c r="A4" s="1">
        <v>1</v>
      </c>
      <c r="B4" s="1" t="s">
        <v>1487</v>
      </c>
      <c r="C4" s="5">
        <v>46046</v>
      </c>
      <c r="D4" s="1" t="s">
        <v>3</v>
      </c>
      <c r="E4" s="6" t="s">
        <v>1488</v>
      </c>
      <c r="F4" s="6" t="s">
        <v>1489</v>
      </c>
      <c r="G4" s="1" t="s">
        <v>1490</v>
      </c>
      <c r="H4" s="1" t="s">
        <v>92</v>
      </c>
      <c r="I4" s="1" t="s">
        <v>82</v>
      </c>
      <c r="J4" s="1" t="s">
        <v>1491</v>
      </c>
      <c r="K4" s="1" t="s">
        <v>1492</v>
      </c>
      <c r="L4" s="1" t="s">
        <v>51</v>
      </c>
      <c r="M4" s="1" t="s">
        <v>1493</v>
      </c>
      <c r="N4" s="1" t="s">
        <v>1494</v>
      </c>
      <c r="O4" s="1" t="s">
        <v>7</v>
      </c>
      <c r="P4" s="1" t="s">
        <v>1495</v>
      </c>
      <c r="Q4" s="1" t="s">
        <v>1496</v>
      </c>
      <c r="R4" s="1" t="s">
        <v>4</v>
      </c>
      <c r="S4" s="1" t="s">
        <v>296</v>
      </c>
      <c r="T4" s="1" t="s">
        <v>1337</v>
      </c>
      <c r="U4" s="1" t="s">
        <v>142</v>
      </c>
      <c r="V4" s="1">
        <v>4</v>
      </c>
      <c r="W4" s="1" t="s">
        <v>54</v>
      </c>
      <c r="X4" s="1" t="s">
        <v>61</v>
      </c>
      <c r="Y4" s="1" t="s">
        <v>32</v>
      </c>
      <c r="Z4" s="5">
        <v>46069</v>
      </c>
      <c r="AA4" s="5">
        <v>46075</v>
      </c>
      <c r="AB4" s="1" t="s">
        <v>293</v>
      </c>
      <c r="AC4" s="8">
        <f>IF(C4="","",IF(AB4="Closed",AA4-C4,TODAY()-C4))</f>
        <v>0</v>
      </c>
      <c r="AD4" s="1" t="s">
        <v>26</v>
      </c>
    </row>
    <row r="5" spans="1:32">
      <c r="A5" s="1">
        <v>2</v>
      </c>
      <c r="B5" s="1" t="s">
        <v>1497</v>
      </c>
      <c r="C5" s="5">
        <v>46023</v>
      </c>
      <c r="D5" s="1" t="s">
        <v>3</v>
      </c>
      <c r="E5" s="6" t="s">
        <v>1498</v>
      </c>
      <c r="F5" s="6" t="s">
        <v>1489</v>
      </c>
      <c r="G5" s="1" t="s">
        <v>1490</v>
      </c>
      <c r="H5" s="1" t="s">
        <v>58</v>
      </c>
      <c r="I5" s="1" t="s">
        <v>77</v>
      </c>
      <c r="J5" s="1" t="s">
        <v>1499</v>
      </c>
      <c r="K5" s="1" t="s">
        <v>47</v>
      </c>
      <c r="L5" s="1" t="s">
        <v>87</v>
      </c>
      <c r="M5" s="1" t="s">
        <v>1500</v>
      </c>
      <c r="N5" s="1" t="s">
        <v>1494</v>
      </c>
      <c r="O5" s="1" t="s">
        <v>15</v>
      </c>
      <c r="P5" s="1" t="s">
        <v>1501</v>
      </c>
      <c r="Q5" s="1" t="s">
        <v>1502</v>
      </c>
      <c r="R5" s="1" t="s">
        <v>12</v>
      </c>
      <c r="S5" s="1" t="s">
        <v>1330</v>
      </c>
      <c r="T5" s="1" t="s">
        <v>1330</v>
      </c>
      <c r="U5" s="1" t="s">
        <v>154</v>
      </c>
      <c r="V5" s="1">
        <v>9</v>
      </c>
      <c r="W5" s="1" t="s">
        <v>16</v>
      </c>
      <c r="X5" s="1" t="s">
        <v>61</v>
      </c>
      <c r="Y5" s="1" t="s">
        <v>28</v>
      </c>
      <c r="Z5" s="5">
        <v>46050</v>
      </c>
      <c r="AA5" s="5">
        <v>46062</v>
      </c>
      <c r="AB5" s="1" t="s">
        <v>293</v>
      </c>
      <c r="AC5" s="8">
        <f>IF(C5="","",IF(AB5="Closed",AA5-C5,TODAY()-C5))</f>
        <v>0</v>
      </c>
      <c r="AD5" s="1" t="s">
        <v>57</v>
      </c>
    </row>
    <row r="6" spans="1:32">
      <c r="A6" s="1">
        <v>3</v>
      </c>
      <c r="B6" s="1" t="s">
        <v>1503</v>
      </c>
      <c r="C6" s="5">
        <v>46041</v>
      </c>
      <c r="D6" s="1" t="s">
        <v>3</v>
      </c>
      <c r="E6" s="6" t="s">
        <v>1504</v>
      </c>
      <c r="F6" s="6" t="s">
        <v>1489</v>
      </c>
      <c r="G6" s="1" t="s">
        <v>1490</v>
      </c>
      <c r="H6" s="1" t="s">
        <v>50</v>
      </c>
      <c r="I6" s="1" t="s">
        <v>87</v>
      </c>
      <c r="J6" s="1" t="s">
        <v>1505</v>
      </c>
      <c r="K6" s="1" t="s">
        <v>47</v>
      </c>
      <c r="L6" s="1" t="s">
        <v>80</v>
      </c>
      <c r="M6" s="1" t="s">
        <v>1506</v>
      </c>
      <c r="N6" s="1" t="s">
        <v>1507</v>
      </c>
      <c r="O6" s="1" t="s">
        <v>78</v>
      </c>
      <c r="P6" s="1" t="s">
        <v>1508</v>
      </c>
      <c r="Q6" s="1" t="s">
        <v>1502</v>
      </c>
      <c r="R6" s="1" t="s">
        <v>38</v>
      </c>
      <c r="S6" s="1" t="s">
        <v>1500</v>
      </c>
      <c r="T6" s="1" t="s">
        <v>1310</v>
      </c>
      <c r="U6" s="1" t="s">
        <v>154</v>
      </c>
      <c r="V6" s="1">
        <v>6</v>
      </c>
      <c r="W6" s="1" t="s">
        <v>12</v>
      </c>
      <c r="X6" s="1" t="s">
        <v>91</v>
      </c>
      <c r="Y6" s="1" t="s">
        <v>93</v>
      </c>
      <c r="Z6" s="5">
        <v>46079</v>
      </c>
      <c r="AA6" s="5">
        <v>46082</v>
      </c>
      <c r="AB6" s="1" t="s">
        <v>293</v>
      </c>
      <c r="AC6" s="8">
        <f>IF(C6="","",IF(AB6="Closed",AA6-C6,TODAY()-C6))</f>
        <v>0</v>
      </c>
      <c r="AD6" s="1" t="s">
        <v>64</v>
      </c>
    </row>
    <row r="7" spans="1:32">
      <c r="A7" s="1">
        <v>4</v>
      </c>
      <c r="B7" s="1" t="s">
        <v>1509</v>
      </c>
      <c r="C7" s="5">
        <v>46059</v>
      </c>
      <c r="D7" s="1" t="s">
        <v>19</v>
      </c>
      <c r="E7" s="6" t="s">
        <v>1498</v>
      </c>
      <c r="F7" s="6" t="s">
        <v>1489</v>
      </c>
      <c r="G7" s="1" t="s">
        <v>1490</v>
      </c>
      <c r="H7" s="1" t="s">
        <v>58</v>
      </c>
      <c r="I7" s="1" t="s">
        <v>21</v>
      </c>
      <c r="J7" s="1" t="s">
        <v>1499</v>
      </c>
      <c r="K7" s="1" t="s">
        <v>47</v>
      </c>
      <c r="L7" s="1" t="s">
        <v>87</v>
      </c>
      <c r="M7" s="1" t="s">
        <v>1493</v>
      </c>
      <c r="N7" s="1" t="s">
        <v>1507</v>
      </c>
      <c r="O7" s="1" t="s">
        <v>7</v>
      </c>
      <c r="P7" s="1" t="s">
        <v>1495</v>
      </c>
      <c r="Q7" s="1" t="s">
        <v>1496</v>
      </c>
      <c r="R7" s="1" t="s">
        <v>38</v>
      </c>
      <c r="S7" s="1" t="s">
        <v>1500</v>
      </c>
      <c r="T7" s="1" t="s">
        <v>296</v>
      </c>
      <c r="U7" s="1" t="s">
        <v>142</v>
      </c>
      <c r="V7" s="1">
        <v>27</v>
      </c>
      <c r="W7" s="1" t="s">
        <v>49</v>
      </c>
      <c r="X7" s="1" t="s">
        <v>64</v>
      </c>
      <c r="Y7" s="1" t="s">
        <v>41</v>
      </c>
      <c r="Z7" s="5">
        <v>46066</v>
      </c>
      <c r="AA7" s="5">
        <v>46073</v>
      </c>
      <c r="AB7" s="1" t="s">
        <v>297</v>
      </c>
      <c r="AC7" s="8">
        <f>IF(C7="","",IF(AB7="Closed",AA7-C7,TODAY()-C7))</f>
        <v>0</v>
      </c>
      <c r="AD7" s="1" t="s">
        <v>49</v>
      </c>
    </row>
    <row r="8" spans="1:32">
      <c r="A8" s="1">
        <v>5</v>
      </c>
      <c r="B8" s="1" t="s">
        <v>1510</v>
      </c>
      <c r="C8" s="5">
        <v>46072</v>
      </c>
      <c r="D8" s="1" t="s">
        <v>19</v>
      </c>
      <c r="E8" s="6" t="s">
        <v>1504</v>
      </c>
      <c r="F8" s="6" t="s">
        <v>1489</v>
      </c>
      <c r="G8" s="1" t="s">
        <v>1490</v>
      </c>
      <c r="H8" s="1" t="s">
        <v>89</v>
      </c>
      <c r="I8" s="1" t="s">
        <v>51</v>
      </c>
      <c r="J8" s="1" t="s">
        <v>1511</v>
      </c>
      <c r="K8" s="1" t="s">
        <v>1492</v>
      </c>
      <c r="L8" s="1" t="s">
        <v>95</v>
      </c>
      <c r="M8" s="1" t="s">
        <v>1512</v>
      </c>
      <c r="N8" s="1" t="s">
        <v>1494</v>
      </c>
      <c r="O8" s="1" t="s">
        <v>41</v>
      </c>
      <c r="P8" s="1" t="s">
        <v>58</v>
      </c>
      <c r="Q8" s="1" t="s">
        <v>1513</v>
      </c>
      <c r="R8" s="1" t="s">
        <v>4</v>
      </c>
      <c r="S8" s="1" t="s">
        <v>1330</v>
      </c>
      <c r="T8" s="1" t="s">
        <v>296</v>
      </c>
      <c r="U8" s="1" t="s">
        <v>142</v>
      </c>
      <c r="V8" s="1">
        <v>25</v>
      </c>
      <c r="W8" s="1" t="s">
        <v>54</v>
      </c>
      <c r="X8" s="1" t="s">
        <v>61</v>
      </c>
      <c r="Y8" s="1" t="s">
        <v>93</v>
      </c>
      <c r="Z8" s="5">
        <v>46115</v>
      </c>
      <c r="AA8" s="5">
        <v>46111</v>
      </c>
      <c r="AB8" s="1" t="s">
        <v>254</v>
      </c>
      <c r="AC8" s="8">
        <f>IF(C8="","",IF(AB8="Closed",AA8-C8,TODAY()-C8))</f>
        <v>0</v>
      </c>
      <c r="AD8" s="1" t="s">
        <v>4</v>
      </c>
    </row>
    <row r="9" spans="1:32">
      <c r="A9" s="1">
        <v>6</v>
      </c>
      <c r="B9" s="1" t="s">
        <v>1514</v>
      </c>
      <c r="C9" s="5">
        <v>46079</v>
      </c>
      <c r="D9" s="1" t="s">
        <v>19</v>
      </c>
      <c r="E9" s="6" t="s">
        <v>1488</v>
      </c>
      <c r="F9" s="6" t="s">
        <v>1489</v>
      </c>
      <c r="G9" s="1" t="s">
        <v>1490</v>
      </c>
      <c r="H9" s="1" t="s">
        <v>13</v>
      </c>
      <c r="I9" s="1" t="s">
        <v>21</v>
      </c>
      <c r="J9" s="1" t="s">
        <v>1511</v>
      </c>
      <c r="K9" s="1" t="s">
        <v>1492</v>
      </c>
      <c r="L9" s="1" t="s">
        <v>95</v>
      </c>
      <c r="M9" s="1" t="s">
        <v>1515</v>
      </c>
      <c r="N9" s="1" t="s">
        <v>1507</v>
      </c>
      <c r="O9" s="1" t="s">
        <v>36</v>
      </c>
      <c r="P9" s="1" t="s">
        <v>1501</v>
      </c>
      <c r="Q9" s="1" t="s">
        <v>1513</v>
      </c>
      <c r="R9" s="1" t="s">
        <v>16</v>
      </c>
      <c r="S9" s="1" t="s">
        <v>1330</v>
      </c>
      <c r="T9" s="1" t="s">
        <v>300</v>
      </c>
      <c r="U9" s="1" t="s">
        <v>142</v>
      </c>
      <c r="V9" s="1">
        <v>5</v>
      </c>
      <c r="W9" s="1" t="s">
        <v>12</v>
      </c>
      <c r="X9" s="1" t="s">
        <v>16</v>
      </c>
      <c r="Y9" s="1" t="s">
        <v>104</v>
      </c>
      <c r="Z9" s="5">
        <v>46105</v>
      </c>
      <c r="AA9" s="5">
        <v>46099</v>
      </c>
      <c r="AB9" s="1" t="s">
        <v>293</v>
      </c>
      <c r="AC9" s="8">
        <f>IF(C9="","",IF(AB9="Closed",AA9-C9,TODAY()-C9))</f>
        <v>0</v>
      </c>
      <c r="AD9" s="1" t="s">
        <v>45</v>
      </c>
    </row>
    <row r="10" spans="1:32">
      <c r="A10" s="1">
        <v>7</v>
      </c>
      <c r="B10" s="1" t="s">
        <v>1516</v>
      </c>
      <c r="C10" s="5">
        <v>46059</v>
      </c>
      <c r="D10" s="1" t="s">
        <v>19</v>
      </c>
      <c r="E10" s="6" t="s">
        <v>1498</v>
      </c>
      <c r="F10" s="6" t="s">
        <v>1489</v>
      </c>
      <c r="G10" s="1" t="s">
        <v>1490</v>
      </c>
      <c r="H10" s="1" t="s">
        <v>50</v>
      </c>
      <c r="I10" s="1" t="s">
        <v>77</v>
      </c>
      <c r="J10" s="1" t="s">
        <v>1499</v>
      </c>
      <c r="K10" s="1" t="s">
        <v>1492</v>
      </c>
      <c r="L10" s="1" t="s">
        <v>80</v>
      </c>
      <c r="M10" s="1" t="s">
        <v>1515</v>
      </c>
      <c r="N10" s="1" t="s">
        <v>1494</v>
      </c>
      <c r="O10" s="1" t="s">
        <v>70</v>
      </c>
      <c r="P10" s="1" t="s">
        <v>58</v>
      </c>
      <c r="Q10" s="1" t="s">
        <v>1513</v>
      </c>
      <c r="R10" s="1" t="s">
        <v>64</v>
      </c>
      <c r="S10" s="1" t="s">
        <v>300</v>
      </c>
      <c r="T10" s="1" t="s">
        <v>1315</v>
      </c>
      <c r="U10" s="1" t="s">
        <v>159</v>
      </c>
      <c r="V10" s="1">
        <v>3</v>
      </c>
      <c r="W10" s="1" t="s">
        <v>64</v>
      </c>
      <c r="X10" s="1" t="s">
        <v>45</v>
      </c>
      <c r="Y10" s="1" t="s">
        <v>78</v>
      </c>
      <c r="Z10" s="5">
        <v>46083</v>
      </c>
      <c r="AA10" s="5">
        <v>46071</v>
      </c>
      <c r="AB10" s="1" t="s">
        <v>254</v>
      </c>
      <c r="AC10" s="8">
        <f>IF(C10="","",IF(AB10="Closed",AA10-C10,TODAY()-C10))</f>
        <v>0</v>
      </c>
      <c r="AD10" s="1" t="s">
        <v>61</v>
      </c>
    </row>
    <row r="11" spans="1:32">
      <c r="A11" s="1">
        <v>8</v>
      </c>
      <c r="B11" s="1" t="s">
        <v>1517</v>
      </c>
      <c r="C11" s="5">
        <v>46066</v>
      </c>
      <c r="D11" s="1" t="s">
        <v>19</v>
      </c>
      <c r="E11" s="6" t="s">
        <v>1518</v>
      </c>
      <c r="F11" s="6" t="s">
        <v>1489</v>
      </c>
      <c r="G11" s="1" t="s">
        <v>1490</v>
      </c>
      <c r="H11" s="1" t="s">
        <v>50</v>
      </c>
      <c r="I11" s="1" t="s">
        <v>95</v>
      </c>
      <c r="J11" s="1" t="s">
        <v>1519</v>
      </c>
      <c r="K11" s="1" t="s">
        <v>1520</v>
      </c>
      <c r="L11" s="1" t="s">
        <v>95</v>
      </c>
      <c r="M11" s="1" t="s">
        <v>1512</v>
      </c>
      <c r="N11" s="1" t="s">
        <v>1494</v>
      </c>
      <c r="O11" s="1" t="s">
        <v>22</v>
      </c>
      <c r="P11" s="1" t="s">
        <v>1501</v>
      </c>
      <c r="Q11" s="1" t="s">
        <v>1521</v>
      </c>
      <c r="R11" s="1" t="s">
        <v>64</v>
      </c>
      <c r="S11" s="1" t="s">
        <v>1330</v>
      </c>
      <c r="T11" s="1" t="s">
        <v>1330</v>
      </c>
      <c r="U11" s="1" t="s">
        <v>154</v>
      </c>
      <c r="V11" s="1">
        <v>20</v>
      </c>
      <c r="W11" s="1" t="s">
        <v>91</v>
      </c>
      <c r="X11" s="1" t="s">
        <v>49</v>
      </c>
      <c r="Y11" s="1" t="s">
        <v>93</v>
      </c>
      <c r="Z11" s="5">
        <v>46081</v>
      </c>
      <c r="AA11" s="5">
        <v>46074</v>
      </c>
      <c r="AB11" s="1" t="s">
        <v>293</v>
      </c>
      <c r="AC11" s="8">
        <f>IF(C11="","",IF(AB11="Closed",AA11-C11,TODAY()-C11))</f>
        <v>0</v>
      </c>
      <c r="AD11" s="1" t="s">
        <v>61</v>
      </c>
    </row>
    <row r="12" spans="1:32">
      <c r="A12" s="1">
        <v>9</v>
      </c>
      <c r="B12" s="1" t="s">
        <v>1522</v>
      </c>
      <c r="C12" s="5">
        <v>46108</v>
      </c>
      <c r="D12" s="1" t="s">
        <v>44</v>
      </c>
      <c r="E12" s="6" t="s">
        <v>1488</v>
      </c>
      <c r="F12" s="6" t="s">
        <v>1489</v>
      </c>
      <c r="G12" s="1" t="s">
        <v>1490</v>
      </c>
      <c r="H12" s="1" t="s">
        <v>13</v>
      </c>
      <c r="I12" s="1" t="s">
        <v>21</v>
      </c>
      <c r="J12" s="1" t="s">
        <v>1511</v>
      </c>
      <c r="K12" s="1" t="s">
        <v>1492</v>
      </c>
      <c r="L12" s="1" t="s">
        <v>95</v>
      </c>
      <c r="M12" s="1" t="s">
        <v>1515</v>
      </c>
      <c r="N12" s="1" t="s">
        <v>1494</v>
      </c>
      <c r="O12" s="1" t="s">
        <v>68</v>
      </c>
      <c r="P12" s="1" t="s">
        <v>1501</v>
      </c>
      <c r="Q12" s="1" t="s">
        <v>1523</v>
      </c>
      <c r="R12" s="1" t="s">
        <v>61</v>
      </c>
      <c r="S12" s="1" t="s">
        <v>296</v>
      </c>
      <c r="T12" s="1" t="s">
        <v>1330</v>
      </c>
      <c r="U12" s="1" t="s">
        <v>154</v>
      </c>
      <c r="V12" s="1">
        <v>29</v>
      </c>
      <c r="W12" s="1" t="s">
        <v>12</v>
      </c>
      <c r="X12" s="1" t="s">
        <v>16</v>
      </c>
      <c r="Y12" s="1" t="s">
        <v>70</v>
      </c>
      <c r="Z12" s="5">
        <v>46121</v>
      </c>
      <c r="AA12" s="5">
        <v>46114</v>
      </c>
      <c r="AB12" s="1" t="s">
        <v>293</v>
      </c>
      <c r="AC12" s="8">
        <f>IF(C12="","",IF(AB12="Closed",AA12-C12,TODAY()-C12))</f>
        <v>0</v>
      </c>
      <c r="AD12" s="1" t="s">
        <v>49</v>
      </c>
    </row>
    <row r="13" spans="1:32">
      <c r="A13" s="1">
        <v>10</v>
      </c>
      <c r="B13" s="1" t="s">
        <v>1524</v>
      </c>
      <c r="C13" s="5">
        <v>46107</v>
      </c>
      <c r="D13" s="1" t="s">
        <v>44</v>
      </c>
      <c r="E13" s="6" t="s">
        <v>1488</v>
      </c>
      <c r="F13" s="6" t="s">
        <v>1489</v>
      </c>
      <c r="G13" s="1" t="s">
        <v>1490</v>
      </c>
      <c r="H13" s="1" t="s">
        <v>39</v>
      </c>
      <c r="I13" s="1" t="s">
        <v>87</v>
      </c>
      <c r="J13" s="1" t="s">
        <v>1505</v>
      </c>
      <c r="K13" s="1" t="s">
        <v>1520</v>
      </c>
      <c r="L13" s="1" t="s">
        <v>80</v>
      </c>
      <c r="M13" s="1" t="s">
        <v>1500</v>
      </c>
      <c r="N13" s="1" t="s">
        <v>1494</v>
      </c>
      <c r="O13" s="1" t="s">
        <v>36</v>
      </c>
      <c r="P13" s="1" t="s">
        <v>58</v>
      </c>
      <c r="Q13" s="1" t="s">
        <v>1513</v>
      </c>
      <c r="R13" s="1" t="s">
        <v>16</v>
      </c>
      <c r="S13" s="1" t="s">
        <v>300</v>
      </c>
      <c r="T13" s="1" t="s">
        <v>296</v>
      </c>
      <c r="U13" s="1" t="s">
        <v>159</v>
      </c>
      <c r="V13" s="1">
        <v>27</v>
      </c>
      <c r="W13" s="1" t="s">
        <v>4</v>
      </c>
      <c r="X13" s="1" t="s">
        <v>54</v>
      </c>
      <c r="Y13" s="1" t="s">
        <v>70</v>
      </c>
      <c r="Z13" s="5">
        <v>46118</v>
      </c>
      <c r="AA13" s="5">
        <v>46136</v>
      </c>
      <c r="AB13" s="1" t="s">
        <v>293</v>
      </c>
      <c r="AC13" s="8">
        <f>IF(C13="","",IF(AB13="Closed",AA13-C13,TODAY()-C13))</f>
        <v>0</v>
      </c>
      <c r="AD13" s="1" t="s">
        <v>61</v>
      </c>
    </row>
    <row r="14" spans="1:32">
      <c r="A14" s="1">
        <v>11</v>
      </c>
      <c r="B14" s="1" t="s">
        <v>1525</v>
      </c>
      <c r="C14" s="5">
        <v>46085</v>
      </c>
      <c r="D14" s="1" t="s">
        <v>44</v>
      </c>
      <c r="E14" s="6" t="s">
        <v>1498</v>
      </c>
      <c r="F14" s="6" t="s">
        <v>1489</v>
      </c>
      <c r="G14" s="1" t="s">
        <v>1490</v>
      </c>
      <c r="H14" s="1" t="s">
        <v>13</v>
      </c>
      <c r="I14" s="1" t="s">
        <v>77</v>
      </c>
      <c r="J14" s="1" t="s">
        <v>1499</v>
      </c>
      <c r="K14" s="1" t="s">
        <v>47</v>
      </c>
      <c r="L14" s="1" t="s">
        <v>51</v>
      </c>
      <c r="M14" s="1" t="s">
        <v>1493</v>
      </c>
      <c r="N14" s="1" t="s">
        <v>1507</v>
      </c>
      <c r="O14" s="1" t="s">
        <v>104</v>
      </c>
      <c r="P14" s="1" t="s">
        <v>1495</v>
      </c>
      <c r="Q14" s="1" t="s">
        <v>1523</v>
      </c>
      <c r="R14" s="1" t="s">
        <v>16</v>
      </c>
      <c r="S14" s="1" t="s">
        <v>1330</v>
      </c>
      <c r="T14" s="1" t="s">
        <v>1330</v>
      </c>
      <c r="U14" s="1" t="s">
        <v>159</v>
      </c>
      <c r="V14" s="1">
        <v>1</v>
      </c>
      <c r="W14" s="1" t="s">
        <v>16</v>
      </c>
      <c r="X14" s="1" t="s">
        <v>91</v>
      </c>
      <c r="Y14" s="1" t="s">
        <v>15</v>
      </c>
      <c r="Z14" s="5">
        <v>46119</v>
      </c>
      <c r="AA14" s="5">
        <v>46103</v>
      </c>
      <c r="AB14" s="1" t="s">
        <v>293</v>
      </c>
      <c r="AC14" s="8">
        <f>IF(C14="","",IF(AB14="Closed",AA14-C14,TODAY()-C14))</f>
        <v>0</v>
      </c>
      <c r="AD14" s="1" t="s">
        <v>54</v>
      </c>
    </row>
    <row r="15" spans="1:32">
      <c r="A15" s="1">
        <v>12</v>
      </c>
      <c r="B15" s="1" t="s">
        <v>1526</v>
      </c>
      <c r="C15" s="5">
        <v>46100</v>
      </c>
      <c r="D15" s="1" t="s">
        <v>44</v>
      </c>
      <c r="E15" s="6" t="s">
        <v>1504</v>
      </c>
      <c r="F15" s="6" t="s">
        <v>1489</v>
      </c>
      <c r="G15" s="1" t="s">
        <v>1490</v>
      </c>
      <c r="H15" s="1" t="s">
        <v>89</v>
      </c>
      <c r="I15" s="1" t="s">
        <v>21</v>
      </c>
      <c r="J15" s="1" t="s">
        <v>1499</v>
      </c>
      <c r="K15" s="1" t="s">
        <v>1492</v>
      </c>
      <c r="L15" s="1" t="s">
        <v>95</v>
      </c>
      <c r="M15" s="1" t="s">
        <v>1515</v>
      </c>
      <c r="N15" s="1" t="s">
        <v>1494</v>
      </c>
      <c r="O15" s="1" t="s">
        <v>32</v>
      </c>
      <c r="P15" s="1" t="s">
        <v>1495</v>
      </c>
      <c r="Q15" s="1" t="s">
        <v>1513</v>
      </c>
      <c r="R15" s="1" t="s">
        <v>64</v>
      </c>
      <c r="S15" s="1" t="s">
        <v>1500</v>
      </c>
      <c r="T15" s="1" t="s">
        <v>1310</v>
      </c>
      <c r="U15" s="1" t="s">
        <v>154</v>
      </c>
      <c r="V15" s="1">
        <v>14</v>
      </c>
      <c r="W15" s="1" t="s">
        <v>64</v>
      </c>
      <c r="X15" s="1" t="s">
        <v>57</v>
      </c>
      <c r="Y15" s="1" t="s">
        <v>68</v>
      </c>
      <c r="Z15" s="5">
        <v>46111</v>
      </c>
      <c r="AA15" s="5">
        <v>46130</v>
      </c>
      <c r="AB15" s="1" t="s">
        <v>293</v>
      </c>
      <c r="AC15" s="8">
        <f>IF(C15="","",IF(AB15="Closed",AA15-C15,TODAY()-C15))</f>
        <v>0</v>
      </c>
      <c r="AD15" s="1" t="s">
        <v>61</v>
      </c>
    </row>
    <row r="16" spans="1:32">
      <c r="A16" s="1">
        <v>13</v>
      </c>
      <c r="B16" s="1" t="s">
        <v>1527</v>
      </c>
      <c r="C16" s="5">
        <v>46139</v>
      </c>
      <c r="D16" s="1" t="s">
        <v>53</v>
      </c>
      <c r="E16" s="6" t="s">
        <v>1488</v>
      </c>
      <c r="F16" s="6" t="s">
        <v>1528</v>
      </c>
      <c r="G16" s="1" t="s">
        <v>1490</v>
      </c>
      <c r="H16" s="1" t="s">
        <v>13</v>
      </c>
      <c r="I16" s="1" t="s">
        <v>82</v>
      </c>
      <c r="J16" s="1" t="s">
        <v>1499</v>
      </c>
      <c r="K16" s="1" t="s">
        <v>1529</v>
      </c>
      <c r="L16" s="1" t="s">
        <v>95</v>
      </c>
      <c r="M16" s="1" t="s">
        <v>1515</v>
      </c>
      <c r="N16" s="1" t="s">
        <v>1494</v>
      </c>
      <c r="O16" s="1" t="s">
        <v>7</v>
      </c>
      <c r="P16" s="1" t="s">
        <v>58</v>
      </c>
      <c r="Q16" s="1" t="s">
        <v>1513</v>
      </c>
      <c r="R16" s="1" t="s">
        <v>26</v>
      </c>
      <c r="S16" s="1" t="s">
        <v>296</v>
      </c>
      <c r="T16" s="1" t="s">
        <v>300</v>
      </c>
      <c r="U16" s="1" t="s">
        <v>159</v>
      </c>
      <c r="V16" s="1">
        <v>3</v>
      </c>
      <c r="W16" s="1" t="s">
        <v>16</v>
      </c>
      <c r="X16" s="1" t="s">
        <v>12</v>
      </c>
      <c r="Y16" s="1" t="s">
        <v>70</v>
      </c>
      <c r="Z16" s="5">
        <v>46168</v>
      </c>
      <c r="AA16" s="5">
        <v>46153</v>
      </c>
      <c r="AB16" s="1" t="s">
        <v>293</v>
      </c>
      <c r="AC16" s="8">
        <f>IF(C16="","",IF(AB16="Closed",AA16-C16,TODAY()-C16))</f>
        <v>0</v>
      </c>
      <c r="AD16" s="1" t="s">
        <v>12</v>
      </c>
    </row>
    <row r="17" spans="1:30">
      <c r="A17" s="1">
        <v>14</v>
      </c>
      <c r="B17" s="1" t="s">
        <v>1530</v>
      </c>
      <c r="C17" s="5">
        <v>46137</v>
      </c>
      <c r="D17" s="1" t="s">
        <v>53</v>
      </c>
      <c r="E17" s="6" t="s">
        <v>1488</v>
      </c>
      <c r="F17" s="6" t="s">
        <v>1528</v>
      </c>
      <c r="G17" s="1" t="s">
        <v>1490</v>
      </c>
      <c r="H17" s="1" t="s">
        <v>89</v>
      </c>
      <c r="I17" s="1" t="s">
        <v>35</v>
      </c>
      <c r="J17" s="1" t="s">
        <v>1511</v>
      </c>
      <c r="K17" s="1" t="s">
        <v>1529</v>
      </c>
      <c r="L17" s="1" t="s">
        <v>6</v>
      </c>
      <c r="M17" s="1" t="s">
        <v>1500</v>
      </c>
      <c r="N17" s="1" t="s">
        <v>1531</v>
      </c>
      <c r="O17" s="1" t="s">
        <v>22</v>
      </c>
      <c r="P17" s="1" t="s">
        <v>1495</v>
      </c>
      <c r="Q17" s="1" t="s">
        <v>1496</v>
      </c>
      <c r="R17" s="1" t="s">
        <v>45</v>
      </c>
      <c r="S17" s="1" t="s">
        <v>1330</v>
      </c>
      <c r="T17" s="1" t="s">
        <v>296</v>
      </c>
      <c r="U17" s="1" t="s">
        <v>142</v>
      </c>
      <c r="V17" s="1">
        <v>20</v>
      </c>
      <c r="W17" s="1" t="s">
        <v>26</v>
      </c>
      <c r="X17" s="1" t="s">
        <v>57</v>
      </c>
      <c r="Y17" s="1" t="s">
        <v>93</v>
      </c>
      <c r="Z17" s="5">
        <v>46174</v>
      </c>
      <c r="AA17" s="5">
        <v>46174</v>
      </c>
      <c r="AB17" s="1" t="s">
        <v>297</v>
      </c>
      <c r="AC17" s="8">
        <f>IF(C17="","",IF(AB17="Closed",AA17-C17,TODAY()-C17))</f>
        <v>0</v>
      </c>
      <c r="AD17" s="1" t="s">
        <v>12</v>
      </c>
    </row>
    <row r="18" spans="1:30">
      <c r="A18" s="1">
        <v>15</v>
      </c>
      <c r="B18" s="1" t="s">
        <v>1532</v>
      </c>
      <c r="C18" s="5">
        <v>46131</v>
      </c>
      <c r="D18" s="1" t="s">
        <v>53</v>
      </c>
      <c r="E18" s="6" t="s">
        <v>1504</v>
      </c>
      <c r="F18" s="6" t="s">
        <v>1528</v>
      </c>
      <c r="G18" s="1" t="s">
        <v>1490</v>
      </c>
      <c r="H18" s="1" t="s">
        <v>65</v>
      </c>
      <c r="I18" s="1" t="s">
        <v>31</v>
      </c>
      <c r="J18" s="1" t="s">
        <v>1491</v>
      </c>
      <c r="K18" s="1" t="s">
        <v>1492</v>
      </c>
      <c r="L18" s="1" t="s">
        <v>51</v>
      </c>
      <c r="M18" s="1" t="s">
        <v>1506</v>
      </c>
      <c r="N18" s="1" t="s">
        <v>1494</v>
      </c>
      <c r="O18" s="1" t="s">
        <v>7</v>
      </c>
      <c r="P18" s="1" t="s">
        <v>1508</v>
      </c>
      <c r="Q18" s="1" t="s">
        <v>1496</v>
      </c>
      <c r="R18" s="1" t="s">
        <v>20</v>
      </c>
      <c r="S18" s="1" t="s">
        <v>300</v>
      </c>
      <c r="T18" s="1" t="s">
        <v>1315</v>
      </c>
      <c r="U18" s="1" t="s">
        <v>154</v>
      </c>
      <c r="V18" s="1">
        <v>18</v>
      </c>
      <c r="W18" s="1" t="s">
        <v>57</v>
      </c>
      <c r="X18" s="1" t="s">
        <v>38</v>
      </c>
      <c r="Y18" s="1" t="s">
        <v>41</v>
      </c>
      <c r="Z18" s="5">
        <v>46140</v>
      </c>
      <c r="AA18" s="5">
        <v>46152</v>
      </c>
      <c r="AB18" s="1" t="s">
        <v>238</v>
      </c>
      <c r="AC18" s="8">
        <f>IF(C18="","",IF(AB18="Closed",AA18-C18,TODAY()-C18))</f>
        <v>0</v>
      </c>
      <c r="AD18" s="1" t="s">
        <v>49</v>
      </c>
    </row>
    <row r="19" spans="1:30">
      <c r="A19" s="1">
        <v>16</v>
      </c>
      <c r="B19" s="1" t="s">
        <v>1533</v>
      </c>
      <c r="C19" s="5">
        <v>46124</v>
      </c>
      <c r="D19" s="1" t="s">
        <v>53</v>
      </c>
      <c r="E19" s="6" t="s">
        <v>1518</v>
      </c>
      <c r="F19" s="6" t="s">
        <v>1528</v>
      </c>
      <c r="G19" s="1" t="s">
        <v>1490</v>
      </c>
      <c r="H19" s="1" t="s">
        <v>58</v>
      </c>
      <c r="I19" s="1" t="s">
        <v>40</v>
      </c>
      <c r="J19" s="1" t="s">
        <v>1519</v>
      </c>
      <c r="K19" s="1" t="s">
        <v>47</v>
      </c>
      <c r="L19" s="1" t="s">
        <v>82</v>
      </c>
      <c r="M19" s="1" t="s">
        <v>1493</v>
      </c>
      <c r="N19" s="1" t="s">
        <v>1494</v>
      </c>
      <c r="O19" s="1" t="s">
        <v>15</v>
      </c>
      <c r="P19" s="1" t="s">
        <v>1508</v>
      </c>
      <c r="Q19" s="1" t="s">
        <v>1534</v>
      </c>
      <c r="R19" s="1" t="s">
        <v>45</v>
      </c>
      <c r="S19" s="1" t="s">
        <v>1500</v>
      </c>
      <c r="T19" s="1" t="s">
        <v>1312</v>
      </c>
      <c r="U19" s="1" t="s">
        <v>162</v>
      </c>
      <c r="V19" s="1">
        <v>10</v>
      </c>
      <c r="W19" s="1" t="s">
        <v>20</v>
      </c>
      <c r="X19" s="1" t="s">
        <v>64</v>
      </c>
      <c r="Y19" s="1" t="s">
        <v>28</v>
      </c>
      <c r="Z19" s="5">
        <v>46129</v>
      </c>
      <c r="AA19" s="5">
        <v>46139</v>
      </c>
      <c r="AB19" s="1" t="s">
        <v>293</v>
      </c>
      <c r="AC19" s="8">
        <f>IF(C19="","",IF(AB19="Closed",AA19-C19,TODAY()-C19))</f>
        <v>0</v>
      </c>
      <c r="AD19" s="1" t="s">
        <v>30</v>
      </c>
    </row>
    <row r="20" spans="1:30">
      <c r="A20" s="1">
        <v>17</v>
      </c>
      <c r="B20" s="1" t="s">
        <v>1535</v>
      </c>
      <c r="C20" s="5">
        <v>46152</v>
      </c>
      <c r="D20" s="1" t="s">
        <v>60</v>
      </c>
      <c r="E20" s="6" t="s">
        <v>1518</v>
      </c>
      <c r="F20" s="6" t="s">
        <v>1528</v>
      </c>
      <c r="G20" s="1" t="s">
        <v>1490</v>
      </c>
      <c r="H20" s="1" t="s">
        <v>92</v>
      </c>
      <c r="I20" s="1" t="s">
        <v>51</v>
      </c>
      <c r="J20" s="1" t="s">
        <v>1499</v>
      </c>
      <c r="K20" s="1" t="s">
        <v>1520</v>
      </c>
      <c r="L20" s="1" t="s">
        <v>87</v>
      </c>
      <c r="M20" s="1" t="s">
        <v>1493</v>
      </c>
      <c r="N20" s="1" t="s">
        <v>1536</v>
      </c>
      <c r="O20" s="1" t="s">
        <v>15</v>
      </c>
      <c r="P20" s="1" t="s">
        <v>1495</v>
      </c>
      <c r="Q20" s="1" t="s">
        <v>1513</v>
      </c>
      <c r="R20" s="1" t="s">
        <v>26</v>
      </c>
      <c r="S20" s="1" t="s">
        <v>296</v>
      </c>
      <c r="T20" s="1" t="s">
        <v>1337</v>
      </c>
      <c r="U20" s="1" t="s">
        <v>142</v>
      </c>
      <c r="V20" s="1">
        <v>28</v>
      </c>
      <c r="W20" s="1" t="s">
        <v>57</v>
      </c>
      <c r="X20" s="1" t="s">
        <v>64</v>
      </c>
      <c r="Y20" s="1" t="s">
        <v>62</v>
      </c>
      <c r="Z20" s="5">
        <v>46197</v>
      </c>
      <c r="AA20" s="5">
        <v>46178</v>
      </c>
      <c r="AB20" s="1" t="s">
        <v>293</v>
      </c>
      <c r="AC20" s="8">
        <f>IF(C20="","",IF(AB20="Closed",AA20-C20,TODAY()-C20))</f>
        <v>0</v>
      </c>
      <c r="AD20" s="1" t="s">
        <v>91</v>
      </c>
    </row>
    <row r="21" spans="1:30">
      <c r="A21" s="1">
        <v>18</v>
      </c>
      <c r="B21" s="1" t="s">
        <v>1537</v>
      </c>
      <c r="C21" s="5">
        <v>46158</v>
      </c>
      <c r="D21" s="1" t="s">
        <v>60</v>
      </c>
      <c r="E21" s="6" t="s">
        <v>1504</v>
      </c>
      <c r="F21" s="6" t="s">
        <v>1528</v>
      </c>
      <c r="G21" s="1" t="s">
        <v>1490</v>
      </c>
      <c r="H21" s="1" t="s">
        <v>27</v>
      </c>
      <c r="I21" s="1" t="s">
        <v>14</v>
      </c>
      <c r="J21" s="1" t="s">
        <v>1499</v>
      </c>
      <c r="K21" s="1" t="s">
        <v>1492</v>
      </c>
      <c r="L21" s="1" t="s">
        <v>21</v>
      </c>
      <c r="M21" s="1" t="s">
        <v>1512</v>
      </c>
      <c r="N21" s="1" t="s">
        <v>1494</v>
      </c>
      <c r="O21" s="1" t="s">
        <v>15</v>
      </c>
      <c r="P21" s="1" t="s">
        <v>1508</v>
      </c>
      <c r="Q21" s="1" t="s">
        <v>1538</v>
      </c>
      <c r="R21" s="1" t="s">
        <v>61</v>
      </c>
      <c r="S21" s="1" t="s">
        <v>1330</v>
      </c>
      <c r="T21" s="1" t="s">
        <v>1330</v>
      </c>
      <c r="U21" s="1" t="s">
        <v>142</v>
      </c>
      <c r="V21" s="1">
        <v>17</v>
      </c>
      <c r="W21" s="1" t="s">
        <v>16</v>
      </c>
      <c r="X21" s="1" t="s">
        <v>64</v>
      </c>
      <c r="Y21" s="1" t="s">
        <v>28</v>
      </c>
      <c r="Z21" s="5">
        <v>46175</v>
      </c>
      <c r="AA21" s="5">
        <v>46176</v>
      </c>
      <c r="AB21" s="1" t="s">
        <v>293</v>
      </c>
      <c r="AC21" s="8">
        <f>IF(C21="","",IF(AB21="Closed",AA21-C21,TODAY()-C21))</f>
        <v>0</v>
      </c>
      <c r="AD21" s="1" t="s">
        <v>16</v>
      </c>
    </row>
    <row r="22" spans="1:30">
      <c r="A22" s="1">
        <v>19</v>
      </c>
      <c r="B22" s="1" t="s">
        <v>1539</v>
      </c>
      <c r="C22" s="5">
        <v>46155</v>
      </c>
      <c r="D22" s="1" t="s">
        <v>60</v>
      </c>
      <c r="E22" s="6" t="s">
        <v>1518</v>
      </c>
      <c r="F22" s="6" t="s">
        <v>1528</v>
      </c>
      <c r="G22" s="1" t="s">
        <v>1490</v>
      </c>
      <c r="H22" s="1" t="s">
        <v>27</v>
      </c>
      <c r="I22" s="1" t="s">
        <v>82</v>
      </c>
      <c r="J22" s="1" t="s">
        <v>1491</v>
      </c>
      <c r="K22" s="1" t="s">
        <v>47</v>
      </c>
      <c r="L22" s="1" t="s">
        <v>87</v>
      </c>
      <c r="M22" s="1" t="s">
        <v>1500</v>
      </c>
      <c r="N22" s="1" t="s">
        <v>1494</v>
      </c>
      <c r="O22" s="1" t="s">
        <v>104</v>
      </c>
      <c r="P22" s="1" t="s">
        <v>1508</v>
      </c>
      <c r="Q22" s="1" t="s">
        <v>1513</v>
      </c>
      <c r="R22" s="1" t="s">
        <v>16</v>
      </c>
      <c r="S22" s="1" t="s">
        <v>1330</v>
      </c>
      <c r="T22" s="1" t="s">
        <v>1312</v>
      </c>
      <c r="U22" s="1" t="s">
        <v>142</v>
      </c>
      <c r="V22" s="1">
        <v>27</v>
      </c>
      <c r="W22" s="1" t="s">
        <v>12</v>
      </c>
      <c r="X22" s="1" t="s">
        <v>4</v>
      </c>
      <c r="Y22" s="1" t="s">
        <v>66</v>
      </c>
      <c r="Z22" s="5">
        <v>46169</v>
      </c>
      <c r="AA22" s="5">
        <v>46186</v>
      </c>
      <c r="AB22" s="1" t="s">
        <v>293</v>
      </c>
      <c r="AC22" s="8">
        <f>IF(C22="","",IF(AB22="Closed",AA22-C22,TODAY()-C22))</f>
        <v>0</v>
      </c>
      <c r="AD22" s="1" t="s">
        <v>64</v>
      </c>
    </row>
    <row r="23" spans="1:30">
      <c r="A23" s="1">
        <v>20</v>
      </c>
      <c r="B23" s="1" t="s">
        <v>1540</v>
      </c>
      <c r="C23" s="5">
        <v>46162</v>
      </c>
      <c r="D23" s="1" t="s">
        <v>60</v>
      </c>
      <c r="E23" s="6" t="s">
        <v>1504</v>
      </c>
      <c r="F23" s="6" t="s">
        <v>1528</v>
      </c>
      <c r="G23" s="1" t="s">
        <v>1490</v>
      </c>
      <c r="H23" s="1" t="s">
        <v>13</v>
      </c>
      <c r="I23" s="1" t="s">
        <v>40</v>
      </c>
      <c r="J23" s="1" t="s">
        <v>1541</v>
      </c>
      <c r="K23" s="1" t="s">
        <v>1520</v>
      </c>
      <c r="L23" s="1" t="s">
        <v>14</v>
      </c>
      <c r="M23" s="1" t="s">
        <v>1506</v>
      </c>
      <c r="N23" s="1" t="s">
        <v>1494</v>
      </c>
      <c r="O23" s="1" t="s">
        <v>104</v>
      </c>
      <c r="P23" s="1" t="s">
        <v>1501</v>
      </c>
      <c r="Q23" s="1" t="s">
        <v>1523</v>
      </c>
      <c r="R23" s="1" t="s">
        <v>4</v>
      </c>
      <c r="S23" s="1" t="s">
        <v>296</v>
      </c>
      <c r="T23" s="1" t="s">
        <v>1315</v>
      </c>
      <c r="U23" s="1" t="s">
        <v>159</v>
      </c>
      <c r="V23" s="1">
        <v>10</v>
      </c>
      <c r="W23" s="1" t="s">
        <v>54</v>
      </c>
      <c r="X23" s="1" t="s">
        <v>54</v>
      </c>
      <c r="Y23" s="1" t="s">
        <v>70</v>
      </c>
      <c r="Z23" s="5">
        <v>46177</v>
      </c>
      <c r="AA23" s="5">
        <v>46186</v>
      </c>
      <c r="AB23" s="1" t="s">
        <v>254</v>
      </c>
      <c r="AC23" s="8">
        <f>IF(C23="","",IF(AB23="Closed",AA23-C23,TODAY()-C23))</f>
        <v>0</v>
      </c>
      <c r="AD23" s="1" t="s">
        <v>20</v>
      </c>
    </row>
    <row r="24" spans="1:30">
      <c r="A24" s="1">
        <v>21</v>
      </c>
      <c r="B24" s="1" t="s">
        <v>1542</v>
      </c>
      <c r="C24" s="5">
        <v>46156</v>
      </c>
      <c r="D24" s="1" t="s">
        <v>60</v>
      </c>
      <c r="E24" s="6" t="s">
        <v>1518</v>
      </c>
      <c r="F24" s="6" t="s">
        <v>1528</v>
      </c>
      <c r="G24" s="1" t="s">
        <v>1490</v>
      </c>
      <c r="H24" s="1" t="s">
        <v>65</v>
      </c>
      <c r="I24" s="1" t="s">
        <v>77</v>
      </c>
      <c r="J24" s="1" t="s">
        <v>1511</v>
      </c>
      <c r="K24" s="1" t="s">
        <v>1529</v>
      </c>
      <c r="L24" s="1" t="s">
        <v>51</v>
      </c>
      <c r="M24" s="1" t="s">
        <v>1512</v>
      </c>
      <c r="N24" s="1" t="s">
        <v>1536</v>
      </c>
      <c r="O24" s="1" t="s">
        <v>68</v>
      </c>
      <c r="P24" s="1" t="s">
        <v>1501</v>
      </c>
      <c r="Q24" s="1" t="s">
        <v>1496</v>
      </c>
      <c r="R24" s="1" t="s">
        <v>54</v>
      </c>
      <c r="S24" s="1" t="s">
        <v>1500</v>
      </c>
      <c r="T24" s="1" t="s">
        <v>1312</v>
      </c>
      <c r="U24" s="1" t="s">
        <v>142</v>
      </c>
      <c r="V24" s="1">
        <v>7</v>
      </c>
      <c r="W24" s="1" t="s">
        <v>49</v>
      </c>
      <c r="X24" s="1" t="s">
        <v>45</v>
      </c>
      <c r="Y24" s="1" t="s">
        <v>70</v>
      </c>
      <c r="Z24" s="5">
        <v>46179</v>
      </c>
      <c r="AA24" s="5">
        <v>46181</v>
      </c>
      <c r="AB24" s="1" t="s">
        <v>293</v>
      </c>
      <c r="AC24" s="8">
        <f>IF(C24="","",IF(AB24="Closed",AA24-C24,TODAY()-C24))</f>
        <v>0</v>
      </c>
      <c r="AD24" s="1" t="s">
        <v>49</v>
      </c>
    </row>
    <row r="25" spans="1:30">
      <c r="A25" s="1">
        <v>22</v>
      </c>
      <c r="B25" s="1" t="s">
        <v>1543</v>
      </c>
      <c r="C25" s="5">
        <v>46144</v>
      </c>
      <c r="D25" s="1" t="s">
        <v>60</v>
      </c>
      <c r="E25" s="6" t="s">
        <v>1498</v>
      </c>
      <c r="F25" s="6" t="s">
        <v>1528</v>
      </c>
      <c r="G25" s="1" t="s">
        <v>1490</v>
      </c>
      <c r="H25" s="1" t="s">
        <v>5</v>
      </c>
      <c r="I25" s="1" t="s">
        <v>14</v>
      </c>
      <c r="J25" s="1" t="s">
        <v>1511</v>
      </c>
      <c r="K25" s="1" t="s">
        <v>1492</v>
      </c>
      <c r="L25" s="1" t="s">
        <v>77</v>
      </c>
      <c r="M25" s="1" t="s">
        <v>1500</v>
      </c>
      <c r="N25" s="1" t="s">
        <v>1544</v>
      </c>
      <c r="O25" s="1" t="s">
        <v>104</v>
      </c>
      <c r="P25" s="1" t="s">
        <v>1501</v>
      </c>
      <c r="Q25" s="1" t="s">
        <v>1496</v>
      </c>
      <c r="R25" s="1" t="s">
        <v>61</v>
      </c>
      <c r="S25" s="1" t="s">
        <v>1500</v>
      </c>
      <c r="T25" s="1" t="s">
        <v>296</v>
      </c>
      <c r="U25" s="1" t="s">
        <v>142</v>
      </c>
      <c r="V25" s="1">
        <v>27</v>
      </c>
      <c r="W25" s="1" t="s">
        <v>57</v>
      </c>
      <c r="X25" s="1" t="s">
        <v>54</v>
      </c>
      <c r="Y25" s="1" t="s">
        <v>15</v>
      </c>
      <c r="Z25" s="5">
        <v>46160</v>
      </c>
      <c r="AA25" s="5">
        <v>46158</v>
      </c>
      <c r="AB25" s="1" t="s">
        <v>238</v>
      </c>
      <c r="AC25" s="8">
        <f>IF(C25="","",IF(AB25="Closed",AA25-C25,TODAY()-C25))</f>
        <v>0</v>
      </c>
      <c r="AD25" s="1" t="s">
        <v>61</v>
      </c>
    </row>
    <row r="26" spans="1:30">
      <c r="A26" s="1">
        <v>23</v>
      </c>
      <c r="B26" s="1" t="s">
        <v>1545</v>
      </c>
      <c r="C26" s="5">
        <v>46150</v>
      </c>
      <c r="D26" s="1" t="s">
        <v>60</v>
      </c>
      <c r="E26" s="6" t="s">
        <v>1518</v>
      </c>
      <c r="F26" s="6" t="s">
        <v>1528</v>
      </c>
      <c r="G26" s="1" t="s">
        <v>1490</v>
      </c>
      <c r="H26" s="1" t="s">
        <v>92</v>
      </c>
      <c r="I26" s="1" t="s">
        <v>31</v>
      </c>
      <c r="J26" s="1" t="s">
        <v>1505</v>
      </c>
      <c r="K26" s="1" t="s">
        <v>1520</v>
      </c>
      <c r="L26" s="1" t="s">
        <v>80</v>
      </c>
      <c r="M26" s="1" t="s">
        <v>1506</v>
      </c>
      <c r="N26" s="1" t="s">
        <v>1494</v>
      </c>
      <c r="O26" s="1" t="s">
        <v>7</v>
      </c>
      <c r="P26" s="1" t="s">
        <v>1495</v>
      </c>
      <c r="Q26" s="1" t="s">
        <v>1496</v>
      </c>
      <c r="R26" s="1" t="s">
        <v>20</v>
      </c>
      <c r="S26" s="1" t="s">
        <v>1500</v>
      </c>
      <c r="T26" s="1" t="s">
        <v>1318</v>
      </c>
      <c r="U26" s="1" t="s">
        <v>154</v>
      </c>
      <c r="V26" s="1">
        <v>7</v>
      </c>
      <c r="W26" s="1" t="s">
        <v>20</v>
      </c>
      <c r="X26" s="1" t="s">
        <v>49</v>
      </c>
      <c r="Y26" s="1" t="s">
        <v>36</v>
      </c>
      <c r="Z26" s="5">
        <v>46184</v>
      </c>
      <c r="AA26" s="5">
        <v>46155</v>
      </c>
      <c r="AB26" s="1" t="s">
        <v>293</v>
      </c>
      <c r="AC26" s="8">
        <f>IF(C26="","",IF(AB26="Closed",AA26-C26,TODAY()-C26))</f>
        <v>0</v>
      </c>
      <c r="AD26" s="1" t="s">
        <v>91</v>
      </c>
    </row>
    <row r="27" spans="1:30">
      <c r="A27" s="1">
        <v>24</v>
      </c>
      <c r="B27" s="1" t="s">
        <v>1546</v>
      </c>
      <c r="C27" s="5">
        <v>46160</v>
      </c>
      <c r="D27" s="1" t="s">
        <v>60</v>
      </c>
      <c r="E27" s="6" t="s">
        <v>1504</v>
      </c>
      <c r="F27" s="6" t="s">
        <v>1528</v>
      </c>
      <c r="G27" s="1" t="s">
        <v>1490</v>
      </c>
      <c r="H27" s="1" t="s">
        <v>65</v>
      </c>
      <c r="I27" s="1" t="s">
        <v>95</v>
      </c>
      <c r="J27" s="1" t="s">
        <v>1491</v>
      </c>
      <c r="K27" s="1" t="s">
        <v>1529</v>
      </c>
      <c r="L27" s="1" t="s">
        <v>40</v>
      </c>
      <c r="M27" s="1" t="s">
        <v>1512</v>
      </c>
      <c r="N27" s="1" t="s">
        <v>1494</v>
      </c>
      <c r="O27" s="1" t="s">
        <v>41</v>
      </c>
      <c r="P27" s="1" t="s">
        <v>1501</v>
      </c>
      <c r="Q27" s="1" t="s">
        <v>1521</v>
      </c>
      <c r="R27" s="1" t="s">
        <v>91</v>
      </c>
      <c r="S27" s="1" t="s">
        <v>1500</v>
      </c>
      <c r="T27" s="1" t="s">
        <v>296</v>
      </c>
      <c r="U27" s="1" t="s">
        <v>154</v>
      </c>
      <c r="V27" s="1">
        <v>11</v>
      </c>
      <c r="W27" s="1" t="s">
        <v>45</v>
      </c>
      <c r="X27" s="1" t="s">
        <v>64</v>
      </c>
      <c r="Y27" s="1" t="s">
        <v>36</v>
      </c>
      <c r="Z27" s="5">
        <v>46199</v>
      </c>
      <c r="AA27" s="5">
        <v>46179</v>
      </c>
      <c r="AB27" s="1" t="s">
        <v>293</v>
      </c>
      <c r="AC27" s="8">
        <f>IF(C27="","",IF(AB27="Closed",AA27-C27,TODAY()-C27))</f>
        <v>0</v>
      </c>
      <c r="AD27" s="1" t="s">
        <v>54</v>
      </c>
    </row>
    <row r="28" spans="1:30">
      <c r="A28" s="1">
        <v>25</v>
      </c>
      <c r="B28" s="1" t="s">
        <v>1547</v>
      </c>
      <c r="C28" s="5">
        <v>46148</v>
      </c>
      <c r="D28" s="1" t="s">
        <v>60</v>
      </c>
      <c r="E28" s="6" t="s">
        <v>1498</v>
      </c>
      <c r="F28" s="6" t="s">
        <v>1528</v>
      </c>
      <c r="G28" s="1" t="s">
        <v>1490</v>
      </c>
      <c r="H28" s="1" t="s">
        <v>65</v>
      </c>
      <c r="I28" s="1" t="s">
        <v>82</v>
      </c>
      <c r="J28" s="1" t="s">
        <v>1511</v>
      </c>
      <c r="K28" s="1" t="s">
        <v>47</v>
      </c>
      <c r="L28" s="1" t="s">
        <v>51</v>
      </c>
      <c r="M28" s="1" t="s">
        <v>1512</v>
      </c>
      <c r="N28" s="1" t="s">
        <v>1494</v>
      </c>
      <c r="O28" s="1" t="s">
        <v>62</v>
      </c>
      <c r="P28" s="1" t="s">
        <v>1508</v>
      </c>
      <c r="Q28" s="1" t="s">
        <v>1538</v>
      </c>
      <c r="R28" s="1" t="s">
        <v>38</v>
      </c>
      <c r="S28" s="1" t="s">
        <v>1330</v>
      </c>
      <c r="T28" s="1" t="s">
        <v>1330</v>
      </c>
      <c r="U28" s="1" t="s">
        <v>159</v>
      </c>
      <c r="V28" s="1">
        <v>0</v>
      </c>
      <c r="W28" s="1" t="s">
        <v>57</v>
      </c>
      <c r="X28" s="1" t="s">
        <v>61</v>
      </c>
      <c r="Y28" s="1" t="s">
        <v>41</v>
      </c>
      <c r="Z28" s="5">
        <v>46159</v>
      </c>
      <c r="AA28" s="5">
        <v>46161</v>
      </c>
      <c r="AB28" s="1" t="s">
        <v>238</v>
      </c>
      <c r="AC28" s="8">
        <f>IF(C28="","",IF(AB28="Closed",AA28-C28,TODAY()-C28))</f>
        <v>0</v>
      </c>
      <c r="AD28" s="1" t="s">
        <v>45</v>
      </c>
    </row>
    <row r="29" spans="1:30">
      <c r="A29" s="1">
        <v>26</v>
      </c>
      <c r="B29" s="1" t="s">
        <v>1548</v>
      </c>
      <c r="C29" s="5">
        <v>46164</v>
      </c>
      <c r="D29" s="1" t="s">
        <v>60</v>
      </c>
      <c r="E29" s="6" t="s">
        <v>1488</v>
      </c>
      <c r="F29" s="6" t="s">
        <v>1528</v>
      </c>
      <c r="G29" s="1" t="s">
        <v>1490</v>
      </c>
      <c r="H29" s="1" t="s">
        <v>89</v>
      </c>
      <c r="I29" s="1" t="s">
        <v>35</v>
      </c>
      <c r="J29" s="1" t="s">
        <v>1511</v>
      </c>
      <c r="K29" s="1" t="s">
        <v>47</v>
      </c>
      <c r="L29" s="1" t="s">
        <v>31</v>
      </c>
      <c r="M29" s="1" t="s">
        <v>1506</v>
      </c>
      <c r="N29" s="1" t="s">
        <v>1494</v>
      </c>
      <c r="O29" s="1" t="s">
        <v>66</v>
      </c>
      <c r="P29" s="1" t="s">
        <v>1501</v>
      </c>
      <c r="Q29" s="1" t="s">
        <v>1523</v>
      </c>
      <c r="R29" s="1" t="s">
        <v>45</v>
      </c>
      <c r="S29" s="1" t="s">
        <v>1330</v>
      </c>
      <c r="T29" s="1" t="s">
        <v>1315</v>
      </c>
      <c r="U29" s="1" t="s">
        <v>142</v>
      </c>
      <c r="V29" s="1">
        <v>25</v>
      </c>
      <c r="W29" s="1" t="s">
        <v>49</v>
      </c>
      <c r="X29" s="1" t="s">
        <v>91</v>
      </c>
      <c r="Y29" s="1" t="s">
        <v>78</v>
      </c>
      <c r="Z29" s="5">
        <v>46197</v>
      </c>
      <c r="AA29" s="5">
        <v>46171</v>
      </c>
      <c r="AB29" s="1" t="s">
        <v>238</v>
      </c>
      <c r="AC29" s="8">
        <f>IF(C29="","",IF(AB29="Closed",AA29-C29,TODAY()-C29))</f>
        <v>0</v>
      </c>
      <c r="AD29" s="1" t="s">
        <v>30</v>
      </c>
    </row>
    <row r="30" spans="1:30">
      <c r="A30" s="1">
        <v>27</v>
      </c>
      <c r="B30" s="1" t="s">
        <v>1549</v>
      </c>
      <c r="C30" s="5">
        <v>46162</v>
      </c>
      <c r="D30" s="1" t="s">
        <v>60</v>
      </c>
      <c r="E30" s="6" t="s">
        <v>1504</v>
      </c>
      <c r="F30" s="6" t="s">
        <v>1528</v>
      </c>
      <c r="G30" s="1" t="s">
        <v>1490</v>
      </c>
      <c r="H30" s="1" t="s">
        <v>5</v>
      </c>
      <c r="I30" s="1" t="s">
        <v>21</v>
      </c>
      <c r="J30" s="1" t="s">
        <v>1511</v>
      </c>
      <c r="K30" s="1" t="s">
        <v>47</v>
      </c>
      <c r="L30" s="1" t="s">
        <v>40</v>
      </c>
      <c r="M30" s="1" t="s">
        <v>1512</v>
      </c>
      <c r="N30" s="1" t="s">
        <v>1531</v>
      </c>
      <c r="O30" s="1" t="s">
        <v>70</v>
      </c>
      <c r="P30" s="1" t="s">
        <v>1495</v>
      </c>
      <c r="Q30" s="1" t="s">
        <v>1538</v>
      </c>
      <c r="R30" s="1" t="s">
        <v>64</v>
      </c>
      <c r="S30" s="1" t="s">
        <v>300</v>
      </c>
      <c r="T30" s="1" t="s">
        <v>1337</v>
      </c>
      <c r="U30" s="1" t="s">
        <v>154</v>
      </c>
      <c r="V30" s="1">
        <v>17</v>
      </c>
      <c r="W30" s="1" t="s">
        <v>64</v>
      </c>
      <c r="X30" s="1" t="s">
        <v>26</v>
      </c>
      <c r="Y30" s="1" t="s">
        <v>15</v>
      </c>
      <c r="Z30" s="5">
        <v>46167</v>
      </c>
      <c r="AA30" s="5">
        <v>46206</v>
      </c>
      <c r="AB30" s="1" t="s">
        <v>254</v>
      </c>
      <c r="AC30" s="8">
        <f>IF(C30="","",IF(AB30="Closed",AA30-C30,TODAY()-C30))</f>
        <v>0</v>
      </c>
      <c r="AD30" s="1" t="s">
        <v>61</v>
      </c>
    </row>
    <row r="31" spans="1:30">
      <c r="A31" s="1">
        <v>28</v>
      </c>
      <c r="B31" s="1" t="s">
        <v>1550</v>
      </c>
      <c r="C31" s="5">
        <v>46190</v>
      </c>
      <c r="D31" s="1" t="s">
        <v>73</v>
      </c>
      <c r="E31" s="6" t="s">
        <v>1504</v>
      </c>
      <c r="F31" s="6" t="s">
        <v>1528</v>
      </c>
      <c r="G31" s="1" t="s">
        <v>1490</v>
      </c>
      <c r="H31" s="1" t="s">
        <v>46</v>
      </c>
      <c r="I31" s="1" t="s">
        <v>51</v>
      </c>
      <c r="J31" s="1" t="s">
        <v>1511</v>
      </c>
      <c r="K31" s="1" t="s">
        <v>1492</v>
      </c>
      <c r="L31" s="1" t="s">
        <v>35</v>
      </c>
      <c r="M31" s="1" t="s">
        <v>1515</v>
      </c>
      <c r="N31" s="1" t="s">
        <v>1494</v>
      </c>
      <c r="O31" s="1" t="s">
        <v>78</v>
      </c>
      <c r="P31" s="1" t="s">
        <v>58</v>
      </c>
      <c r="Q31" s="1" t="s">
        <v>1521</v>
      </c>
      <c r="R31" s="1" t="s">
        <v>45</v>
      </c>
      <c r="S31" s="1" t="s">
        <v>1330</v>
      </c>
      <c r="T31" s="1" t="s">
        <v>1330</v>
      </c>
      <c r="U31" s="1" t="s">
        <v>142</v>
      </c>
      <c r="V31" s="1">
        <v>0</v>
      </c>
      <c r="W31" s="1" t="s">
        <v>16</v>
      </c>
      <c r="X31" s="1" t="s">
        <v>57</v>
      </c>
      <c r="Y31" s="1" t="s">
        <v>93</v>
      </c>
      <c r="Z31" s="5">
        <v>46217</v>
      </c>
      <c r="AA31" s="5">
        <v>46207</v>
      </c>
      <c r="AB31" s="1" t="s">
        <v>293</v>
      </c>
      <c r="AC31" s="8">
        <f>IF(C31="","",IF(AB31="Closed",AA31-C31,TODAY()-C31))</f>
        <v>0</v>
      </c>
      <c r="AD31" s="1" t="s">
        <v>61</v>
      </c>
    </row>
    <row r="32" spans="1:30">
      <c r="A32" s="1">
        <v>29</v>
      </c>
      <c r="B32" s="1" t="s">
        <v>1551</v>
      </c>
      <c r="C32" s="5">
        <v>46181</v>
      </c>
      <c r="D32" s="1" t="s">
        <v>73</v>
      </c>
      <c r="E32" s="6" t="s">
        <v>1518</v>
      </c>
      <c r="F32" s="6" t="s">
        <v>1528</v>
      </c>
      <c r="G32" s="1" t="s">
        <v>1490</v>
      </c>
      <c r="H32" s="1" t="s">
        <v>46</v>
      </c>
      <c r="I32" s="1" t="s">
        <v>14</v>
      </c>
      <c r="J32" s="1" t="s">
        <v>1511</v>
      </c>
      <c r="K32" s="1" t="s">
        <v>1492</v>
      </c>
      <c r="L32" s="1" t="s">
        <v>14</v>
      </c>
      <c r="M32" s="1" t="s">
        <v>1500</v>
      </c>
      <c r="N32" s="1" t="s">
        <v>1531</v>
      </c>
      <c r="O32" s="1" t="s">
        <v>15</v>
      </c>
      <c r="P32" s="1" t="s">
        <v>1508</v>
      </c>
      <c r="Q32" s="1" t="s">
        <v>1534</v>
      </c>
      <c r="R32" s="1" t="s">
        <v>12</v>
      </c>
      <c r="S32" s="1" t="s">
        <v>1330</v>
      </c>
      <c r="T32" s="1" t="s">
        <v>1318</v>
      </c>
      <c r="U32" s="1" t="s">
        <v>142</v>
      </c>
      <c r="V32" s="1">
        <v>22</v>
      </c>
      <c r="W32" s="1" t="s">
        <v>61</v>
      </c>
      <c r="X32" s="1" t="s">
        <v>64</v>
      </c>
      <c r="Y32" s="1" t="s">
        <v>32</v>
      </c>
      <c r="Z32" s="5">
        <v>46202</v>
      </c>
      <c r="AA32" s="5">
        <v>46196</v>
      </c>
      <c r="AB32" s="1" t="s">
        <v>293</v>
      </c>
      <c r="AC32" s="8">
        <f>IF(C32="","",IF(AB32="Closed",AA32-C32,TODAY()-C32))</f>
        <v>0</v>
      </c>
      <c r="AD32" s="1" t="s">
        <v>12</v>
      </c>
    </row>
    <row r="33" spans="1:30">
      <c r="A33" s="1">
        <v>30</v>
      </c>
      <c r="B33" s="1" t="s">
        <v>1552</v>
      </c>
      <c r="C33" s="5">
        <v>46187</v>
      </c>
      <c r="D33" s="1" t="s">
        <v>73</v>
      </c>
      <c r="E33" s="6" t="s">
        <v>1518</v>
      </c>
      <c r="F33" s="6" t="s">
        <v>1528</v>
      </c>
      <c r="G33" s="1" t="s">
        <v>1490</v>
      </c>
      <c r="H33" s="1" t="s">
        <v>5</v>
      </c>
      <c r="I33" s="1" t="s">
        <v>31</v>
      </c>
      <c r="J33" s="1" t="s">
        <v>1499</v>
      </c>
      <c r="K33" s="1" t="s">
        <v>1520</v>
      </c>
      <c r="L33" s="1" t="s">
        <v>40</v>
      </c>
      <c r="M33" s="1" t="s">
        <v>1500</v>
      </c>
      <c r="N33" s="1" t="s">
        <v>1531</v>
      </c>
      <c r="O33" s="1" t="s">
        <v>41</v>
      </c>
      <c r="P33" s="1" t="s">
        <v>1501</v>
      </c>
      <c r="Q33" s="1" t="s">
        <v>1496</v>
      </c>
      <c r="R33" s="1" t="s">
        <v>64</v>
      </c>
      <c r="S33" s="1" t="s">
        <v>1330</v>
      </c>
      <c r="T33" s="1" t="s">
        <v>1330</v>
      </c>
      <c r="U33" s="1" t="s">
        <v>154</v>
      </c>
      <c r="V33" s="1">
        <v>15</v>
      </c>
      <c r="W33" s="1" t="s">
        <v>54</v>
      </c>
      <c r="X33" s="1" t="s">
        <v>30</v>
      </c>
      <c r="Y33" s="1" t="s">
        <v>66</v>
      </c>
      <c r="Z33" s="5">
        <v>46224</v>
      </c>
      <c r="AA33" s="5">
        <v>46204</v>
      </c>
      <c r="AB33" s="1" t="s">
        <v>293</v>
      </c>
      <c r="AC33" s="8">
        <f>IF(C33="","",IF(AB33="Closed",AA33-C33,TODAY()-C33))</f>
        <v>0</v>
      </c>
      <c r="AD33" s="1" t="s">
        <v>49</v>
      </c>
    </row>
    <row r="34" spans="1:30">
      <c r="A34" s="1">
        <v>31</v>
      </c>
      <c r="B34" s="1" t="s">
        <v>1553</v>
      </c>
      <c r="C34" s="5">
        <v>46221</v>
      </c>
      <c r="D34" s="1" t="s">
        <v>76</v>
      </c>
      <c r="E34" s="6" t="s">
        <v>1504</v>
      </c>
      <c r="F34" s="6" t="s">
        <v>1554</v>
      </c>
      <c r="G34" s="1" t="s">
        <v>1490</v>
      </c>
      <c r="H34" s="1" t="s">
        <v>13</v>
      </c>
      <c r="I34" s="1" t="s">
        <v>6</v>
      </c>
      <c r="J34" s="1" t="s">
        <v>1541</v>
      </c>
      <c r="K34" s="1" t="s">
        <v>1529</v>
      </c>
      <c r="L34" s="1" t="s">
        <v>95</v>
      </c>
      <c r="M34" s="1" t="s">
        <v>1515</v>
      </c>
      <c r="N34" s="1" t="s">
        <v>1507</v>
      </c>
      <c r="O34" s="1" t="s">
        <v>68</v>
      </c>
      <c r="P34" s="1" t="s">
        <v>1501</v>
      </c>
      <c r="Q34" s="1" t="s">
        <v>1538</v>
      </c>
      <c r="R34" s="1" t="s">
        <v>20</v>
      </c>
      <c r="S34" s="1" t="s">
        <v>296</v>
      </c>
      <c r="T34" s="1" t="s">
        <v>296</v>
      </c>
      <c r="U34" s="1" t="s">
        <v>142</v>
      </c>
      <c r="V34" s="1">
        <v>29</v>
      </c>
      <c r="W34" s="1" t="s">
        <v>57</v>
      </c>
      <c r="X34" s="1" t="s">
        <v>20</v>
      </c>
      <c r="Y34" s="1" t="s">
        <v>62</v>
      </c>
      <c r="Z34" s="5">
        <v>46254</v>
      </c>
      <c r="AA34" s="5">
        <v>46232</v>
      </c>
      <c r="AB34" s="1" t="s">
        <v>293</v>
      </c>
      <c r="AC34" s="8">
        <f>IF(C34="","",IF(AB34="Closed",AA34-C34,TODAY()-C34))</f>
        <v>0</v>
      </c>
      <c r="AD34" s="1" t="s">
        <v>64</v>
      </c>
    </row>
    <row r="35" spans="1:30">
      <c r="A35" s="1">
        <v>32</v>
      </c>
      <c r="B35" s="1" t="s">
        <v>1555</v>
      </c>
      <c r="C35" s="5">
        <v>46215</v>
      </c>
      <c r="D35" s="1" t="s">
        <v>76</v>
      </c>
      <c r="E35" s="6" t="s">
        <v>1518</v>
      </c>
      <c r="F35" s="6" t="s">
        <v>1554</v>
      </c>
      <c r="G35" s="1" t="s">
        <v>1490</v>
      </c>
      <c r="H35" s="1" t="s">
        <v>58</v>
      </c>
      <c r="I35" s="1" t="s">
        <v>40</v>
      </c>
      <c r="J35" s="1" t="s">
        <v>1511</v>
      </c>
      <c r="K35" s="1" t="s">
        <v>1529</v>
      </c>
      <c r="L35" s="1" t="s">
        <v>21</v>
      </c>
      <c r="M35" s="1" t="s">
        <v>1515</v>
      </c>
      <c r="N35" s="1" t="s">
        <v>1494</v>
      </c>
      <c r="O35" s="1" t="s">
        <v>93</v>
      </c>
      <c r="P35" s="1" t="s">
        <v>58</v>
      </c>
      <c r="Q35" s="1" t="s">
        <v>1538</v>
      </c>
      <c r="R35" s="1" t="s">
        <v>38</v>
      </c>
      <c r="S35" s="1" t="s">
        <v>1330</v>
      </c>
      <c r="T35" s="1" t="s">
        <v>296</v>
      </c>
      <c r="U35" s="1" t="s">
        <v>154</v>
      </c>
      <c r="V35" s="1">
        <v>19</v>
      </c>
      <c r="W35" s="1" t="s">
        <v>30</v>
      </c>
      <c r="X35" s="1" t="s">
        <v>20</v>
      </c>
      <c r="Y35" s="1" t="s">
        <v>93</v>
      </c>
      <c r="Z35" s="5">
        <v>46241</v>
      </c>
      <c r="AA35" s="5">
        <v>46231</v>
      </c>
      <c r="AB35" s="1" t="s">
        <v>238</v>
      </c>
      <c r="AC35" s="8">
        <f>IF(C35="","",IF(AB35="Closed",AA35-C35,TODAY()-C35))</f>
        <v>0</v>
      </c>
      <c r="AD35" s="1" t="s">
        <v>4</v>
      </c>
    </row>
    <row r="36" spans="1:30">
      <c r="A36" s="1">
        <v>33</v>
      </c>
      <c r="B36" s="1" t="s">
        <v>1556</v>
      </c>
      <c r="C36" s="5">
        <v>46257</v>
      </c>
      <c r="D36" s="1" t="s">
        <v>86</v>
      </c>
      <c r="E36" s="6" t="s">
        <v>1488</v>
      </c>
      <c r="F36" s="6" t="s">
        <v>1554</v>
      </c>
      <c r="G36" s="1" t="s">
        <v>1490</v>
      </c>
      <c r="H36" s="1" t="s">
        <v>27</v>
      </c>
      <c r="I36" s="1" t="s">
        <v>14</v>
      </c>
      <c r="J36" s="1" t="s">
        <v>1541</v>
      </c>
      <c r="K36" s="1" t="s">
        <v>47</v>
      </c>
      <c r="L36" s="1" t="s">
        <v>95</v>
      </c>
      <c r="M36" s="1" t="s">
        <v>1512</v>
      </c>
      <c r="N36" s="1" t="s">
        <v>1494</v>
      </c>
      <c r="O36" s="1" t="s">
        <v>32</v>
      </c>
      <c r="P36" s="1" t="s">
        <v>1508</v>
      </c>
      <c r="Q36" s="1" t="s">
        <v>1538</v>
      </c>
      <c r="R36" s="1" t="s">
        <v>26</v>
      </c>
      <c r="S36" s="1" t="s">
        <v>1330</v>
      </c>
      <c r="T36" s="1" t="s">
        <v>1318</v>
      </c>
      <c r="U36" s="1" t="s">
        <v>159</v>
      </c>
      <c r="V36" s="1">
        <v>23</v>
      </c>
      <c r="W36" s="1" t="s">
        <v>49</v>
      </c>
      <c r="X36" s="1" t="s">
        <v>45</v>
      </c>
      <c r="Y36" s="1" t="s">
        <v>70</v>
      </c>
      <c r="Z36" s="5">
        <v>46280</v>
      </c>
      <c r="AA36" s="5">
        <v>46284</v>
      </c>
      <c r="AB36" s="1" t="s">
        <v>254</v>
      </c>
      <c r="AC36" s="8">
        <f>IF(C36="","",IF(AB36="Closed",AA36-C36,TODAY()-C36))</f>
        <v>0</v>
      </c>
      <c r="AD36" s="1" t="s">
        <v>4</v>
      </c>
    </row>
    <row r="37" spans="1:30">
      <c r="A37" s="1">
        <v>34</v>
      </c>
      <c r="B37" s="1" t="s">
        <v>1557</v>
      </c>
      <c r="C37" s="5">
        <v>46238</v>
      </c>
      <c r="D37" s="1" t="s">
        <v>86</v>
      </c>
      <c r="E37" s="6" t="s">
        <v>1498</v>
      </c>
      <c r="F37" s="6" t="s">
        <v>1554</v>
      </c>
      <c r="G37" s="1" t="s">
        <v>1490</v>
      </c>
      <c r="H37" s="1" t="s">
        <v>89</v>
      </c>
      <c r="I37" s="1" t="s">
        <v>14</v>
      </c>
      <c r="J37" s="1" t="s">
        <v>1505</v>
      </c>
      <c r="K37" s="1" t="s">
        <v>1492</v>
      </c>
      <c r="L37" s="1" t="s">
        <v>35</v>
      </c>
      <c r="M37" s="1" t="s">
        <v>1515</v>
      </c>
      <c r="N37" s="1" t="s">
        <v>1494</v>
      </c>
      <c r="O37" s="1" t="s">
        <v>68</v>
      </c>
      <c r="P37" s="1" t="s">
        <v>1501</v>
      </c>
      <c r="Q37" s="1" t="s">
        <v>1521</v>
      </c>
      <c r="R37" s="1" t="s">
        <v>54</v>
      </c>
      <c r="S37" s="1" t="s">
        <v>296</v>
      </c>
      <c r="T37" s="1" t="s">
        <v>1310</v>
      </c>
      <c r="U37" s="1" t="s">
        <v>142</v>
      </c>
      <c r="V37" s="1">
        <v>7</v>
      </c>
      <c r="W37" s="1" t="s">
        <v>61</v>
      </c>
      <c r="X37" s="1" t="s">
        <v>61</v>
      </c>
      <c r="Y37" s="1" t="s">
        <v>41</v>
      </c>
      <c r="Z37" s="5">
        <v>46243</v>
      </c>
      <c r="AA37" s="5">
        <v>46275</v>
      </c>
      <c r="AB37" s="1" t="s">
        <v>293</v>
      </c>
      <c r="AC37" s="8">
        <f>IF(C37="","",IF(AB37="Closed",AA37-C37,TODAY()-C37))</f>
        <v>0</v>
      </c>
      <c r="AD37" s="1" t="s">
        <v>91</v>
      </c>
    </row>
    <row r="38" spans="1:30">
      <c r="A38" s="1">
        <v>35</v>
      </c>
      <c r="B38" s="1" t="s">
        <v>1558</v>
      </c>
      <c r="C38" s="5">
        <v>46248</v>
      </c>
      <c r="D38" s="1" t="s">
        <v>86</v>
      </c>
      <c r="E38" s="6" t="s">
        <v>1518</v>
      </c>
      <c r="F38" s="6" t="s">
        <v>1554</v>
      </c>
      <c r="G38" s="1" t="s">
        <v>1490</v>
      </c>
      <c r="H38" s="1" t="s">
        <v>27</v>
      </c>
      <c r="I38" s="1" t="s">
        <v>95</v>
      </c>
      <c r="J38" s="1" t="s">
        <v>1505</v>
      </c>
      <c r="K38" s="1" t="s">
        <v>1529</v>
      </c>
      <c r="L38" s="1" t="s">
        <v>82</v>
      </c>
      <c r="M38" s="1" t="s">
        <v>1493</v>
      </c>
      <c r="N38" s="1" t="s">
        <v>1507</v>
      </c>
      <c r="O38" s="1" t="s">
        <v>93</v>
      </c>
      <c r="P38" s="1" t="s">
        <v>1508</v>
      </c>
      <c r="Q38" s="1" t="s">
        <v>1534</v>
      </c>
      <c r="R38" s="1" t="s">
        <v>91</v>
      </c>
      <c r="S38" s="1" t="s">
        <v>296</v>
      </c>
      <c r="T38" s="1" t="s">
        <v>1312</v>
      </c>
      <c r="U38" s="1" t="s">
        <v>154</v>
      </c>
      <c r="V38" s="1">
        <v>4</v>
      </c>
      <c r="W38" s="1" t="s">
        <v>38</v>
      </c>
      <c r="X38" s="1" t="s">
        <v>45</v>
      </c>
      <c r="Y38" s="1" t="s">
        <v>78</v>
      </c>
      <c r="Z38" s="5">
        <v>46277</v>
      </c>
      <c r="AA38" s="5">
        <v>46269</v>
      </c>
      <c r="AB38" s="1" t="s">
        <v>293</v>
      </c>
      <c r="AC38" s="8">
        <f>IF(C38="","",IF(AB38="Closed",AA38-C38,TODAY()-C38))</f>
        <v>0</v>
      </c>
      <c r="AD38" s="1" t="s">
        <v>61</v>
      </c>
    </row>
    <row r="39" spans="1:30">
      <c r="A39" s="1">
        <v>36</v>
      </c>
      <c r="B39" s="1" t="s">
        <v>1559</v>
      </c>
      <c r="C39" s="5">
        <v>46253</v>
      </c>
      <c r="D39" s="1" t="s">
        <v>86</v>
      </c>
      <c r="E39" s="6" t="s">
        <v>1504</v>
      </c>
      <c r="F39" s="6" t="s">
        <v>1554</v>
      </c>
      <c r="G39" s="1" t="s">
        <v>1490</v>
      </c>
      <c r="H39" s="1" t="s">
        <v>92</v>
      </c>
      <c r="I39" s="1" t="s">
        <v>6</v>
      </c>
      <c r="J39" s="1" t="s">
        <v>1499</v>
      </c>
      <c r="K39" s="1" t="s">
        <v>1529</v>
      </c>
      <c r="L39" s="1" t="s">
        <v>80</v>
      </c>
      <c r="M39" s="1" t="s">
        <v>1515</v>
      </c>
      <c r="N39" s="1" t="s">
        <v>1494</v>
      </c>
      <c r="O39" s="1" t="s">
        <v>7</v>
      </c>
      <c r="P39" s="1" t="s">
        <v>1501</v>
      </c>
      <c r="Q39" s="1" t="s">
        <v>1502</v>
      </c>
      <c r="R39" s="1" t="s">
        <v>20</v>
      </c>
      <c r="S39" s="1" t="s">
        <v>1330</v>
      </c>
      <c r="T39" s="1" t="s">
        <v>1315</v>
      </c>
      <c r="U39" s="1" t="s">
        <v>142</v>
      </c>
      <c r="V39" s="1">
        <v>5</v>
      </c>
      <c r="W39" s="1" t="s">
        <v>26</v>
      </c>
      <c r="X39" s="1" t="s">
        <v>38</v>
      </c>
      <c r="Y39" s="1" t="s">
        <v>93</v>
      </c>
      <c r="Z39" s="5">
        <v>46265</v>
      </c>
      <c r="AA39" s="5">
        <v>46264</v>
      </c>
      <c r="AB39" s="1" t="s">
        <v>293</v>
      </c>
      <c r="AC39" s="8">
        <f>IF(C39="","",IF(AB39="Closed",AA39-C39,TODAY()-C39))</f>
        <v>0</v>
      </c>
      <c r="AD39" s="1" t="s">
        <v>20</v>
      </c>
    </row>
    <row r="40" spans="1:30">
      <c r="A40" s="1">
        <v>37</v>
      </c>
      <c r="B40" s="1" t="s">
        <v>1560</v>
      </c>
      <c r="C40" s="5">
        <v>46290</v>
      </c>
      <c r="D40" s="1" t="s">
        <v>102</v>
      </c>
      <c r="E40" s="6" t="s">
        <v>1488</v>
      </c>
      <c r="F40" s="6" t="s">
        <v>1554</v>
      </c>
      <c r="G40" s="1" t="s">
        <v>1490</v>
      </c>
      <c r="H40" s="1" t="s">
        <v>92</v>
      </c>
      <c r="I40" s="1" t="s">
        <v>40</v>
      </c>
      <c r="J40" s="1" t="s">
        <v>1519</v>
      </c>
      <c r="K40" s="1" t="s">
        <v>1492</v>
      </c>
      <c r="L40" s="1" t="s">
        <v>21</v>
      </c>
      <c r="M40" s="1" t="s">
        <v>1506</v>
      </c>
      <c r="N40" s="1" t="s">
        <v>1531</v>
      </c>
      <c r="O40" s="1" t="s">
        <v>93</v>
      </c>
      <c r="P40" s="1" t="s">
        <v>1495</v>
      </c>
      <c r="Q40" s="1" t="s">
        <v>1561</v>
      </c>
      <c r="R40" s="1" t="s">
        <v>4</v>
      </c>
      <c r="S40" s="1" t="s">
        <v>1500</v>
      </c>
      <c r="T40" s="1" t="s">
        <v>1315</v>
      </c>
      <c r="U40" s="1" t="s">
        <v>154</v>
      </c>
      <c r="V40" s="1">
        <v>16</v>
      </c>
      <c r="W40" s="1" t="s">
        <v>12</v>
      </c>
      <c r="X40" s="1" t="s">
        <v>26</v>
      </c>
      <c r="Y40" s="1" t="s">
        <v>70</v>
      </c>
      <c r="Z40" s="5">
        <v>46326</v>
      </c>
      <c r="AA40" s="5">
        <v>46300</v>
      </c>
      <c r="AB40" s="1" t="s">
        <v>254</v>
      </c>
      <c r="AC40" s="8">
        <f>IF(C40="","",IF(AB40="Closed",AA40-C40,TODAY()-C40))</f>
        <v>0</v>
      </c>
      <c r="AD40" s="1" t="s">
        <v>49</v>
      </c>
    </row>
    <row r="41" spans="1:30">
      <c r="A41" s="1">
        <v>38</v>
      </c>
      <c r="B41" s="1" t="s">
        <v>1562</v>
      </c>
      <c r="C41" s="5">
        <v>46293</v>
      </c>
      <c r="D41" s="1" t="s">
        <v>102</v>
      </c>
      <c r="E41" s="6" t="s">
        <v>1488</v>
      </c>
      <c r="F41" s="6" t="s">
        <v>1554</v>
      </c>
      <c r="G41" s="1" t="s">
        <v>1490</v>
      </c>
      <c r="H41" s="1" t="s">
        <v>58</v>
      </c>
      <c r="I41" s="1" t="s">
        <v>80</v>
      </c>
      <c r="J41" s="1" t="s">
        <v>1511</v>
      </c>
      <c r="K41" s="1" t="s">
        <v>1520</v>
      </c>
      <c r="L41" s="1" t="s">
        <v>95</v>
      </c>
      <c r="M41" s="1" t="s">
        <v>1512</v>
      </c>
      <c r="N41" s="1" t="s">
        <v>1494</v>
      </c>
      <c r="O41" s="1" t="s">
        <v>36</v>
      </c>
      <c r="P41" s="1" t="s">
        <v>1501</v>
      </c>
      <c r="Q41" s="1" t="s">
        <v>1534</v>
      </c>
      <c r="R41" s="1" t="s">
        <v>30</v>
      </c>
      <c r="S41" s="1" t="s">
        <v>300</v>
      </c>
      <c r="T41" s="1" t="s">
        <v>1315</v>
      </c>
      <c r="U41" s="1" t="s">
        <v>159</v>
      </c>
      <c r="V41" s="1">
        <v>18</v>
      </c>
      <c r="W41" s="1" t="s">
        <v>16</v>
      </c>
      <c r="X41" s="1" t="s">
        <v>38</v>
      </c>
      <c r="Y41" s="1" t="s">
        <v>104</v>
      </c>
      <c r="Z41" s="5">
        <v>46335</v>
      </c>
      <c r="AA41" s="5">
        <v>46334</v>
      </c>
      <c r="AB41" s="1" t="s">
        <v>254</v>
      </c>
      <c r="AC41" s="8">
        <f>IF(C41="","",IF(AB41="Closed",AA41-C41,TODAY()-C41))</f>
        <v>0</v>
      </c>
      <c r="AD41" s="1" t="s">
        <v>49</v>
      </c>
    </row>
    <row r="42" spans="1:30">
      <c r="A42" s="1">
        <v>39</v>
      </c>
      <c r="B42" s="1" t="s">
        <v>1563</v>
      </c>
      <c r="C42" s="5">
        <v>46274</v>
      </c>
      <c r="D42" s="1" t="s">
        <v>102</v>
      </c>
      <c r="E42" s="6" t="s">
        <v>1518</v>
      </c>
      <c r="F42" s="6" t="s">
        <v>1554</v>
      </c>
      <c r="G42" s="1" t="s">
        <v>1490</v>
      </c>
      <c r="H42" s="1" t="s">
        <v>92</v>
      </c>
      <c r="I42" s="1" t="s">
        <v>35</v>
      </c>
      <c r="J42" s="1" t="s">
        <v>1519</v>
      </c>
      <c r="K42" s="1" t="s">
        <v>1520</v>
      </c>
      <c r="L42" s="1" t="s">
        <v>77</v>
      </c>
      <c r="M42" s="1" t="s">
        <v>1506</v>
      </c>
      <c r="N42" s="1" t="s">
        <v>1494</v>
      </c>
      <c r="O42" s="1" t="s">
        <v>68</v>
      </c>
      <c r="P42" s="1" t="s">
        <v>58</v>
      </c>
      <c r="Q42" s="1" t="s">
        <v>1496</v>
      </c>
      <c r="R42" s="1" t="s">
        <v>4</v>
      </c>
      <c r="S42" s="1" t="s">
        <v>1330</v>
      </c>
      <c r="T42" s="1" t="s">
        <v>1330</v>
      </c>
      <c r="U42" s="1" t="s">
        <v>159</v>
      </c>
      <c r="V42" s="1">
        <v>26</v>
      </c>
      <c r="W42" s="1" t="s">
        <v>30</v>
      </c>
      <c r="X42" s="1" t="s">
        <v>49</v>
      </c>
      <c r="Y42" s="1" t="s">
        <v>28</v>
      </c>
      <c r="Z42" s="5">
        <v>46316</v>
      </c>
      <c r="AA42" s="5">
        <v>46296</v>
      </c>
      <c r="AB42" s="1" t="s">
        <v>293</v>
      </c>
      <c r="AC42" s="8">
        <f>IF(C42="","",IF(AB42="Closed",AA42-C42,TODAY()-C42))</f>
        <v>0</v>
      </c>
      <c r="AD42" s="1" t="s">
        <v>45</v>
      </c>
    </row>
    <row r="43" spans="1:30">
      <c r="A43" s="1">
        <v>40</v>
      </c>
      <c r="B43" s="1" t="s">
        <v>1564</v>
      </c>
      <c r="C43" s="5">
        <v>46311</v>
      </c>
      <c r="D43" s="1" t="s">
        <v>106</v>
      </c>
      <c r="E43" s="6" t="s">
        <v>1504</v>
      </c>
      <c r="F43" s="6" t="s">
        <v>1565</v>
      </c>
      <c r="G43" s="1" t="s">
        <v>1490</v>
      </c>
      <c r="H43" s="1" t="s">
        <v>46</v>
      </c>
      <c r="I43" s="1" t="s">
        <v>21</v>
      </c>
      <c r="J43" s="1" t="s">
        <v>1499</v>
      </c>
      <c r="K43" s="1" t="s">
        <v>1520</v>
      </c>
      <c r="L43" s="1" t="s">
        <v>80</v>
      </c>
      <c r="M43" s="1" t="s">
        <v>1515</v>
      </c>
      <c r="N43" s="1" t="s">
        <v>1494</v>
      </c>
      <c r="O43" s="1" t="s">
        <v>68</v>
      </c>
      <c r="P43" s="1" t="s">
        <v>1501</v>
      </c>
      <c r="Q43" s="1" t="s">
        <v>1502</v>
      </c>
      <c r="R43" s="1" t="s">
        <v>54</v>
      </c>
      <c r="S43" s="1" t="s">
        <v>1500</v>
      </c>
      <c r="T43" s="1" t="s">
        <v>1315</v>
      </c>
      <c r="U43" s="1" t="s">
        <v>159</v>
      </c>
      <c r="V43" s="1">
        <v>1</v>
      </c>
      <c r="W43" s="1" t="s">
        <v>4</v>
      </c>
      <c r="X43" s="1" t="s">
        <v>49</v>
      </c>
      <c r="Y43" s="1" t="s">
        <v>104</v>
      </c>
      <c r="Z43" s="5">
        <v>46335</v>
      </c>
      <c r="AA43" s="5">
        <v>46338</v>
      </c>
      <c r="AB43" s="1" t="s">
        <v>293</v>
      </c>
      <c r="AC43" s="8">
        <f>IF(C43="","",IF(AB43="Closed",AA43-C43,TODAY()-C43))</f>
        <v>0</v>
      </c>
      <c r="AD43" s="1" t="s">
        <v>30</v>
      </c>
    </row>
    <row r="44" spans="1:30">
      <c r="A44" s="1">
        <v>41</v>
      </c>
      <c r="B44" s="1" t="s">
        <v>1566</v>
      </c>
      <c r="C44" s="5">
        <v>46307</v>
      </c>
      <c r="D44" s="1" t="s">
        <v>106</v>
      </c>
      <c r="E44" s="6" t="s">
        <v>1518</v>
      </c>
      <c r="F44" s="6" t="s">
        <v>1565</v>
      </c>
      <c r="G44" s="1" t="s">
        <v>1490</v>
      </c>
      <c r="H44" s="1" t="s">
        <v>46</v>
      </c>
      <c r="I44" s="1" t="s">
        <v>14</v>
      </c>
      <c r="J44" s="1" t="s">
        <v>1511</v>
      </c>
      <c r="K44" s="1" t="s">
        <v>47</v>
      </c>
      <c r="L44" s="1" t="s">
        <v>77</v>
      </c>
      <c r="M44" s="1" t="s">
        <v>1493</v>
      </c>
      <c r="N44" s="1" t="s">
        <v>1494</v>
      </c>
      <c r="O44" s="1" t="s">
        <v>15</v>
      </c>
      <c r="P44" s="1" t="s">
        <v>1495</v>
      </c>
      <c r="Q44" s="1" t="s">
        <v>1521</v>
      </c>
      <c r="R44" s="1" t="s">
        <v>38</v>
      </c>
      <c r="S44" s="1" t="s">
        <v>1500</v>
      </c>
      <c r="T44" s="1" t="s">
        <v>300</v>
      </c>
      <c r="U44" s="1" t="s">
        <v>159</v>
      </c>
      <c r="V44" s="1">
        <v>24</v>
      </c>
      <c r="W44" s="1" t="s">
        <v>61</v>
      </c>
      <c r="X44" s="1" t="s">
        <v>4</v>
      </c>
      <c r="Y44" s="1" t="s">
        <v>68</v>
      </c>
      <c r="Z44" s="5">
        <v>46333</v>
      </c>
      <c r="AA44" s="5">
        <v>46315</v>
      </c>
      <c r="AB44" s="1" t="s">
        <v>293</v>
      </c>
      <c r="AC44" s="8">
        <f>IF(C44="","",IF(AB44="Closed",AA44-C44,TODAY()-C44))</f>
        <v>0</v>
      </c>
      <c r="AD44" s="1" t="s">
        <v>38</v>
      </c>
    </row>
    <row r="45" spans="1:30">
      <c r="A45" s="1">
        <v>42</v>
      </c>
      <c r="B45" s="1" t="s">
        <v>1567</v>
      </c>
      <c r="C45" s="5">
        <v>46333</v>
      </c>
      <c r="D45" s="1" t="s">
        <v>111</v>
      </c>
      <c r="E45" s="6" t="s">
        <v>1498</v>
      </c>
      <c r="F45" s="6" t="s">
        <v>1565</v>
      </c>
      <c r="G45" s="1" t="s">
        <v>1490</v>
      </c>
      <c r="H45" s="1" t="s">
        <v>5</v>
      </c>
      <c r="I45" s="1" t="s">
        <v>80</v>
      </c>
      <c r="J45" s="1" t="s">
        <v>1505</v>
      </c>
      <c r="K45" s="1" t="s">
        <v>47</v>
      </c>
      <c r="L45" s="1" t="s">
        <v>82</v>
      </c>
      <c r="M45" s="1" t="s">
        <v>1500</v>
      </c>
      <c r="N45" s="1" t="s">
        <v>1494</v>
      </c>
      <c r="O45" s="1" t="s">
        <v>41</v>
      </c>
      <c r="P45" s="1" t="s">
        <v>1508</v>
      </c>
      <c r="Q45" s="1" t="s">
        <v>1496</v>
      </c>
      <c r="R45" s="1" t="s">
        <v>16</v>
      </c>
      <c r="S45" s="1" t="s">
        <v>1330</v>
      </c>
      <c r="T45" s="1" t="s">
        <v>1330</v>
      </c>
      <c r="U45" s="1" t="s">
        <v>162</v>
      </c>
      <c r="V45" s="1">
        <v>29</v>
      </c>
      <c r="W45" s="1" t="s">
        <v>20</v>
      </c>
      <c r="X45" s="1" t="s">
        <v>49</v>
      </c>
      <c r="Y45" s="1" t="s">
        <v>104</v>
      </c>
      <c r="Z45" s="5">
        <v>46362</v>
      </c>
      <c r="AA45" s="5">
        <v>46365</v>
      </c>
      <c r="AB45" s="1" t="s">
        <v>293</v>
      </c>
      <c r="AC45" s="8">
        <f>IF(C45="","",IF(AB45="Closed",AA45-C45,TODAY()-C45))</f>
        <v>0</v>
      </c>
      <c r="AD45" s="1" t="s">
        <v>16</v>
      </c>
    </row>
    <row r="46" spans="1:30">
      <c r="A46" s="1">
        <v>43</v>
      </c>
      <c r="B46" s="1" t="s">
        <v>1568</v>
      </c>
      <c r="C46" s="5">
        <v>46345</v>
      </c>
      <c r="D46" s="1" t="s">
        <v>111</v>
      </c>
      <c r="E46" s="6" t="s">
        <v>1504</v>
      </c>
      <c r="F46" s="6" t="s">
        <v>1565</v>
      </c>
      <c r="G46" s="1" t="s">
        <v>1490</v>
      </c>
      <c r="H46" s="1" t="s">
        <v>50</v>
      </c>
      <c r="I46" s="1" t="s">
        <v>82</v>
      </c>
      <c r="J46" s="1" t="s">
        <v>1505</v>
      </c>
      <c r="K46" s="1" t="s">
        <v>1492</v>
      </c>
      <c r="L46" s="1" t="s">
        <v>77</v>
      </c>
      <c r="M46" s="1" t="s">
        <v>1500</v>
      </c>
      <c r="N46" s="1" t="s">
        <v>1507</v>
      </c>
      <c r="O46" s="1" t="s">
        <v>32</v>
      </c>
      <c r="P46" s="1" t="s">
        <v>58</v>
      </c>
      <c r="Q46" s="1" t="s">
        <v>1534</v>
      </c>
      <c r="R46" s="1" t="s">
        <v>26</v>
      </c>
      <c r="S46" s="1" t="s">
        <v>1500</v>
      </c>
      <c r="T46" s="1" t="s">
        <v>1330</v>
      </c>
      <c r="U46" s="1" t="s">
        <v>159</v>
      </c>
      <c r="V46" s="1">
        <v>22</v>
      </c>
      <c r="W46" s="1" t="s">
        <v>26</v>
      </c>
      <c r="X46" s="1" t="s">
        <v>12</v>
      </c>
      <c r="Y46" s="1" t="s">
        <v>32</v>
      </c>
      <c r="Z46" s="5">
        <v>46373</v>
      </c>
      <c r="AA46" s="5">
        <v>46377</v>
      </c>
      <c r="AB46" s="1" t="s">
        <v>238</v>
      </c>
      <c r="AC46" s="8">
        <f>IF(C46="","",IF(AB46="Closed",AA46-C46,TODAY()-C46))</f>
        <v>0</v>
      </c>
      <c r="AD46" s="1" t="s">
        <v>16</v>
      </c>
    </row>
    <row r="47" spans="1:30">
      <c r="A47" s="1">
        <v>44</v>
      </c>
      <c r="B47" s="1" t="s">
        <v>1569</v>
      </c>
      <c r="C47" s="5">
        <v>46340</v>
      </c>
      <c r="D47" s="1" t="s">
        <v>111</v>
      </c>
      <c r="E47" s="6" t="s">
        <v>1518</v>
      </c>
      <c r="F47" s="6" t="s">
        <v>1565</v>
      </c>
      <c r="G47" s="1" t="s">
        <v>1490</v>
      </c>
      <c r="H47" s="1" t="s">
        <v>58</v>
      </c>
      <c r="I47" s="1" t="s">
        <v>31</v>
      </c>
      <c r="J47" s="1" t="s">
        <v>1541</v>
      </c>
      <c r="K47" s="1" t="s">
        <v>1529</v>
      </c>
      <c r="L47" s="1" t="s">
        <v>6</v>
      </c>
      <c r="M47" s="1" t="s">
        <v>1512</v>
      </c>
      <c r="N47" s="1" t="s">
        <v>1507</v>
      </c>
      <c r="O47" s="1" t="s">
        <v>68</v>
      </c>
      <c r="P47" s="1" t="s">
        <v>58</v>
      </c>
      <c r="Q47" s="1" t="s">
        <v>1523</v>
      </c>
      <c r="R47" s="1" t="s">
        <v>64</v>
      </c>
      <c r="S47" s="1" t="s">
        <v>300</v>
      </c>
      <c r="T47" s="1" t="s">
        <v>1337</v>
      </c>
      <c r="U47" s="1" t="s">
        <v>162</v>
      </c>
      <c r="V47" s="1">
        <v>12</v>
      </c>
      <c r="W47" s="1" t="s">
        <v>57</v>
      </c>
      <c r="X47" s="1" t="s">
        <v>4</v>
      </c>
      <c r="Y47" s="1" t="s">
        <v>7</v>
      </c>
      <c r="Z47" s="5">
        <v>46357</v>
      </c>
      <c r="AA47" s="5">
        <v>46378</v>
      </c>
      <c r="AB47" s="1" t="s">
        <v>293</v>
      </c>
      <c r="AC47" s="8">
        <f>IF(C47="","",IF(AB47="Closed",AA47-C47,TODAY()-C47))</f>
        <v>0</v>
      </c>
      <c r="AD47" s="1" t="s">
        <v>64</v>
      </c>
    </row>
    <row r="48" spans="1:30">
      <c r="A48" s="1">
        <v>45</v>
      </c>
      <c r="B48" s="1" t="s">
        <v>1570</v>
      </c>
      <c r="C48" s="5">
        <v>46348</v>
      </c>
      <c r="D48" s="1" t="s">
        <v>111</v>
      </c>
      <c r="E48" s="6" t="s">
        <v>1488</v>
      </c>
      <c r="F48" s="6" t="s">
        <v>1565</v>
      </c>
      <c r="G48" s="1" t="s">
        <v>1490</v>
      </c>
      <c r="H48" s="1" t="s">
        <v>39</v>
      </c>
      <c r="I48" s="1" t="s">
        <v>77</v>
      </c>
      <c r="J48" s="1" t="s">
        <v>1491</v>
      </c>
      <c r="K48" s="1" t="s">
        <v>1492</v>
      </c>
      <c r="L48" s="1" t="s">
        <v>31</v>
      </c>
      <c r="M48" s="1" t="s">
        <v>1493</v>
      </c>
      <c r="N48" s="1" t="s">
        <v>1494</v>
      </c>
      <c r="O48" s="1" t="s">
        <v>32</v>
      </c>
      <c r="P48" s="1" t="s">
        <v>1501</v>
      </c>
      <c r="Q48" s="1" t="s">
        <v>1534</v>
      </c>
      <c r="R48" s="1" t="s">
        <v>54</v>
      </c>
      <c r="S48" s="1" t="s">
        <v>296</v>
      </c>
      <c r="T48" s="1" t="s">
        <v>1310</v>
      </c>
      <c r="U48" s="1" t="s">
        <v>154</v>
      </c>
      <c r="V48" s="1">
        <v>22</v>
      </c>
      <c r="W48" s="1" t="s">
        <v>38</v>
      </c>
      <c r="X48" s="1" t="s">
        <v>12</v>
      </c>
      <c r="Y48" s="1" t="s">
        <v>93</v>
      </c>
      <c r="Z48" s="5">
        <v>46364</v>
      </c>
      <c r="AA48" s="5">
        <v>46379</v>
      </c>
      <c r="AB48" s="1" t="s">
        <v>254</v>
      </c>
      <c r="AC48" s="8">
        <f>IF(C48="","",IF(AB48="Closed",AA48-C48,TODAY()-C48))</f>
        <v>0</v>
      </c>
      <c r="AD48" s="1" t="s">
        <v>20</v>
      </c>
    </row>
    <row r="49" spans="1:30">
      <c r="A49" s="1">
        <v>46</v>
      </c>
      <c r="B49" s="1" t="s">
        <v>1571</v>
      </c>
      <c r="C49" s="5">
        <v>46327</v>
      </c>
      <c r="D49" s="1" t="s">
        <v>111</v>
      </c>
      <c r="E49" s="6" t="s">
        <v>1498</v>
      </c>
      <c r="F49" s="6" t="s">
        <v>1565</v>
      </c>
      <c r="G49" s="1" t="s">
        <v>1490</v>
      </c>
      <c r="H49" s="1" t="s">
        <v>58</v>
      </c>
      <c r="I49" s="1" t="s">
        <v>95</v>
      </c>
      <c r="J49" s="1" t="s">
        <v>1511</v>
      </c>
      <c r="K49" s="1" t="s">
        <v>1520</v>
      </c>
      <c r="L49" s="1" t="s">
        <v>80</v>
      </c>
      <c r="M49" s="1" t="s">
        <v>1493</v>
      </c>
      <c r="N49" s="1" t="s">
        <v>1494</v>
      </c>
      <c r="O49" s="1" t="s">
        <v>41</v>
      </c>
      <c r="P49" s="1" t="s">
        <v>1495</v>
      </c>
      <c r="Q49" s="1" t="s">
        <v>1521</v>
      </c>
      <c r="R49" s="1" t="s">
        <v>38</v>
      </c>
      <c r="S49" s="1" t="s">
        <v>296</v>
      </c>
      <c r="T49" s="1" t="s">
        <v>300</v>
      </c>
      <c r="U49" s="1" t="s">
        <v>159</v>
      </c>
      <c r="V49" s="1">
        <v>12</v>
      </c>
      <c r="W49" s="1" t="s">
        <v>64</v>
      </c>
      <c r="X49" s="1" t="s">
        <v>45</v>
      </c>
      <c r="Y49" s="1" t="s">
        <v>32</v>
      </c>
      <c r="Z49" s="5">
        <v>46341</v>
      </c>
      <c r="AA49" s="5">
        <v>46362</v>
      </c>
      <c r="AB49" s="1" t="s">
        <v>293</v>
      </c>
      <c r="AC49" s="8">
        <f>IF(C49="","",IF(AB49="Closed",AA49-C49,TODAY()-C49))</f>
        <v>0</v>
      </c>
      <c r="AD49" s="1" t="s">
        <v>54</v>
      </c>
    </row>
    <row r="50" spans="1:30">
      <c r="A50" s="1">
        <v>47</v>
      </c>
      <c r="B50" s="1" t="s">
        <v>1572</v>
      </c>
      <c r="C50" s="5">
        <v>46382</v>
      </c>
      <c r="D50" s="1" t="s">
        <v>122</v>
      </c>
      <c r="E50" s="6" t="s">
        <v>1488</v>
      </c>
      <c r="F50" s="6" t="s">
        <v>1565</v>
      </c>
      <c r="G50" s="1" t="s">
        <v>1490</v>
      </c>
      <c r="H50" s="1" t="s">
        <v>5</v>
      </c>
      <c r="I50" s="1" t="s">
        <v>51</v>
      </c>
      <c r="J50" s="1" t="s">
        <v>1505</v>
      </c>
      <c r="K50" s="1" t="s">
        <v>1520</v>
      </c>
      <c r="L50" s="1" t="s">
        <v>87</v>
      </c>
      <c r="M50" s="1" t="s">
        <v>1500</v>
      </c>
      <c r="N50" s="1" t="s">
        <v>1573</v>
      </c>
      <c r="O50" s="1" t="s">
        <v>70</v>
      </c>
      <c r="P50" s="1" t="s">
        <v>1495</v>
      </c>
      <c r="Q50" s="1" t="s">
        <v>1523</v>
      </c>
      <c r="R50" s="1" t="s">
        <v>64</v>
      </c>
      <c r="S50" s="1" t="s">
        <v>1500</v>
      </c>
      <c r="T50" s="1" t="s">
        <v>1315</v>
      </c>
      <c r="U50" s="1" t="s">
        <v>154</v>
      </c>
      <c r="V50" s="1">
        <v>6</v>
      </c>
      <c r="W50" s="1" t="s">
        <v>49</v>
      </c>
      <c r="X50" s="1" t="s">
        <v>57</v>
      </c>
      <c r="Y50" s="1" t="s">
        <v>78</v>
      </c>
      <c r="Z50" s="5">
        <v>46425</v>
      </c>
      <c r="AA50" s="5">
        <v>46424</v>
      </c>
      <c r="AB50" s="1" t="s">
        <v>293</v>
      </c>
      <c r="AC50" s="8">
        <f>IF(C50="","",IF(AB50="Closed",AA50-C50,TODAY()-C50))</f>
        <v>0</v>
      </c>
      <c r="AD50" s="1" t="s">
        <v>12</v>
      </c>
    </row>
    <row r="51" spans="1:30">
      <c r="A51" s="1">
        <v>48</v>
      </c>
      <c r="B51" s="1" t="s">
        <v>1574</v>
      </c>
      <c r="C51" s="5">
        <v>46383</v>
      </c>
      <c r="D51" s="1" t="s">
        <v>122</v>
      </c>
      <c r="E51" s="6" t="s">
        <v>1488</v>
      </c>
      <c r="F51" s="6" t="s">
        <v>1565</v>
      </c>
      <c r="G51" s="1" t="s">
        <v>1490</v>
      </c>
      <c r="H51" s="1" t="s">
        <v>89</v>
      </c>
      <c r="I51" s="1" t="s">
        <v>87</v>
      </c>
      <c r="J51" s="1" t="s">
        <v>1511</v>
      </c>
      <c r="K51" s="1" t="s">
        <v>47</v>
      </c>
      <c r="L51" s="1" t="s">
        <v>77</v>
      </c>
      <c r="M51" s="1" t="s">
        <v>1493</v>
      </c>
      <c r="N51" s="1" t="s">
        <v>1536</v>
      </c>
      <c r="O51" s="1" t="s">
        <v>68</v>
      </c>
      <c r="P51" s="1" t="s">
        <v>58</v>
      </c>
      <c r="Q51" s="1" t="s">
        <v>1502</v>
      </c>
      <c r="R51" s="1" t="s">
        <v>91</v>
      </c>
      <c r="S51" s="1" t="s">
        <v>300</v>
      </c>
      <c r="T51" s="1" t="s">
        <v>1315</v>
      </c>
      <c r="U51" s="1" t="s">
        <v>142</v>
      </c>
      <c r="V51" s="1">
        <v>29</v>
      </c>
      <c r="W51" s="1" t="s">
        <v>49</v>
      </c>
      <c r="X51" s="1" t="s">
        <v>12</v>
      </c>
      <c r="Y51" s="1" t="s">
        <v>36</v>
      </c>
      <c r="Z51" s="5">
        <v>46396</v>
      </c>
      <c r="AA51" s="5">
        <v>46424</v>
      </c>
      <c r="AB51" s="1" t="s">
        <v>293</v>
      </c>
      <c r="AC51" s="8">
        <f>IF(C51="","",IF(AB51="Closed",AA51-C51,TODAY()-C51))</f>
        <v>0</v>
      </c>
      <c r="AD51" s="1" t="s">
        <v>91</v>
      </c>
    </row>
    <row r="52" spans="1:30">
      <c r="AC52" s="8">
        <f>IF(C52="","",IF(AB52="Closed",AA52-C52,TODAY()-C52))</f>
        <v>0</v>
      </c>
    </row>
    <row r="53" spans="1:30">
      <c r="AC53" s="8">
        <f>IF(C53="","",IF(AB53="Closed",AA53-C53,TODAY()-C53))</f>
        <v>0</v>
      </c>
    </row>
    <row r="54" spans="1:30">
      <c r="AC54" s="8">
        <f>IF(C54="","",IF(AB54="Closed",AA54-C54,TODAY()-C54))</f>
        <v>0</v>
      </c>
    </row>
    <row r="55" spans="1:30">
      <c r="AC55" s="8">
        <f>IF(C55="","",IF(AB55="Closed",AA55-C55,TODAY()-C55))</f>
        <v>0</v>
      </c>
    </row>
    <row r="56" spans="1:30">
      <c r="AC56" s="8">
        <f>IF(C56="","",IF(AB56="Closed",AA56-C56,TODAY()-C56))</f>
        <v>0</v>
      </c>
    </row>
    <row r="57" spans="1:30">
      <c r="AC57" s="8">
        <f>IF(C57="","",IF(AB57="Closed",AA57-C57,TODAY()-C57))</f>
        <v>0</v>
      </c>
    </row>
    <row r="58" spans="1:30">
      <c r="AC58" s="8">
        <f>IF(C58="","",IF(AB58="Closed",AA58-C58,TODAY()-C58))</f>
        <v>0</v>
      </c>
    </row>
    <row r="59" spans="1:30">
      <c r="AC59" s="8">
        <f>IF(C59="","",IF(AB59="Closed",AA59-C59,TODAY()-C59))</f>
        <v>0</v>
      </c>
    </row>
    <row r="60" spans="1:30">
      <c r="AC60" s="8">
        <f>IF(C60="","",IF(AB60="Closed",AA60-C60,TODAY()-C60))</f>
        <v>0</v>
      </c>
    </row>
    <row r="61" spans="1:30">
      <c r="AC61" s="8">
        <f>IF(C61="","",IF(AB61="Closed",AA61-C61,TODAY()-C61))</f>
        <v>0</v>
      </c>
    </row>
    <row r="62" spans="1:30">
      <c r="AC62" s="8">
        <f>IF(C62="","",IF(AB62="Closed",AA62-C62,TODAY()-C62))</f>
        <v>0</v>
      </c>
    </row>
    <row r="63" spans="1:30">
      <c r="AC63" s="8">
        <f>IF(C63="","",IF(AB63="Closed",AA63-C63,TODAY()-C63))</f>
        <v>0</v>
      </c>
    </row>
    <row r="64" spans="1:30">
      <c r="AC64" s="8">
        <f>IF(C64="","",IF(AB64="Closed",AA64-C64,TODAY()-C64))</f>
        <v>0</v>
      </c>
    </row>
    <row r="65" spans="29:29">
      <c r="AC65" s="8">
        <f>IF(C65="","",IF(AB65="Closed",AA65-C65,TODAY()-C65))</f>
        <v>0</v>
      </c>
    </row>
    <row r="66" spans="29:29">
      <c r="AC66" s="8">
        <f>IF(C66="","",IF(AB66="Closed",AA66-C66,TODAY()-C66))</f>
        <v>0</v>
      </c>
    </row>
    <row r="67" spans="29:29">
      <c r="AC67" s="8">
        <f>IF(C67="","",IF(AB67="Closed",AA67-C67,TODAY()-C67))</f>
        <v>0</v>
      </c>
    </row>
    <row r="68" spans="29:29">
      <c r="AC68" s="8">
        <f>IF(C68="","",IF(AB68="Closed",AA68-C68,TODAY()-C68))</f>
        <v>0</v>
      </c>
    </row>
    <row r="69" spans="29:29">
      <c r="AC69" s="8">
        <f>IF(C69="","",IF(AB69="Closed",AA69-C69,TODAY()-C69))</f>
        <v>0</v>
      </c>
    </row>
    <row r="70" spans="29:29">
      <c r="AC70" s="8">
        <f>IF(C70="","",IF(AB70="Closed",AA70-C70,TODAY()-C70))</f>
        <v>0</v>
      </c>
    </row>
    <row r="71" spans="29:29">
      <c r="AC71" s="8">
        <f>IF(C71="","",IF(AB71="Closed",AA71-C71,TODAY()-C71))</f>
        <v>0</v>
      </c>
    </row>
    <row r="72" spans="29:29">
      <c r="AC72" s="8">
        <f>IF(C72="","",IF(AB72="Closed",AA72-C72,TODAY()-C72))</f>
        <v>0</v>
      </c>
    </row>
    <row r="73" spans="29:29">
      <c r="AC73" s="8">
        <f>IF(C73="","",IF(AB73="Closed",AA73-C73,TODAY()-C73))</f>
        <v>0</v>
      </c>
    </row>
    <row r="74" spans="29:29">
      <c r="AC74" s="8">
        <f>IF(C74="","",IF(AB74="Closed",AA74-C74,TODAY()-C74))</f>
        <v>0</v>
      </c>
    </row>
    <row r="75" spans="29:29">
      <c r="AC75" s="8">
        <f>IF(C75="","",IF(AB75="Closed",AA75-C75,TODAY()-C75))</f>
        <v>0</v>
      </c>
    </row>
    <row r="76" spans="29:29">
      <c r="AC76" s="8">
        <f>IF(C76="","",IF(AB76="Closed",AA76-C76,TODAY()-C76))</f>
        <v>0</v>
      </c>
    </row>
    <row r="77" spans="29:29">
      <c r="AC77" s="8">
        <f>IF(C77="","",IF(AB77="Closed",AA77-C77,TODAY()-C77))</f>
        <v>0</v>
      </c>
    </row>
    <row r="78" spans="29:29">
      <c r="AC78" s="8">
        <f>IF(C78="","",IF(AB78="Closed",AA78-C78,TODAY()-C78))</f>
        <v>0</v>
      </c>
    </row>
    <row r="79" spans="29:29">
      <c r="AC79" s="8">
        <f>IF(C79="","",IF(AB79="Closed",AA79-C79,TODAY()-C79))</f>
        <v>0</v>
      </c>
    </row>
    <row r="80" spans="29:29">
      <c r="AC80" s="8">
        <f>IF(C80="","",IF(AB80="Closed",AA80-C80,TODAY()-C80))</f>
        <v>0</v>
      </c>
    </row>
    <row r="81" spans="29:29">
      <c r="AC81" s="8">
        <f>IF(C81="","",IF(AB81="Closed",AA81-C81,TODAY()-C81))</f>
        <v>0</v>
      </c>
    </row>
    <row r="82" spans="29:29">
      <c r="AC82" s="8">
        <f>IF(C82="","",IF(AB82="Closed",AA82-C82,TODAY()-C82))</f>
        <v>0</v>
      </c>
    </row>
    <row r="83" spans="29:29">
      <c r="AC83" s="8">
        <f>IF(C83="","",IF(AB83="Closed",AA83-C83,TODAY()-C83))</f>
        <v>0</v>
      </c>
    </row>
    <row r="84" spans="29:29">
      <c r="AC84" s="8">
        <f>IF(C84="","",IF(AB84="Closed",AA84-C84,TODAY()-C84))</f>
        <v>0</v>
      </c>
    </row>
    <row r="85" spans="29:29">
      <c r="AC85" s="8">
        <f>IF(C85="","",IF(AB85="Closed",AA85-C85,TODAY()-C85))</f>
        <v>0</v>
      </c>
    </row>
    <row r="86" spans="29:29">
      <c r="AC86" s="8">
        <f>IF(C86="","",IF(AB86="Closed",AA86-C86,TODAY()-C86))</f>
        <v>0</v>
      </c>
    </row>
    <row r="87" spans="29:29">
      <c r="AC87" s="8">
        <f>IF(C87="","",IF(AB87="Closed",AA87-C87,TODAY()-C87))</f>
        <v>0</v>
      </c>
    </row>
    <row r="88" spans="29:29">
      <c r="AC88" s="8">
        <f>IF(C88="","",IF(AB88="Closed",AA88-C88,TODAY()-C88))</f>
        <v>0</v>
      </c>
    </row>
    <row r="89" spans="29:29">
      <c r="AC89" s="8">
        <f>IF(C89="","",IF(AB89="Closed",AA89-C89,TODAY()-C89))</f>
        <v>0</v>
      </c>
    </row>
    <row r="90" spans="29:29">
      <c r="AC90" s="8">
        <f>IF(C90="","",IF(AB90="Closed",AA90-C90,TODAY()-C90))</f>
        <v>0</v>
      </c>
    </row>
    <row r="91" spans="29:29">
      <c r="AC91" s="8">
        <f>IF(C91="","",IF(AB91="Closed",AA91-C91,TODAY()-C91))</f>
        <v>0</v>
      </c>
    </row>
    <row r="92" spans="29:29">
      <c r="AC92" s="8">
        <f>IF(C92="","",IF(AB92="Closed",AA92-C92,TODAY()-C92))</f>
        <v>0</v>
      </c>
    </row>
    <row r="93" spans="29:29">
      <c r="AC93" s="8">
        <f>IF(C93="","",IF(AB93="Closed",AA93-C93,TODAY()-C93))</f>
        <v>0</v>
      </c>
    </row>
    <row r="94" spans="29:29">
      <c r="AC94" s="8">
        <f>IF(C94="","",IF(AB94="Closed",AA94-C94,TODAY()-C94))</f>
        <v>0</v>
      </c>
    </row>
    <row r="95" spans="29:29">
      <c r="AC95" s="8">
        <f>IF(C95="","",IF(AB95="Closed",AA95-C95,TODAY()-C95))</f>
        <v>0</v>
      </c>
    </row>
    <row r="96" spans="29:29">
      <c r="AC96" s="8">
        <f>IF(C96="","",IF(AB96="Closed",AA96-C96,TODAY()-C96))</f>
        <v>0</v>
      </c>
    </row>
    <row r="97" spans="29:29">
      <c r="AC97" s="8">
        <f>IF(C97="","",IF(AB97="Closed",AA97-C97,TODAY()-C97))</f>
        <v>0</v>
      </c>
    </row>
    <row r="98" spans="29:29">
      <c r="AC98" s="8">
        <f>IF(C98="","",IF(AB98="Closed",AA98-C98,TODAY()-C98))</f>
        <v>0</v>
      </c>
    </row>
    <row r="99" spans="29:29">
      <c r="AC99" s="8">
        <f>IF(C99="","",IF(AB99="Closed",AA99-C99,TODAY()-C99))</f>
        <v>0</v>
      </c>
    </row>
    <row r="100" spans="29:29">
      <c r="AC100" s="8">
        <f>IF(C100="","",IF(AB100="Closed",AA100-C100,TODAY()-C100))</f>
        <v>0</v>
      </c>
    </row>
    <row r="101" spans="29:29">
      <c r="AC101" s="8">
        <f>IF(C101="","",IF(AB101="Closed",AA101-C101,TODAY()-C101))</f>
        <v>0</v>
      </c>
    </row>
    <row r="102" spans="29:29">
      <c r="AC102" s="8">
        <f>IF(C102="","",IF(AB102="Closed",AA102-C102,TODAY()-C102))</f>
        <v>0</v>
      </c>
    </row>
    <row r="103" spans="29:29">
      <c r="AC103" s="8">
        <f>IF(C103="","",IF(AB103="Closed",AA103-C103,TODAY()-C103))</f>
        <v>0</v>
      </c>
    </row>
    <row r="104" spans="29:29">
      <c r="AC104" s="8">
        <f>IF(C104="","",IF(AB104="Closed",AA104-C104,TODAY()-C104))</f>
        <v>0</v>
      </c>
    </row>
    <row r="105" spans="29:29">
      <c r="AC105" s="8">
        <f>IF(C105="","",IF(AB105="Closed",AA105-C105,TODAY()-C105))</f>
        <v>0</v>
      </c>
    </row>
    <row r="106" spans="29:29">
      <c r="AC106" s="8">
        <f>IF(C106="","",IF(AB106="Closed",AA106-C106,TODAY()-C106))</f>
        <v>0</v>
      </c>
    </row>
    <row r="107" spans="29:29">
      <c r="AC107" s="8">
        <f>IF(C107="","",IF(AB107="Closed",AA107-C107,TODAY()-C107))</f>
        <v>0</v>
      </c>
    </row>
    <row r="108" spans="29:29">
      <c r="AC108" s="8">
        <f>IF(C108="","",IF(AB108="Closed",AA108-C108,TODAY()-C108))</f>
        <v>0</v>
      </c>
    </row>
    <row r="109" spans="29:29">
      <c r="AC109" s="8">
        <f>IF(C109="","",IF(AB109="Closed",AA109-C109,TODAY()-C109))</f>
        <v>0</v>
      </c>
    </row>
    <row r="110" spans="29:29">
      <c r="AC110" s="8">
        <f>IF(C110="","",IF(AB110="Closed",AA110-C110,TODAY()-C110))</f>
        <v>0</v>
      </c>
    </row>
    <row r="111" spans="29:29">
      <c r="AC111" s="8">
        <f>IF(C111="","",IF(AB111="Closed",AA111-C111,TODAY()-C111))</f>
        <v>0</v>
      </c>
    </row>
    <row r="112" spans="29:29">
      <c r="AC112" s="8">
        <f>IF(C112="","",IF(AB112="Closed",AA112-C112,TODAY()-C112))</f>
        <v>0</v>
      </c>
    </row>
    <row r="113" spans="29:29">
      <c r="AC113" s="8">
        <f>IF(C113="","",IF(AB113="Closed",AA113-C113,TODAY()-C113))</f>
        <v>0</v>
      </c>
    </row>
    <row r="114" spans="29:29">
      <c r="AC114" s="8">
        <f>IF(C114="","",IF(AB114="Closed",AA114-C114,TODAY()-C114))</f>
        <v>0</v>
      </c>
    </row>
    <row r="115" spans="29:29">
      <c r="AC115" s="8">
        <f>IF(C115="","",IF(AB115="Closed",AA115-C115,TODAY()-C115))</f>
        <v>0</v>
      </c>
    </row>
    <row r="116" spans="29:29">
      <c r="AC116" s="8">
        <f>IF(C116="","",IF(AB116="Closed",AA116-C116,TODAY()-C116))</f>
        <v>0</v>
      </c>
    </row>
    <row r="117" spans="29:29">
      <c r="AC117" s="8">
        <f>IF(C117="","",IF(AB117="Closed",AA117-C117,TODAY()-C117))</f>
        <v>0</v>
      </c>
    </row>
    <row r="118" spans="29:29">
      <c r="AC118" s="8">
        <f>IF(C118="","",IF(AB118="Closed",AA118-C118,TODAY()-C118))</f>
        <v>0</v>
      </c>
    </row>
    <row r="119" spans="29:29">
      <c r="AC119" s="8">
        <f>IF(C119="","",IF(AB119="Closed",AA119-C119,TODAY()-C119))</f>
        <v>0</v>
      </c>
    </row>
    <row r="120" spans="29:29">
      <c r="AC120" s="8">
        <f>IF(C120="","",IF(AB120="Closed",AA120-C120,TODAY()-C120))</f>
        <v>0</v>
      </c>
    </row>
    <row r="121" spans="29:29">
      <c r="AC121" s="8">
        <f>IF(C121="","",IF(AB121="Closed",AA121-C121,TODAY()-C121))</f>
        <v>0</v>
      </c>
    </row>
    <row r="122" spans="29:29">
      <c r="AC122" s="8">
        <f>IF(C122="","",IF(AB122="Closed",AA122-C122,TODAY()-C122))</f>
        <v>0</v>
      </c>
    </row>
    <row r="123" spans="29:29">
      <c r="AC123" s="8">
        <f>IF(C123="","",IF(AB123="Closed",AA123-C123,TODAY()-C123))</f>
        <v>0</v>
      </c>
    </row>
    <row r="124" spans="29:29">
      <c r="AC124" s="8">
        <f>IF(C124="","",IF(AB124="Closed",AA124-C124,TODAY()-C124))</f>
        <v>0</v>
      </c>
    </row>
    <row r="125" spans="29:29">
      <c r="AC125" s="8">
        <f>IF(C125="","",IF(AB125="Closed",AA125-C125,TODAY()-C125))</f>
        <v>0</v>
      </c>
    </row>
    <row r="126" spans="29:29">
      <c r="AC126" s="8">
        <f>IF(C126="","",IF(AB126="Closed",AA126-C126,TODAY()-C126))</f>
        <v>0</v>
      </c>
    </row>
    <row r="127" spans="29:29">
      <c r="AC127" s="8">
        <f>IF(C127="","",IF(AB127="Closed",AA127-C127,TODAY()-C127))</f>
        <v>0</v>
      </c>
    </row>
    <row r="128" spans="29:29">
      <c r="AC128" s="8">
        <f>IF(C128="","",IF(AB128="Closed",AA128-C128,TODAY()-C128))</f>
        <v>0</v>
      </c>
    </row>
    <row r="129" spans="29:29">
      <c r="AC129" s="8">
        <f>IF(C129="","",IF(AB129="Closed",AA129-C129,TODAY()-C129))</f>
        <v>0</v>
      </c>
    </row>
    <row r="130" spans="29:29">
      <c r="AC130" s="8">
        <f>IF(C130="","",IF(AB130="Closed",AA130-C130,TODAY()-C130))</f>
        <v>0</v>
      </c>
    </row>
    <row r="131" spans="29:29">
      <c r="AC131" s="8">
        <f>IF(C131="","",IF(AB131="Closed",AA131-C131,TODAY()-C131))</f>
        <v>0</v>
      </c>
    </row>
    <row r="132" spans="29:29">
      <c r="AC132" s="8">
        <f>IF(C132="","",IF(AB132="Closed",AA132-C132,TODAY()-C132))</f>
        <v>0</v>
      </c>
    </row>
    <row r="133" spans="29:29">
      <c r="AC133" s="8">
        <f>IF(C133="","",IF(AB133="Closed",AA133-C133,TODAY()-C133))</f>
        <v>0</v>
      </c>
    </row>
    <row r="134" spans="29:29">
      <c r="AC134" s="8">
        <f>IF(C134="","",IF(AB134="Closed",AA134-C134,TODAY()-C134))</f>
        <v>0</v>
      </c>
    </row>
    <row r="135" spans="29:29">
      <c r="AC135" s="8">
        <f>IF(C135="","",IF(AB135="Closed",AA135-C135,TODAY()-C135))</f>
        <v>0</v>
      </c>
    </row>
    <row r="136" spans="29:29">
      <c r="AC136" s="8">
        <f>IF(C136="","",IF(AB136="Closed",AA136-C136,TODAY()-C136))</f>
        <v>0</v>
      </c>
    </row>
    <row r="137" spans="29:29">
      <c r="AC137" s="8">
        <f>IF(C137="","",IF(AB137="Closed",AA137-C137,TODAY()-C137))</f>
        <v>0</v>
      </c>
    </row>
    <row r="138" spans="29:29">
      <c r="AC138" s="8">
        <f>IF(C138="","",IF(AB138="Closed",AA138-C138,TODAY()-C138))</f>
        <v>0</v>
      </c>
    </row>
    <row r="139" spans="29:29">
      <c r="AC139" s="8">
        <f>IF(C139="","",IF(AB139="Closed",AA139-C139,TODAY()-C139))</f>
        <v>0</v>
      </c>
    </row>
    <row r="140" spans="29:29">
      <c r="AC140" s="8">
        <f>IF(C140="","",IF(AB140="Closed",AA140-C140,TODAY()-C140))</f>
        <v>0</v>
      </c>
    </row>
    <row r="141" spans="29:29">
      <c r="AC141" s="8">
        <f>IF(C141="","",IF(AB141="Closed",AA141-C141,TODAY()-C141))</f>
        <v>0</v>
      </c>
    </row>
    <row r="142" spans="29:29">
      <c r="AC142" s="8">
        <f>IF(C142="","",IF(AB142="Closed",AA142-C142,TODAY()-C142))</f>
        <v>0</v>
      </c>
    </row>
    <row r="143" spans="29:29">
      <c r="AC143" s="8">
        <f>IF(C143="","",IF(AB143="Closed",AA143-C143,TODAY()-C143))</f>
        <v>0</v>
      </c>
    </row>
    <row r="144" spans="29:29">
      <c r="AC144" s="8">
        <f>IF(C144="","",IF(AB144="Closed",AA144-C144,TODAY()-C144))</f>
        <v>0</v>
      </c>
    </row>
    <row r="145" spans="29:29">
      <c r="AC145" s="8">
        <f>IF(C145="","",IF(AB145="Closed",AA145-C145,TODAY()-C145))</f>
        <v>0</v>
      </c>
    </row>
    <row r="146" spans="29:29">
      <c r="AC146" s="8">
        <f>IF(C146="","",IF(AB146="Closed",AA146-C146,TODAY()-C146))</f>
        <v>0</v>
      </c>
    </row>
    <row r="147" spans="29:29">
      <c r="AC147" s="8">
        <f>IF(C147="","",IF(AB147="Closed",AA147-C147,TODAY()-C147))</f>
        <v>0</v>
      </c>
    </row>
    <row r="148" spans="29:29">
      <c r="AC148" s="8">
        <f>IF(C148="","",IF(AB148="Closed",AA148-C148,TODAY()-C148))</f>
        <v>0</v>
      </c>
    </row>
    <row r="149" spans="29:29">
      <c r="AC149" s="8">
        <f>IF(C149="","",IF(AB149="Closed",AA149-C149,TODAY()-C149))</f>
        <v>0</v>
      </c>
    </row>
    <row r="150" spans="29:29">
      <c r="AC150" s="8">
        <f>IF(C150="","",IF(AB150="Closed",AA150-C150,TODAY()-C150))</f>
        <v>0</v>
      </c>
    </row>
    <row r="151" spans="29:29">
      <c r="AC151" s="8">
        <f>IF(C151="","",IF(AB151="Closed",AA151-C151,TODAY()-C151))</f>
        <v>0</v>
      </c>
    </row>
    <row r="152" spans="29:29">
      <c r="AC152" s="8">
        <f>IF(C152="","",IF(AB152="Closed",AA152-C152,TODAY()-C152))</f>
        <v>0</v>
      </c>
    </row>
    <row r="153" spans="29:29">
      <c r="AC153" s="8">
        <f>IF(C153="","",IF(AB153="Closed",AA153-C153,TODAY()-C153))</f>
        <v>0</v>
      </c>
    </row>
    <row r="154" spans="29:29">
      <c r="AC154" s="8">
        <f>IF(C154="","",IF(AB154="Closed",AA154-C154,TODAY()-C154))</f>
        <v>0</v>
      </c>
    </row>
    <row r="155" spans="29:29">
      <c r="AC155" s="8">
        <f>IF(C155="","",IF(AB155="Closed",AA155-C155,TODAY()-C155))</f>
        <v>0</v>
      </c>
    </row>
    <row r="156" spans="29:29">
      <c r="AC156" s="8">
        <f>IF(C156="","",IF(AB156="Closed",AA156-C156,TODAY()-C156))</f>
        <v>0</v>
      </c>
    </row>
    <row r="157" spans="29:29">
      <c r="AC157" s="8">
        <f>IF(C157="","",IF(AB157="Closed",AA157-C157,TODAY()-C157))</f>
        <v>0</v>
      </c>
    </row>
    <row r="158" spans="29:29">
      <c r="AC158" s="8">
        <f>IF(C158="","",IF(AB158="Closed",AA158-C158,TODAY()-C158))</f>
        <v>0</v>
      </c>
    </row>
    <row r="159" spans="29:29">
      <c r="AC159" s="8">
        <f>IF(C159="","",IF(AB159="Closed",AA159-C159,TODAY()-C159))</f>
        <v>0</v>
      </c>
    </row>
    <row r="160" spans="29:29">
      <c r="AC160" s="8">
        <f>IF(C160="","",IF(AB160="Closed",AA160-C160,TODAY()-C160))</f>
        <v>0</v>
      </c>
    </row>
    <row r="161" spans="29:29">
      <c r="AC161" s="8">
        <f>IF(C161="","",IF(AB161="Closed",AA161-C161,TODAY()-C161))</f>
        <v>0</v>
      </c>
    </row>
    <row r="162" spans="29:29">
      <c r="AC162" s="8">
        <f>IF(C162="","",IF(AB162="Closed",AA162-C162,TODAY()-C162))</f>
        <v>0</v>
      </c>
    </row>
    <row r="163" spans="29:29">
      <c r="AC163" s="8">
        <f>IF(C163="","",IF(AB163="Closed",AA163-C163,TODAY()-C163))</f>
        <v>0</v>
      </c>
    </row>
    <row r="164" spans="29:29">
      <c r="AC164" s="8">
        <f>IF(C164="","",IF(AB164="Closed",AA164-C164,TODAY()-C164))</f>
        <v>0</v>
      </c>
    </row>
    <row r="165" spans="29:29">
      <c r="AC165" s="8">
        <f>IF(C165="","",IF(AB165="Closed",AA165-C165,TODAY()-C165))</f>
        <v>0</v>
      </c>
    </row>
    <row r="166" spans="29:29">
      <c r="AC166" s="8">
        <f>IF(C166="","",IF(AB166="Closed",AA166-C166,TODAY()-C166))</f>
        <v>0</v>
      </c>
    </row>
    <row r="167" spans="29:29">
      <c r="AC167" s="8">
        <f>IF(C167="","",IF(AB167="Closed",AA167-C167,TODAY()-C167))</f>
        <v>0</v>
      </c>
    </row>
    <row r="168" spans="29:29">
      <c r="AC168" s="8">
        <f>IF(C168="","",IF(AB168="Closed",AA168-C168,TODAY()-C168))</f>
        <v>0</v>
      </c>
    </row>
    <row r="169" spans="29:29">
      <c r="AC169" s="8">
        <f>IF(C169="","",IF(AB169="Closed",AA169-C169,TODAY()-C169))</f>
        <v>0</v>
      </c>
    </row>
    <row r="170" spans="29:29">
      <c r="AC170" s="8">
        <f>IF(C170="","",IF(AB170="Closed",AA170-C170,TODAY()-C170))</f>
        <v>0</v>
      </c>
    </row>
    <row r="171" spans="29:29">
      <c r="AC171" s="8">
        <f>IF(C171="","",IF(AB171="Closed",AA171-C171,TODAY()-C171))</f>
        <v>0</v>
      </c>
    </row>
    <row r="172" spans="29:29">
      <c r="AC172" s="8">
        <f>IF(C172="","",IF(AB172="Closed",AA172-C172,TODAY()-C172))</f>
        <v>0</v>
      </c>
    </row>
    <row r="173" spans="29:29">
      <c r="AC173" s="8">
        <f>IF(C173="","",IF(AB173="Closed",AA173-C173,TODAY()-C173))</f>
        <v>0</v>
      </c>
    </row>
    <row r="174" spans="29:29">
      <c r="AC174" s="8">
        <f>IF(C174="","",IF(AB174="Closed",AA174-C174,TODAY()-C174))</f>
        <v>0</v>
      </c>
    </row>
    <row r="175" spans="29:29">
      <c r="AC175" s="8">
        <f>IF(C175="","",IF(AB175="Closed",AA175-C175,TODAY()-C175))</f>
        <v>0</v>
      </c>
    </row>
    <row r="176" spans="29:29">
      <c r="AC176" s="8">
        <f>IF(C176="","",IF(AB176="Closed",AA176-C176,TODAY()-C176))</f>
        <v>0</v>
      </c>
    </row>
    <row r="177" spans="29:29">
      <c r="AC177" s="8">
        <f>IF(C177="","",IF(AB177="Closed",AA177-C177,TODAY()-C177))</f>
        <v>0</v>
      </c>
    </row>
    <row r="178" spans="29:29">
      <c r="AC178" s="8">
        <f>IF(C178="","",IF(AB178="Closed",AA178-C178,TODAY()-C178))</f>
        <v>0</v>
      </c>
    </row>
    <row r="179" spans="29:29">
      <c r="AC179" s="8">
        <f>IF(C179="","",IF(AB179="Closed",AA179-C179,TODAY()-C179))</f>
        <v>0</v>
      </c>
    </row>
    <row r="180" spans="29:29">
      <c r="AC180" s="8">
        <f>IF(C180="","",IF(AB180="Closed",AA180-C180,TODAY()-C180))</f>
        <v>0</v>
      </c>
    </row>
    <row r="181" spans="29:29">
      <c r="AC181" s="8">
        <f>IF(C181="","",IF(AB181="Closed",AA181-C181,TODAY()-C181))</f>
        <v>0</v>
      </c>
    </row>
    <row r="182" spans="29:29">
      <c r="AC182" s="8">
        <f>IF(C182="","",IF(AB182="Closed",AA182-C182,TODAY()-C182))</f>
        <v>0</v>
      </c>
    </row>
    <row r="183" spans="29:29">
      <c r="AC183" s="8">
        <f>IF(C183="","",IF(AB183="Closed",AA183-C183,TODAY()-C183))</f>
        <v>0</v>
      </c>
    </row>
    <row r="184" spans="29:29">
      <c r="AC184" s="8">
        <f>IF(C184="","",IF(AB184="Closed",AA184-C184,TODAY()-C184))</f>
        <v>0</v>
      </c>
    </row>
    <row r="185" spans="29:29">
      <c r="AC185" s="8">
        <f>IF(C185="","",IF(AB185="Closed",AA185-C185,TODAY()-C185))</f>
        <v>0</v>
      </c>
    </row>
    <row r="186" spans="29:29">
      <c r="AC186" s="8">
        <f>IF(C186="","",IF(AB186="Closed",AA186-C186,TODAY()-C186))</f>
        <v>0</v>
      </c>
    </row>
    <row r="187" spans="29:29">
      <c r="AC187" s="8">
        <f>IF(C187="","",IF(AB187="Closed",AA187-C187,TODAY()-C187))</f>
        <v>0</v>
      </c>
    </row>
    <row r="188" spans="29:29">
      <c r="AC188" s="8">
        <f>IF(C188="","",IF(AB188="Closed",AA188-C188,TODAY()-C188))</f>
        <v>0</v>
      </c>
    </row>
    <row r="189" spans="29:29">
      <c r="AC189" s="8">
        <f>IF(C189="","",IF(AB189="Closed",AA189-C189,TODAY()-C189))</f>
        <v>0</v>
      </c>
    </row>
    <row r="190" spans="29:29">
      <c r="AC190" s="8">
        <f>IF(C190="","",IF(AB190="Closed",AA190-C190,TODAY()-C190))</f>
        <v>0</v>
      </c>
    </row>
    <row r="191" spans="29:29">
      <c r="AC191" s="8">
        <f>IF(C191="","",IF(AB191="Closed",AA191-C191,TODAY()-C191))</f>
        <v>0</v>
      </c>
    </row>
    <row r="192" spans="29:29">
      <c r="AC192" s="8">
        <f>IF(C192="","",IF(AB192="Closed",AA192-C192,TODAY()-C192))</f>
        <v>0</v>
      </c>
    </row>
    <row r="193" spans="29:29">
      <c r="AC193" s="8">
        <f>IF(C193="","",IF(AB193="Closed",AA193-C193,TODAY()-C193))</f>
        <v>0</v>
      </c>
    </row>
    <row r="194" spans="29:29">
      <c r="AC194" s="8">
        <f>IF(C194="","",IF(AB194="Closed",AA194-C194,TODAY()-C194))</f>
        <v>0</v>
      </c>
    </row>
    <row r="195" spans="29:29">
      <c r="AC195" s="8">
        <f>IF(C195="","",IF(AB195="Closed",AA195-C195,TODAY()-C195))</f>
        <v>0</v>
      </c>
    </row>
    <row r="196" spans="29:29">
      <c r="AC196" s="8">
        <f>IF(C196="","",IF(AB196="Closed",AA196-C196,TODAY()-C196))</f>
        <v>0</v>
      </c>
    </row>
    <row r="197" spans="29:29">
      <c r="AC197" s="8">
        <f>IF(C197="","",IF(AB197="Closed",AA197-C197,TODAY()-C197))</f>
        <v>0</v>
      </c>
    </row>
    <row r="198" spans="29:29">
      <c r="AC198" s="8">
        <f>IF(C198="","",IF(AB198="Closed",AA198-C198,TODAY()-C198))</f>
        <v>0</v>
      </c>
    </row>
    <row r="199" spans="29:29">
      <c r="AC199" s="8">
        <f>IF(C199="","",IF(AB199="Closed",AA199-C199,TODAY()-C199))</f>
        <v>0</v>
      </c>
    </row>
    <row r="200" spans="29:29">
      <c r="AC200" s="8">
        <f>IF(C200="","",IF(AB200="Closed",AA200-C200,TODAY()-C200))</f>
        <v>0</v>
      </c>
    </row>
    <row r="201" spans="29:29">
      <c r="AC201" s="8">
        <f>IF(C201="","",IF(AB201="Closed",AA201-C201,TODAY()-C201))</f>
        <v>0</v>
      </c>
    </row>
    <row r="202" spans="29:29">
      <c r="AC202" s="8">
        <f>IF(C202="","",IF(AB202="Closed",AA202-C202,TODAY()-C202))</f>
        <v>0</v>
      </c>
    </row>
    <row r="203" spans="29:29">
      <c r="AC203" s="8">
        <f>IF(C203="","",IF(AB203="Closed",AA203-C203,TODAY()-C203))</f>
        <v>0</v>
      </c>
    </row>
    <row r="204" spans="29:29">
      <c r="AC204" s="8">
        <f>IF(C204="","",IF(AB204="Closed",AA204-C204,TODAY()-C204))</f>
        <v>0</v>
      </c>
    </row>
    <row r="205" spans="29:29">
      <c r="AC205" s="8">
        <f>IF(C205="","",IF(AB205="Closed",AA205-C205,TODAY()-C205))</f>
        <v>0</v>
      </c>
    </row>
    <row r="206" spans="29:29">
      <c r="AC206" s="8">
        <f>IF(C206="","",IF(AB206="Closed",AA206-C206,TODAY()-C206))</f>
        <v>0</v>
      </c>
    </row>
    <row r="207" spans="29:29">
      <c r="AC207" s="8">
        <f>IF(C207="","",IF(AB207="Closed",AA207-C207,TODAY()-C207))</f>
        <v>0</v>
      </c>
    </row>
    <row r="208" spans="29:29">
      <c r="AC208" s="8">
        <f>IF(C208="","",IF(AB208="Closed",AA208-C208,TODAY()-C208))</f>
        <v>0</v>
      </c>
    </row>
    <row r="209" spans="29:29">
      <c r="AC209" s="8">
        <f>IF(C209="","",IF(AB209="Closed",AA209-C209,TODAY()-C209))</f>
        <v>0</v>
      </c>
    </row>
    <row r="210" spans="29:29">
      <c r="AC210" s="8">
        <f>IF(C210="","",IF(AB210="Closed",AA210-C210,TODAY()-C210))</f>
        <v>0</v>
      </c>
    </row>
    <row r="211" spans="29:29">
      <c r="AC211" s="8">
        <f>IF(C211="","",IF(AB211="Closed",AA211-C211,TODAY()-C211))</f>
        <v>0</v>
      </c>
    </row>
    <row r="212" spans="29:29">
      <c r="AC212" s="8">
        <f>IF(C212="","",IF(AB212="Closed",AA212-C212,TODAY()-C212))</f>
        <v>0</v>
      </c>
    </row>
    <row r="213" spans="29:29">
      <c r="AC213" s="8">
        <f>IF(C213="","",IF(AB213="Closed",AA213-C213,TODAY()-C213))</f>
        <v>0</v>
      </c>
    </row>
    <row r="214" spans="29:29">
      <c r="AC214" s="8">
        <f>IF(C214="","",IF(AB214="Closed",AA214-C214,TODAY()-C214))</f>
        <v>0</v>
      </c>
    </row>
    <row r="215" spans="29:29">
      <c r="AC215" s="8">
        <f>IF(C215="","",IF(AB215="Closed",AA215-C215,TODAY()-C215))</f>
        <v>0</v>
      </c>
    </row>
    <row r="216" spans="29:29">
      <c r="AC216" s="8">
        <f>IF(C216="","",IF(AB216="Closed",AA216-C216,TODAY()-C216))</f>
        <v>0</v>
      </c>
    </row>
    <row r="217" spans="29:29">
      <c r="AC217" s="8">
        <f>IF(C217="","",IF(AB217="Closed",AA217-C217,TODAY()-C217))</f>
        <v>0</v>
      </c>
    </row>
    <row r="218" spans="29:29">
      <c r="AC218" s="8">
        <f>IF(C218="","",IF(AB218="Closed",AA218-C218,TODAY()-C218))</f>
        <v>0</v>
      </c>
    </row>
    <row r="219" spans="29:29">
      <c r="AC219" s="8">
        <f>IF(C219="","",IF(AB219="Closed",AA219-C219,TODAY()-C219))</f>
        <v>0</v>
      </c>
    </row>
    <row r="220" spans="29:29">
      <c r="AC220" s="8">
        <f>IF(C220="","",IF(AB220="Closed",AA220-C220,TODAY()-C220))</f>
        <v>0</v>
      </c>
    </row>
    <row r="221" spans="29:29">
      <c r="AC221" s="8">
        <f>IF(C221="","",IF(AB221="Closed",AA221-C221,TODAY()-C221))</f>
        <v>0</v>
      </c>
    </row>
    <row r="222" spans="29:29">
      <c r="AC222" s="8">
        <f>IF(C222="","",IF(AB222="Closed",AA222-C222,TODAY()-C222))</f>
        <v>0</v>
      </c>
    </row>
    <row r="223" spans="29:29">
      <c r="AC223" s="8">
        <f>IF(C223="","",IF(AB223="Closed",AA223-C223,TODAY()-C223))</f>
        <v>0</v>
      </c>
    </row>
    <row r="224" spans="29:29">
      <c r="AC224" s="8">
        <f>IF(C224="","",IF(AB224="Closed",AA224-C224,TODAY()-C224))</f>
        <v>0</v>
      </c>
    </row>
    <row r="225" spans="29:29">
      <c r="AC225" s="8">
        <f>IF(C225="","",IF(AB225="Closed",AA225-C225,TODAY()-C225))</f>
        <v>0</v>
      </c>
    </row>
    <row r="226" spans="29:29">
      <c r="AC226" s="8">
        <f>IF(C226="","",IF(AB226="Closed",AA226-C226,TODAY()-C226))</f>
        <v>0</v>
      </c>
    </row>
    <row r="227" spans="29:29">
      <c r="AC227" s="8">
        <f>IF(C227="","",IF(AB227="Closed",AA227-C227,TODAY()-C227))</f>
        <v>0</v>
      </c>
    </row>
    <row r="228" spans="29:29">
      <c r="AC228" s="8">
        <f>IF(C228="","",IF(AB228="Closed",AA228-C228,TODAY()-C228))</f>
        <v>0</v>
      </c>
    </row>
    <row r="229" spans="29:29">
      <c r="AC229" s="8">
        <f>IF(C229="","",IF(AB229="Closed",AA229-C229,TODAY()-C229))</f>
        <v>0</v>
      </c>
    </row>
    <row r="230" spans="29:29">
      <c r="AC230" s="8">
        <f>IF(C230="","",IF(AB230="Closed",AA230-C230,TODAY()-C230))</f>
        <v>0</v>
      </c>
    </row>
    <row r="231" spans="29:29">
      <c r="AC231" s="8">
        <f>IF(C231="","",IF(AB231="Closed",AA231-C231,TODAY()-C231))</f>
        <v>0</v>
      </c>
    </row>
    <row r="232" spans="29:29">
      <c r="AC232" s="8">
        <f>IF(C232="","",IF(AB232="Closed",AA232-C232,TODAY()-C232))</f>
        <v>0</v>
      </c>
    </row>
    <row r="233" spans="29:29">
      <c r="AC233" s="8">
        <f>IF(C233="","",IF(AB233="Closed",AA233-C233,TODAY()-C233))</f>
        <v>0</v>
      </c>
    </row>
    <row r="234" spans="29:29">
      <c r="AC234" s="8">
        <f>IF(C234="","",IF(AB234="Closed",AA234-C234,TODAY()-C234))</f>
        <v>0</v>
      </c>
    </row>
    <row r="235" spans="29:29">
      <c r="AC235" s="8">
        <f>IF(C235="","",IF(AB235="Closed",AA235-C235,TODAY()-C235))</f>
        <v>0</v>
      </c>
    </row>
    <row r="236" spans="29:29">
      <c r="AC236" s="8">
        <f>IF(C236="","",IF(AB236="Closed",AA236-C236,TODAY()-C236))</f>
        <v>0</v>
      </c>
    </row>
    <row r="237" spans="29:29">
      <c r="AC237" s="8">
        <f>IF(C237="","",IF(AB237="Closed",AA237-C237,TODAY()-C237))</f>
        <v>0</v>
      </c>
    </row>
    <row r="238" spans="29:29">
      <c r="AC238" s="8">
        <f>IF(C238="","",IF(AB238="Closed",AA238-C238,TODAY()-C238))</f>
        <v>0</v>
      </c>
    </row>
    <row r="239" spans="29:29">
      <c r="AC239" s="8">
        <f>IF(C239="","",IF(AB239="Closed",AA239-C239,TODAY()-C239))</f>
        <v>0</v>
      </c>
    </row>
    <row r="240" spans="29:29">
      <c r="AC240" s="8">
        <f>IF(C240="","",IF(AB240="Closed",AA240-C240,TODAY()-C240))</f>
        <v>0</v>
      </c>
    </row>
    <row r="241" spans="29:29">
      <c r="AC241" s="8">
        <f>IF(C241="","",IF(AB241="Closed",AA241-C241,TODAY()-C241))</f>
        <v>0</v>
      </c>
    </row>
    <row r="242" spans="29:29">
      <c r="AC242" s="8">
        <f>IF(C242="","",IF(AB242="Closed",AA242-C242,TODAY()-C242))</f>
        <v>0</v>
      </c>
    </row>
    <row r="243" spans="29:29">
      <c r="AC243" s="8">
        <f>IF(C243="","",IF(AB243="Closed",AA243-C243,TODAY()-C243))</f>
        <v>0</v>
      </c>
    </row>
    <row r="244" spans="29:29">
      <c r="AC244" s="8">
        <f>IF(C244="","",IF(AB244="Closed",AA244-C244,TODAY()-C244))</f>
        <v>0</v>
      </c>
    </row>
    <row r="245" spans="29:29">
      <c r="AC245" s="8">
        <f>IF(C245="","",IF(AB245="Closed",AA245-C245,TODAY()-C245))</f>
        <v>0</v>
      </c>
    </row>
    <row r="246" spans="29:29">
      <c r="AC246" s="8">
        <f>IF(C246="","",IF(AB246="Closed",AA246-C246,TODAY()-C246))</f>
        <v>0</v>
      </c>
    </row>
    <row r="247" spans="29:29">
      <c r="AC247" s="8">
        <f>IF(C247="","",IF(AB247="Closed",AA247-C247,TODAY()-C247))</f>
        <v>0</v>
      </c>
    </row>
    <row r="248" spans="29:29">
      <c r="AC248" s="8">
        <f>IF(C248="","",IF(AB248="Closed",AA248-C248,TODAY()-C248))</f>
        <v>0</v>
      </c>
    </row>
    <row r="249" spans="29:29">
      <c r="AC249" s="8">
        <f>IF(C249="","",IF(AB249="Closed",AA249-C249,TODAY()-C249))</f>
        <v>0</v>
      </c>
    </row>
    <row r="250" spans="29:29">
      <c r="AC250" s="8">
        <f>IF(C250="","",IF(AB250="Closed",AA250-C250,TODAY()-C250))</f>
        <v>0</v>
      </c>
    </row>
    <row r="251" spans="29:29">
      <c r="AC251" s="8">
        <f>IF(C251="","",IF(AB251="Closed",AA251-C251,TODAY()-C251))</f>
        <v>0</v>
      </c>
    </row>
    <row r="252" spans="29:29">
      <c r="AC252" s="8">
        <f>IF(C252="","",IF(AB252="Closed",AA252-C252,TODAY()-C252))</f>
        <v>0</v>
      </c>
    </row>
    <row r="253" spans="29:29">
      <c r="AC253" s="8">
        <f>IF(C253="","",IF(AB253="Closed",AA253-C253,TODAY()-C253))</f>
        <v>0</v>
      </c>
    </row>
    <row r="254" spans="29:29">
      <c r="AC254" s="8">
        <f>IF(C254="","",IF(AB254="Closed",AA254-C254,TODAY()-C254))</f>
        <v>0</v>
      </c>
    </row>
    <row r="255" spans="29:29">
      <c r="AC255" s="8">
        <f>IF(C255="","",IF(AB255="Closed",AA255-C255,TODAY()-C255))</f>
        <v>0</v>
      </c>
    </row>
    <row r="256" spans="29:29">
      <c r="AC256" s="8">
        <f>IF(C256="","",IF(AB256="Closed",AA256-C256,TODAY()-C256))</f>
        <v>0</v>
      </c>
    </row>
    <row r="257" spans="29:29">
      <c r="AC257" s="8">
        <f>IF(C257="","",IF(AB257="Closed",AA257-C257,TODAY()-C257))</f>
        <v>0</v>
      </c>
    </row>
    <row r="258" spans="29:29">
      <c r="AC258" s="8">
        <f>IF(C258="","",IF(AB258="Closed",AA258-C258,TODAY()-C258))</f>
        <v>0</v>
      </c>
    </row>
    <row r="259" spans="29:29">
      <c r="AC259" s="8">
        <f>IF(C259="","",IF(AB259="Closed",AA259-C259,TODAY()-C259))</f>
        <v>0</v>
      </c>
    </row>
    <row r="260" spans="29:29">
      <c r="AC260" s="8">
        <f>IF(C260="","",IF(AB260="Closed",AA260-C260,TODAY()-C260))</f>
        <v>0</v>
      </c>
    </row>
    <row r="261" spans="29:29">
      <c r="AC261" s="8">
        <f>IF(C261="","",IF(AB261="Closed",AA261-C261,TODAY()-C261))</f>
        <v>0</v>
      </c>
    </row>
    <row r="262" spans="29:29">
      <c r="AC262" s="8">
        <f>IF(C262="","",IF(AB262="Closed",AA262-C262,TODAY()-C262))</f>
        <v>0</v>
      </c>
    </row>
    <row r="263" spans="29:29">
      <c r="AC263" s="8">
        <f>IF(C263="","",IF(AB263="Closed",AA263-C263,TODAY()-C263))</f>
        <v>0</v>
      </c>
    </row>
    <row r="264" spans="29:29">
      <c r="AC264" s="8">
        <f>IF(C264="","",IF(AB264="Closed",AA264-C264,TODAY()-C264))</f>
        <v>0</v>
      </c>
    </row>
    <row r="265" spans="29:29">
      <c r="AC265" s="8">
        <f>IF(C265="","",IF(AB265="Closed",AA265-C265,TODAY()-C265))</f>
        <v>0</v>
      </c>
    </row>
    <row r="266" spans="29:29">
      <c r="AC266" s="8">
        <f>IF(C266="","",IF(AB266="Closed",AA266-C266,TODAY()-C266))</f>
        <v>0</v>
      </c>
    </row>
    <row r="267" spans="29:29">
      <c r="AC267" s="8">
        <f>IF(C267="","",IF(AB267="Closed",AA267-C267,TODAY()-C267))</f>
        <v>0</v>
      </c>
    </row>
    <row r="268" spans="29:29">
      <c r="AC268" s="8">
        <f>IF(C268="","",IF(AB268="Closed",AA268-C268,TODAY()-C268))</f>
        <v>0</v>
      </c>
    </row>
    <row r="269" spans="29:29">
      <c r="AC269" s="8">
        <f>IF(C269="","",IF(AB269="Closed",AA269-C269,TODAY()-C269))</f>
        <v>0</v>
      </c>
    </row>
    <row r="270" spans="29:29">
      <c r="AC270" s="8">
        <f>IF(C270="","",IF(AB270="Closed",AA270-C270,TODAY()-C270))</f>
        <v>0</v>
      </c>
    </row>
    <row r="271" spans="29:29">
      <c r="AC271" s="8">
        <f>IF(C271="","",IF(AB271="Closed",AA271-C271,TODAY()-C271))</f>
        <v>0</v>
      </c>
    </row>
    <row r="272" spans="29:29">
      <c r="AC272" s="8">
        <f>IF(C272="","",IF(AB272="Closed",AA272-C272,TODAY()-C272))</f>
        <v>0</v>
      </c>
    </row>
    <row r="273" spans="29:29">
      <c r="AC273" s="8">
        <f>IF(C273="","",IF(AB273="Closed",AA273-C273,TODAY()-C273))</f>
        <v>0</v>
      </c>
    </row>
    <row r="274" spans="29:29">
      <c r="AC274" s="8">
        <f>IF(C274="","",IF(AB274="Closed",AA274-C274,TODAY()-C274))</f>
        <v>0</v>
      </c>
    </row>
    <row r="275" spans="29:29">
      <c r="AC275" s="8">
        <f>IF(C275="","",IF(AB275="Closed",AA275-C275,TODAY()-C275))</f>
        <v>0</v>
      </c>
    </row>
    <row r="276" spans="29:29">
      <c r="AC276" s="8">
        <f>IF(C276="","",IF(AB276="Closed",AA276-C276,TODAY()-C276))</f>
        <v>0</v>
      </c>
    </row>
    <row r="277" spans="29:29">
      <c r="AC277" s="8">
        <f>IF(C277="","",IF(AB277="Closed",AA277-C277,TODAY()-C277))</f>
        <v>0</v>
      </c>
    </row>
    <row r="278" spans="29:29">
      <c r="AC278" s="8">
        <f>IF(C278="","",IF(AB278="Closed",AA278-C278,TODAY()-C278))</f>
        <v>0</v>
      </c>
    </row>
    <row r="279" spans="29:29">
      <c r="AC279" s="8">
        <f>IF(C279="","",IF(AB279="Closed",AA279-C279,TODAY()-C279))</f>
        <v>0</v>
      </c>
    </row>
    <row r="280" spans="29:29">
      <c r="AC280" s="8">
        <f>IF(C280="","",IF(AB280="Closed",AA280-C280,TODAY()-C280))</f>
        <v>0</v>
      </c>
    </row>
    <row r="281" spans="29:29">
      <c r="AC281" s="8">
        <f>IF(C281="","",IF(AB281="Closed",AA281-C281,TODAY()-C281))</f>
        <v>0</v>
      </c>
    </row>
    <row r="282" spans="29:29">
      <c r="AC282" s="8">
        <f>IF(C282="","",IF(AB282="Closed",AA282-C282,TODAY()-C282))</f>
        <v>0</v>
      </c>
    </row>
    <row r="283" spans="29:29">
      <c r="AC283" s="8">
        <f>IF(C283="","",IF(AB283="Closed",AA283-C283,TODAY()-C283))</f>
        <v>0</v>
      </c>
    </row>
    <row r="284" spans="29:29">
      <c r="AC284" s="8">
        <f>IF(C284="","",IF(AB284="Closed",AA284-C284,TODAY()-C284))</f>
        <v>0</v>
      </c>
    </row>
    <row r="285" spans="29:29">
      <c r="AC285" s="8">
        <f>IF(C285="","",IF(AB285="Closed",AA285-C285,TODAY()-C285))</f>
        <v>0</v>
      </c>
    </row>
    <row r="286" spans="29:29">
      <c r="AC286" s="8">
        <f>IF(C286="","",IF(AB286="Closed",AA286-C286,TODAY()-C286))</f>
        <v>0</v>
      </c>
    </row>
    <row r="287" spans="29:29">
      <c r="AC287" s="8">
        <f>IF(C287="","",IF(AB287="Closed",AA287-C287,TODAY()-C287))</f>
        <v>0</v>
      </c>
    </row>
    <row r="288" spans="29:29">
      <c r="AC288" s="8">
        <f>IF(C288="","",IF(AB288="Closed",AA288-C288,TODAY()-C288))</f>
        <v>0</v>
      </c>
    </row>
    <row r="289" spans="29:29">
      <c r="AC289" s="8">
        <f>IF(C289="","",IF(AB289="Closed",AA289-C289,TODAY()-C289))</f>
        <v>0</v>
      </c>
    </row>
    <row r="290" spans="29:29">
      <c r="AC290" s="8">
        <f>IF(C290="","",IF(AB290="Closed",AA290-C290,TODAY()-C290))</f>
        <v>0</v>
      </c>
    </row>
    <row r="291" spans="29:29">
      <c r="AC291" s="8">
        <f>IF(C291="","",IF(AB291="Closed",AA291-C291,TODAY()-C291))</f>
        <v>0</v>
      </c>
    </row>
    <row r="292" spans="29:29">
      <c r="AC292" s="8">
        <f>IF(C292="","",IF(AB292="Closed",AA292-C292,TODAY()-C292))</f>
        <v>0</v>
      </c>
    </row>
    <row r="293" spans="29:29">
      <c r="AC293" s="8">
        <f>IF(C293="","",IF(AB293="Closed",AA293-C293,TODAY()-C293))</f>
        <v>0</v>
      </c>
    </row>
    <row r="294" spans="29:29">
      <c r="AC294" s="8">
        <f>IF(C294="","",IF(AB294="Closed",AA294-C294,TODAY()-C294))</f>
        <v>0</v>
      </c>
    </row>
    <row r="295" spans="29:29">
      <c r="AC295" s="8">
        <f>IF(C295="","",IF(AB295="Closed",AA295-C295,TODAY()-C295))</f>
        <v>0</v>
      </c>
    </row>
    <row r="296" spans="29:29">
      <c r="AC296" s="8">
        <f>IF(C296="","",IF(AB296="Closed",AA296-C296,TODAY()-C296))</f>
        <v>0</v>
      </c>
    </row>
    <row r="297" spans="29:29">
      <c r="AC297" s="8">
        <f>IF(C297="","",IF(AB297="Closed",AA297-C297,TODAY()-C297))</f>
        <v>0</v>
      </c>
    </row>
    <row r="298" spans="29:29">
      <c r="AC298" s="8">
        <f>IF(C298="","",IF(AB298="Closed",AA298-C298,TODAY()-C298))</f>
        <v>0</v>
      </c>
    </row>
    <row r="299" spans="29:29">
      <c r="AC299" s="8">
        <f>IF(C299="","",IF(AB299="Closed",AA299-C299,TODAY()-C299))</f>
        <v>0</v>
      </c>
    </row>
    <row r="300" spans="29:29">
      <c r="AC300" s="8">
        <f>IF(C300="","",IF(AB300="Closed",AA300-C300,TODAY()-C300))</f>
        <v>0</v>
      </c>
    </row>
    <row r="301" spans="29:29">
      <c r="AC301" s="8">
        <f>IF(C301="","",IF(AB301="Closed",AA301-C301,TODAY()-C301))</f>
        <v>0</v>
      </c>
    </row>
    <row r="302" spans="29:29">
      <c r="AC302" s="8">
        <f>IF(C302="","",IF(AB302="Closed",AA302-C302,TODAY()-C302))</f>
        <v>0</v>
      </c>
    </row>
    <row r="303" spans="29:29">
      <c r="AC303" s="8">
        <f>IF(C303="","",IF(AB303="Closed",AA303-C303,TODAY()-C303))</f>
        <v>0</v>
      </c>
    </row>
    <row r="304" spans="29:29">
      <c r="AC304" s="8">
        <f>IF(C304="","",IF(AB304="Closed",AA304-C304,TODAY()-C304))</f>
        <v>0</v>
      </c>
    </row>
    <row r="305" spans="29:29">
      <c r="AC305" s="8">
        <f>IF(C305="","",IF(AB305="Closed",AA305-C305,TODAY()-C305))</f>
        <v>0</v>
      </c>
    </row>
    <row r="306" spans="29:29">
      <c r="AC306" s="8">
        <f>IF(C306="","",IF(AB306="Closed",AA306-C306,TODAY()-C306))</f>
        <v>0</v>
      </c>
    </row>
    <row r="307" spans="29:29">
      <c r="AC307" s="8">
        <f>IF(C307="","",IF(AB307="Closed",AA307-C307,TODAY()-C307))</f>
        <v>0</v>
      </c>
    </row>
    <row r="308" spans="29:29">
      <c r="AC308" s="8">
        <f>IF(C308="","",IF(AB308="Closed",AA308-C308,TODAY()-C308))</f>
        <v>0</v>
      </c>
    </row>
    <row r="309" spans="29:29">
      <c r="AC309" s="8">
        <f>IF(C309="","",IF(AB309="Closed",AA309-C309,TODAY()-C309))</f>
        <v>0</v>
      </c>
    </row>
    <row r="310" spans="29:29">
      <c r="AC310" s="8">
        <f>IF(C310="","",IF(AB310="Closed",AA310-C310,TODAY()-C310))</f>
        <v>0</v>
      </c>
    </row>
    <row r="311" spans="29:29">
      <c r="AC311" s="8">
        <f>IF(C311="","",IF(AB311="Closed",AA311-C311,TODAY()-C311))</f>
        <v>0</v>
      </c>
    </row>
    <row r="312" spans="29:29">
      <c r="AC312" s="8">
        <f>IF(C312="","",IF(AB312="Closed",AA312-C312,TODAY()-C312))</f>
        <v>0</v>
      </c>
    </row>
    <row r="313" spans="29:29">
      <c r="AC313" s="8">
        <f>IF(C313="","",IF(AB313="Closed",AA313-C313,TODAY()-C313))</f>
        <v>0</v>
      </c>
    </row>
    <row r="314" spans="29:29">
      <c r="AC314" s="8">
        <f>IF(C314="","",IF(AB314="Closed",AA314-C314,TODAY()-C314))</f>
        <v>0</v>
      </c>
    </row>
    <row r="315" spans="29:29">
      <c r="AC315" s="8">
        <f>IF(C315="","",IF(AB315="Closed",AA315-C315,TODAY()-C315))</f>
        <v>0</v>
      </c>
    </row>
    <row r="316" spans="29:29">
      <c r="AC316" s="8">
        <f>IF(C316="","",IF(AB316="Closed",AA316-C316,TODAY()-C316))</f>
        <v>0</v>
      </c>
    </row>
    <row r="317" spans="29:29">
      <c r="AC317" s="8">
        <f>IF(C317="","",IF(AB317="Closed",AA317-C317,TODAY()-C317))</f>
        <v>0</v>
      </c>
    </row>
    <row r="318" spans="29:29">
      <c r="AC318" s="8">
        <f>IF(C318="","",IF(AB318="Closed",AA318-C318,TODAY()-C318))</f>
        <v>0</v>
      </c>
    </row>
    <row r="319" spans="29:29">
      <c r="AC319" s="8">
        <f>IF(C319="","",IF(AB319="Closed",AA319-C319,TODAY()-C319))</f>
        <v>0</v>
      </c>
    </row>
    <row r="320" spans="29:29">
      <c r="AC320" s="8">
        <f>IF(C320="","",IF(AB320="Closed",AA320-C320,TODAY()-C320))</f>
        <v>0</v>
      </c>
    </row>
    <row r="321" spans="29:29">
      <c r="AC321" s="8">
        <f>IF(C321="","",IF(AB321="Closed",AA321-C321,TODAY()-C321))</f>
        <v>0</v>
      </c>
    </row>
    <row r="322" spans="29:29">
      <c r="AC322" s="8">
        <f>IF(C322="","",IF(AB322="Closed",AA322-C322,TODAY()-C322))</f>
        <v>0</v>
      </c>
    </row>
    <row r="323" spans="29:29">
      <c r="AC323" s="8">
        <f>IF(C323="","",IF(AB323="Closed",AA323-C323,TODAY()-C323))</f>
        <v>0</v>
      </c>
    </row>
    <row r="324" spans="29:29">
      <c r="AC324" s="8">
        <f>IF(C324="","",IF(AB324="Closed",AA324-C324,TODAY()-C324))</f>
        <v>0</v>
      </c>
    </row>
    <row r="325" spans="29:29">
      <c r="AC325" s="8">
        <f>IF(C325="","",IF(AB325="Closed",AA325-C325,TODAY()-C325))</f>
        <v>0</v>
      </c>
    </row>
    <row r="326" spans="29:29">
      <c r="AC326" s="8">
        <f>IF(C326="","",IF(AB326="Closed",AA326-C326,TODAY()-C326))</f>
        <v>0</v>
      </c>
    </row>
    <row r="327" spans="29:29">
      <c r="AC327" s="8">
        <f>IF(C327="","",IF(AB327="Closed",AA327-C327,TODAY()-C327))</f>
        <v>0</v>
      </c>
    </row>
    <row r="328" spans="29:29">
      <c r="AC328" s="8">
        <f>IF(C328="","",IF(AB328="Closed",AA328-C328,TODAY()-C328))</f>
        <v>0</v>
      </c>
    </row>
    <row r="329" spans="29:29">
      <c r="AC329" s="8">
        <f>IF(C329="","",IF(AB329="Closed",AA329-C329,TODAY()-C329))</f>
        <v>0</v>
      </c>
    </row>
    <row r="330" spans="29:29">
      <c r="AC330" s="8">
        <f>IF(C330="","",IF(AB330="Closed",AA330-C330,TODAY()-C330))</f>
        <v>0</v>
      </c>
    </row>
    <row r="331" spans="29:29">
      <c r="AC331" s="8">
        <f>IF(C331="","",IF(AB331="Closed",AA331-C331,TODAY()-C331))</f>
        <v>0</v>
      </c>
    </row>
    <row r="332" spans="29:29">
      <c r="AC332" s="8">
        <f>IF(C332="","",IF(AB332="Closed",AA332-C332,TODAY()-C332))</f>
        <v>0</v>
      </c>
    </row>
    <row r="333" spans="29:29">
      <c r="AC333" s="8">
        <f>IF(C333="","",IF(AB333="Closed",AA333-C333,TODAY()-C333))</f>
        <v>0</v>
      </c>
    </row>
    <row r="334" spans="29:29">
      <c r="AC334" s="8">
        <f>IF(C334="","",IF(AB334="Closed",AA334-C334,TODAY()-C334))</f>
        <v>0</v>
      </c>
    </row>
    <row r="335" spans="29:29">
      <c r="AC335" s="8">
        <f>IF(C335="","",IF(AB335="Closed",AA335-C335,TODAY()-C335))</f>
        <v>0</v>
      </c>
    </row>
    <row r="336" spans="29:29">
      <c r="AC336" s="8">
        <f>IF(C336="","",IF(AB336="Closed",AA336-C336,TODAY()-C336))</f>
        <v>0</v>
      </c>
    </row>
    <row r="337" spans="29:29">
      <c r="AC337" s="8">
        <f>IF(C337="","",IF(AB337="Closed",AA337-C337,TODAY()-C337))</f>
        <v>0</v>
      </c>
    </row>
    <row r="338" spans="29:29">
      <c r="AC338" s="8">
        <f>IF(C338="","",IF(AB338="Closed",AA338-C338,TODAY()-C338))</f>
        <v>0</v>
      </c>
    </row>
    <row r="339" spans="29:29">
      <c r="AC339" s="8">
        <f>IF(C339="","",IF(AB339="Closed",AA339-C339,TODAY()-C339))</f>
        <v>0</v>
      </c>
    </row>
    <row r="340" spans="29:29">
      <c r="AC340" s="8">
        <f>IF(C340="","",IF(AB340="Closed",AA340-C340,TODAY()-C340))</f>
        <v>0</v>
      </c>
    </row>
    <row r="341" spans="29:29">
      <c r="AC341" s="8">
        <f>IF(C341="","",IF(AB341="Closed",AA341-C341,TODAY()-C341))</f>
        <v>0</v>
      </c>
    </row>
    <row r="342" spans="29:29">
      <c r="AC342" s="8">
        <f>IF(C342="","",IF(AB342="Closed",AA342-C342,TODAY()-C342))</f>
        <v>0</v>
      </c>
    </row>
    <row r="343" spans="29:29">
      <c r="AC343" s="8">
        <f>IF(C343="","",IF(AB343="Closed",AA343-C343,TODAY()-C343))</f>
        <v>0</v>
      </c>
    </row>
    <row r="344" spans="29:29">
      <c r="AC344" s="8">
        <f>IF(C344="","",IF(AB344="Closed",AA344-C344,TODAY()-C344))</f>
        <v>0</v>
      </c>
    </row>
    <row r="345" spans="29:29">
      <c r="AC345" s="8">
        <f>IF(C345="","",IF(AB345="Closed",AA345-C345,TODAY()-C345))</f>
        <v>0</v>
      </c>
    </row>
    <row r="346" spans="29:29">
      <c r="AC346" s="8">
        <f>IF(C346="","",IF(AB346="Closed",AA346-C346,TODAY()-C346))</f>
        <v>0</v>
      </c>
    </row>
    <row r="347" spans="29:29">
      <c r="AC347" s="8">
        <f>IF(C347="","",IF(AB347="Closed",AA347-C347,TODAY()-C347))</f>
        <v>0</v>
      </c>
    </row>
    <row r="348" spans="29:29">
      <c r="AC348" s="8">
        <f>IF(C348="","",IF(AB348="Closed",AA348-C348,TODAY()-C348))</f>
        <v>0</v>
      </c>
    </row>
    <row r="349" spans="29:29">
      <c r="AC349" s="8">
        <f>IF(C349="","",IF(AB349="Closed",AA349-C349,TODAY()-C349))</f>
        <v>0</v>
      </c>
    </row>
    <row r="350" spans="29:29">
      <c r="AC350" s="8">
        <f>IF(C350="","",IF(AB350="Closed",AA350-C350,TODAY()-C350))</f>
        <v>0</v>
      </c>
    </row>
    <row r="351" spans="29:29">
      <c r="AC351" s="8">
        <f>IF(C351="","",IF(AB351="Closed",AA351-C351,TODAY()-C351))</f>
        <v>0</v>
      </c>
    </row>
    <row r="352" spans="29:29">
      <c r="AC352" s="8">
        <f>IF(C352="","",IF(AB352="Closed",AA352-C352,TODAY()-C352))</f>
        <v>0</v>
      </c>
    </row>
    <row r="353" spans="29:29">
      <c r="AC353" s="8">
        <f>IF(C353="","",IF(AB353="Closed",AA353-C353,TODAY()-C353))</f>
        <v>0</v>
      </c>
    </row>
    <row r="354" spans="29:29">
      <c r="AC354" s="8">
        <f>IF(C354="","",IF(AB354="Closed",AA354-C354,TODAY()-C354))</f>
        <v>0</v>
      </c>
    </row>
    <row r="355" spans="29:29">
      <c r="AC355" s="8">
        <f>IF(C355="","",IF(AB355="Closed",AA355-C355,TODAY()-C355))</f>
        <v>0</v>
      </c>
    </row>
    <row r="356" spans="29:29">
      <c r="AC356" s="8">
        <f>IF(C356="","",IF(AB356="Closed",AA356-C356,TODAY()-C356))</f>
        <v>0</v>
      </c>
    </row>
    <row r="357" spans="29:29">
      <c r="AC357" s="8">
        <f>IF(C357="","",IF(AB357="Closed",AA357-C357,TODAY()-C357))</f>
        <v>0</v>
      </c>
    </row>
    <row r="358" spans="29:29">
      <c r="AC358" s="8">
        <f>IF(C358="","",IF(AB358="Closed",AA358-C358,TODAY()-C358))</f>
        <v>0</v>
      </c>
    </row>
    <row r="359" spans="29:29">
      <c r="AC359" s="8">
        <f>IF(C359="","",IF(AB359="Closed",AA359-C359,TODAY()-C359))</f>
        <v>0</v>
      </c>
    </row>
    <row r="360" spans="29:29">
      <c r="AC360" s="8">
        <f>IF(C360="","",IF(AB360="Closed",AA360-C360,TODAY()-C360))</f>
        <v>0</v>
      </c>
    </row>
    <row r="361" spans="29:29">
      <c r="AC361" s="8">
        <f>IF(C361="","",IF(AB361="Closed",AA361-C361,TODAY()-C361))</f>
        <v>0</v>
      </c>
    </row>
    <row r="362" spans="29:29">
      <c r="AC362" s="8">
        <f>IF(C362="","",IF(AB362="Closed",AA362-C362,TODAY()-C362))</f>
        <v>0</v>
      </c>
    </row>
    <row r="363" spans="29:29">
      <c r="AC363" s="8">
        <f>IF(C363="","",IF(AB363="Closed",AA363-C363,TODAY()-C363))</f>
        <v>0</v>
      </c>
    </row>
    <row r="364" spans="29:29">
      <c r="AC364" s="8">
        <f>IF(C364="","",IF(AB364="Closed",AA364-C364,TODAY()-C364))</f>
        <v>0</v>
      </c>
    </row>
    <row r="365" spans="29:29">
      <c r="AC365" s="8">
        <f>IF(C365="","",IF(AB365="Closed",AA365-C365,TODAY()-C365))</f>
        <v>0</v>
      </c>
    </row>
    <row r="366" spans="29:29">
      <c r="AC366" s="8">
        <f>IF(C366="","",IF(AB366="Closed",AA366-C366,TODAY()-C366))</f>
        <v>0</v>
      </c>
    </row>
    <row r="367" spans="29:29">
      <c r="AC367" s="8">
        <f>IF(C367="","",IF(AB367="Closed",AA367-C367,TODAY()-C367))</f>
        <v>0</v>
      </c>
    </row>
    <row r="368" spans="29:29">
      <c r="AC368" s="8">
        <f>IF(C368="","",IF(AB368="Closed",AA368-C368,TODAY()-C368))</f>
        <v>0</v>
      </c>
    </row>
    <row r="369" spans="29:29">
      <c r="AC369" s="8">
        <f>IF(C369="","",IF(AB369="Closed",AA369-C369,TODAY()-C369))</f>
        <v>0</v>
      </c>
    </row>
    <row r="370" spans="29:29">
      <c r="AC370" s="8">
        <f>IF(C370="","",IF(AB370="Closed",AA370-C370,TODAY()-C370))</f>
        <v>0</v>
      </c>
    </row>
    <row r="371" spans="29:29">
      <c r="AC371" s="8">
        <f>IF(C371="","",IF(AB371="Closed",AA371-C371,TODAY()-C371))</f>
        <v>0</v>
      </c>
    </row>
    <row r="372" spans="29:29">
      <c r="AC372" s="8">
        <f>IF(C372="","",IF(AB372="Closed",AA372-C372,TODAY()-C372))</f>
        <v>0</v>
      </c>
    </row>
    <row r="373" spans="29:29">
      <c r="AC373" s="8">
        <f>IF(C373="","",IF(AB373="Closed",AA373-C373,TODAY()-C373))</f>
        <v>0</v>
      </c>
    </row>
    <row r="374" spans="29:29">
      <c r="AC374" s="8">
        <f>IF(C374="","",IF(AB374="Closed",AA374-C374,TODAY()-C374))</f>
        <v>0</v>
      </c>
    </row>
    <row r="375" spans="29:29">
      <c r="AC375" s="8">
        <f>IF(C375="","",IF(AB375="Closed",AA375-C375,TODAY()-C375))</f>
        <v>0</v>
      </c>
    </row>
    <row r="376" spans="29:29">
      <c r="AC376" s="8">
        <f>IF(C376="","",IF(AB376="Closed",AA376-C376,TODAY()-C376))</f>
        <v>0</v>
      </c>
    </row>
    <row r="377" spans="29:29">
      <c r="AC377" s="8">
        <f>IF(C377="","",IF(AB377="Closed",AA377-C377,TODAY()-C377))</f>
        <v>0</v>
      </c>
    </row>
    <row r="378" spans="29:29">
      <c r="AC378" s="8">
        <f>IF(C378="","",IF(AB378="Closed",AA378-C378,TODAY()-C378))</f>
        <v>0</v>
      </c>
    </row>
    <row r="379" spans="29:29">
      <c r="AC379" s="8">
        <f>IF(C379="","",IF(AB379="Closed",AA379-C379,TODAY()-C379))</f>
        <v>0</v>
      </c>
    </row>
    <row r="380" spans="29:29">
      <c r="AC380" s="8">
        <f>IF(C380="","",IF(AB380="Closed",AA380-C380,TODAY()-C380))</f>
        <v>0</v>
      </c>
    </row>
    <row r="381" spans="29:29">
      <c r="AC381" s="8">
        <f>IF(C381="","",IF(AB381="Closed",AA381-C381,TODAY()-C381))</f>
        <v>0</v>
      </c>
    </row>
    <row r="382" spans="29:29">
      <c r="AC382" s="8">
        <f>IF(C382="","",IF(AB382="Closed",AA382-C382,TODAY()-C382))</f>
        <v>0</v>
      </c>
    </row>
    <row r="383" spans="29:29">
      <c r="AC383" s="8">
        <f>IF(C383="","",IF(AB383="Closed",AA383-C383,TODAY()-C383))</f>
        <v>0</v>
      </c>
    </row>
    <row r="384" spans="29:29">
      <c r="AC384" s="8">
        <f>IF(C384="","",IF(AB384="Closed",AA384-C384,TODAY()-C384))</f>
        <v>0</v>
      </c>
    </row>
    <row r="385" spans="29:29">
      <c r="AC385" s="8">
        <f>IF(C385="","",IF(AB385="Closed",AA385-C385,TODAY()-C385))</f>
        <v>0</v>
      </c>
    </row>
    <row r="386" spans="29:29">
      <c r="AC386" s="8">
        <f>IF(C386="","",IF(AB386="Closed",AA386-C386,TODAY()-C386))</f>
        <v>0</v>
      </c>
    </row>
    <row r="387" spans="29:29">
      <c r="AC387" s="8">
        <f>IF(C387="","",IF(AB387="Closed",AA387-C387,TODAY()-C387))</f>
        <v>0</v>
      </c>
    </row>
    <row r="388" spans="29:29">
      <c r="AC388" s="8">
        <f>IF(C388="","",IF(AB388="Closed",AA388-C388,TODAY()-C388))</f>
        <v>0</v>
      </c>
    </row>
    <row r="389" spans="29:29">
      <c r="AC389" s="8">
        <f>IF(C389="","",IF(AB389="Closed",AA389-C389,TODAY()-C389))</f>
        <v>0</v>
      </c>
    </row>
    <row r="390" spans="29:29">
      <c r="AC390" s="8">
        <f>IF(C390="","",IF(AB390="Closed",AA390-C390,TODAY()-C390))</f>
        <v>0</v>
      </c>
    </row>
    <row r="391" spans="29:29">
      <c r="AC391" s="8">
        <f>IF(C391="","",IF(AB391="Closed",AA391-C391,TODAY()-C391))</f>
        <v>0</v>
      </c>
    </row>
    <row r="392" spans="29:29">
      <c r="AC392" s="8">
        <f>IF(C392="","",IF(AB392="Closed",AA392-C392,TODAY()-C392))</f>
        <v>0</v>
      </c>
    </row>
    <row r="393" spans="29:29">
      <c r="AC393" s="8">
        <f>IF(C393="","",IF(AB393="Closed",AA393-C393,TODAY()-C393))</f>
        <v>0</v>
      </c>
    </row>
    <row r="394" spans="29:29">
      <c r="AC394" s="8">
        <f>IF(C394="","",IF(AB394="Closed",AA394-C394,TODAY()-C394))</f>
        <v>0</v>
      </c>
    </row>
    <row r="395" spans="29:29">
      <c r="AC395" s="8">
        <f>IF(C395="","",IF(AB395="Closed",AA395-C395,TODAY()-C395))</f>
        <v>0</v>
      </c>
    </row>
    <row r="396" spans="29:29">
      <c r="AC396" s="8">
        <f>IF(C396="","",IF(AB396="Closed",AA396-C396,TODAY()-C396))</f>
        <v>0</v>
      </c>
    </row>
    <row r="397" spans="29:29">
      <c r="AC397" s="8">
        <f>IF(C397="","",IF(AB397="Closed",AA397-C397,TODAY()-C397))</f>
        <v>0</v>
      </c>
    </row>
    <row r="398" spans="29:29">
      <c r="AC398" s="8">
        <f>IF(C398="","",IF(AB398="Closed",AA398-C398,TODAY()-C398))</f>
        <v>0</v>
      </c>
    </row>
    <row r="399" spans="29:29">
      <c r="AC399" s="8">
        <f>IF(C399="","",IF(AB399="Closed",AA399-C399,TODAY()-C399))</f>
        <v>0</v>
      </c>
    </row>
    <row r="400" spans="29:29">
      <c r="AC400" s="8">
        <f>IF(C400="","",IF(AB400="Closed",AA400-C400,TODAY()-C400))</f>
        <v>0</v>
      </c>
    </row>
    <row r="401" spans="29:29">
      <c r="AC401" s="8">
        <f>IF(C401="","",IF(AB401="Closed",AA401-C401,TODAY()-C401))</f>
        <v>0</v>
      </c>
    </row>
    <row r="402" spans="29:29">
      <c r="AC402" s="8">
        <f>IF(C402="","",IF(AB402="Closed",AA402-C402,TODAY()-C402))</f>
        <v>0</v>
      </c>
    </row>
    <row r="403" spans="29:29">
      <c r="AC403" s="8">
        <f>IF(C403="","",IF(AB403="Closed",AA403-C403,TODAY()-C403))</f>
        <v>0</v>
      </c>
    </row>
    <row r="404" spans="29:29">
      <c r="AC404" s="8">
        <f>IF(C404="","",IF(AB404="Closed",AA404-C404,TODAY()-C404))</f>
        <v>0</v>
      </c>
    </row>
    <row r="405" spans="29:29">
      <c r="AC405" s="8">
        <f>IF(C405="","",IF(AB405="Closed",AA405-C405,TODAY()-C405))</f>
        <v>0</v>
      </c>
    </row>
    <row r="406" spans="29:29">
      <c r="AC406" s="8">
        <f>IF(C406="","",IF(AB406="Closed",AA406-C406,TODAY()-C406))</f>
        <v>0</v>
      </c>
    </row>
    <row r="407" spans="29:29">
      <c r="AC407" s="8">
        <f>IF(C407="","",IF(AB407="Closed",AA407-C407,TODAY()-C407))</f>
        <v>0</v>
      </c>
    </row>
    <row r="408" spans="29:29">
      <c r="AC408" s="8">
        <f>IF(C408="","",IF(AB408="Closed",AA408-C408,TODAY()-C408))</f>
        <v>0</v>
      </c>
    </row>
    <row r="409" spans="29:29">
      <c r="AC409" s="8">
        <f>IF(C409="","",IF(AB409="Closed",AA409-C409,TODAY()-C409))</f>
        <v>0</v>
      </c>
    </row>
    <row r="410" spans="29:29">
      <c r="AC410" s="8">
        <f>IF(C410="","",IF(AB410="Closed",AA410-C410,TODAY()-C410))</f>
        <v>0</v>
      </c>
    </row>
    <row r="411" spans="29:29">
      <c r="AC411" s="8">
        <f>IF(C411="","",IF(AB411="Closed",AA411-C411,TODAY()-C411))</f>
        <v>0</v>
      </c>
    </row>
    <row r="412" spans="29:29">
      <c r="AC412" s="8">
        <f>IF(C412="","",IF(AB412="Closed",AA412-C412,TODAY()-C412))</f>
        <v>0</v>
      </c>
    </row>
    <row r="413" spans="29:29">
      <c r="AC413" s="8">
        <f>IF(C413="","",IF(AB413="Closed",AA413-C413,TODAY()-C413))</f>
        <v>0</v>
      </c>
    </row>
    <row r="414" spans="29:29">
      <c r="AC414" s="8">
        <f>IF(C414="","",IF(AB414="Closed",AA414-C414,TODAY()-C414))</f>
        <v>0</v>
      </c>
    </row>
    <row r="415" spans="29:29">
      <c r="AC415" s="8">
        <f>IF(C415="","",IF(AB415="Closed",AA415-C415,TODAY()-C415))</f>
        <v>0</v>
      </c>
    </row>
    <row r="416" spans="29:29">
      <c r="AC416" s="8">
        <f>IF(C416="","",IF(AB416="Closed",AA416-C416,TODAY()-C416))</f>
        <v>0</v>
      </c>
    </row>
    <row r="417" spans="29:29">
      <c r="AC417" s="8">
        <f>IF(C417="","",IF(AB417="Closed",AA417-C417,TODAY()-C417))</f>
        <v>0</v>
      </c>
    </row>
    <row r="418" spans="29:29">
      <c r="AC418" s="8">
        <f>IF(C418="","",IF(AB418="Closed",AA418-C418,TODAY()-C418))</f>
        <v>0</v>
      </c>
    </row>
    <row r="419" spans="29:29">
      <c r="AC419" s="8">
        <f>IF(C419="","",IF(AB419="Closed",AA419-C419,TODAY()-C419))</f>
        <v>0</v>
      </c>
    </row>
    <row r="420" spans="29:29">
      <c r="AC420" s="8">
        <f>IF(C420="","",IF(AB420="Closed",AA420-C420,TODAY()-C420))</f>
        <v>0</v>
      </c>
    </row>
    <row r="421" spans="29:29">
      <c r="AC421" s="8">
        <f>IF(C421="","",IF(AB421="Closed",AA421-C421,TODAY()-C421))</f>
        <v>0</v>
      </c>
    </row>
    <row r="422" spans="29:29">
      <c r="AC422" s="8">
        <f>IF(C422="","",IF(AB422="Closed",AA422-C422,TODAY()-C422))</f>
        <v>0</v>
      </c>
    </row>
    <row r="423" spans="29:29">
      <c r="AC423" s="8">
        <f>IF(C423="","",IF(AB423="Closed",AA423-C423,TODAY()-C423))</f>
        <v>0</v>
      </c>
    </row>
    <row r="424" spans="29:29">
      <c r="AC424" s="8">
        <f>IF(C424="","",IF(AB424="Closed",AA424-C424,TODAY()-C424))</f>
        <v>0</v>
      </c>
    </row>
    <row r="425" spans="29:29">
      <c r="AC425" s="8">
        <f>IF(C425="","",IF(AB425="Closed",AA425-C425,TODAY()-C425))</f>
        <v>0</v>
      </c>
    </row>
    <row r="426" spans="29:29">
      <c r="AC426" s="8">
        <f>IF(C426="","",IF(AB426="Closed",AA426-C426,TODAY()-C426))</f>
        <v>0</v>
      </c>
    </row>
    <row r="427" spans="29:29">
      <c r="AC427" s="8">
        <f>IF(C427="","",IF(AB427="Closed",AA427-C427,TODAY()-C427))</f>
        <v>0</v>
      </c>
    </row>
    <row r="428" spans="29:29">
      <c r="AC428" s="8">
        <f>IF(C428="","",IF(AB428="Closed",AA428-C428,TODAY()-C428))</f>
        <v>0</v>
      </c>
    </row>
    <row r="429" spans="29:29">
      <c r="AC429" s="8">
        <f>IF(C429="","",IF(AB429="Closed",AA429-C429,TODAY()-C429))</f>
        <v>0</v>
      </c>
    </row>
    <row r="430" spans="29:29">
      <c r="AC430" s="8">
        <f>IF(C430="","",IF(AB430="Closed",AA430-C430,TODAY()-C430))</f>
        <v>0</v>
      </c>
    </row>
    <row r="431" spans="29:29">
      <c r="AC431" s="8">
        <f>IF(C431="","",IF(AB431="Closed",AA431-C431,TODAY()-C431))</f>
        <v>0</v>
      </c>
    </row>
    <row r="432" spans="29:29">
      <c r="AC432" s="8">
        <f>IF(C432="","",IF(AB432="Closed",AA432-C432,TODAY()-C432))</f>
        <v>0</v>
      </c>
    </row>
    <row r="433" spans="29:29">
      <c r="AC433" s="8">
        <f>IF(C433="","",IF(AB433="Closed",AA433-C433,TODAY()-C433))</f>
        <v>0</v>
      </c>
    </row>
    <row r="434" spans="29:29">
      <c r="AC434" s="8">
        <f>IF(C434="","",IF(AB434="Closed",AA434-C434,TODAY()-C434))</f>
        <v>0</v>
      </c>
    </row>
    <row r="435" spans="29:29">
      <c r="AC435" s="8">
        <f>IF(C435="","",IF(AB435="Closed",AA435-C435,TODAY()-C435))</f>
        <v>0</v>
      </c>
    </row>
    <row r="436" spans="29:29">
      <c r="AC436" s="8">
        <f>IF(C436="","",IF(AB436="Closed",AA436-C436,TODAY()-C436))</f>
        <v>0</v>
      </c>
    </row>
    <row r="437" spans="29:29">
      <c r="AC437" s="8">
        <f>IF(C437="","",IF(AB437="Closed",AA437-C437,TODAY()-C437))</f>
        <v>0</v>
      </c>
    </row>
    <row r="438" spans="29:29">
      <c r="AC438" s="8">
        <f>IF(C438="","",IF(AB438="Closed",AA438-C438,TODAY()-C438))</f>
        <v>0</v>
      </c>
    </row>
    <row r="439" spans="29:29">
      <c r="AC439" s="8">
        <f>IF(C439="","",IF(AB439="Closed",AA439-C439,TODAY()-C439))</f>
        <v>0</v>
      </c>
    </row>
    <row r="440" spans="29:29">
      <c r="AC440" s="8">
        <f>IF(C440="","",IF(AB440="Closed",AA440-C440,TODAY()-C440))</f>
        <v>0</v>
      </c>
    </row>
    <row r="441" spans="29:29">
      <c r="AC441" s="8">
        <f>IF(C441="","",IF(AB441="Closed",AA441-C441,TODAY()-C441))</f>
        <v>0</v>
      </c>
    </row>
    <row r="442" spans="29:29">
      <c r="AC442" s="8">
        <f>IF(C442="","",IF(AB442="Closed",AA442-C442,TODAY()-C442))</f>
        <v>0</v>
      </c>
    </row>
    <row r="443" spans="29:29">
      <c r="AC443" s="8">
        <f>IF(C443="","",IF(AB443="Closed",AA443-C443,TODAY()-C443))</f>
        <v>0</v>
      </c>
    </row>
    <row r="444" spans="29:29">
      <c r="AC444" s="8">
        <f>IF(C444="","",IF(AB444="Closed",AA444-C444,TODAY()-C444))</f>
        <v>0</v>
      </c>
    </row>
    <row r="445" spans="29:29">
      <c r="AC445" s="8">
        <f>IF(C445="","",IF(AB445="Closed",AA445-C445,TODAY()-C445))</f>
        <v>0</v>
      </c>
    </row>
    <row r="446" spans="29:29">
      <c r="AC446" s="8">
        <f>IF(C446="","",IF(AB446="Closed",AA446-C446,TODAY()-C446))</f>
        <v>0</v>
      </c>
    </row>
    <row r="447" spans="29:29">
      <c r="AC447" s="8">
        <f>IF(C447="","",IF(AB447="Closed",AA447-C447,TODAY()-C447))</f>
        <v>0</v>
      </c>
    </row>
    <row r="448" spans="29:29">
      <c r="AC448" s="8">
        <f>IF(C448="","",IF(AB448="Closed",AA448-C448,TODAY()-C448))</f>
        <v>0</v>
      </c>
    </row>
    <row r="449" spans="29:29">
      <c r="AC449" s="8">
        <f>IF(C449="","",IF(AB449="Closed",AA449-C449,TODAY()-C449))</f>
        <v>0</v>
      </c>
    </row>
    <row r="450" spans="29:29">
      <c r="AC450" s="8">
        <f>IF(C450="","",IF(AB450="Closed",AA450-C450,TODAY()-C450))</f>
        <v>0</v>
      </c>
    </row>
    <row r="451" spans="29:29">
      <c r="AC451" s="8">
        <f>IF(C451="","",IF(AB451="Closed",AA451-C451,TODAY()-C451))</f>
        <v>0</v>
      </c>
    </row>
    <row r="452" spans="29:29">
      <c r="AC452" s="8">
        <f>IF(C452="","",IF(AB452="Closed",AA452-C452,TODAY()-C452))</f>
        <v>0</v>
      </c>
    </row>
    <row r="453" spans="29:29">
      <c r="AC453" s="8">
        <f>IF(C453="","",IF(AB453="Closed",AA453-C453,TODAY()-C453))</f>
        <v>0</v>
      </c>
    </row>
    <row r="454" spans="29:29">
      <c r="AC454" s="8">
        <f>IF(C454="","",IF(AB454="Closed",AA454-C454,TODAY()-C454))</f>
        <v>0</v>
      </c>
    </row>
    <row r="455" spans="29:29">
      <c r="AC455" s="8">
        <f>IF(C455="","",IF(AB455="Closed",AA455-C455,TODAY()-C455))</f>
        <v>0</v>
      </c>
    </row>
    <row r="456" spans="29:29">
      <c r="AC456" s="8">
        <f>IF(C456="","",IF(AB456="Closed",AA456-C456,TODAY()-C456))</f>
        <v>0</v>
      </c>
    </row>
    <row r="457" spans="29:29">
      <c r="AC457" s="8">
        <f>IF(C457="","",IF(AB457="Closed",AA457-C457,TODAY()-C457))</f>
        <v>0</v>
      </c>
    </row>
    <row r="458" spans="29:29">
      <c r="AC458" s="8">
        <f>IF(C458="","",IF(AB458="Closed",AA458-C458,TODAY()-C458))</f>
        <v>0</v>
      </c>
    </row>
    <row r="459" spans="29:29">
      <c r="AC459" s="8">
        <f>IF(C459="","",IF(AB459="Closed",AA459-C459,TODAY()-C459))</f>
        <v>0</v>
      </c>
    </row>
    <row r="460" spans="29:29">
      <c r="AC460" s="8">
        <f>IF(C460="","",IF(AB460="Closed",AA460-C460,TODAY()-C460))</f>
        <v>0</v>
      </c>
    </row>
    <row r="461" spans="29:29">
      <c r="AC461" s="8">
        <f>IF(C461="","",IF(AB461="Closed",AA461-C461,TODAY()-C461))</f>
        <v>0</v>
      </c>
    </row>
    <row r="462" spans="29:29">
      <c r="AC462" s="8">
        <f>IF(C462="","",IF(AB462="Closed",AA462-C462,TODAY()-C462))</f>
        <v>0</v>
      </c>
    </row>
    <row r="463" spans="29:29">
      <c r="AC463" s="8">
        <f>IF(C463="","",IF(AB463="Closed",AA463-C463,TODAY()-C463))</f>
        <v>0</v>
      </c>
    </row>
    <row r="464" spans="29:29">
      <c r="AC464" s="8">
        <f>IF(C464="","",IF(AB464="Closed",AA464-C464,TODAY()-C464))</f>
        <v>0</v>
      </c>
    </row>
    <row r="465" spans="29:29">
      <c r="AC465" s="8">
        <f>IF(C465="","",IF(AB465="Closed",AA465-C465,TODAY()-C465))</f>
        <v>0</v>
      </c>
    </row>
    <row r="466" spans="29:29">
      <c r="AC466" s="8">
        <f>IF(C466="","",IF(AB466="Closed",AA466-C466,TODAY()-C466))</f>
        <v>0</v>
      </c>
    </row>
    <row r="467" spans="29:29">
      <c r="AC467" s="8">
        <f>IF(C467="","",IF(AB467="Closed",AA467-C467,TODAY()-C467))</f>
        <v>0</v>
      </c>
    </row>
    <row r="468" spans="29:29">
      <c r="AC468" s="8">
        <f>IF(C468="","",IF(AB468="Closed",AA468-C468,TODAY()-C468))</f>
        <v>0</v>
      </c>
    </row>
    <row r="469" spans="29:29">
      <c r="AC469" s="8">
        <f>IF(C469="","",IF(AB469="Closed",AA469-C469,TODAY()-C469))</f>
        <v>0</v>
      </c>
    </row>
    <row r="470" spans="29:29">
      <c r="AC470" s="8">
        <f>IF(C470="","",IF(AB470="Closed",AA470-C470,TODAY()-C470))</f>
        <v>0</v>
      </c>
    </row>
    <row r="471" spans="29:29">
      <c r="AC471" s="8">
        <f>IF(C471="","",IF(AB471="Closed",AA471-C471,TODAY()-C471))</f>
        <v>0</v>
      </c>
    </row>
    <row r="472" spans="29:29">
      <c r="AC472" s="8">
        <f>IF(C472="","",IF(AB472="Closed",AA472-C472,TODAY()-C472))</f>
        <v>0</v>
      </c>
    </row>
    <row r="473" spans="29:29">
      <c r="AC473" s="8">
        <f>IF(C473="","",IF(AB473="Closed",AA473-C473,TODAY()-C473))</f>
        <v>0</v>
      </c>
    </row>
    <row r="474" spans="29:29">
      <c r="AC474" s="8">
        <f>IF(C474="","",IF(AB474="Closed",AA474-C474,TODAY()-C474))</f>
        <v>0</v>
      </c>
    </row>
    <row r="475" spans="29:29">
      <c r="AC475" s="8">
        <f>IF(C475="","",IF(AB475="Closed",AA475-C475,TODAY()-C475))</f>
        <v>0</v>
      </c>
    </row>
    <row r="476" spans="29:29">
      <c r="AC476" s="8">
        <f>IF(C476="","",IF(AB476="Closed",AA476-C476,TODAY()-C476))</f>
        <v>0</v>
      </c>
    </row>
    <row r="477" spans="29:29">
      <c r="AC477" s="8">
        <f>IF(C477="","",IF(AB477="Closed",AA477-C477,TODAY()-C477))</f>
        <v>0</v>
      </c>
    </row>
    <row r="478" spans="29:29">
      <c r="AC478" s="8">
        <f>IF(C478="","",IF(AB478="Closed",AA478-C478,TODAY()-C478))</f>
        <v>0</v>
      </c>
    </row>
    <row r="479" spans="29:29">
      <c r="AC479" s="8">
        <f>IF(C479="","",IF(AB479="Closed",AA479-C479,TODAY()-C479))</f>
        <v>0</v>
      </c>
    </row>
    <row r="480" spans="29:29">
      <c r="AC480" s="8">
        <f>IF(C480="","",IF(AB480="Closed",AA480-C480,TODAY()-C480))</f>
        <v>0</v>
      </c>
    </row>
    <row r="481" spans="29:29">
      <c r="AC481" s="8">
        <f>IF(C481="","",IF(AB481="Closed",AA481-C481,TODAY()-C481))</f>
        <v>0</v>
      </c>
    </row>
    <row r="482" spans="29:29">
      <c r="AC482" s="8">
        <f>IF(C482="","",IF(AB482="Closed",AA482-C482,TODAY()-C482))</f>
        <v>0</v>
      </c>
    </row>
    <row r="483" spans="29:29">
      <c r="AC483" s="8">
        <f>IF(C483="","",IF(AB483="Closed",AA483-C483,TODAY()-C483))</f>
        <v>0</v>
      </c>
    </row>
    <row r="484" spans="29:29">
      <c r="AC484" s="8">
        <f>IF(C484="","",IF(AB484="Closed",AA484-C484,TODAY()-C484))</f>
        <v>0</v>
      </c>
    </row>
    <row r="485" spans="29:29">
      <c r="AC485" s="8">
        <f>IF(C485="","",IF(AB485="Closed",AA485-C485,TODAY()-C485))</f>
        <v>0</v>
      </c>
    </row>
    <row r="486" spans="29:29">
      <c r="AC486" s="8">
        <f>IF(C486="","",IF(AB486="Closed",AA486-C486,TODAY()-C486))</f>
        <v>0</v>
      </c>
    </row>
    <row r="487" spans="29:29">
      <c r="AC487" s="8">
        <f>IF(C487="","",IF(AB487="Closed",AA487-C487,TODAY()-C487))</f>
        <v>0</v>
      </c>
    </row>
    <row r="488" spans="29:29">
      <c r="AC488" s="8">
        <f>IF(C488="","",IF(AB488="Closed",AA488-C488,TODAY()-C488))</f>
        <v>0</v>
      </c>
    </row>
    <row r="489" spans="29:29">
      <c r="AC489" s="8">
        <f>IF(C489="","",IF(AB489="Closed",AA489-C489,TODAY()-C489))</f>
        <v>0</v>
      </c>
    </row>
    <row r="490" spans="29:29">
      <c r="AC490" s="8">
        <f>IF(C490="","",IF(AB490="Closed",AA490-C490,TODAY()-C490))</f>
        <v>0</v>
      </c>
    </row>
    <row r="491" spans="29:29">
      <c r="AC491" s="8">
        <f>IF(C491="","",IF(AB491="Closed",AA491-C491,TODAY()-C491))</f>
        <v>0</v>
      </c>
    </row>
    <row r="492" spans="29:29">
      <c r="AC492" s="8">
        <f>IF(C492="","",IF(AB492="Closed",AA492-C492,TODAY()-C492))</f>
        <v>0</v>
      </c>
    </row>
    <row r="493" spans="29:29">
      <c r="AC493" s="8">
        <f>IF(C493="","",IF(AB493="Closed",AA493-C493,TODAY()-C493))</f>
        <v>0</v>
      </c>
    </row>
    <row r="494" spans="29:29">
      <c r="AC494" s="8">
        <f>IF(C494="","",IF(AB494="Closed",AA494-C494,TODAY()-C494))</f>
        <v>0</v>
      </c>
    </row>
    <row r="495" spans="29:29">
      <c r="AC495" s="8">
        <f>IF(C495="","",IF(AB495="Closed",AA495-C495,TODAY()-C495))</f>
        <v>0</v>
      </c>
    </row>
    <row r="496" spans="29:29">
      <c r="AC496" s="8">
        <f>IF(C496="","",IF(AB496="Closed",AA496-C496,TODAY()-C496))</f>
        <v>0</v>
      </c>
    </row>
    <row r="497" spans="29:29">
      <c r="AC497" s="8">
        <f>IF(C497="","",IF(AB497="Closed",AA497-C497,TODAY()-C497))</f>
        <v>0</v>
      </c>
    </row>
    <row r="498" spans="29:29">
      <c r="AC498" s="8">
        <f>IF(C498="","",IF(AB498="Closed",AA498-C498,TODAY()-C498))</f>
        <v>0</v>
      </c>
    </row>
    <row r="499" spans="29:29">
      <c r="AC499" s="8">
        <f>IF(C499="","",IF(AB499="Closed",AA499-C499,TODAY()-C499))</f>
        <v>0</v>
      </c>
    </row>
    <row r="500" spans="29:29">
      <c r="AC500" s="8">
        <f>IF(C500="","",IF(AB500="Closed",AA500-C500,TODAY()-C500))</f>
        <v>0</v>
      </c>
    </row>
    <row r="501" spans="29:29">
      <c r="AC501" s="8">
        <f>IF(C501="","",IF(AB501="Closed",AA501-C501,TODAY()-C501))</f>
        <v>0</v>
      </c>
    </row>
    <row r="502" spans="29:29">
      <c r="AC502" s="8">
        <f>IF(C502="","",IF(AB502="Closed",AA502-C502,TODAY()-C502))</f>
        <v>0</v>
      </c>
    </row>
    <row r="503" spans="29:29">
      <c r="AC503" s="8">
        <f>IF(C503="","",IF(AB503="Closed",AA503-C503,TODAY()-C503))</f>
        <v>0</v>
      </c>
    </row>
    <row r="504" spans="29:29">
      <c r="AC504" s="8">
        <f>IF(C504="","",IF(AB504="Closed",AA504-C504,TODAY()-C504))</f>
        <v>0</v>
      </c>
    </row>
    <row r="505" spans="29:29">
      <c r="AC505" s="8">
        <f>IF(C505="","",IF(AB505="Closed",AA505-C505,TODAY()-C505))</f>
        <v>0</v>
      </c>
    </row>
    <row r="506" spans="29:29">
      <c r="AC506" s="8">
        <f>IF(C506="","",IF(AB506="Closed",AA506-C506,TODAY()-C506))</f>
        <v>0</v>
      </c>
    </row>
    <row r="507" spans="29:29">
      <c r="AC507" s="8">
        <f>IF(C507="","",IF(AB507="Closed",AA507-C507,TODAY()-C507))</f>
        <v>0</v>
      </c>
    </row>
    <row r="508" spans="29:29">
      <c r="AC508" s="8">
        <f>IF(C508="","",IF(AB508="Closed",AA508-C508,TODAY()-C508))</f>
        <v>0</v>
      </c>
    </row>
    <row r="509" spans="29:29">
      <c r="AC509" s="8">
        <f>IF(C509="","",IF(AB509="Closed",AA509-C509,TODAY()-C509))</f>
        <v>0</v>
      </c>
    </row>
    <row r="510" spans="29:29">
      <c r="AC510" s="8">
        <f>IF(C510="","",IF(AB510="Closed",AA510-C510,TODAY()-C510))</f>
        <v>0</v>
      </c>
    </row>
    <row r="511" spans="29:29">
      <c r="AC511" s="8">
        <f>IF(C511="","",IF(AB511="Closed",AA511-C511,TODAY()-C511))</f>
        <v>0</v>
      </c>
    </row>
    <row r="512" spans="29:29">
      <c r="AC512" s="8">
        <f>IF(C512="","",IF(AB512="Closed",AA512-C512,TODAY()-C512))</f>
        <v>0</v>
      </c>
    </row>
    <row r="513" spans="29:29">
      <c r="AC513" s="8">
        <f>IF(C513="","",IF(AB513="Closed",AA513-C513,TODAY()-C513))</f>
        <v>0</v>
      </c>
    </row>
    <row r="514" spans="29:29">
      <c r="AC514" s="8">
        <f>IF(C514="","",IF(AB514="Closed",AA514-C514,TODAY()-C514))</f>
        <v>0</v>
      </c>
    </row>
    <row r="515" spans="29:29">
      <c r="AC515" s="8">
        <f>IF(C515="","",IF(AB515="Closed",AA515-C515,TODAY()-C515))</f>
        <v>0</v>
      </c>
    </row>
    <row r="516" spans="29:29">
      <c r="AC516" s="8">
        <f>IF(C516="","",IF(AB516="Closed",AA516-C516,TODAY()-C516))</f>
        <v>0</v>
      </c>
    </row>
    <row r="517" spans="29:29">
      <c r="AC517" s="8">
        <f>IF(C517="","",IF(AB517="Closed",AA517-C517,TODAY()-C517))</f>
        <v>0</v>
      </c>
    </row>
    <row r="518" spans="29:29">
      <c r="AC518" s="8">
        <f>IF(C518="","",IF(AB518="Closed",AA518-C518,TODAY()-C518))</f>
        <v>0</v>
      </c>
    </row>
    <row r="519" spans="29:29">
      <c r="AC519" s="8">
        <f>IF(C519="","",IF(AB519="Closed",AA519-C519,TODAY()-C519))</f>
        <v>0</v>
      </c>
    </row>
    <row r="520" spans="29:29">
      <c r="AC520" s="8">
        <f>IF(C520="","",IF(AB520="Closed",AA520-C520,TODAY()-C520))</f>
        <v>0</v>
      </c>
    </row>
    <row r="521" spans="29:29">
      <c r="AC521" s="8">
        <f>IF(C521="","",IF(AB521="Closed",AA521-C521,TODAY()-C521))</f>
        <v>0</v>
      </c>
    </row>
    <row r="522" spans="29:29">
      <c r="AC522" s="8">
        <f>IF(C522="","",IF(AB522="Closed",AA522-C522,TODAY()-C522))</f>
        <v>0</v>
      </c>
    </row>
    <row r="523" spans="29:29">
      <c r="AC523" s="8">
        <f>IF(C523="","",IF(AB523="Closed",AA523-C523,TODAY()-C523))</f>
        <v>0</v>
      </c>
    </row>
    <row r="524" spans="29:29">
      <c r="AC524" s="8">
        <f>IF(C524="","",IF(AB524="Closed",AA524-C524,TODAY()-C524))</f>
        <v>0</v>
      </c>
    </row>
    <row r="525" spans="29:29">
      <c r="AC525" s="8">
        <f>IF(C525="","",IF(AB525="Closed",AA525-C525,TODAY()-C525))</f>
        <v>0</v>
      </c>
    </row>
    <row r="526" spans="29:29">
      <c r="AC526" s="8">
        <f>IF(C526="","",IF(AB526="Closed",AA526-C526,TODAY()-C526))</f>
        <v>0</v>
      </c>
    </row>
    <row r="527" spans="29:29">
      <c r="AC527" s="8">
        <f>IF(C527="","",IF(AB527="Closed",AA527-C527,TODAY()-C527))</f>
        <v>0</v>
      </c>
    </row>
    <row r="528" spans="29:29">
      <c r="AC528" s="8">
        <f>IF(C528="","",IF(AB528="Closed",AA528-C528,TODAY()-C528))</f>
        <v>0</v>
      </c>
    </row>
    <row r="529" spans="29:29">
      <c r="AC529" s="8">
        <f>IF(C529="","",IF(AB529="Closed",AA529-C529,TODAY()-C529))</f>
        <v>0</v>
      </c>
    </row>
    <row r="530" spans="29:29">
      <c r="AC530" s="8">
        <f>IF(C530="","",IF(AB530="Closed",AA530-C530,TODAY()-C530))</f>
        <v>0</v>
      </c>
    </row>
    <row r="531" spans="29:29">
      <c r="AC531" s="8">
        <f>IF(C531="","",IF(AB531="Closed",AA531-C531,TODAY()-C531))</f>
        <v>0</v>
      </c>
    </row>
    <row r="532" spans="29:29">
      <c r="AC532" s="8">
        <f>IF(C532="","",IF(AB532="Closed",AA532-C532,TODAY()-C532))</f>
        <v>0</v>
      </c>
    </row>
    <row r="533" spans="29:29">
      <c r="AC533" s="8">
        <f>IF(C533="","",IF(AB533="Closed",AA533-C533,TODAY()-C533))</f>
        <v>0</v>
      </c>
    </row>
    <row r="534" spans="29:29">
      <c r="AC534" s="8">
        <f>IF(C534="","",IF(AB534="Closed",AA534-C534,TODAY()-C534))</f>
        <v>0</v>
      </c>
    </row>
    <row r="535" spans="29:29">
      <c r="AC535" s="8">
        <f>IF(C535="","",IF(AB535="Closed",AA535-C535,TODAY()-C535))</f>
        <v>0</v>
      </c>
    </row>
    <row r="536" spans="29:29">
      <c r="AC536" s="8">
        <f>IF(C536="","",IF(AB536="Closed",AA536-C536,TODAY()-C536))</f>
        <v>0</v>
      </c>
    </row>
    <row r="537" spans="29:29">
      <c r="AC537" s="8">
        <f>IF(C537="","",IF(AB537="Closed",AA537-C537,TODAY()-C537))</f>
        <v>0</v>
      </c>
    </row>
    <row r="538" spans="29:29">
      <c r="AC538" s="8">
        <f>IF(C538="","",IF(AB538="Closed",AA538-C538,TODAY()-C538))</f>
        <v>0</v>
      </c>
    </row>
    <row r="539" spans="29:29">
      <c r="AC539" s="8">
        <f>IF(C539="","",IF(AB539="Closed",AA539-C539,TODAY()-C539))</f>
        <v>0</v>
      </c>
    </row>
    <row r="540" spans="29:29">
      <c r="AC540" s="8">
        <f>IF(C540="","",IF(AB540="Closed",AA540-C540,TODAY()-C540))</f>
        <v>0</v>
      </c>
    </row>
    <row r="541" spans="29:29">
      <c r="AC541" s="8">
        <f>IF(C541="","",IF(AB541="Closed",AA541-C541,TODAY()-C541))</f>
        <v>0</v>
      </c>
    </row>
    <row r="542" spans="29:29">
      <c r="AC542" s="8">
        <f>IF(C542="","",IF(AB542="Closed",AA542-C542,TODAY()-C542))</f>
        <v>0</v>
      </c>
    </row>
    <row r="543" spans="29:29">
      <c r="AC543" s="8">
        <f>IF(C543="","",IF(AB543="Closed",AA543-C543,TODAY()-C543))</f>
        <v>0</v>
      </c>
    </row>
    <row r="544" spans="29:29">
      <c r="AC544" s="8">
        <f>IF(C544="","",IF(AB544="Closed",AA544-C544,TODAY()-C544))</f>
        <v>0</v>
      </c>
    </row>
    <row r="545" spans="29:29">
      <c r="AC545" s="8">
        <f>IF(C545="","",IF(AB545="Closed",AA545-C545,TODAY()-C545))</f>
        <v>0</v>
      </c>
    </row>
    <row r="546" spans="29:29">
      <c r="AC546" s="8">
        <f>IF(C546="","",IF(AB546="Closed",AA546-C546,TODAY()-C546))</f>
        <v>0</v>
      </c>
    </row>
    <row r="547" spans="29:29">
      <c r="AC547" s="8">
        <f>IF(C547="","",IF(AB547="Closed",AA547-C547,TODAY()-C547))</f>
        <v>0</v>
      </c>
    </row>
    <row r="548" spans="29:29">
      <c r="AC548" s="8">
        <f>IF(C548="","",IF(AB548="Closed",AA548-C548,TODAY()-C548))</f>
        <v>0</v>
      </c>
    </row>
    <row r="549" spans="29:29">
      <c r="AC549" s="8">
        <f>IF(C549="","",IF(AB549="Closed",AA549-C549,TODAY()-C549))</f>
        <v>0</v>
      </c>
    </row>
    <row r="550" spans="29:29">
      <c r="AC550" s="8">
        <f>IF(C550="","",IF(AB550="Closed",AA550-C550,TODAY()-C550))</f>
        <v>0</v>
      </c>
    </row>
    <row r="551" spans="29:29">
      <c r="AC551" s="8">
        <f>IF(C551="","",IF(AB551="Closed",AA551-C551,TODAY()-C551))</f>
        <v>0</v>
      </c>
    </row>
    <row r="552" spans="29:29">
      <c r="AC552" s="8">
        <f>IF(C552="","",IF(AB552="Closed",AA552-C552,TODAY()-C552))</f>
        <v>0</v>
      </c>
    </row>
    <row r="553" spans="29:29">
      <c r="AC553" s="8">
        <f>IF(C553="","",IF(AB553="Closed",AA553-C553,TODAY()-C553))</f>
        <v>0</v>
      </c>
    </row>
    <row r="554" spans="29:29">
      <c r="AC554" s="8">
        <f>IF(C554="","",IF(AB554="Closed",AA554-C554,TODAY()-C554))</f>
        <v>0</v>
      </c>
    </row>
    <row r="555" spans="29:29">
      <c r="AC555" s="8">
        <f>IF(C555="","",IF(AB555="Closed",AA555-C555,TODAY()-C555))</f>
        <v>0</v>
      </c>
    </row>
    <row r="556" spans="29:29">
      <c r="AC556" s="8">
        <f>IF(C556="","",IF(AB556="Closed",AA556-C556,TODAY()-C556))</f>
        <v>0</v>
      </c>
    </row>
    <row r="557" spans="29:29">
      <c r="AC557" s="8">
        <f>IF(C557="","",IF(AB557="Closed",AA557-C557,TODAY()-C557))</f>
        <v>0</v>
      </c>
    </row>
    <row r="558" spans="29:29">
      <c r="AC558" s="8">
        <f>IF(C558="","",IF(AB558="Closed",AA558-C558,TODAY()-C558))</f>
        <v>0</v>
      </c>
    </row>
    <row r="559" spans="29:29">
      <c r="AC559" s="8">
        <f>IF(C559="","",IF(AB559="Closed",AA559-C559,TODAY()-C559))</f>
        <v>0</v>
      </c>
    </row>
    <row r="560" spans="29:29">
      <c r="AC560" s="8">
        <f>IF(C560="","",IF(AB560="Closed",AA560-C560,TODAY()-C560))</f>
        <v>0</v>
      </c>
    </row>
    <row r="561" spans="29:29">
      <c r="AC561" s="8">
        <f>IF(C561="","",IF(AB561="Closed",AA561-C561,TODAY()-C561))</f>
        <v>0</v>
      </c>
    </row>
    <row r="562" spans="29:29">
      <c r="AC562" s="8">
        <f>IF(C562="","",IF(AB562="Closed",AA562-C562,TODAY()-C562))</f>
        <v>0</v>
      </c>
    </row>
    <row r="563" spans="29:29">
      <c r="AC563" s="8">
        <f>IF(C563="","",IF(AB563="Closed",AA563-C563,TODAY()-C563))</f>
        <v>0</v>
      </c>
    </row>
    <row r="564" spans="29:29">
      <c r="AC564" s="8">
        <f>IF(C564="","",IF(AB564="Closed",AA564-C564,TODAY()-C564))</f>
        <v>0</v>
      </c>
    </row>
    <row r="565" spans="29:29">
      <c r="AC565" s="8">
        <f>IF(C565="","",IF(AB565="Closed",AA565-C565,TODAY()-C565))</f>
        <v>0</v>
      </c>
    </row>
    <row r="566" spans="29:29">
      <c r="AC566" s="8">
        <f>IF(C566="","",IF(AB566="Closed",AA566-C566,TODAY()-C566))</f>
        <v>0</v>
      </c>
    </row>
    <row r="567" spans="29:29">
      <c r="AC567" s="8">
        <f>IF(C567="","",IF(AB567="Closed",AA567-C567,TODAY()-C567))</f>
        <v>0</v>
      </c>
    </row>
    <row r="568" spans="29:29">
      <c r="AC568" s="8">
        <f>IF(C568="","",IF(AB568="Closed",AA568-C568,TODAY()-C568))</f>
        <v>0</v>
      </c>
    </row>
    <row r="569" spans="29:29">
      <c r="AC569" s="8">
        <f>IF(C569="","",IF(AB569="Closed",AA569-C569,TODAY()-C569))</f>
        <v>0</v>
      </c>
    </row>
    <row r="570" spans="29:29">
      <c r="AC570" s="8">
        <f>IF(C570="","",IF(AB570="Closed",AA570-C570,TODAY()-C570))</f>
        <v>0</v>
      </c>
    </row>
    <row r="571" spans="29:29">
      <c r="AC571" s="8">
        <f>IF(C571="","",IF(AB571="Closed",AA571-C571,TODAY()-C571))</f>
        <v>0</v>
      </c>
    </row>
    <row r="572" spans="29:29">
      <c r="AC572" s="8">
        <f>IF(C572="","",IF(AB572="Closed",AA572-C572,TODAY()-C572))</f>
        <v>0</v>
      </c>
    </row>
    <row r="573" spans="29:29">
      <c r="AC573" s="8">
        <f>IF(C573="","",IF(AB573="Closed",AA573-C573,TODAY()-C573))</f>
        <v>0</v>
      </c>
    </row>
    <row r="574" spans="29:29">
      <c r="AC574" s="8">
        <f>IF(C574="","",IF(AB574="Closed",AA574-C574,TODAY()-C574))</f>
        <v>0</v>
      </c>
    </row>
    <row r="575" spans="29:29">
      <c r="AC575" s="8">
        <f>IF(C575="","",IF(AB575="Closed",AA575-C575,TODAY()-C575))</f>
        <v>0</v>
      </c>
    </row>
    <row r="576" spans="29:29">
      <c r="AC576" s="8">
        <f>IF(C576="","",IF(AB576="Closed",AA576-C576,TODAY()-C576))</f>
        <v>0</v>
      </c>
    </row>
    <row r="577" spans="29:29">
      <c r="AC577" s="8">
        <f>IF(C577="","",IF(AB577="Closed",AA577-C577,TODAY()-C577))</f>
        <v>0</v>
      </c>
    </row>
    <row r="578" spans="29:29">
      <c r="AC578" s="8">
        <f>IF(C578="","",IF(AB578="Closed",AA578-C578,TODAY()-C578))</f>
        <v>0</v>
      </c>
    </row>
    <row r="579" spans="29:29">
      <c r="AC579" s="8">
        <f>IF(C579="","",IF(AB579="Closed",AA579-C579,TODAY()-C579))</f>
        <v>0</v>
      </c>
    </row>
    <row r="580" spans="29:29">
      <c r="AC580" s="8">
        <f>IF(C580="","",IF(AB580="Closed",AA580-C580,TODAY()-C580))</f>
        <v>0</v>
      </c>
    </row>
    <row r="581" spans="29:29">
      <c r="AC581" s="8">
        <f>IF(C581="","",IF(AB581="Closed",AA581-C581,TODAY()-C581))</f>
        <v>0</v>
      </c>
    </row>
    <row r="582" spans="29:29">
      <c r="AC582" s="8">
        <f>IF(C582="","",IF(AB582="Closed",AA582-C582,TODAY()-C582))</f>
        <v>0</v>
      </c>
    </row>
    <row r="583" spans="29:29">
      <c r="AC583" s="8">
        <f>IF(C583="","",IF(AB583="Closed",AA583-C583,TODAY()-C583))</f>
        <v>0</v>
      </c>
    </row>
    <row r="584" spans="29:29">
      <c r="AC584" s="8">
        <f>IF(C584="","",IF(AB584="Closed",AA584-C584,TODAY()-C584))</f>
        <v>0</v>
      </c>
    </row>
    <row r="585" spans="29:29">
      <c r="AC585" s="8">
        <f>IF(C585="","",IF(AB585="Closed",AA585-C585,TODAY()-C585))</f>
        <v>0</v>
      </c>
    </row>
    <row r="586" spans="29:29">
      <c r="AC586" s="8">
        <f>IF(C586="","",IF(AB586="Closed",AA586-C586,TODAY()-C586))</f>
        <v>0</v>
      </c>
    </row>
    <row r="587" spans="29:29">
      <c r="AC587" s="8">
        <f>IF(C587="","",IF(AB587="Closed",AA587-C587,TODAY()-C587))</f>
        <v>0</v>
      </c>
    </row>
    <row r="588" spans="29:29">
      <c r="AC588" s="8">
        <f>IF(C588="","",IF(AB588="Closed",AA588-C588,TODAY()-C588))</f>
        <v>0</v>
      </c>
    </row>
    <row r="589" spans="29:29">
      <c r="AC589" s="8">
        <f>IF(C589="","",IF(AB589="Closed",AA589-C589,TODAY()-C589))</f>
        <v>0</v>
      </c>
    </row>
    <row r="590" spans="29:29">
      <c r="AC590" s="8">
        <f>IF(C590="","",IF(AB590="Closed",AA590-C590,TODAY()-C590))</f>
        <v>0</v>
      </c>
    </row>
    <row r="591" spans="29:29">
      <c r="AC591" s="8">
        <f>IF(C591="","",IF(AB591="Closed",AA591-C591,TODAY()-C591))</f>
        <v>0</v>
      </c>
    </row>
    <row r="592" spans="29:29">
      <c r="AC592" s="8">
        <f>IF(C592="","",IF(AB592="Closed",AA592-C592,TODAY()-C592))</f>
        <v>0</v>
      </c>
    </row>
    <row r="593" spans="29:29">
      <c r="AC593" s="8">
        <f>IF(C593="","",IF(AB593="Closed",AA593-C593,TODAY()-C593))</f>
        <v>0</v>
      </c>
    </row>
    <row r="594" spans="29:29">
      <c r="AC594" s="8">
        <f>IF(C594="","",IF(AB594="Closed",AA594-C594,TODAY()-C594))</f>
        <v>0</v>
      </c>
    </row>
    <row r="595" spans="29:29">
      <c r="AC595" s="8">
        <f>IF(C595="","",IF(AB595="Closed",AA595-C595,TODAY()-C595))</f>
        <v>0</v>
      </c>
    </row>
    <row r="596" spans="29:29">
      <c r="AC596" s="8">
        <f>IF(C596="","",IF(AB596="Closed",AA596-C596,TODAY()-C596))</f>
        <v>0</v>
      </c>
    </row>
    <row r="597" spans="29:29">
      <c r="AC597" s="8">
        <f>IF(C597="","",IF(AB597="Closed",AA597-C597,TODAY()-C597))</f>
        <v>0</v>
      </c>
    </row>
    <row r="598" spans="29:29">
      <c r="AC598" s="8">
        <f>IF(C598="","",IF(AB598="Closed",AA598-C598,TODAY()-C598))</f>
        <v>0</v>
      </c>
    </row>
    <row r="599" spans="29:29">
      <c r="AC599" s="8">
        <f>IF(C599="","",IF(AB599="Closed",AA599-C599,TODAY()-C599))</f>
        <v>0</v>
      </c>
    </row>
    <row r="600" spans="29:29">
      <c r="AC600" s="8">
        <f>IF(C600="","",IF(AB600="Closed",AA600-C600,TODAY()-C600))</f>
        <v>0</v>
      </c>
    </row>
    <row r="601" spans="29:29">
      <c r="AC601" s="8">
        <f>IF(C601="","",IF(AB601="Closed",AA601-C601,TODAY()-C601))</f>
        <v>0</v>
      </c>
    </row>
    <row r="602" spans="29:29">
      <c r="AC602" s="8">
        <f>IF(C602="","",IF(AB602="Closed",AA602-C602,TODAY()-C602))</f>
        <v>0</v>
      </c>
    </row>
    <row r="603" spans="29:29">
      <c r="AC603" s="8">
        <f>IF(C603="","",IF(AB603="Closed",AA603-C603,TODAY()-C603))</f>
        <v>0</v>
      </c>
    </row>
    <row r="604" spans="29:29">
      <c r="AC604" s="8">
        <f>IF(C604="","",IF(AB604="Closed",AA604-C604,TODAY()-C604))</f>
        <v>0</v>
      </c>
    </row>
    <row r="605" spans="29:29">
      <c r="AC605" s="8">
        <f>IF(C605="","",IF(AB605="Closed",AA605-C605,TODAY()-C605))</f>
        <v>0</v>
      </c>
    </row>
    <row r="606" spans="29:29">
      <c r="AC606" s="8">
        <f>IF(C606="","",IF(AB606="Closed",AA606-C606,TODAY()-C606))</f>
        <v>0</v>
      </c>
    </row>
    <row r="607" spans="29:29">
      <c r="AC607" s="8">
        <f>IF(C607="","",IF(AB607="Closed",AA607-C607,TODAY()-C607))</f>
        <v>0</v>
      </c>
    </row>
    <row r="608" spans="29:29">
      <c r="AC608" s="8">
        <f>IF(C608="","",IF(AB608="Closed",AA608-C608,TODAY()-C608))</f>
        <v>0</v>
      </c>
    </row>
    <row r="609" spans="29:29">
      <c r="AC609" s="8">
        <f>IF(C609="","",IF(AB609="Closed",AA609-C609,TODAY()-C609))</f>
        <v>0</v>
      </c>
    </row>
    <row r="610" spans="29:29">
      <c r="AC610" s="8">
        <f>IF(C610="","",IF(AB610="Closed",AA610-C610,TODAY()-C610))</f>
        <v>0</v>
      </c>
    </row>
    <row r="611" spans="29:29">
      <c r="AC611" s="8">
        <f>IF(C611="","",IF(AB611="Closed",AA611-C611,TODAY()-C611))</f>
        <v>0</v>
      </c>
    </row>
    <row r="612" spans="29:29">
      <c r="AC612" s="8">
        <f>IF(C612="","",IF(AB612="Closed",AA612-C612,TODAY()-C612))</f>
        <v>0</v>
      </c>
    </row>
    <row r="613" spans="29:29">
      <c r="AC613" s="8">
        <f>IF(C613="","",IF(AB613="Closed",AA613-C613,TODAY()-C613))</f>
        <v>0</v>
      </c>
    </row>
    <row r="614" spans="29:29">
      <c r="AC614" s="8">
        <f>IF(C614="","",IF(AB614="Closed",AA614-C614,TODAY()-C614))</f>
        <v>0</v>
      </c>
    </row>
    <row r="615" spans="29:29">
      <c r="AC615" s="8">
        <f>IF(C615="","",IF(AB615="Closed",AA615-C615,TODAY()-C615))</f>
        <v>0</v>
      </c>
    </row>
    <row r="616" spans="29:29">
      <c r="AC616" s="8">
        <f>IF(C616="","",IF(AB616="Closed",AA616-C616,TODAY()-C616))</f>
        <v>0</v>
      </c>
    </row>
    <row r="617" spans="29:29">
      <c r="AC617" s="8">
        <f>IF(C617="","",IF(AB617="Closed",AA617-C617,TODAY()-C617))</f>
        <v>0</v>
      </c>
    </row>
    <row r="618" spans="29:29">
      <c r="AC618" s="8">
        <f>IF(C618="","",IF(AB618="Closed",AA618-C618,TODAY()-C618))</f>
        <v>0</v>
      </c>
    </row>
    <row r="619" spans="29:29">
      <c r="AC619" s="8">
        <f>IF(C619="","",IF(AB619="Closed",AA619-C619,TODAY()-C619))</f>
        <v>0</v>
      </c>
    </row>
    <row r="620" spans="29:29">
      <c r="AC620" s="8">
        <f>IF(C620="","",IF(AB620="Closed",AA620-C620,TODAY()-C620))</f>
        <v>0</v>
      </c>
    </row>
    <row r="621" spans="29:29">
      <c r="AC621" s="8">
        <f>IF(C621="","",IF(AB621="Closed",AA621-C621,TODAY()-C621))</f>
        <v>0</v>
      </c>
    </row>
    <row r="622" spans="29:29">
      <c r="AC622" s="8">
        <f>IF(C622="","",IF(AB622="Closed",AA622-C622,TODAY()-C622))</f>
        <v>0</v>
      </c>
    </row>
    <row r="623" spans="29:29">
      <c r="AC623" s="8">
        <f>IF(C623="","",IF(AB623="Closed",AA623-C623,TODAY()-C623))</f>
        <v>0</v>
      </c>
    </row>
    <row r="624" spans="29:29">
      <c r="AC624" s="8">
        <f>IF(C624="","",IF(AB624="Closed",AA624-C624,TODAY()-C624))</f>
        <v>0</v>
      </c>
    </row>
    <row r="625" spans="29:29">
      <c r="AC625" s="8">
        <f>IF(C625="","",IF(AB625="Closed",AA625-C625,TODAY()-C625))</f>
        <v>0</v>
      </c>
    </row>
    <row r="626" spans="29:29">
      <c r="AC626" s="8">
        <f>IF(C626="","",IF(AB626="Closed",AA626-C626,TODAY()-C626))</f>
        <v>0</v>
      </c>
    </row>
    <row r="627" spans="29:29">
      <c r="AC627" s="8">
        <f>IF(C627="","",IF(AB627="Closed",AA627-C627,TODAY()-C627))</f>
        <v>0</v>
      </c>
    </row>
    <row r="628" spans="29:29">
      <c r="AC628" s="8">
        <f>IF(C628="","",IF(AB628="Closed",AA628-C628,TODAY()-C628))</f>
        <v>0</v>
      </c>
    </row>
    <row r="629" spans="29:29">
      <c r="AC629" s="8">
        <f>IF(C629="","",IF(AB629="Closed",AA629-C629,TODAY()-C629))</f>
        <v>0</v>
      </c>
    </row>
    <row r="630" spans="29:29">
      <c r="AC630" s="8">
        <f>IF(C630="","",IF(AB630="Closed",AA630-C630,TODAY()-C630))</f>
        <v>0</v>
      </c>
    </row>
    <row r="631" spans="29:29">
      <c r="AC631" s="8">
        <f>IF(C631="","",IF(AB631="Closed",AA631-C631,TODAY()-C631))</f>
        <v>0</v>
      </c>
    </row>
    <row r="632" spans="29:29">
      <c r="AC632" s="8">
        <f>IF(C632="","",IF(AB632="Closed",AA632-C632,TODAY()-C632))</f>
        <v>0</v>
      </c>
    </row>
    <row r="633" spans="29:29">
      <c r="AC633" s="8">
        <f>IF(C633="","",IF(AB633="Closed",AA633-C633,TODAY()-C633))</f>
        <v>0</v>
      </c>
    </row>
    <row r="634" spans="29:29">
      <c r="AC634" s="8">
        <f>IF(C634="","",IF(AB634="Closed",AA634-C634,TODAY()-C634))</f>
        <v>0</v>
      </c>
    </row>
    <row r="635" spans="29:29">
      <c r="AC635" s="8">
        <f>IF(C635="","",IF(AB635="Closed",AA635-C635,TODAY()-C635))</f>
        <v>0</v>
      </c>
    </row>
    <row r="636" spans="29:29">
      <c r="AC636" s="8">
        <f>IF(C636="","",IF(AB636="Closed",AA636-C636,TODAY()-C636))</f>
        <v>0</v>
      </c>
    </row>
    <row r="637" spans="29:29">
      <c r="AC637" s="8">
        <f>IF(C637="","",IF(AB637="Closed",AA637-C637,TODAY()-C637))</f>
        <v>0</v>
      </c>
    </row>
    <row r="638" spans="29:29">
      <c r="AC638" s="8">
        <f>IF(C638="","",IF(AB638="Closed",AA638-C638,TODAY()-C638))</f>
        <v>0</v>
      </c>
    </row>
    <row r="639" spans="29:29">
      <c r="AC639" s="8">
        <f>IF(C639="","",IF(AB639="Closed",AA639-C639,TODAY()-C639))</f>
        <v>0</v>
      </c>
    </row>
    <row r="640" spans="29:29">
      <c r="AC640" s="8">
        <f>IF(C640="","",IF(AB640="Closed",AA640-C640,TODAY()-C640))</f>
        <v>0</v>
      </c>
    </row>
    <row r="641" spans="29:29">
      <c r="AC641" s="8">
        <f>IF(C641="","",IF(AB641="Closed",AA641-C641,TODAY()-C641))</f>
        <v>0</v>
      </c>
    </row>
    <row r="642" spans="29:29">
      <c r="AC642" s="8">
        <f>IF(C642="","",IF(AB642="Closed",AA642-C642,TODAY()-C642))</f>
        <v>0</v>
      </c>
    </row>
    <row r="643" spans="29:29">
      <c r="AC643" s="8">
        <f>IF(C643="","",IF(AB643="Closed",AA643-C643,TODAY()-C643))</f>
        <v>0</v>
      </c>
    </row>
    <row r="644" spans="29:29">
      <c r="AC644" s="8">
        <f>IF(C644="","",IF(AB644="Closed",AA644-C644,TODAY()-C644))</f>
        <v>0</v>
      </c>
    </row>
    <row r="645" spans="29:29">
      <c r="AC645" s="8">
        <f>IF(C645="","",IF(AB645="Closed",AA645-C645,TODAY()-C645))</f>
        <v>0</v>
      </c>
    </row>
    <row r="646" spans="29:29">
      <c r="AC646" s="8">
        <f>IF(C646="","",IF(AB646="Closed",AA646-C646,TODAY()-C646))</f>
        <v>0</v>
      </c>
    </row>
    <row r="647" spans="29:29">
      <c r="AC647" s="8">
        <f>IF(C647="","",IF(AB647="Closed",AA647-C647,TODAY()-C647))</f>
        <v>0</v>
      </c>
    </row>
    <row r="648" spans="29:29">
      <c r="AC648" s="8">
        <f>IF(C648="","",IF(AB648="Closed",AA648-C648,TODAY()-C648))</f>
        <v>0</v>
      </c>
    </row>
    <row r="649" spans="29:29">
      <c r="AC649" s="8">
        <f>IF(C649="","",IF(AB649="Closed",AA649-C649,TODAY()-C649))</f>
        <v>0</v>
      </c>
    </row>
    <row r="650" spans="29:29">
      <c r="AC650" s="8">
        <f>IF(C650="","",IF(AB650="Closed",AA650-C650,TODAY()-C650))</f>
        <v>0</v>
      </c>
    </row>
    <row r="651" spans="29:29">
      <c r="AC651" s="8">
        <f>IF(C651="","",IF(AB651="Closed",AA651-C651,TODAY()-C651))</f>
        <v>0</v>
      </c>
    </row>
    <row r="652" spans="29:29">
      <c r="AC652" s="8">
        <f>IF(C652="","",IF(AB652="Closed",AA652-C652,TODAY()-C652))</f>
        <v>0</v>
      </c>
    </row>
    <row r="653" spans="29:29">
      <c r="AC653" s="8">
        <f>IF(C653="","",IF(AB653="Closed",AA653-C653,TODAY()-C653))</f>
        <v>0</v>
      </c>
    </row>
    <row r="654" spans="29:29">
      <c r="AC654" s="8">
        <f>IF(C654="","",IF(AB654="Closed",AA654-C654,TODAY()-C654))</f>
        <v>0</v>
      </c>
    </row>
    <row r="655" spans="29:29">
      <c r="AC655" s="8">
        <f>IF(C655="","",IF(AB655="Closed",AA655-C655,TODAY()-C655))</f>
        <v>0</v>
      </c>
    </row>
    <row r="656" spans="29:29">
      <c r="AC656" s="8">
        <f>IF(C656="","",IF(AB656="Closed",AA656-C656,TODAY()-C656))</f>
        <v>0</v>
      </c>
    </row>
    <row r="657" spans="29:29">
      <c r="AC657" s="8">
        <f>IF(C657="","",IF(AB657="Closed",AA657-C657,TODAY()-C657))</f>
        <v>0</v>
      </c>
    </row>
    <row r="658" spans="29:29">
      <c r="AC658" s="8">
        <f>IF(C658="","",IF(AB658="Closed",AA658-C658,TODAY()-C658))</f>
        <v>0</v>
      </c>
    </row>
    <row r="659" spans="29:29">
      <c r="AC659" s="8">
        <f>IF(C659="","",IF(AB659="Closed",AA659-C659,TODAY()-C659))</f>
        <v>0</v>
      </c>
    </row>
    <row r="660" spans="29:29">
      <c r="AC660" s="8">
        <f>IF(C660="","",IF(AB660="Closed",AA660-C660,TODAY()-C660))</f>
        <v>0</v>
      </c>
    </row>
    <row r="661" spans="29:29">
      <c r="AC661" s="8">
        <f>IF(C661="","",IF(AB661="Closed",AA661-C661,TODAY()-C661))</f>
        <v>0</v>
      </c>
    </row>
    <row r="662" spans="29:29">
      <c r="AC662" s="8">
        <f>IF(C662="","",IF(AB662="Closed",AA662-C662,TODAY()-C662))</f>
        <v>0</v>
      </c>
    </row>
    <row r="663" spans="29:29">
      <c r="AC663" s="8">
        <f>IF(C663="","",IF(AB663="Closed",AA663-C663,TODAY()-C663))</f>
        <v>0</v>
      </c>
    </row>
    <row r="664" spans="29:29">
      <c r="AC664" s="8">
        <f>IF(C664="","",IF(AB664="Closed",AA664-C664,TODAY()-C664))</f>
        <v>0</v>
      </c>
    </row>
    <row r="665" spans="29:29">
      <c r="AC665" s="8">
        <f>IF(C665="","",IF(AB665="Closed",AA665-C665,TODAY()-C665))</f>
        <v>0</v>
      </c>
    </row>
    <row r="666" spans="29:29">
      <c r="AC666" s="8">
        <f>IF(C666="","",IF(AB666="Closed",AA666-C666,TODAY()-C666))</f>
        <v>0</v>
      </c>
    </row>
    <row r="667" spans="29:29">
      <c r="AC667" s="8">
        <f>IF(C667="","",IF(AB667="Closed",AA667-C667,TODAY()-C667))</f>
        <v>0</v>
      </c>
    </row>
    <row r="668" spans="29:29">
      <c r="AC668" s="8">
        <f>IF(C668="","",IF(AB668="Closed",AA668-C668,TODAY()-C668))</f>
        <v>0</v>
      </c>
    </row>
    <row r="669" spans="29:29">
      <c r="AC669" s="8">
        <f>IF(C669="","",IF(AB669="Closed",AA669-C669,TODAY()-C669))</f>
        <v>0</v>
      </c>
    </row>
    <row r="670" spans="29:29">
      <c r="AC670" s="8">
        <f>IF(C670="","",IF(AB670="Closed",AA670-C670,TODAY()-C670))</f>
        <v>0</v>
      </c>
    </row>
    <row r="671" spans="29:29">
      <c r="AC671" s="8">
        <f>IF(C671="","",IF(AB671="Closed",AA671-C671,TODAY()-C671))</f>
        <v>0</v>
      </c>
    </row>
    <row r="672" spans="29:29">
      <c r="AC672" s="8">
        <f>IF(C672="","",IF(AB672="Closed",AA672-C672,TODAY()-C672))</f>
        <v>0</v>
      </c>
    </row>
    <row r="673" spans="29:29">
      <c r="AC673" s="8">
        <f>IF(C673="","",IF(AB673="Closed",AA673-C673,TODAY()-C673))</f>
        <v>0</v>
      </c>
    </row>
    <row r="674" spans="29:29">
      <c r="AC674" s="8">
        <f>IF(C674="","",IF(AB674="Closed",AA674-C674,TODAY()-C674))</f>
        <v>0</v>
      </c>
    </row>
    <row r="675" spans="29:29">
      <c r="AC675" s="8">
        <f>IF(C675="","",IF(AB675="Closed",AA675-C675,TODAY()-C675))</f>
        <v>0</v>
      </c>
    </row>
    <row r="676" spans="29:29">
      <c r="AC676" s="8">
        <f>IF(C676="","",IF(AB676="Closed",AA676-C676,TODAY()-C676))</f>
        <v>0</v>
      </c>
    </row>
    <row r="677" spans="29:29">
      <c r="AC677" s="8">
        <f>IF(C677="","",IF(AB677="Closed",AA677-C677,TODAY()-C677))</f>
        <v>0</v>
      </c>
    </row>
    <row r="678" spans="29:29">
      <c r="AC678" s="8">
        <f>IF(C678="","",IF(AB678="Closed",AA678-C678,TODAY()-C678))</f>
        <v>0</v>
      </c>
    </row>
    <row r="679" spans="29:29">
      <c r="AC679" s="8">
        <f>IF(C679="","",IF(AB679="Closed",AA679-C679,TODAY()-C679))</f>
        <v>0</v>
      </c>
    </row>
    <row r="680" spans="29:29">
      <c r="AC680" s="8">
        <f>IF(C680="","",IF(AB680="Closed",AA680-C680,TODAY()-C680))</f>
        <v>0</v>
      </c>
    </row>
    <row r="681" spans="29:29">
      <c r="AC681" s="8">
        <f>IF(C681="","",IF(AB681="Closed",AA681-C681,TODAY()-C681))</f>
        <v>0</v>
      </c>
    </row>
    <row r="682" spans="29:29">
      <c r="AC682" s="8">
        <f>IF(C682="","",IF(AB682="Closed",AA682-C682,TODAY()-C682))</f>
        <v>0</v>
      </c>
    </row>
    <row r="683" spans="29:29">
      <c r="AC683" s="8">
        <f>IF(C683="","",IF(AB683="Closed",AA683-C683,TODAY()-C683))</f>
        <v>0</v>
      </c>
    </row>
    <row r="684" spans="29:29">
      <c r="AC684" s="8">
        <f>IF(C684="","",IF(AB684="Closed",AA684-C684,TODAY()-C684))</f>
        <v>0</v>
      </c>
    </row>
    <row r="685" spans="29:29">
      <c r="AC685" s="8">
        <f>IF(C685="","",IF(AB685="Closed",AA685-C685,TODAY()-C685))</f>
        <v>0</v>
      </c>
    </row>
    <row r="686" spans="29:29">
      <c r="AC686" s="8">
        <f>IF(C686="","",IF(AB686="Closed",AA686-C686,TODAY()-C686))</f>
        <v>0</v>
      </c>
    </row>
    <row r="687" spans="29:29">
      <c r="AC687" s="8">
        <f>IF(C687="","",IF(AB687="Closed",AA687-C687,TODAY()-C687))</f>
        <v>0</v>
      </c>
    </row>
    <row r="688" spans="29:29">
      <c r="AC688" s="8">
        <f>IF(C688="","",IF(AB688="Closed",AA688-C688,TODAY()-C688))</f>
        <v>0</v>
      </c>
    </row>
    <row r="689" spans="29:29">
      <c r="AC689" s="8">
        <f>IF(C689="","",IF(AB689="Closed",AA689-C689,TODAY()-C689))</f>
        <v>0</v>
      </c>
    </row>
    <row r="690" spans="29:29">
      <c r="AC690" s="8">
        <f>IF(C690="","",IF(AB690="Closed",AA690-C690,TODAY()-C690))</f>
        <v>0</v>
      </c>
    </row>
    <row r="691" spans="29:29">
      <c r="AC691" s="8">
        <f>IF(C691="","",IF(AB691="Closed",AA691-C691,TODAY()-C691))</f>
        <v>0</v>
      </c>
    </row>
    <row r="692" spans="29:29">
      <c r="AC692" s="8">
        <f>IF(C692="","",IF(AB692="Closed",AA692-C692,TODAY()-C692))</f>
        <v>0</v>
      </c>
    </row>
    <row r="693" spans="29:29">
      <c r="AC693" s="8">
        <f>IF(C693="","",IF(AB693="Closed",AA693-C693,TODAY()-C693))</f>
        <v>0</v>
      </c>
    </row>
    <row r="694" spans="29:29">
      <c r="AC694" s="8">
        <f>IF(C694="","",IF(AB694="Closed",AA694-C694,TODAY()-C694))</f>
        <v>0</v>
      </c>
    </row>
    <row r="695" spans="29:29">
      <c r="AC695" s="8">
        <f>IF(C695="","",IF(AB695="Closed",AA695-C695,TODAY()-C695))</f>
        <v>0</v>
      </c>
    </row>
    <row r="696" spans="29:29">
      <c r="AC696" s="8">
        <f>IF(C696="","",IF(AB696="Closed",AA696-C696,TODAY()-C696))</f>
        <v>0</v>
      </c>
    </row>
    <row r="697" spans="29:29">
      <c r="AC697" s="8">
        <f>IF(C697="","",IF(AB697="Closed",AA697-C697,TODAY()-C697))</f>
        <v>0</v>
      </c>
    </row>
    <row r="698" spans="29:29">
      <c r="AC698" s="8">
        <f>IF(C698="","",IF(AB698="Closed",AA698-C698,TODAY()-C698))</f>
        <v>0</v>
      </c>
    </row>
    <row r="699" spans="29:29">
      <c r="AC699" s="8">
        <f>IF(C699="","",IF(AB699="Closed",AA699-C699,TODAY()-C699))</f>
        <v>0</v>
      </c>
    </row>
    <row r="700" spans="29:29">
      <c r="AC700" s="8">
        <f>IF(C700="","",IF(AB700="Closed",AA700-C700,TODAY()-C700))</f>
        <v>0</v>
      </c>
    </row>
    <row r="701" spans="29:29">
      <c r="AC701" s="8">
        <f>IF(C701="","",IF(AB701="Closed",AA701-C701,TODAY()-C701))</f>
        <v>0</v>
      </c>
    </row>
    <row r="702" spans="29:29">
      <c r="AC702" s="8">
        <f>IF(C702="","",IF(AB702="Closed",AA702-C702,TODAY()-C702))</f>
        <v>0</v>
      </c>
    </row>
    <row r="703" spans="29:29">
      <c r="AC703" s="8">
        <f>IF(C703="","",IF(AB703="Closed",AA703-C703,TODAY()-C703))</f>
        <v>0</v>
      </c>
    </row>
    <row r="704" spans="29:29">
      <c r="AC704" s="8">
        <f>IF(C704="","",IF(AB704="Closed",AA704-C704,TODAY()-C704))</f>
        <v>0</v>
      </c>
    </row>
    <row r="705" spans="29:29">
      <c r="AC705" s="8">
        <f>IF(C705="","",IF(AB705="Closed",AA705-C705,TODAY()-C705))</f>
        <v>0</v>
      </c>
    </row>
    <row r="706" spans="29:29">
      <c r="AC706" s="8">
        <f>IF(C706="","",IF(AB706="Closed",AA706-C706,TODAY()-C706))</f>
        <v>0</v>
      </c>
    </row>
    <row r="707" spans="29:29">
      <c r="AC707" s="8">
        <f>IF(C707="","",IF(AB707="Closed",AA707-C707,TODAY()-C707))</f>
        <v>0</v>
      </c>
    </row>
    <row r="708" spans="29:29">
      <c r="AC708" s="8">
        <f>IF(C708="","",IF(AB708="Closed",AA708-C708,TODAY()-C708))</f>
        <v>0</v>
      </c>
    </row>
    <row r="709" spans="29:29">
      <c r="AC709" s="8">
        <f>IF(C709="","",IF(AB709="Closed",AA709-C709,TODAY()-C709))</f>
        <v>0</v>
      </c>
    </row>
    <row r="710" spans="29:29">
      <c r="AC710" s="8">
        <f>IF(C710="","",IF(AB710="Closed",AA710-C710,TODAY()-C710))</f>
        <v>0</v>
      </c>
    </row>
    <row r="711" spans="29:29">
      <c r="AC711" s="8">
        <f>IF(C711="","",IF(AB711="Closed",AA711-C711,TODAY()-C711))</f>
        <v>0</v>
      </c>
    </row>
    <row r="712" spans="29:29">
      <c r="AC712" s="8">
        <f>IF(C712="","",IF(AB712="Closed",AA712-C712,TODAY()-C712))</f>
        <v>0</v>
      </c>
    </row>
    <row r="713" spans="29:29">
      <c r="AC713" s="8">
        <f>IF(C713="","",IF(AB713="Closed",AA713-C713,TODAY()-C713))</f>
        <v>0</v>
      </c>
    </row>
    <row r="714" spans="29:29">
      <c r="AC714" s="8">
        <f>IF(C714="","",IF(AB714="Closed",AA714-C714,TODAY()-C714))</f>
        <v>0</v>
      </c>
    </row>
    <row r="715" spans="29:29">
      <c r="AC715" s="8">
        <f>IF(C715="","",IF(AB715="Closed",AA715-C715,TODAY()-C715))</f>
        <v>0</v>
      </c>
    </row>
    <row r="716" spans="29:29">
      <c r="AC716" s="8">
        <f>IF(C716="","",IF(AB716="Closed",AA716-C716,TODAY()-C716))</f>
        <v>0</v>
      </c>
    </row>
    <row r="717" spans="29:29">
      <c r="AC717" s="8">
        <f>IF(C717="","",IF(AB717="Closed",AA717-C717,TODAY()-C717))</f>
        <v>0</v>
      </c>
    </row>
    <row r="718" spans="29:29">
      <c r="AC718" s="8">
        <f>IF(C718="","",IF(AB718="Closed",AA718-C718,TODAY()-C718))</f>
        <v>0</v>
      </c>
    </row>
    <row r="719" spans="29:29">
      <c r="AC719" s="8">
        <f>IF(C719="","",IF(AB719="Closed",AA719-C719,TODAY()-C719))</f>
        <v>0</v>
      </c>
    </row>
    <row r="720" spans="29:29">
      <c r="AC720" s="8">
        <f>IF(C720="","",IF(AB720="Closed",AA720-C720,TODAY()-C720))</f>
        <v>0</v>
      </c>
    </row>
    <row r="721" spans="29:29">
      <c r="AC721" s="8">
        <f>IF(C721="","",IF(AB721="Closed",AA721-C721,TODAY()-C721))</f>
        <v>0</v>
      </c>
    </row>
    <row r="722" spans="29:29">
      <c r="AC722" s="8">
        <f>IF(C722="","",IF(AB722="Closed",AA722-C722,TODAY()-C722))</f>
        <v>0</v>
      </c>
    </row>
    <row r="723" spans="29:29">
      <c r="AC723" s="8">
        <f>IF(C723="","",IF(AB723="Closed",AA723-C723,TODAY()-C723))</f>
        <v>0</v>
      </c>
    </row>
    <row r="724" spans="29:29">
      <c r="AC724" s="8">
        <f>IF(C724="","",IF(AB724="Closed",AA724-C724,TODAY()-C724))</f>
        <v>0</v>
      </c>
    </row>
    <row r="725" spans="29:29">
      <c r="AC725" s="8">
        <f>IF(C725="","",IF(AB725="Closed",AA725-C725,TODAY()-C725))</f>
        <v>0</v>
      </c>
    </row>
    <row r="726" spans="29:29">
      <c r="AC726" s="8">
        <f>IF(C726="","",IF(AB726="Closed",AA726-C726,TODAY()-C726))</f>
        <v>0</v>
      </c>
    </row>
    <row r="727" spans="29:29">
      <c r="AC727" s="8">
        <f>IF(C727="","",IF(AB727="Closed",AA727-C727,TODAY()-C727))</f>
        <v>0</v>
      </c>
    </row>
    <row r="728" spans="29:29">
      <c r="AC728" s="8">
        <f>IF(C728="","",IF(AB728="Closed",AA728-C728,TODAY()-C728))</f>
        <v>0</v>
      </c>
    </row>
    <row r="729" spans="29:29">
      <c r="AC729" s="8">
        <f>IF(C729="","",IF(AB729="Closed",AA729-C729,TODAY()-C729))</f>
        <v>0</v>
      </c>
    </row>
    <row r="730" spans="29:29">
      <c r="AC730" s="8">
        <f>IF(C730="","",IF(AB730="Closed",AA730-C730,TODAY()-C730))</f>
        <v>0</v>
      </c>
    </row>
    <row r="731" spans="29:29">
      <c r="AC731" s="8">
        <f>IF(C731="","",IF(AB731="Closed",AA731-C731,TODAY()-C731))</f>
        <v>0</v>
      </c>
    </row>
    <row r="732" spans="29:29">
      <c r="AC732" s="8">
        <f>IF(C732="","",IF(AB732="Closed",AA732-C732,TODAY()-C732))</f>
        <v>0</v>
      </c>
    </row>
    <row r="733" spans="29:29">
      <c r="AC733" s="8">
        <f>IF(C733="","",IF(AB733="Closed",AA733-C733,TODAY()-C733))</f>
        <v>0</v>
      </c>
    </row>
    <row r="734" spans="29:29">
      <c r="AC734" s="8">
        <f>IF(C734="","",IF(AB734="Closed",AA734-C734,TODAY()-C734))</f>
        <v>0</v>
      </c>
    </row>
    <row r="735" spans="29:29">
      <c r="AC735" s="8">
        <f>IF(C735="","",IF(AB735="Closed",AA735-C735,TODAY()-C735))</f>
        <v>0</v>
      </c>
    </row>
    <row r="736" spans="29:29">
      <c r="AC736" s="8">
        <f>IF(C736="","",IF(AB736="Closed",AA736-C736,TODAY()-C736))</f>
        <v>0</v>
      </c>
    </row>
    <row r="737" spans="29:29">
      <c r="AC737" s="8">
        <f>IF(C737="","",IF(AB737="Closed",AA737-C737,TODAY()-C737))</f>
        <v>0</v>
      </c>
    </row>
    <row r="738" spans="29:29">
      <c r="AC738" s="8">
        <f>IF(C738="","",IF(AB738="Closed",AA738-C738,TODAY()-C738))</f>
        <v>0</v>
      </c>
    </row>
    <row r="739" spans="29:29">
      <c r="AC739" s="8">
        <f>IF(C739="","",IF(AB739="Closed",AA739-C739,TODAY()-C739))</f>
        <v>0</v>
      </c>
    </row>
    <row r="740" spans="29:29">
      <c r="AC740" s="8">
        <f>IF(C740="","",IF(AB740="Closed",AA740-C740,TODAY()-C740))</f>
        <v>0</v>
      </c>
    </row>
    <row r="741" spans="29:29">
      <c r="AC741" s="8">
        <f>IF(C741="","",IF(AB741="Closed",AA741-C741,TODAY()-C741))</f>
        <v>0</v>
      </c>
    </row>
    <row r="742" spans="29:29">
      <c r="AC742" s="8">
        <f>IF(C742="","",IF(AB742="Closed",AA742-C742,TODAY()-C742))</f>
        <v>0</v>
      </c>
    </row>
    <row r="743" spans="29:29">
      <c r="AC743" s="8">
        <f>IF(C743="","",IF(AB743="Closed",AA743-C743,TODAY()-C743))</f>
        <v>0</v>
      </c>
    </row>
    <row r="744" spans="29:29">
      <c r="AC744" s="8">
        <f>IF(C744="","",IF(AB744="Closed",AA744-C744,TODAY()-C744))</f>
        <v>0</v>
      </c>
    </row>
    <row r="745" spans="29:29">
      <c r="AC745" s="8">
        <f>IF(C745="","",IF(AB745="Closed",AA745-C745,TODAY()-C745))</f>
        <v>0</v>
      </c>
    </row>
    <row r="746" spans="29:29">
      <c r="AC746" s="8">
        <f>IF(C746="","",IF(AB746="Closed",AA746-C746,TODAY()-C746))</f>
        <v>0</v>
      </c>
    </row>
    <row r="747" spans="29:29">
      <c r="AC747" s="8">
        <f>IF(C747="","",IF(AB747="Closed",AA747-C747,TODAY()-C747))</f>
        <v>0</v>
      </c>
    </row>
    <row r="748" spans="29:29">
      <c r="AC748" s="8">
        <f>IF(C748="","",IF(AB748="Closed",AA748-C748,TODAY()-C748))</f>
        <v>0</v>
      </c>
    </row>
    <row r="749" spans="29:29">
      <c r="AC749" s="8">
        <f>IF(C749="","",IF(AB749="Closed",AA749-C749,TODAY()-C749))</f>
        <v>0</v>
      </c>
    </row>
    <row r="750" spans="29:29">
      <c r="AC750" s="8">
        <f>IF(C750="","",IF(AB750="Closed",AA750-C750,TODAY()-C750))</f>
        <v>0</v>
      </c>
    </row>
    <row r="751" spans="29:29">
      <c r="AC751" s="8">
        <f>IF(C751="","",IF(AB751="Closed",AA751-C751,TODAY()-C751))</f>
        <v>0</v>
      </c>
    </row>
    <row r="752" spans="29:29">
      <c r="AC752" s="8">
        <f>IF(C752="","",IF(AB752="Closed",AA752-C752,TODAY()-C752))</f>
        <v>0</v>
      </c>
    </row>
    <row r="753" spans="29:29">
      <c r="AC753" s="8">
        <f>IF(C753="","",IF(AB753="Closed",AA753-C753,TODAY()-C753))</f>
        <v>0</v>
      </c>
    </row>
    <row r="754" spans="29:29">
      <c r="AC754" s="8">
        <f>IF(C754="","",IF(AB754="Closed",AA754-C754,TODAY()-C754))</f>
        <v>0</v>
      </c>
    </row>
    <row r="755" spans="29:29">
      <c r="AC755" s="8">
        <f>IF(C755="","",IF(AB755="Closed",AA755-C755,TODAY()-C755))</f>
        <v>0</v>
      </c>
    </row>
    <row r="756" spans="29:29">
      <c r="AC756" s="8">
        <f>IF(C756="","",IF(AB756="Closed",AA756-C756,TODAY()-C756))</f>
        <v>0</v>
      </c>
    </row>
    <row r="757" spans="29:29">
      <c r="AC757" s="8">
        <f>IF(C757="","",IF(AB757="Closed",AA757-C757,TODAY()-C757))</f>
        <v>0</v>
      </c>
    </row>
    <row r="758" spans="29:29">
      <c r="AC758" s="8">
        <f>IF(C758="","",IF(AB758="Closed",AA758-C758,TODAY()-C758))</f>
        <v>0</v>
      </c>
    </row>
    <row r="759" spans="29:29">
      <c r="AC759" s="8">
        <f>IF(C759="","",IF(AB759="Closed",AA759-C759,TODAY()-C759))</f>
        <v>0</v>
      </c>
    </row>
    <row r="760" spans="29:29">
      <c r="AC760" s="8">
        <f>IF(C760="","",IF(AB760="Closed",AA760-C760,TODAY()-C760))</f>
        <v>0</v>
      </c>
    </row>
    <row r="761" spans="29:29">
      <c r="AC761" s="8">
        <f>IF(C761="","",IF(AB761="Closed",AA761-C761,TODAY()-C761))</f>
        <v>0</v>
      </c>
    </row>
    <row r="762" spans="29:29">
      <c r="AC762" s="8">
        <f>IF(C762="","",IF(AB762="Closed",AA762-C762,TODAY()-C762))</f>
        <v>0</v>
      </c>
    </row>
    <row r="763" spans="29:29">
      <c r="AC763" s="8">
        <f>IF(C763="","",IF(AB763="Closed",AA763-C763,TODAY()-C763))</f>
        <v>0</v>
      </c>
    </row>
    <row r="764" spans="29:29">
      <c r="AC764" s="8">
        <f>IF(C764="","",IF(AB764="Closed",AA764-C764,TODAY()-C764))</f>
        <v>0</v>
      </c>
    </row>
    <row r="765" spans="29:29">
      <c r="AC765" s="8">
        <f>IF(C765="","",IF(AB765="Closed",AA765-C765,TODAY()-C765))</f>
        <v>0</v>
      </c>
    </row>
    <row r="766" spans="29:29">
      <c r="AC766" s="8">
        <f>IF(C766="","",IF(AB766="Closed",AA766-C766,TODAY()-C766))</f>
        <v>0</v>
      </c>
    </row>
    <row r="767" spans="29:29">
      <c r="AC767" s="8">
        <f>IF(C767="","",IF(AB767="Closed",AA767-C767,TODAY()-C767))</f>
        <v>0</v>
      </c>
    </row>
    <row r="768" spans="29:29">
      <c r="AC768" s="8">
        <f>IF(C768="","",IF(AB768="Closed",AA768-C768,TODAY()-C768))</f>
        <v>0</v>
      </c>
    </row>
    <row r="769" spans="29:29">
      <c r="AC769" s="8">
        <f>IF(C769="","",IF(AB769="Closed",AA769-C769,TODAY()-C769))</f>
        <v>0</v>
      </c>
    </row>
    <row r="770" spans="29:29">
      <c r="AC770" s="8">
        <f>IF(C770="","",IF(AB770="Closed",AA770-C770,TODAY()-C770))</f>
        <v>0</v>
      </c>
    </row>
    <row r="771" spans="29:29">
      <c r="AC771" s="8">
        <f>IF(C771="","",IF(AB771="Closed",AA771-C771,TODAY()-C771))</f>
        <v>0</v>
      </c>
    </row>
    <row r="772" spans="29:29">
      <c r="AC772" s="8">
        <f>IF(C772="","",IF(AB772="Closed",AA772-C772,TODAY()-C772))</f>
        <v>0</v>
      </c>
    </row>
    <row r="773" spans="29:29">
      <c r="AC773" s="8">
        <f>IF(C773="","",IF(AB773="Closed",AA773-C773,TODAY()-C773))</f>
        <v>0</v>
      </c>
    </row>
    <row r="774" spans="29:29">
      <c r="AC774" s="8">
        <f>IF(C774="","",IF(AB774="Closed",AA774-C774,TODAY()-C774))</f>
        <v>0</v>
      </c>
    </row>
    <row r="775" spans="29:29">
      <c r="AC775" s="8">
        <f>IF(C775="","",IF(AB775="Closed",AA775-C775,TODAY()-C775))</f>
        <v>0</v>
      </c>
    </row>
    <row r="776" spans="29:29">
      <c r="AC776" s="8">
        <f>IF(C776="","",IF(AB776="Closed",AA776-C776,TODAY()-C776))</f>
        <v>0</v>
      </c>
    </row>
    <row r="777" spans="29:29">
      <c r="AC777" s="8">
        <f>IF(C777="","",IF(AB777="Closed",AA777-C777,TODAY()-C777))</f>
        <v>0</v>
      </c>
    </row>
    <row r="778" spans="29:29">
      <c r="AC778" s="8">
        <f>IF(C778="","",IF(AB778="Closed",AA778-C778,TODAY()-C778))</f>
        <v>0</v>
      </c>
    </row>
    <row r="779" spans="29:29">
      <c r="AC779" s="8">
        <f>IF(C779="","",IF(AB779="Closed",AA779-C779,TODAY()-C779))</f>
        <v>0</v>
      </c>
    </row>
    <row r="780" spans="29:29">
      <c r="AC780" s="8">
        <f>IF(C780="","",IF(AB780="Closed",AA780-C780,TODAY()-C780))</f>
        <v>0</v>
      </c>
    </row>
    <row r="781" spans="29:29">
      <c r="AC781" s="8">
        <f>IF(C781="","",IF(AB781="Closed",AA781-C781,TODAY()-C781))</f>
        <v>0</v>
      </c>
    </row>
    <row r="782" spans="29:29">
      <c r="AC782" s="8">
        <f>IF(C782="","",IF(AB782="Closed",AA782-C782,TODAY()-C782))</f>
        <v>0</v>
      </c>
    </row>
    <row r="783" spans="29:29">
      <c r="AC783" s="8">
        <f>IF(C783="","",IF(AB783="Closed",AA783-C783,TODAY()-C783))</f>
        <v>0</v>
      </c>
    </row>
    <row r="784" spans="29:29">
      <c r="AC784" s="8">
        <f>IF(C784="","",IF(AB784="Closed",AA784-C784,TODAY()-C784))</f>
        <v>0</v>
      </c>
    </row>
    <row r="785" spans="29:29">
      <c r="AC785" s="8">
        <f>IF(C785="","",IF(AB785="Closed",AA785-C785,TODAY()-C785))</f>
        <v>0</v>
      </c>
    </row>
    <row r="786" spans="29:29">
      <c r="AC786" s="8">
        <f>IF(C786="","",IF(AB786="Closed",AA786-C786,TODAY()-C786))</f>
        <v>0</v>
      </c>
    </row>
    <row r="787" spans="29:29">
      <c r="AC787" s="8">
        <f>IF(C787="","",IF(AB787="Closed",AA787-C787,TODAY()-C787))</f>
        <v>0</v>
      </c>
    </row>
    <row r="788" spans="29:29">
      <c r="AC788" s="8">
        <f>IF(C788="","",IF(AB788="Closed",AA788-C788,TODAY()-C788))</f>
        <v>0</v>
      </c>
    </row>
    <row r="789" spans="29:29">
      <c r="AC789" s="8">
        <f>IF(C789="","",IF(AB789="Closed",AA789-C789,TODAY()-C789))</f>
        <v>0</v>
      </c>
    </row>
    <row r="790" spans="29:29">
      <c r="AC790" s="8">
        <f>IF(C790="","",IF(AB790="Closed",AA790-C790,TODAY()-C790))</f>
        <v>0</v>
      </c>
    </row>
    <row r="791" spans="29:29">
      <c r="AC791" s="8">
        <f>IF(C791="","",IF(AB791="Closed",AA791-C791,TODAY()-C791))</f>
        <v>0</v>
      </c>
    </row>
    <row r="792" spans="29:29">
      <c r="AC792" s="8">
        <f>IF(C792="","",IF(AB792="Closed",AA792-C792,TODAY()-C792))</f>
        <v>0</v>
      </c>
    </row>
    <row r="793" spans="29:29">
      <c r="AC793" s="8">
        <f>IF(C793="","",IF(AB793="Closed",AA793-C793,TODAY()-C793))</f>
        <v>0</v>
      </c>
    </row>
    <row r="794" spans="29:29">
      <c r="AC794" s="8">
        <f>IF(C794="","",IF(AB794="Closed",AA794-C794,TODAY()-C794))</f>
        <v>0</v>
      </c>
    </row>
    <row r="795" spans="29:29">
      <c r="AC795" s="8">
        <f>IF(C795="","",IF(AB795="Closed",AA795-C795,TODAY()-C795))</f>
        <v>0</v>
      </c>
    </row>
    <row r="796" spans="29:29">
      <c r="AC796" s="8">
        <f>IF(C796="","",IF(AB796="Closed",AA796-C796,TODAY()-C796))</f>
        <v>0</v>
      </c>
    </row>
    <row r="797" spans="29:29">
      <c r="AC797" s="8">
        <f>IF(C797="","",IF(AB797="Closed",AA797-C797,TODAY()-C797))</f>
        <v>0</v>
      </c>
    </row>
    <row r="798" spans="29:29">
      <c r="AC798" s="8">
        <f>IF(C798="","",IF(AB798="Closed",AA798-C798,TODAY()-C798))</f>
        <v>0</v>
      </c>
    </row>
    <row r="799" spans="29:29">
      <c r="AC799" s="8">
        <f>IF(C799="","",IF(AB799="Closed",AA799-C799,TODAY()-C799))</f>
        <v>0</v>
      </c>
    </row>
    <row r="800" spans="29:29">
      <c r="AC800" s="8">
        <f>IF(C800="","",IF(AB800="Closed",AA800-C800,TODAY()-C800))</f>
        <v>0</v>
      </c>
    </row>
    <row r="801" spans="29:29">
      <c r="AC801" s="8">
        <f>IF(C801="","",IF(AB801="Closed",AA801-C801,TODAY()-C801))</f>
        <v>0</v>
      </c>
    </row>
    <row r="802" spans="29:29">
      <c r="AC802" s="8">
        <f>IF(C802="","",IF(AB802="Closed",AA802-C802,TODAY()-C802))</f>
        <v>0</v>
      </c>
    </row>
    <row r="803" spans="29:29">
      <c r="AC803" s="8">
        <f>IF(C803="","",IF(AB803="Closed",AA803-C803,TODAY()-C803))</f>
        <v>0</v>
      </c>
    </row>
    <row r="804" spans="29:29">
      <c r="AC804" s="8">
        <f>IF(C804="","",IF(AB804="Closed",AA804-C804,TODAY()-C804))</f>
        <v>0</v>
      </c>
    </row>
    <row r="805" spans="29:29">
      <c r="AC805" s="8">
        <f>IF(C805="","",IF(AB805="Closed",AA805-C805,TODAY()-C805))</f>
        <v>0</v>
      </c>
    </row>
    <row r="806" spans="29:29">
      <c r="AC806" s="8">
        <f>IF(C806="","",IF(AB806="Closed",AA806-C806,TODAY()-C806))</f>
        <v>0</v>
      </c>
    </row>
    <row r="807" spans="29:29">
      <c r="AC807" s="8">
        <f>IF(C807="","",IF(AB807="Closed",AA807-C807,TODAY()-C807))</f>
        <v>0</v>
      </c>
    </row>
    <row r="808" spans="29:29">
      <c r="AC808" s="8">
        <f>IF(C808="","",IF(AB808="Closed",AA808-C808,TODAY()-C808))</f>
        <v>0</v>
      </c>
    </row>
    <row r="809" spans="29:29">
      <c r="AC809" s="8">
        <f>IF(C809="","",IF(AB809="Closed",AA809-C809,TODAY()-C809))</f>
        <v>0</v>
      </c>
    </row>
    <row r="810" spans="29:29">
      <c r="AC810" s="8">
        <f>IF(C810="","",IF(AB810="Closed",AA810-C810,TODAY()-C810))</f>
        <v>0</v>
      </c>
    </row>
    <row r="811" spans="29:29">
      <c r="AC811" s="8">
        <f>IF(C811="","",IF(AB811="Closed",AA811-C811,TODAY()-C811))</f>
        <v>0</v>
      </c>
    </row>
    <row r="812" spans="29:29">
      <c r="AC812" s="8">
        <f>IF(C812="","",IF(AB812="Closed",AA812-C812,TODAY()-C812))</f>
        <v>0</v>
      </c>
    </row>
    <row r="813" spans="29:29">
      <c r="AC813" s="8">
        <f>IF(C813="","",IF(AB813="Closed",AA813-C813,TODAY()-C813))</f>
        <v>0</v>
      </c>
    </row>
    <row r="814" spans="29:29">
      <c r="AC814" s="8">
        <f>IF(C814="","",IF(AB814="Closed",AA814-C814,TODAY()-C814))</f>
        <v>0</v>
      </c>
    </row>
    <row r="815" spans="29:29">
      <c r="AC815" s="8">
        <f>IF(C815="","",IF(AB815="Closed",AA815-C815,TODAY()-C815))</f>
        <v>0</v>
      </c>
    </row>
    <row r="816" spans="29:29">
      <c r="AC816" s="8">
        <f>IF(C816="","",IF(AB816="Closed",AA816-C816,TODAY()-C816))</f>
        <v>0</v>
      </c>
    </row>
    <row r="817" spans="29:29">
      <c r="AC817" s="8">
        <f>IF(C817="","",IF(AB817="Closed",AA817-C817,TODAY()-C817))</f>
        <v>0</v>
      </c>
    </row>
    <row r="818" spans="29:29">
      <c r="AC818" s="8">
        <f>IF(C818="","",IF(AB818="Closed",AA818-C818,TODAY()-C818))</f>
        <v>0</v>
      </c>
    </row>
    <row r="819" spans="29:29">
      <c r="AC819" s="8">
        <f>IF(C819="","",IF(AB819="Closed",AA819-C819,TODAY()-C819))</f>
        <v>0</v>
      </c>
    </row>
    <row r="820" spans="29:29">
      <c r="AC820" s="8">
        <f>IF(C820="","",IF(AB820="Closed",AA820-C820,TODAY()-C820))</f>
        <v>0</v>
      </c>
    </row>
    <row r="821" spans="29:29">
      <c r="AC821" s="8">
        <f>IF(C821="","",IF(AB821="Closed",AA821-C821,TODAY()-C821))</f>
        <v>0</v>
      </c>
    </row>
    <row r="822" spans="29:29">
      <c r="AC822" s="8">
        <f>IF(C822="","",IF(AB822="Closed",AA822-C822,TODAY()-C822))</f>
        <v>0</v>
      </c>
    </row>
    <row r="823" spans="29:29">
      <c r="AC823" s="8">
        <f>IF(C823="","",IF(AB823="Closed",AA823-C823,TODAY()-C823))</f>
        <v>0</v>
      </c>
    </row>
    <row r="824" spans="29:29">
      <c r="AC824" s="8">
        <f>IF(C824="","",IF(AB824="Closed",AA824-C824,TODAY()-C824))</f>
        <v>0</v>
      </c>
    </row>
    <row r="825" spans="29:29">
      <c r="AC825" s="8">
        <f>IF(C825="","",IF(AB825="Closed",AA825-C825,TODAY()-C825))</f>
        <v>0</v>
      </c>
    </row>
    <row r="826" spans="29:29">
      <c r="AC826" s="8">
        <f>IF(C826="","",IF(AB826="Closed",AA826-C826,TODAY()-C826))</f>
        <v>0</v>
      </c>
    </row>
    <row r="827" spans="29:29">
      <c r="AC827" s="8">
        <f>IF(C827="","",IF(AB827="Closed",AA827-C827,TODAY()-C827))</f>
        <v>0</v>
      </c>
    </row>
    <row r="828" spans="29:29">
      <c r="AC828" s="8">
        <f>IF(C828="","",IF(AB828="Closed",AA828-C828,TODAY()-C828))</f>
        <v>0</v>
      </c>
    </row>
    <row r="829" spans="29:29">
      <c r="AC829" s="8">
        <f>IF(C829="","",IF(AB829="Closed",AA829-C829,TODAY()-C829))</f>
        <v>0</v>
      </c>
    </row>
    <row r="830" spans="29:29">
      <c r="AC830" s="8">
        <f>IF(C830="","",IF(AB830="Closed",AA830-C830,TODAY()-C830))</f>
        <v>0</v>
      </c>
    </row>
    <row r="831" spans="29:29">
      <c r="AC831" s="8">
        <f>IF(C831="","",IF(AB831="Closed",AA831-C831,TODAY()-C831))</f>
        <v>0</v>
      </c>
    </row>
    <row r="832" spans="29:29">
      <c r="AC832" s="8">
        <f>IF(C832="","",IF(AB832="Closed",AA832-C832,TODAY()-C832))</f>
        <v>0</v>
      </c>
    </row>
    <row r="833" spans="29:29">
      <c r="AC833" s="8">
        <f>IF(C833="","",IF(AB833="Closed",AA833-C833,TODAY()-C833))</f>
        <v>0</v>
      </c>
    </row>
    <row r="834" spans="29:29">
      <c r="AC834" s="8">
        <f>IF(C834="","",IF(AB834="Closed",AA834-C834,TODAY()-C834))</f>
        <v>0</v>
      </c>
    </row>
    <row r="835" spans="29:29">
      <c r="AC835" s="8">
        <f>IF(C835="","",IF(AB835="Closed",AA835-C835,TODAY()-C835))</f>
        <v>0</v>
      </c>
    </row>
    <row r="836" spans="29:29">
      <c r="AC836" s="8">
        <f>IF(C836="","",IF(AB836="Closed",AA836-C836,TODAY()-C836))</f>
        <v>0</v>
      </c>
    </row>
    <row r="837" spans="29:29">
      <c r="AC837" s="8">
        <f>IF(C837="","",IF(AB837="Closed",AA837-C837,TODAY()-C837))</f>
        <v>0</v>
      </c>
    </row>
    <row r="838" spans="29:29">
      <c r="AC838" s="8">
        <f>IF(C838="","",IF(AB838="Closed",AA838-C838,TODAY()-C838))</f>
        <v>0</v>
      </c>
    </row>
    <row r="839" spans="29:29">
      <c r="AC839" s="8">
        <f>IF(C839="","",IF(AB839="Closed",AA839-C839,TODAY()-C839))</f>
        <v>0</v>
      </c>
    </row>
    <row r="840" spans="29:29">
      <c r="AC840" s="8">
        <f>IF(C840="","",IF(AB840="Closed",AA840-C840,TODAY()-C840))</f>
        <v>0</v>
      </c>
    </row>
    <row r="841" spans="29:29">
      <c r="AC841" s="8">
        <f>IF(C841="","",IF(AB841="Closed",AA841-C841,TODAY()-C841))</f>
        <v>0</v>
      </c>
    </row>
    <row r="842" spans="29:29">
      <c r="AC842" s="8">
        <f>IF(C842="","",IF(AB842="Closed",AA842-C842,TODAY()-C842))</f>
        <v>0</v>
      </c>
    </row>
    <row r="843" spans="29:29">
      <c r="AC843" s="8">
        <f>IF(C843="","",IF(AB843="Closed",AA843-C843,TODAY()-C843))</f>
        <v>0</v>
      </c>
    </row>
    <row r="844" spans="29:29">
      <c r="AC844" s="8">
        <f>IF(C844="","",IF(AB844="Closed",AA844-C844,TODAY()-C844))</f>
        <v>0</v>
      </c>
    </row>
    <row r="845" spans="29:29">
      <c r="AC845" s="8">
        <f>IF(C845="","",IF(AB845="Closed",AA845-C845,TODAY()-C845))</f>
        <v>0</v>
      </c>
    </row>
    <row r="846" spans="29:29">
      <c r="AC846" s="8">
        <f>IF(C846="","",IF(AB846="Closed",AA846-C846,TODAY()-C846))</f>
        <v>0</v>
      </c>
    </row>
    <row r="847" spans="29:29">
      <c r="AC847" s="8">
        <f>IF(C847="","",IF(AB847="Closed",AA847-C847,TODAY()-C847))</f>
        <v>0</v>
      </c>
    </row>
    <row r="848" spans="29:29">
      <c r="AC848" s="8">
        <f>IF(C848="","",IF(AB848="Closed",AA848-C848,TODAY()-C848))</f>
        <v>0</v>
      </c>
    </row>
    <row r="849" spans="29:29">
      <c r="AC849" s="8">
        <f>IF(C849="","",IF(AB849="Closed",AA849-C849,TODAY()-C849))</f>
        <v>0</v>
      </c>
    </row>
    <row r="850" spans="29:29">
      <c r="AC850" s="8">
        <f>IF(C850="","",IF(AB850="Closed",AA850-C850,TODAY()-C850))</f>
        <v>0</v>
      </c>
    </row>
    <row r="851" spans="29:29">
      <c r="AC851" s="8">
        <f>IF(C851="","",IF(AB851="Closed",AA851-C851,TODAY()-C851))</f>
        <v>0</v>
      </c>
    </row>
    <row r="852" spans="29:29">
      <c r="AC852" s="8">
        <f>IF(C852="","",IF(AB852="Closed",AA852-C852,TODAY()-C852))</f>
        <v>0</v>
      </c>
    </row>
    <row r="853" spans="29:29">
      <c r="AC853" s="8">
        <f>IF(C853="","",IF(AB853="Closed",AA853-C853,TODAY()-C853))</f>
        <v>0</v>
      </c>
    </row>
    <row r="854" spans="29:29">
      <c r="AC854" s="8">
        <f>IF(C854="","",IF(AB854="Closed",AA854-C854,TODAY()-C854))</f>
        <v>0</v>
      </c>
    </row>
    <row r="855" spans="29:29">
      <c r="AC855" s="8">
        <f>IF(C855="","",IF(AB855="Closed",AA855-C855,TODAY()-C855))</f>
        <v>0</v>
      </c>
    </row>
    <row r="856" spans="29:29">
      <c r="AC856" s="8">
        <f>IF(C856="","",IF(AB856="Closed",AA856-C856,TODAY()-C856))</f>
        <v>0</v>
      </c>
    </row>
    <row r="857" spans="29:29">
      <c r="AC857" s="8">
        <f>IF(C857="","",IF(AB857="Closed",AA857-C857,TODAY()-C857))</f>
        <v>0</v>
      </c>
    </row>
    <row r="858" spans="29:29">
      <c r="AC858" s="8">
        <f>IF(C858="","",IF(AB858="Closed",AA858-C858,TODAY()-C858))</f>
        <v>0</v>
      </c>
    </row>
    <row r="859" spans="29:29">
      <c r="AC859" s="8">
        <f>IF(C859="","",IF(AB859="Closed",AA859-C859,TODAY()-C859))</f>
        <v>0</v>
      </c>
    </row>
    <row r="860" spans="29:29">
      <c r="AC860" s="8">
        <f>IF(C860="","",IF(AB860="Closed",AA860-C860,TODAY()-C860))</f>
        <v>0</v>
      </c>
    </row>
    <row r="861" spans="29:29">
      <c r="AC861" s="8">
        <f>IF(C861="","",IF(AB861="Closed",AA861-C861,TODAY()-C861))</f>
        <v>0</v>
      </c>
    </row>
    <row r="862" spans="29:29">
      <c r="AC862" s="8">
        <f>IF(C862="","",IF(AB862="Closed",AA862-C862,TODAY()-C862))</f>
        <v>0</v>
      </c>
    </row>
    <row r="863" spans="29:29">
      <c r="AC863" s="8">
        <f>IF(C863="","",IF(AB863="Closed",AA863-C863,TODAY()-C863))</f>
        <v>0</v>
      </c>
    </row>
    <row r="864" spans="29:29">
      <c r="AC864" s="8">
        <f>IF(C864="","",IF(AB864="Closed",AA864-C864,TODAY()-C864))</f>
        <v>0</v>
      </c>
    </row>
    <row r="865" spans="29:29">
      <c r="AC865" s="8">
        <f>IF(C865="","",IF(AB865="Closed",AA865-C865,TODAY()-C865))</f>
        <v>0</v>
      </c>
    </row>
    <row r="866" spans="29:29">
      <c r="AC866" s="8">
        <f>IF(C866="","",IF(AB866="Closed",AA866-C866,TODAY()-C866))</f>
        <v>0</v>
      </c>
    </row>
    <row r="867" spans="29:29">
      <c r="AC867" s="8">
        <f>IF(C867="","",IF(AB867="Closed",AA867-C867,TODAY()-C867))</f>
        <v>0</v>
      </c>
    </row>
    <row r="868" spans="29:29">
      <c r="AC868" s="8">
        <f>IF(C868="","",IF(AB868="Closed",AA868-C868,TODAY()-C868))</f>
        <v>0</v>
      </c>
    </row>
    <row r="869" spans="29:29">
      <c r="AC869" s="8">
        <f>IF(C869="","",IF(AB869="Closed",AA869-C869,TODAY()-C869))</f>
        <v>0</v>
      </c>
    </row>
    <row r="870" spans="29:29">
      <c r="AC870" s="8">
        <f>IF(C870="","",IF(AB870="Closed",AA870-C870,TODAY()-C870))</f>
        <v>0</v>
      </c>
    </row>
    <row r="871" spans="29:29">
      <c r="AC871" s="8">
        <f>IF(C871="","",IF(AB871="Closed",AA871-C871,TODAY()-C871))</f>
        <v>0</v>
      </c>
    </row>
    <row r="872" spans="29:29">
      <c r="AC872" s="8">
        <f>IF(C872="","",IF(AB872="Closed",AA872-C872,TODAY()-C872))</f>
        <v>0</v>
      </c>
    </row>
    <row r="873" spans="29:29">
      <c r="AC873" s="8">
        <f>IF(C873="","",IF(AB873="Closed",AA873-C873,TODAY()-C873))</f>
        <v>0</v>
      </c>
    </row>
    <row r="874" spans="29:29">
      <c r="AC874" s="8">
        <f>IF(C874="","",IF(AB874="Closed",AA874-C874,TODAY()-C874))</f>
        <v>0</v>
      </c>
    </row>
    <row r="875" spans="29:29">
      <c r="AC875" s="8">
        <f>IF(C875="","",IF(AB875="Closed",AA875-C875,TODAY()-C875))</f>
        <v>0</v>
      </c>
    </row>
    <row r="876" spans="29:29">
      <c r="AC876" s="8">
        <f>IF(C876="","",IF(AB876="Closed",AA876-C876,TODAY()-C876))</f>
        <v>0</v>
      </c>
    </row>
    <row r="877" spans="29:29">
      <c r="AC877" s="8">
        <f>IF(C877="","",IF(AB877="Closed",AA877-C877,TODAY()-C877))</f>
        <v>0</v>
      </c>
    </row>
    <row r="878" spans="29:29">
      <c r="AC878" s="8">
        <f>IF(C878="","",IF(AB878="Closed",AA878-C878,TODAY()-C878))</f>
        <v>0</v>
      </c>
    </row>
    <row r="879" spans="29:29">
      <c r="AC879" s="8">
        <f>IF(C879="","",IF(AB879="Closed",AA879-C879,TODAY()-C879))</f>
        <v>0</v>
      </c>
    </row>
    <row r="880" spans="29:29">
      <c r="AC880" s="8">
        <f>IF(C880="","",IF(AB880="Closed",AA880-C880,TODAY()-C880))</f>
        <v>0</v>
      </c>
    </row>
    <row r="881" spans="29:29">
      <c r="AC881" s="8">
        <f>IF(C881="","",IF(AB881="Closed",AA881-C881,TODAY()-C881))</f>
        <v>0</v>
      </c>
    </row>
    <row r="882" spans="29:29">
      <c r="AC882" s="8">
        <f>IF(C882="","",IF(AB882="Closed",AA882-C882,TODAY()-C882))</f>
        <v>0</v>
      </c>
    </row>
    <row r="883" spans="29:29">
      <c r="AC883" s="8">
        <f>IF(C883="","",IF(AB883="Closed",AA883-C883,TODAY()-C883))</f>
        <v>0</v>
      </c>
    </row>
    <row r="884" spans="29:29">
      <c r="AC884" s="8">
        <f>IF(C884="","",IF(AB884="Closed",AA884-C884,TODAY()-C884))</f>
        <v>0</v>
      </c>
    </row>
    <row r="885" spans="29:29">
      <c r="AC885" s="8">
        <f>IF(C885="","",IF(AB885="Closed",AA885-C885,TODAY()-C885))</f>
        <v>0</v>
      </c>
    </row>
    <row r="886" spans="29:29">
      <c r="AC886" s="8">
        <f>IF(C886="","",IF(AB886="Closed",AA886-C886,TODAY()-C886))</f>
        <v>0</v>
      </c>
    </row>
    <row r="887" spans="29:29">
      <c r="AC887" s="8">
        <f>IF(C887="","",IF(AB887="Closed",AA887-C887,TODAY()-C887))</f>
        <v>0</v>
      </c>
    </row>
    <row r="888" spans="29:29">
      <c r="AC888" s="8">
        <f>IF(C888="","",IF(AB888="Closed",AA888-C888,TODAY()-C888))</f>
        <v>0</v>
      </c>
    </row>
    <row r="889" spans="29:29">
      <c r="AC889" s="8">
        <f>IF(C889="","",IF(AB889="Closed",AA889-C889,TODAY()-C889))</f>
        <v>0</v>
      </c>
    </row>
    <row r="890" spans="29:29">
      <c r="AC890" s="8">
        <f>IF(C890="","",IF(AB890="Closed",AA890-C890,TODAY()-C890))</f>
        <v>0</v>
      </c>
    </row>
    <row r="891" spans="29:29">
      <c r="AC891" s="8">
        <f>IF(C891="","",IF(AB891="Closed",AA891-C891,TODAY()-C891))</f>
        <v>0</v>
      </c>
    </row>
    <row r="892" spans="29:29">
      <c r="AC892" s="8">
        <f>IF(C892="","",IF(AB892="Closed",AA892-C892,TODAY()-C892))</f>
        <v>0</v>
      </c>
    </row>
    <row r="893" spans="29:29">
      <c r="AC893" s="8">
        <f>IF(C893="","",IF(AB893="Closed",AA893-C893,TODAY()-C893))</f>
        <v>0</v>
      </c>
    </row>
    <row r="894" spans="29:29">
      <c r="AC894" s="8">
        <f>IF(C894="","",IF(AB894="Closed",AA894-C894,TODAY()-C894))</f>
        <v>0</v>
      </c>
    </row>
    <row r="895" spans="29:29">
      <c r="AC895" s="8">
        <f>IF(C895="","",IF(AB895="Closed",AA895-C895,TODAY()-C895))</f>
        <v>0</v>
      </c>
    </row>
    <row r="896" spans="29:29">
      <c r="AC896" s="8">
        <f>IF(C896="","",IF(AB896="Closed",AA896-C896,TODAY()-C896))</f>
        <v>0</v>
      </c>
    </row>
    <row r="897" spans="29:29">
      <c r="AC897" s="8">
        <f>IF(C897="","",IF(AB897="Closed",AA897-C897,TODAY()-C897))</f>
        <v>0</v>
      </c>
    </row>
    <row r="898" spans="29:29">
      <c r="AC898" s="8">
        <f>IF(C898="","",IF(AB898="Closed",AA898-C898,TODAY()-C898))</f>
        <v>0</v>
      </c>
    </row>
    <row r="899" spans="29:29">
      <c r="AC899" s="8">
        <f>IF(C899="","",IF(AB899="Closed",AA899-C899,TODAY()-C899))</f>
        <v>0</v>
      </c>
    </row>
    <row r="900" spans="29:29">
      <c r="AC900" s="8">
        <f>IF(C900="","",IF(AB900="Closed",AA900-C900,TODAY()-C900))</f>
        <v>0</v>
      </c>
    </row>
    <row r="901" spans="29:29">
      <c r="AC901" s="8">
        <f>IF(C901="","",IF(AB901="Closed",AA901-C901,TODAY()-C901))</f>
        <v>0</v>
      </c>
    </row>
    <row r="902" spans="29:29">
      <c r="AC902" s="8">
        <f>IF(C902="","",IF(AB902="Closed",AA902-C902,TODAY()-C902))</f>
        <v>0</v>
      </c>
    </row>
    <row r="903" spans="29:29">
      <c r="AC903" s="8">
        <f>IF(C903="","",IF(AB903="Closed",AA903-C903,TODAY()-C903))</f>
        <v>0</v>
      </c>
    </row>
    <row r="904" spans="29:29">
      <c r="AC904" s="8">
        <f>IF(C904="","",IF(AB904="Closed",AA904-C904,TODAY()-C904))</f>
        <v>0</v>
      </c>
    </row>
    <row r="905" spans="29:29">
      <c r="AC905" s="8">
        <f>IF(C905="","",IF(AB905="Closed",AA905-C905,TODAY()-C905))</f>
        <v>0</v>
      </c>
    </row>
    <row r="906" spans="29:29">
      <c r="AC906" s="8">
        <f>IF(C906="","",IF(AB906="Closed",AA906-C906,TODAY()-C906))</f>
        <v>0</v>
      </c>
    </row>
    <row r="907" spans="29:29">
      <c r="AC907" s="8">
        <f>IF(C907="","",IF(AB907="Closed",AA907-C907,TODAY()-C907))</f>
        <v>0</v>
      </c>
    </row>
    <row r="908" spans="29:29">
      <c r="AC908" s="8">
        <f>IF(C908="","",IF(AB908="Closed",AA908-C908,TODAY()-C908))</f>
        <v>0</v>
      </c>
    </row>
    <row r="909" spans="29:29">
      <c r="AC909" s="8">
        <f>IF(C909="","",IF(AB909="Closed",AA909-C909,TODAY()-C909))</f>
        <v>0</v>
      </c>
    </row>
    <row r="910" spans="29:29">
      <c r="AC910" s="8">
        <f>IF(C910="","",IF(AB910="Closed",AA910-C910,TODAY()-C910))</f>
        <v>0</v>
      </c>
    </row>
    <row r="911" spans="29:29">
      <c r="AC911" s="8">
        <f>IF(C911="","",IF(AB911="Closed",AA911-C911,TODAY()-C911))</f>
        <v>0</v>
      </c>
    </row>
    <row r="912" spans="29:29">
      <c r="AC912" s="8">
        <f>IF(C912="","",IF(AB912="Closed",AA912-C912,TODAY()-C912))</f>
        <v>0</v>
      </c>
    </row>
    <row r="913" spans="29:29">
      <c r="AC913" s="8">
        <f>IF(C913="","",IF(AB913="Closed",AA913-C913,TODAY()-C913))</f>
        <v>0</v>
      </c>
    </row>
    <row r="914" spans="29:29">
      <c r="AC914" s="8">
        <f>IF(C914="","",IF(AB914="Closed",AA914-C914,TODAY()-C914))</f>
        <v>0</v>
      </c>
    </row>
    <row r="915" spans="29:29">
      <c r="AC915" s="8">
        <f>IF(C915="","",IF(AB915="Closed",AA915-C915,TODAY()-C915))</f>
        <v>0</v>
      </c>
    </row>
    <row r="916" spans="29:29">
      <c r="AC916" s="8">
        <f>IF(C916="","",IF(AB916="Closed",AA916-C916,TODAY()-C916))</f>
        <v>0</v>
      </c>
    </row>
    <row r="917" spans="29:29">
      <c r="AC917" s="8">
        <f>IF(C917="","",IF(AB917="Closed",AA917-C917,TODAY()-C917))</f>
        <v>0</v>
      </c>
    </row>
    <row r="918" spans="29:29">
      <c r="AC918" s="8">
        <f>IF(C918="","",IF(AB918="Closed",AA918-C918,TODAY()-C918))</f>
        <v>0</v>
      </c>
    </row>
    <row r="919" spans="29:29">
      <c r="AC919" s="8">
        <f>IF(C919="","",IF(AB919="Closed",AA919-C919,TODAY()-C919))</f>
        <v>0</v>
      </c>
    </row>
    <row r="920" spans="29:29">
      <c r="AC920" s="8">
        <f>IF(C920="","",IF(AB920="Closed",AA920-C920,TODAY()-C920))</f>
        <v>0</v>
      </c>
    </row>
    <row r="921" spans="29:29">
      <c r="AC921" s="8">
        <f>IF(C921="","",IF(AB921="Closed",AA921-C921,TODAY()-C921))</f>
        <v>0</v>
      </c>
    </row>
    <row r="922" spans="29:29">
      <c r="AC922" s="8">
        <f>IF(C922="","",IF(AB922="Closed",AA922-C922,TODAY()-C922))</f>
        <v>0</v>
      </c>
    </row>
    <row r="923" spans="29:29">
      <c r="AC923" s="8">
        <f>IF(C923="","",IF(AB923="Closed",AA923-C923,TODAY()-C923))</f>
        <v>0</v>
      </c>
    </row>
    <row r="924" spans="29:29">
      <c r="AC924" s="8">
        <f>IF(C924="","",IF(AB924="Closed",AA924-C924,TODAY()-C924))</f>
        <v>0</v>
      </c>
    </row>
    <row r="925" spans="29:29">
      <c r="AC925" s="8">
        <f>IF(C925="","",IF(AB925="Closed",AA925-C925,TODAY()-C925))</f>
        <v>0</v>
      </c>
    </row>
    <row r="926" spans="29:29">
      <c r="AC926" s="8">
        <f>IF(C926="","",IF(AB926="Closed",AA926-C926,TODAY()-C926))</f>
        <v>0</v>
      </c>
    </row>
    <row r="927" spans="29:29">
      <c r="AC927" s="8">
        <f>IF(C927="","",IF(AB927="Closed",AA927-C927,TODAY()-C927))</f>
        <v>0</v>
      </c>
    </row>
    <row r="928" spans="29:29">
      <c r="AC928" s="8">
        <f>IF(C928="","",IF(AB928="Closed",AA928-C928,TODAY()-C928))</f>
        <v>0</v>
      </c>
    </row>
    <row r="929" spans="29:29">
      <c r="AC929" s="8">
        <f>IF(C929="","",IF(AB929="Closed",AA929-C929,TODAY()-C929))</f>
        <v>0</v>
      </c>
    </row>
    <row r="930" spans="29:29">
      <c r="AC930" s="8">
        <f>IF(C930="","",IF(AB930="Closed",AA930-C930,TODAY()-C930))</f>
        <v>0</v>
      </c>
    </row>
    <row r="931" spans="29:29">
      <c r="AC931" s="8">
        <f>IF(C931="","",IF(AB931="Closed",AA931-C931,TODAY()-C931))</f>
        <v>0</v>
      </c>
    </row>
    <row r="932" spans="29:29">
      <c r="AC932" s="8">
        <f>IF(C932="","",IF(AB932="Closed",AA932-C932,TODAY()-C932))</f>
        <v>0</v>
      </c>
    </row>
    <row r="933" spans="29:29">
      <c r="AC933" s="8">
        <f>IF(C933="","",IF(AB933="Closed",AA933-C933,TODAY()-C933))</f>
        <v>0</v>
      </c>
    </row>
    <row r="934" spans="29:29">
      <c r="AC934" s="8">
        <f>IF(C934="","",IF(AB934="Closed",AA934-C934,TODAY()-C934))</f>
        <v>0</v>
      </c>
    </row>
    <row r="935" spans="29:29">
      <c r="AC935" s="8">
        <f>IF(C935="","",IF(AB935="Closed",AA935-C935,TODAY()-C935))</f>
        <v>0</v>
      </c>
    </row>
    <row r="936" spans="29:29">
      <c r="AC936" s="8">
        <f>IF(C936="","",IF(AB936="Closed",AA936-C936,TODAY()-C936))</f>
        <v>0</v>
      </c>
    </row>
    <row r="937" spans="29:29">
      <c r="AC937" s="8">
        <f>IF(C937="","",IF(AB937="Closed",AA937-C937,TODAY()-C937))</f>
        <v>0</v>
      </c>
    </row>
    <row r="938" spans="29:29">
      <c r="AC938" s="8">
        <f>IF(C938="","",IF(AB938="Closed",AA938-C938,TODAY()-C938))</f>
        <v>0</v>
      </c>
    </row>
    <row r="939" spans="29:29">
      <c r="AC939" s="8">
        <f>IF(C939="","",IF(AB939="Closed",AA939-C939,TODAY()-C939))</f>
        <v>0</v>
      </c>
    </row>
    <row r="940" spans="29:29">
      <c r="AC940" s="8">
        <f>IF(C940="","",IF(AB940="Closed",AA940-C940,TODAY()-C940))</f>
        <v>0</v>
      </c>
    </row>
    <row r="941" spans="29:29">
      <c r="AC941" s="8">
        <f>IF(C941="","",IF(AB941="Closed",AA941-C941,TODAY()-C941))</f>
        <v>0</v>
      </c>
    </row>
    <row r="942" spans="29:29">
      <c r="AC942" s="8">
        <f>IF(C942="","",IF(AB942="Closed",AA942-C942,TODAY()-C942))</f>
        <v>0</v>
      </c>
    </row>
    <row r="943" spans="29:29">
      <c r="AC943" s="8">
        <f>IF(C943="","",IF(AB943="Closed",AA943-C943,TODAY()-C943))</f>
        <v>0</v>
      </c>
    </row>
    <row r="944" spans="29:29">
      <c r="AC944" s="8">
        <f>IF(C944="","",IF(AB944="Closed",AA944-C944,TODAY()-C944))</f>
        <v>0</v>
      </c>
    </row>
    <row r="945" spans="29:29">
      <c r="AC945" s="8">
        <f>IF(C945="","",IF(AB945="Closed",AA945-C945,TODAY()-C945))</f>
        <v>0</v>
      </c>
    </row>
    <row r="946" spans="29:29">
      <c r="AC946" s="8">
        <f>IF(C946="","",IF(AB946="Closed",AA946-C946,TODAY()-C946))</f>
        <v>0</v>
      </c>
    </row>
    <row r="947" spans="29:29">
      <c r="AC947" s="8">
        <f>IF(C947="","",IF(AB947="Closed",AA947-C947,TODAY()-C947))</f>
        <v>0</v>
      </c>
    </row>
    <row r="948" spans="29:29">
      <c r="AC948" s="8">
        <f>IF(C948="","",IF(AB948="Closed",AA948-C948,TODAY()-C948))</f>
        <v>0</v>
      </c>
    </row>
    <row r="949" spans="29:29">
      <c r="AC949" s="8">
        <f>IF(C949="","",IF(AB949="Closed",AA949-C949,TODAY()-C949))</f>
        <v>0</v>
      </c>
    </row>
    <row r="950" spans="29:29">
      <c r="AC950" s="8">
        <f>IF(C950="","",IF(AB950="Closed",AA950-C950,TODAY()-C950))</f>
        <v>0</v>
      </c>
    </row>
    <row r="951" spans="29:29">
      <c r="AC951" s="8">
        <f>IF(C951="","",IF(AB951="Closed",AA951-C951,TODAY()-C951))</f>
        <v>0</v>
      </c>
    </row>
    <row r="952" spans="29:29">
      <c r="AC952" s="8">
        <f>IF(C952="","",IF(AB952="Closed",AA952-C952,TODAY()-C952))</f>
        <v>0</v>
      </c>
    </row>
    <row r="953" spans="29:29">
      <c r="AC953" s="8">
        <f>IF(C953="","",IF(AB953="Closed",AA953-C953,TODAY()-C953))</f>
        <v>0</v>
      </c>
    </row>
    <row r="954" spans="29:29">
      <c r="AC954" s="8">
        <f>IF(C954="","",IF(AB954="Closed",AA954-C954,TODAY()-C954))</f>
        <v>0</v>
      </c>
    </row>
    <row r="955" spans="29:29">
      <c r="AC955" s="8">
        <f>IF(C955="","",IF(AB955="Closed",AA955-C955,TODAY()-C955))</f>
        <v>0</v>
      </c>
    </row>
    <row r="956" spans="29:29">
      <c r="AC956" s="8">
        <f>IF(C956="","",IF(AB956="Closed",AA956-C956,TODAY()-C956))</f>
        <v>0</v>
      </c>
    </row>
    <row r="957" spans="29:29">
      <c r="AC957" s="8">
        <f>IF(C957="","",IF(AB957="Closed",AA957-C957,TODAY()-C957))</f>
        <v>0</v>
      </c>
    </row>
    <row r="958" spans="29:29">
      <c r="AC958" s="8">
        <f>IF(C958="","",IF(AB958="Closed",AA958-C958,TODAY()-C958))</f>
        <v>0</v>
      </c>
    </row>
    <row r="959" spans="29:29">
      <c r="AC959" s="8">
        <f>IF(C959="","",IF(AB959="Closed",AA959-C959,TODAY()-C959))</f>
        <v>0</v>
      </c>
    </row>
    <row r="960" spans="29:29">
      <c r="AC960" s="8">
        <f>IF(C960="","",IF(AB960="Closed",AA960-C960,TODAY()-C960))</f>
        <v>0</v>
      </c>
    </row>
    <row r="961" spans="29:29">
      <c r="AC961" s="8">
        <f>IF(C961="","",IF(AB961="Closed",AA961-C961,TODAY()-C961))</f>
        <v>0</v>
      </c>
    </row>
    <row r="962" spans="29:29">
      <c r="AC962" s="8">
        <f>IF(C962="","",IF(AB962="Closed",AA962-C962,TODAY()-C962))</f>
        <v>0</v>
      </c>
    </row>
    <row r="963" spans="29:29">
      <c r="AC963" s="8">
        <f>IF(C963="","",IF(AB963="Closed",AA963-C963,TODAY()-C963))</f>
        <v>0</v>
      </c>
    </row>
    <row r="964" spans="29:29">
      <c r="AC964" s="8">
        <f>IF(C964="","",IF(AB964="Closed",AA964-C964,TODAY()-C964))</f>
        <v>0</v>
      </c>
    </row>
    <row r="965" spans="29:29">
      <c r="AC965" s="8">
        <f>IF(C965="","",IF(AB965="Closed",AA965-C965,TODAY()-C965))</f>
        <v>0</v>
      </c>
    </row>
    <row r="966" spans="29:29">
      <c r="AC966" s="8">
        <f>IF(C966="","",IF(AB966="Closed",AA966-C966,TODAY()-C966))</f>
        <v>0</v>
      </c>
    </row>
    <row r="967" spans="29:29">
      <c r="AC967" s="8">
        <f>IF(C967="","",IF(AB967="Closed",AA967-C967,TODAY()-C967))</f>
        <v>0</v>
      </c>
    </row>
    <row r="968" spans="29:29">
      <c r="AC968" s="8">
        <f>IF(C968="","",IF(AB968="Closed",AA968-C968,TODAY()-C968))</f>
        <v>0</v>
      </c>
    </row>
    <row r="969" spans="29:29">
      <c r="AC969" s="8">
        <f>IF(C969="","",IF(AB969="Closed",AA969-C969,TODAY()-C969))</f>
        <v>0</v>
      </c>
    </row>
    <row r="970" spans="29:29">
      <c r="AC970" s="8">
        <f>IF(C970="","",IF(AB970="Closed",AA970-C970,TODAY()-C970))</f>
        <v>0</v>
      </c>
    </row>
    <row r="971" spans="29:29">
      <c r="AC971" s="8">
        <f>IF(C971="","",IF(AB971="Closed",AA971-C971,TODAY()-C971))</f>
        <v>0</v>
      </c>
    </row>
    <row r="972" spans="29:29">
      <c r="AC972" s="8">
        <f>IF(C972="","",IF(AB972="Closed",AA972-C972,TODAY()-C972))</f>
        <v>0</v>
      </c>
    </row>
    <row r="973" spans="29:29">
      <c r="AC973" s="8">
        <f>IF(C973="","",IF(AB973="Closed",AA973-C973,TODAY()-C973))</f>
        <v>0</v>
      </c>
    </row>
    <row r="974" spans="29:29">
      <c r="AC974" s="8">
        <f>IF(C974="","",IF(AB974="Closed",AA974-C974,TODAY()-C974))</f>
        <v>0</v>
      </c>
    </row>
    <row r="975" spans="29:29">
      <c r="AC975" s="8">
        <f>IF(C975="","",IF(AB975="Closed",AA975-C975,TODAY()-C975))</f>
        <v>0</v>
      </c>
    </row>
    <row r="976" spans="29:29">
      <c r="AC976" s="8">
        <f>IF(C976="","",IF(AB976="Closed",AA976-C976,TODAY()-C976))</f>
        <v>0</v>
      </c>
    </row>
    <row r="977" spans="29:29">
      <c r="AC977" s="8">
        <f>IF(C977="","",IF(AB977="Closed",AA977-C977,TODAY()-C977))</f>
        <v>0</v>
      </c>
    </row>
    <row r="978" spans="29:29">
      <c r="AC978" s="8">
        <f>IF(C978="","",IF(AB978="Closed",AA978-C978,TODAY()-C978))</f>
        <v>0</v>
      </c>
    </row>
    <row r="979" spans="29:29">
      <c r="AC979" s="8">
        <f>IF(C979="","",IF(AB979="Closed",AA979-C979,TODAY()-C979))</f>
        <v>0</v>
      </c>
    </row>
    <row r="980" spans="29:29">
      <c r="AC980" s="8">
        <f>IF(C980="","",IF(AB980="Closed",AA980-C980,TODAY()-C980))</f>
        <v>0</v>
      </c>
    </row>
    <row r="981" spans="29:29">
      <c r="AC981" s="8">
        <f>IF(C981="","",IF(AB981="Closed",AA981-C981,TODAY()-C981))</f>
        <v>0</v>
      </c>
    </row>
    <row r="982" spans="29:29">
      <c r="AC982" s="8">
        <f>IF(C982="","",IF(AB982="Closed",AA982-C982,TODAY()-C982))</f>
        <v>0</v>
      </c>
    </row>
    <row r="983" spans="29:29">
      <c r="AC983" s="8">
        <f>IF(C983="","",IF(AB983="Closed",AA983-C983,TODAY()-C983))</f>
        <v>0</v>
      </c>
    </row>
    <row r="984" spans="29:29">
      <c r="AC984" s="8">
        <f>IF(C984="","",IF(AB984="Closed",AA984-C984,TODAY()-C984))</f>
        <v>0</v>
      </c>
    </row>
    <row r="985" spans="29:29">
      <c r="AC985" s="8">
        <f>IF(C985="","",IF(AB985="Closed",AA985-C985,TODAY()-C985))</f>
        <v>0</v>
      </c>
    </row>
    <row r="986" spans="29:29">
      <c r="AC986" s="8">
        <f>IF(C986="","",IF(AB986="Closed",AA986-C986,TODAY()-C986))</f>
        <v>0</v>
      </c>
    </row>
    <row r="987" spans="29:29">
      <c r="AC987" s="8">
        <f>IF(C987="","",IF(AB987="Closed",AA987-C987,TODAY()-C987))</f>
        <v>0</v>
      </c>
    </row>
    <row r="988" spans="29:29">
      <c r="AC988" s="8">
        <f>IF(C988="","",IF(AB988="Closed",AA988-C988,TODAY()-C988))</f>
        <v>0</v>
      </c>
    </row>
    <row r="989" spans="29:29">
      <c r="AC989" s="8">
        <f>IF(C989="","",IF(AB989="Closed",AA989-C989,TODAY()-C989))</f>
        <v>0</v>
      </c>
    </row>
    <row r="990" spans="29:29">
      <c r="AC990" s="8">
        <f>IF(C990="","",IF(AB990="Closed",AA990-C990,TODAY()-C990))</f>
        <v>0</v>
      </c>
    </row>
    <row r="991" spans="29:29">
      <c r="AC991" s="8">
        <f>IF(C991="","",IF(AB991="Closed",AA991-C991,TODAY()-C991))</f>
        <v>0</v>
      </c>
    </row>
    <row r="992" spans="29:29">
      <c r="AC992" s="8">
        <f>IF(C992="","",IF(AB992="Closed",AA992-C992,TODAY()-C992))</f>
        <v>0</v>
      </c>
    </row>
    <row r="993" spans="29:29">
      <c r="AC993" s="8">
        <f>IF(C993="","",IF(AB993="Closed",AA993-C993,TODAY()-C993))</f>
        <v>0</v>
      </c>
    </row>
    <row r="994" spans="29:29">
      <c r="AC994" s="8">
        <f>IF(C994="","",IF(AB994="Closed",AA994-C994,TODAY()-C994))</f>
        <v>0</v>
      </c>
    </row>
    <row r="995" spans="29:29">
      <c r="AC995" s="8">
        <f>IF(C995="","",IF(AB995="Closed",AA995-C995,TODAY()-C995))</f>
        <v>0</v>
      </c>
    </row>
    <row r="996" spans="29:29">
      <c r="AC996" s="8">
        <f>IF(C996="","",IF(AB996="Closed",AA996-C996,TODAY()-C996))</f>
        <v>0</v>
      </c>
    </row>
    <row r="997" spans="29:29">
      <c r="AC997" s="8">
        <f>IF(C997="","",IF(AB997="Closed",AA997-C997,TODAY()-C997))</f>
        <v>0</v>
      </c>
    </row>
    <row r="998" spans="29:29">
      <c r="AC998" s="8">
        <f>IF(C998="","",IF(AB998="Closed",AA998-C998,TODAY()-C998))</f>
        <v>0</v>
      </c>
    </row>
    <row r="999" spans="29:29">
      <c r="AC999" s="8">
        <f>IF(C999="","",IF(AB999="Closed",AA999-C999,TODAY()-C999))</f>
        <v>0</v>
      </c>
    </row>
    <row r="1000" spans="29:29">
      <c r="AC1000" s="8">
        <f>IF(C1000="","",IF(AB1000="Closed",AA1000-C1000,TODAY()-C1000))</f>
        <v>0</v>
      </c>
    </row>
    <row r="1001" spans="29:29">
      <c r="AC1001" s="8">
        <f>IF(C1001="","",IF(AB1001="Closed",AA1001-C1001,TODAY()-C1001))</f>
        <v>0</v>
      </c>
    </row>
    <row r="1002" spans="29:29">
      <c r="AC1002" s="8">
        <f>IF(C1002="","",IF(AB1002="Closed",AA1002-C1002,TODAY()-C1002))</f>
        <v>0</v>
      </c>
    </row>
    <row r="1003" spans="29:29">
      <c r="AC1003" s="8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9" t="s">
        <v>139</v>
      </c>
    </row>
    <row r="2" spans="2:11">
      <c r="B2" s="10" t="s">
        <v>1597</v>
      </c>
      <c r="C2" s="10"/>
      <c r="D2" s="10"/>
      <c r="E2" s="10"/>
      <c r="F2" s="10"/>
      <c r="G2" s="10"/>
      <c r="H2" s="10"/>
      <c r="I2" s="10"/>
      <c r="J2" s="10"/>
      <c r="K2" s="10"/>
    </row>
    <row r="4" spans="2:11">
      <c r="B4" s="11" t="s">
        <v>129</v>
      </c>
      <c r="C4" s="11" t="s">
        <v>130</v>
      </c>
      <c r="D4" s="11" t="s">
        <v>287</v>
      </c>
      <c r="E4" s="11" t="s">
        <v>210</v>
      </c>
      <c r="F4" s="11" t="s">
        <v>1598</v>
      </c>
      <c r="G4" s="11" t="s">
        <v>1181</v>
      </c>
      <c r="H4" s="11" t="s">
        <v>127</v>
      </c>
      <c r="I4" s="11" t="s">
        <v>1599</v>
      </c>
      <c r="J4" s="11" t="s">
        <v>1601</v>
      </c>
      <c r="K4" s="11" t="s">
        <v>1602</v>
      </c>
    </row>
    <row r="5" spans="2:11">
      <c r="B5" s="12" t="s">
        <v>27</v>
      </c>
      <c r="C5" s="12" t="s">
        <v>87</v>
      </c>
      <c r="D5" s="12" t="s">
        <v>297</v>
      </c>
      <c r="E5" s="12" t="s">
        <v>162</v>
      </c>
      <c r="F5" s="12" t="s">
        <v>10</v>
      </c>
      <c r="G5" s="12" t="s">
        <v>221</v>
      </c>
      <c r="H5" s="12" t="s">
        <v>3</v>
      </c>
      <c r="I5" s="12" t="s">
        <v>1600</v>
      </c>
      <c r="J5" s="12" t="s">
        <v>1600</v>
      </c>
      <c r="K5" s="12" t="s">
        <v>3</v>
      </c>
    </row>
    <row r="6" spans="2:11">
      <c r="B6" s="12" t="s">
        <v>92</v>
      </c>
      <c r="C6" s="12" t="s">
        <v>77</v>
      </c>
      <c r="D6" s="12" t="s">
        <v>254</v>
      </c>
      <c r="E6" s="12" t="s">
        <v>159</v>
      </c>
      <c r="F6" s="12" t="s">
        <v>42</v>
      </c>
      <c r="G6" s="12" t="s">
        <v>228</v>
      </c>
      <c r="H6" s="12" t="s">
        <v>19</v>
      </c>
      <c r="I6" s="12" t="s">
        <v>3</v>
      </c>
      <c r="J6" s="12" t="s">
        <v>27</v>
      </c>
      <c r="K6" s="12" t="s">
        <v>19</v>
      </c>
    </row>
    <row r="7" spans="2:11">
      <c r="B7" s="12" t="s">
        <v>39</v>
      </c>
      <c r="C7" s="12" t="s">
        <v>95</v>
      </c>
      <c r="D7" s="12" t="s">
        <v>293</v>
      </c>
      <c r="E7" s="12" t="s">
        <v>142</v>
      </c>
      <c r="F7" s="12" t="s">
        <v>17</v>
      </c>
      <c r="G7" s="12" t="s">
        <v>225</v>
      </c>
      <c r="H7" s="12" t="s">
        <v>44</v>
      </c>
      <c r="I7" s="12" t="s">
        <v>19</v>
      </c>
      <c r="J7" s="12" t="s">
        <v>92</v>
      </c>
      <c r="K7" s="12" t="s">
        <v>44</v>
      </c>
    </row>
    <row r="8" spans="2:11">
      <c r="B8" s="12" t="s">
        <v>89</v>
      </c>
      <c r="C8" s="12" t="s">
        <v>82</v>
      </c>
      <c r="D8" s="12" t="s">
        <v>238</v>
      </c>
      <c r="E8" s="12" t="s">
        <v>154</v>
      </c>
      <c r="F8" s="12" t="s">
        <v>96</v>
      </c>
      <c r="H8" s="12" t="s">
        <v>53</v>
      </c>
      <c r="I8" s="12" t="s">
        <v>44</v>
      </c>
      <c r="J8" s="12" t="s">
        <v>39</v>
      </c>
      <c r="K8" s="12" t="s">
        <v>53</v>
      </c>
    </row>
    <row r="9" spans="2:11">
      <c r="B9" s="12" t="s">
        <v>65</v>
      </c>
      <c r="C9" s="12" t="s">
        <v>80</v>
      </c>
      <c r="F9" s="12" t="s">
        <v>24</v>
      </c>
      <c r="H9" s="12" t="s">
        <v>60</v>
      </c>
      <c r="I9" s="12" t="s">
        <v>53</v>
      </c>
      <c r="J9" s="12" t="s">
        <v>89</v>
      </c>
      <c r="K9" s="12" t="s">
        <v>60</v>
      </c>
    </row>
    <row r="10" spans="2:11">
      <c r="B10" s="12" t="s">
        <v>5</v>
      </c>
      <c r="C10" s="12" t="s">
        <v>31</v>
      </c>
      <c r="H10" s="12" t="s">
        <v>73</v>
      </c>
      <c r="I10" s="12" t="s">
        <v>60</v>
      </c>
      <c r="J10" s="12" t="s">
        <v>65</v>
      </c>
      <c r="K10" s="12" t="s">
        <v>73</v>
      </c>
    </row>
    <row r="11" spans="2:11">
      <c r="B11" s="12" t="s">
        <v>50</v>
      </c>
      <c r="C11" s="12" t="s">
        <v>40</v>
      </c>
      <c r="H11" s="12" t="s">
        <v>76</v>
      </c>
      <c r="I11" s="12" t="s">
        <v>73</v>
      </c>
      <c r="J11" s="12" t="s">
        <v>5</v>
      </c>
      <c r="K11" s="12" t="s">
        <v>76</v>
      </c>
    </row>
    <row r="12" spans="2:11">
      <c r="B12" s="12" t="s">
        <v>46</v>
      </c>
      <c r="C12" s="12" t="s">
        <v>51</v>
      </c>
      <c r="H12" s="12" t="s">
        <v>86</v>
      </c>
      <c r="I12" s="12" t="s">
        <v>76</v>
      </c>
      <c r="J12" s="12" t="s">
        <v>50</v>
      </c>
      <c r="K12" s="12" t="s">
        <v>86</v>
      </c>
    </row>
    <row r="13" spans="2:11">
      <c r="B13" s="12" t="s">
        <v>13</v>
      </c>
      <c r="C13" s="12" t="s">
        <v>6</v>
      </c>
      <c r="H13" s="12" t="s">
        <v>102</v>
      </c>
      <c r="I13" s="12" t="s">
        <v>86</v>
      </c>
      <c r="J13" s="12" t="s">
        <v>46</v>
      </c>
      <c r="K13" s="12" t="s">
        <v>102</v>
      </c>
    </row>
    <row r="14" spans="2:11">
      <c r="B14" s="12" t="s">
        <v>58</v>
      </c>
      <c r="C14" s="12" t="s">
        <v>14</v>
      </c>
      <c r="H14" s="12" t="s">
        <v>106</v>
      </c>
      <c r="I14" s="12" t="s">
        <v>102</v>
      </c>
      <c r="J14" s="12" t="s">
        <v>13</v>
      </c>
      <c r="K14" s="12" t="s">
        <v>106</v>
      </c>
    </row>
    <row r="15" spans="2:11">
      <c r="C15" s="12" t="s">
        <v>21</v>
      </c>
      <c r="H15" s="12" t="s">
        <v>111</v>
      </c>
      <c r="I15" s="12" t="s">
        <v>106</v>
      </c>
      <c r="J15" s="12" t="s">
        <v>58</v>
      </c>
      <c r="K15" s="12" t="s">
        <v>111</v>
      </c>
    </row>
    <row r="16" spans="2:11">
      <c r="C16" s="12" t="s">
        <v>35</v>
      </c>
      <c r="H16" s="12" t="s">
        <v>122</v>
      </c>
      <c r="I16" s="12" t="s">
        <v>111</v>
      </c>
      <c r="K16" s="12" t="s">
        <v>122</v>
      </c>
    </row>
    <row r="17" spans="9:11">
      <c r="I17" s="12" t="s">
        <v>122</v>
      </c>
      <c r="K17" s="12" t="s">
        <v>1489</v>
      </c>
    </row>
    <row r="18" spans="9:11">
      <c r="K18" s="12" t="s">
        <v>1528</v>
      </c>
    </row>
    <row r="19" spans="9:11">
      <c r="K19" s="12" t="s">
        <v>1554</v>
      </c>
    </row>
    <row r="20" spans="9:11">
      <c r="K20" s="12" t="s">
        <v>1565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4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9" t="s">
        <v>139</v>
      </c>
    </row>
    <row r="2" spans="2:4">
      <c r="B2" s="10" t="s">
        <v>1603</v>
      </c>
      <c r="C2" s="10"/>
      <c r="D2" s="10"/>
    </row>
    <row r="5" spans="2:4">
      <c r="B5" s="13" t="s">
        <v>1604</v>
      </c>
      <c r="C5" s="13"/>
      <c r="D5" s="13"/>
    </row>
    <row r="6" spans="2:4">
      <c r="B6" s="14" t="s">
        <v>1605</v>
      </c>
      <c r="C6" s="15" t="s">
        <v>1606</v>
      </c>
    </row>
    <row r="7" spans="2:4">
      <c r="B7" s="14" t="s">
        <v>1607</v>
      </c>
      <c r="C7" s="15" t="s">
        <v>1608</v>
      </c>
    </row>
    <row r="8" spans="2:4">
      <c r="B8" s="14" t="s">
        <v>130</v>
      </c>
      <c r="C8" s="15" t="s">
        <v>1609</v>
      </c>
    </row>
    <row r="9" spans="2:4">
      <c r="B9" s="14" t="s">
        <v>1610</v>
      </c>
      <c r="C9" s="15">
        <v>2026</v>
      </c>
    </row>
    <row r="11" spans="2:4">
      <c r="B11" s="13" t="s">
        <v>1611</v>
      </c>
      <c r="C11" s="13"/>
      <c r="D11" s="13"/>
    </row>
    <row r="12" spans="2:4">
      <c r="B12" s="16" t="s">
        <v>1612</v>
      </c>
      <c r="D12" s="17" t="s">
        <v>1613</v>
      </c>
    </row>
    <row r="13" spans="2:4">
      <c r="B13" s="14" t="s">
        <v>3</v>
      </c>
      <c r="C13" s="15">
        <v>83333</v>
      </c>
    </row>
    <row r="14" spans="2:4">
      <c r="B14" s="14" t="s">
        <v>19</v>
      </c>
      <c r="C14" s="15">
        <v>83333</v>
      </c>
    </row>
    <row r="15" spans="2:4">
      <c r="B15" s="14" t="s">
        <v>44</v>
      </c>
      <c r="C15" s="15">
        <v>83333</v>
      </c>
    </row>
    <row r="16" spans="2:4">
      <c r="B16" s="14" t="s">
        <v>53</v>
      </c>
      <c r="C16" s="15">
        <v>83333</v>
      </c>
    </row>
    <row r="17" spans="2:4">
      <c r="B17" s="14" t="s">
        <v>60</v>
      </c>
      <c r="C17" s="15">
        <v>83333</v>
      </c>
    </row>
    <row r="18" spans="2:4">
      <c r="B18" s="14" t="s">
        <v>73</v>
      </c>
      <c r="C18" s="15">
        <v>83333</v>
      </c>
    </row>
    <row r="19" spans="2:4">
      <c r="B19" s="14" t="s">
        <v>76</v>
      </c>
      <c r="C19" s="15">
        <v>83333</v>
      </c>
    </row>
    <row r="20" spans="2:4">
      <c r="B20" s="14" t="s">
        <v>86</v>
      </c>
      <c r="C20" s="15">
        <v>83333</v>
      </c>
    </row>
    <row r="21" spans="2:4">
      <c r="B21" s="14" t="s">
        <v>102</v>
      </c>
      <c r="C21" s="15">
        <v>83333</v>
      </c>
    </row>
    <row r="22" spans="2:4">
      <c r="B22" s="14" t="s">
        <v>106</v>
      </c>
      <c r="C22" s="15">
        <v>83333</v>
      </c>
    </row>
    <row r="23" spans="2:4">
      <c r="B23" s="14" t="s">
        <v>111</v>
      </c>
      <c r="C23" s="15">
        <v>83333</v>
      </c>
    </row>
    <row r="24" spans="2:4">
      <c r="B24" s="14" t="s">
        <v>122</v>
      </c>
      <c r="C24" s="15">
        <v>83333</v>
      </c>
    </row>
    <row r="25" spans="2:4">
      <c r="B25" s="14" t="s">
        <v>1614</v>
      </c>
      <c r="C25" s="18">
        <f>SUM(C13:C24)</f>
        <v>0</v>
      </c>
    </row>
    <row r="27" spans="2:4">
      <c r="B27" s="14" t="s">
        <v>1615</v>
      </c>
      <c r="C27" s="15">
        <v>200000</v>
      </c>
      <c r="D27" s="17" t="s">
        <v>1616</v>
      </c>
    </row>
    <row r="28" spans="2:4">
      <c r="B28" s="14" t="s">
        <v>1617</v>
      </c>
      <c r="C28" s="15">
        <v>1000000</v>
      </c>
      <c r="D28" s="17" t="s">
        <v>1618</v>
      </c>
    </row>
    <row r="30" spans="2:4">
      <c r="B30" s="13" t="s">
        <v>1619</v>
      </c>
      <c r="C30" s="13"/>
      <c r="D30" s="13"/>
    </row>
    <row r="31" spans="2:4">
      <c r="B31" s="14" t="s">
        <v>1620</v>
      </c>
      <c r="C31" s="15">
        <v>0.9</v>
      </c>
      <c r="D31" s="17" t="s">
        <v>1621</v>
      </c>
    </row>
    <row r="32" spans="2:4">
      <c r="B32" s="14" t="s">
        <v>1622</v>
      </c>
      <c r="C32" s="15">
        <v>0.95</v>
      </c>
      <c r="D32" s="17"/>
    </row>
    <row r="33" spans="2:4">
      <c r="B33" s="14" t="s">
        <v>1623</v>
      </c>
      <c r="C33" s="15">
        <v>0.9</v>
      </c>
      <c r="D33" s="17"/>
    </row>
    <row r="34" spans="2:4">
      <c r="B34" s="14" t="s">
        <v>1624</v>
      </c>
      <c r="C34" s="15">
        <v>0.95</v>
      </c>
      <c r="D34" s="17"/>
    </row>
    <row r="35" spans="2:4">
      <c r="B35" s="14" t="s">
        <v>1625</v>
      </c>
      <c r="C35" s="15">
        <v>0.85</v>
      </c>
      <c r="D35" s="17" t="s">
        <v>1626</v>
      </c>
    </row>
    <row r="36" spans="2:4">
      <c r="B36" s="14" t="s">
        <v>1627</v>
      </c>
      <c r="C36" s="15">
        <v>0.85</v>
      </c>
      <c r="D36" s="17" t="s">
        <v>1628</v>
      </c>
    </row>
    <row r="37" spans="2:4">
      <c r="B37" s="14" t="s">
        <v>1629</v>
      </c>
      <c r="C37" s="15">
        <v>0.05</v>
      </c>
      <c r="D37" s="17" t="s">
        <v>1630</v>
      </c>
    </row>
    <row r="38" spans="2:4">
      <c r="B38" s="14" t="s">
        <v>1631</v>
      </c>
      <c r="C38" s="15">
        <v>1</v>
      </c>
      <c r="D38" s="17" t="s">
        <v>1630</v>
      </c>
    </row>
    <row r="39" spans="2:4">
      <c r="B39" s="14" t="s">
        <v>1632</v>
      </c>
      <c r="C39" s="15">
        <v>2</v>
      </c>
      <c r="D39" s="17" t="s">
        <v>1630</v>
      </c>
    </row>
    <row r="40" spans="2:4">
      <c r="B40" s="14" t="s">
        <v>1633</v>
      </c>
      <c r="C40" s="15">
        <v>0.8</v>
      </c>
      <c r="D40" s="17" t="s">
        <v>1634</v>
      </c>
    </row>
  </sheetData>
  <mergeCells count="4">
    <mergeCell ref="B2:D2"/>
    <mergeCell ref="B5:D5"/>
    <mergeCell ref="B11:D11"/>
    <mergeCell ref="B30:D30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9" t="s">
        <v>1635</v>
      </c>
    </row>
    <row r="3" spans="2:10">
      <c r="B3" s="13" t="s">
        <v>1636</v>
      </c>
    </row>
    <row r="5" spans="2:10" ht="30" customHeight="1">
      <c r="B5" s="16" t="s">
        <v>1637</v>
      </c>
      <c r="C5" s="20" t="s">
        <v>1638</v>
      </c>
      <c r="D5" s="20"/>
      <c r="E5" s="20"/>
      <c r="F5" s="20"/>
      <c r="G5" s="20"/>
      <c r="H5" s="20"/>
      <c r="I5" s="20"/>
      <c r="J5" s="20"/>
    </row>
    <row r="6" spans="2:10" ht="30" customHeight="1">
      <c r="B6" s="16" t="s">
        <v>1639</v>
      </c>
      <c r="C6" s="20" t="s">
        <v>1640</v>
      </c>
      <c r="D6" s="20"/>
      <c r="E6" s="20"/>
      <c r="F6" s="20"/>
      <c r="G6" s="20"/>
      <c r="H6" s="20"/>
      <c r="I6" s="20"/>
      <c r="J6" s="20"/>
    </row>
    <row r="7" spans="2:10" ht="30" customHeight="1">
      <c r="B7" s="16" t="s">
        <v>1641</v>
      </c>
      <c r="C7" s="20" t="s">
        <v>1642</v>
      </c>
      <c r="D7" s="20"/>
      <c r="E7" s="20"/>
      <c r="F7" s="20"/>
      <c r="G7" s="20"/>
      <c r="H7" s="20"/>
      <c r="I7" s="20"/>
      <c r="J7" s="20"/>
    </row>
    <row r="8" spans="2:10" ht="30" customHeight="1">
      <c r="B8" s="16" t="s">
        <v>1643</v>
      </c>
      <c r="C8" s="20" t="s">
        <v>1644</v>
      </c>
      <c r="D8" s="20"/>
      <c r="E8" s="20"/>
      <c r="F8" s="20"/>
      <c r="G8" s="20"/>
      <c r="H8" s="20"/>
      <c r="I8" s="20"/>
      <c r="J8" s="20"/>
    </row>
    <row r="9" spans="2:10" ht="30" customHeight="1">
      <c r="B9" s="16" t="s">
        <v>1645</v>
      </c>
      <c r="C9" s="20" t="s">
        <v>1646</v>
      </c>
      <c r="D9" s="20"/>
      <c r="E9" s="20"/>
      <c r="F9" s="20"/>
      <c r="G9" s="20"/>
      <c r="H9" s="20"/>
      <c r="I9" s="20"/>
      <c r="J9" s="20"/>
    </row>
    <row r="10" spans="2:10" ht="30" customHeight="1">
      <c r="B10" s="16" t="s">
        <v>1647</v>
      </c>
      <c r="C10" s="20" t="s">
        <v>1648</v>
      </c>
      <c r="D10" s="20"/>
      <c r="E10" s="20"/>
      <c r="F10" s="20"/>
      <c r="G10" s="20"/>
      <c r="H10" s="20"/>
      <c r="I10" s="20"/>
      <c r="J10" s="20"/>
    </row>
    <row r="11" spans="2:10" ht="30" customHeight="1">
      <c r="B11" s="16" t="s">
        <v>1649</v>
      </c>
      <c r="C11" s="20" t="s">
        <v>1650</v>
      </c>
      <c r="D11" s="20"/>
      <c r="E11" s="20"/>
      <c r="F11" s="20"/>
      <c r="G11" s="20"/>
      <c r="H11" s="20"/>
      <c r="I11" s="20"/>
      <c r="J11" s="20"/>
    </row>
    <row r="12" spans="2:10" ht="30" customHeight="1">
      <c r="B12" s="16" t="s">
        <v>1651</v>
      </c>
      <c r="C12" s="20" t="s">
        <v>1652</v>
      </c>
      <c r="D12" s="20"/>
      <c r="E12" s="20"/>
      <c r="F12" s="20"/>
      <c r="G12" s="20"/>
      <c r="H12" s="20"/>
      <c r="I12" s="20"/>
      <c r="J12" s="20"/>
    </row>
    <row r="13" spans="2:10" ht="30" customHeight="1">
      <c r="B13" s="16" t="s">
        <v>1653</v>
      </c>
      <c r="C13" s="20" t="s">
        <v>1654</v>
      </c>
      <c r="D13" s="20"/>
      <c r="E13" s="20"/>
      <c r="F13" s="20"/>
      <c r="G13" s="20"/>
      <c r="H13" s="20"/>
      <c r="I13" s="20"/>
      <c r="J13" s="20"/>
    </row>
    <row r="14" spans="2:10" ht="30" customHeight="1">
      <c r="B14" s="16" t="s">
        <v>1655</v>
      </c>
      <c r="C14" s="20" t="s">
        <v>1656</v>
      </c>
      <c r="D14" s="20"/>
      <c r="E14" s="20"/>
      <c r="F14" s="20"/>
      <c r="G14" s="20"/>
      <c r="H14" s="20"/>
      <c r="I14" s="20"/>
      <c r="J14" s="20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DR890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22">
      <c r="B1" s="9" t="s">
        <v>139</v>
      </c>
    </row>
    <row r="2" spans="2:122">
      <c r="B2" s="10" t="s">
        <v>1657</v>
      </c>
      <c r="C2" s="10"/>
      <c r="D2" s="10"/>
      <c r="E2" s="10"/>
      <c r="F2" s="10"/>
      <c r="G2" s="10"/>
      <c r="H2" s="10"/>
    </row>
    <row r="5" spans="2:122">
      <c r="B5" s="16" t="s">
        <v>1658</v>
      </c>
    </row>
    <row r="6" spans="2:122">
      <c r="B6" s="14" t="s">
        <v>1659</v>
      </c>
      <c r="C6" s="21">
        <f>IF(SelMonth="All","&lt;&gt;",SelMonth)</f>
        <v>0</v>
      </c>
    </row>
    <row r="7" spans="2:122">
      <c r="B7" s="14" t="s">
        <v>1660</v>
      </c>
      <c r="C7" s="21">
        <f>IF(SelDept="All","&lt;&gt;",SelDept)</f>
        <v>0</v>
      </c>
    </row>
    <row r="9" spans="2:122">
      <c r="B9" s="16" t="s">
        <v>1661</v>
      </c>
    </row>
    <row r="10" spans="2:122">
      <c r="B10" s="14" t="s">
        <v>1662</v>
      </c>
      <c r="C10" s="21">
        <f>IF(LEFT(SelPeriod,1)="Q",1,0)</f>
        <v>0</v>
      </c>
      <c r="E10" s="14" t="s">
        <v>1663</v>
      </c>
      <c r="F10" s="21">
        <f>IF(Calculations!$C$10=1,VALUE(MID(SelPeriod,2,1)),ROUNDUP(MATCH(SelPeriod,L_Month,0)/3,0))</f>
        <v>0</v>
      </c>
      <c r="H10" s="14" t="s">
        <v>1664</v>
      </c>
      <c r="I10" s="21">
        <f>IF(Calculations!$C$10=1,0,MATCH(SelPeriod,L_Month,0))</f>
        <v>0</v>
      </c>
      <c r="CN10" s="16" t="s">
        <v>1751</v>
      </c>
      <c r="CW10" s="11" t="s">
        <v>1807</v>
      </c>
      <c r="CX10" s="11" t="s">
        <v>1808</v>
      </c>
      <c r="CZ10" s="11" t="s">
        <v>1820</v>
      </c>
      <c r="DA10" s="11" t="s">
        <v>1821</v>
      </c>
    </row>
    <row r="11" spans="2:122">
      <c r="B11" s="11" t="s">
        <v>127</v>
      </c>
      <c r="C11" s="11" t="s">
        <v>23</v>
      </c>
      <c r="D11" s="11" t="s">
        <v>1665</v>
      </c>
      <c r="E11" s="11" t="s">
        <v>1666</v>
      </c>
      <c r="F11" s="11" t="s">
        <v>1667</v>
      </c>
      <c r="G11" s="11" t="s">
        <v>1668</v>
      </c>
      <c r="H11" s="11" t="s">
        <v>1669</v>
      </c>
      <c r="I11" s="11" t="s">
        <v>1670</v>
      </c>
      <c r="J11" s="11" t="s">
        <v>1671</v>
      </c>
      <c r="K11" s="11" t="s">
        <v>1672</v>
      </c>
      <c r="L11" s="11" t="s">
        <v>1673</v>
      </c>
      <c r="M11" s="11" t="s">
        <v>1674</v>
      </c>
      <c r="N11" s="11" t="s">
        <v>1675</v>
      </c>
      <c r="O11" s="11" t="s">
        <v>1676</v>
      </c>
      <c r="P11" s="11" t="s">
        <v>1677</v>
      </c>
      <c r="Q11" s="11" t="s">
        <v>1678</v>
      </c>
      <c r="R11" s="11" t="s">
        <v>1679</v>
      </c>
      <c r="S11" s="11" t="s">
        <v>1680</v>
      </c>
      <c r="T11" s="11" t="s">
        <v>1681</v>
      </c>
      <c r="U11" s="11" t="s">
        <v>1682</v>
      </c>
      <c r="V11" s="11" t="s">
        <v>1683</v>
      </c>
      <c r="W11" s="11" t="s">
        <v>1684</v>
      </c>
      <c r="X11" s="11" t="s">
        <v>1685</v>
      </c>
      <c r="Y11" s="11" t="s">
        <v>1686</v>
      </c>
      <c r="Z11" s="11" t="s">
        <v>1687</v>
      </c>
      <c r="AA11" s="11" t="s">
        <v>1688</v>
      </c>
      <c r="AB11" s="11" t="s">
        <v>1689</v>
      </c>
      <c r="AC11" s="11" t="s">
        <v>1690</v>
      </c>
      <c r="AD11" s="11" t="s">
        <v>1691</v>
      </c>
      <c r="AE11" s="11" t="s">
        <v>1692</v>
      </c>
      <c r="AF11" s="11" t="s">
        <v>1693</v>
      </c>
      <c r="AG11" s="11" t="s">
        <v>1694</v>
      </c>
      <c r="AH11" s="11" t="s">
        <v>1695</v>
      </c>
      <c r="AI11" s="11" t="s">
        <v>1696</v>
      </c>
      <c r="AJ11" s="11" t="s">
        <v>1697</v>
      </c>
      <c r="AK11" s="11" t="s">
        <v>1698</v>
      </c>
      <c r="AL11" s="11" t="s">
        <v>1699</v>
      </c>
      <c r="AM11" s="11" t="s">
        <v>1700</v>
      </c>
      <c r="AN11" s="11" t="s">
        <v>1701</v>
      </c>
      <c r="AO11" s="11" t="s">
        <v>1702</v>
      </c>
      <c r="AP11" s="11" t="s">
        <v>1703</v>
      </c>
      <c r="AQ11" s="11" t="s">
        <v>1704</v>
      </c>
      <c r="AR11" s="11" t="s">
        <v>1705</v>
      </c>
      <c r="AS11" s="11" t="s">
        <v>1706</v>
      </c>
      <c r="AT11" s="11" t="s">
        <v>1707</v>
      </c>
      <c r="AU11" s="11" t="s">
        <v>1708</v>
      </c>
      <c r="AV11" s="11" t="s">
        <v>1709</v>
      </c>
      <c r="AW11" s="11" t="s">
        <v>1710</v>
      </c>
      <c r="AX11" s="11" t="s">
        <v>1711</v>
      </c>
      <c r="AY11" s="11" t="s">
        <v>1712</v>
      </c>
      <c r="AZ11" s="11" t="s">
        <v>1713</v>
      </c>
      <c r="BA11" s="11" t="s">
        <v>1714</v>
      </c>
      <c r="BB11" s="11" t="s">
        <v>1715</v>
      </c>
      <c r="BC11" s="11" t="s">
        <v>1716</v>
      </c>
      <c r="BD11" s="11" t="s">
        <v>1717</v>
      </c>
      <c r="BE11" s="11" t="s">
        <v>1718</v>
      </c>
      <c r="BF11" s="11" t="s">
        <v>1719</v>
      </c>
      <c r="BG11" s="11" t="s">
        <v>1720</v>
      </c>
      <c r="BH11" s="11" t="s">
        <v>1721</v>
      </c>
      <c r="BI11" s="11" t="s">
        <v>1722</v>
      </c>
      <c r="BJ11" s="11" t="s">
        <v>1723</v>
      </c>
      <c r="BK11" s="11" t="s">
        <v>1724</v>
      </c>
      <c r="BL11" s="11" t="s">
        <v>1725</v>
      </c>
      <c r="BM11" s="11" t="s">
        <v>1726</v>
      </c>
      <c r="BN11" s="11" t="s">
        <v>1727</v>
      </c>
      <c r="BO11" s="11" t="s">
        <v>1728</v>
      </c>
      <c r="BP11" s="11" t="s">
        <v>1729</v>
      </c>
      <c r="BQ11" s="11" t="s">
        <v>1730</v>
      </c>
      <c r="BR11" s="11" t="s">
        <v>1731</v>
      </c>
      <c r="BS11" s="11" t="s">
        <v>1732</v>
      </c>
      <c r="BT11" s="11" t="s">
        <v>1733</v>
      </c>
      <c r="BU11" s="11" t="s">
        <v>1734</v>
      </c>
      <c r="BV11" s="11" t="s">
        <v>1735</v>
      </c>
      <c r="BW11" s="11" t="s">
        <v>1736</v>
      </c>
      <c r="BX11" s="11" t="s">
        <v>1737</v>
      </c>
      <c r="BY11" s="11" t="s">
        <v>1738</v>
      </c>
      <c r="BZ11" s="11" t="s">
        <v>1739</v>
      </c>
      <c r="CA11" s="11" t="s">
        <v>1740</v>
      </c>
      <c r="CB11" s="11" t="s">
        <v>1741</v>
      </c>
      <c r="CC11" s="11" t="s">
        <v>1742</v>
      </c>
      <c r="CD11" s="11" t="s">
        <v>1743</v>
      </c>
      <c r="CE11" s="11" t="s">
        <v>1744</v>
      </c>
      <c r="CF11" s="11" t="s">
        <v>1745</v>
      </c>
      <c r="CG11" s="11" t="s">
        <v>1746</v>
      </c>
      <c r="CH11" s="11" t="s">
        <v>1747</v>
      </c>
      <c r="CI11" s="11" t="s">
        <v>1748</v>
      </c>
      <c r="CJ11" s="11" t="s">
        <v>1749</v>
      </c>
      <c r="CK11" s="11" t="s">
        <v>1750</v>
      </c>
      <c r="CN11" s="11" t="s">
        <v>1752</v>
      </c>
      <c r="CO11" s="11" t="s">
        <v>1753</v>
      </c>
      <c r="CP11" s="11" t="s">
        <v>1665</v>
      </c>
      <c r="CQ11" s="11" t="s">
        <v>1666</v>
      </c>
      <c r="CR11" s="11" t="s">
        <v>1754</v>
      </c>
      <c r="CS11" s="11" t="s">
        <v>42</v>
      </c>
      <c r="CW11" s="12" t="s">
        <v>1544</v>
      </c>
      <c r="CX11" s="22">
        <f>SUMPRODUCT(Calculations!$M$12:$M$23,Calculations!$D$12:$D$23)</f>
        <v>0</v>
      </c>
      <c r="CZ11" s="21" t="s">
        <v>3</v>
      </c>
      <c r="DA11" s="22">
        <f>COUNTIFS('Incident'!$D$4:$D$100003,"Jan",'Incident'!$H$4:$H$100003,dCrit)</f>
        <v>0</v>
      </c>
      <c r="DC11" s="11" t="s">
        <v>1761</v>
      </c>
      <c r="DD11" s="11" t="s">
        <v>1762</v>
      </c>
      <c r="DE11" s="11" t="s">
        <v>1765</v>
      </c>
      <c r="DF11" s="11" t="s">
        <v>1767</v>
      </c>
      <c r="DG11" s="11" t="s">
        <v>1769</v>
      </c>
      <c r="DH11" s="11" t="s">
        <v>1771</v>
      </c>
      <c r="DI11" s="11" t="s">
        <v>1773</v>
      </c>
      <c r="DJ11" s="11" t="s">
        <v>1778</v>
      </c>
      <c r="DK11" s="11" t="s">
        <v>1780</v>
      </c>
      <c r="DL11" s="11" t="s">
        <v>1782</v>
      </c>
      <c r="DM11" s="11" t="s">
        <v>1788</v>
      </c>
      <c r="DN11" s="11" t="s">
        <v>1790</v>
      </c>
      <c r="DO11" s="11" t="s">
        <v>1795</v>
      </c>
      <c r="DP11" s="11" t="s">
        <v>1797</v>
      </c>
      <c r="DQ11" s="11" t="s">
        <v>1799</v>
      </c>
      <c r="DR11" s="11" t="s">
        <v>1801</v>
      </c>
    </row>
    <row r="12" spans="2:122">
      <c r="B12" s="21" t="s">
        <v>3</v>
      </c>
      <c r="C12" s="21">
        <v>1</v>
      </c>
      <c r="D12" s="21">
        <f>IF(Calculations!$C$10=1,IF(ROUNDUP($C$12/3,0)=Calculations!$F$10,1,0),IF($C$12=Calculations!$I$10,1,0))</f>
        <v>0</v>
      </c>
      <c r="E12" s="21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Observations'!$M$4:$M$100003,"Closed",'HSE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Actions'!$N$4:$N$100003,"Closed",'Corrective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Inspections'!$M$4:$M$100003,"Closed",'Workplace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Acts'!$M$4:$M$100003,"Closed",'Unsafe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Conditions'!$M$4:$M$100003,"Closed",'Unsafe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2">
        <f>COUNTIFS('HSE Observations'!$E$4:$E$100003,"Safe Act",'HSE Observations'!$D$4:$D$100003,"Jan",'HSE Observations'!$G$4:$G$100003,dCrit)+COUNTIFS('HSE Observations'!$E$4:$E$100003,"Safe Condition",'HSE Observations'!$D$4:$D$100003,"Jan",'HSE Observations'!$G$4:$G$100003,dCrit)</f>
        <v>0</v>
      </c>
      <c r="BS12" s="22">
        <f>COUNTIFS('HSE Observations'!$E$4:$E$100003,"Unsafe Act",'HSE Observations'!$D$4:$D$100003,"Jan",'HSE Observations'!$G$4:$G$100003,dCrit)+COUNTIFS('HSE Observations'!$E$4:$E$100003,"Unsafe Condition",'HSE Observations'!$D$4:$D$100003,"Jan",'HSE Observations'!$G$4:$G$100003,dCrit)</f>
        <v>0</v>
      </c>
      <c r="BT12" s="22">
        <f>IFERROR(AVERAGEIFS('Emergency Drills'!$L$4:$L$100003,'Emergency Drills'!$D$4:$D$100003,"Jan"),0)</f>
        <v>0</v>
      </c>
      <c r="BU12" s="22">
        <f>IFERROR(AVERAGEIFS('Emergency Drills'!$K$4:$K$100003,'Emergency Drills'!$D$4:$D$100003,"Jan"),0)</f>
        <v>0</v>
      </c>
      <c r="BV12" s="22">
        <f>SUMIFS('Internal Audits'!$M$4:$M$100003,'Internal Audits'!$D$4:$D$100003,"Jan",'Internal Audits'!$G$4:$G$100003,dCrit)</f>
        <v>0</v>
      </c>
      <c r="BW12" s="22">
        <f>SUMIFS('External Audits'!$M$4:$M$100003,'External Audits'!$D$4:$D$100003,"Jan",'External Audits'!$G$4:$G$100003,dCrit)</f>
        <v>0</v>
      </c>
      <c r="BX12" s="22">
        <f>SUMIFS('Management Reviews'!$K$4:$K$100003,'Management Reviews'!$D$4:$D$100003,"Jan")</f>
        <v>0</v>
      </c>
      <c r="BY12" s="22">
        <f>SUMIFS('Management Reviews'!$L$4:$L$100003,'Management Reviews'!$D$4:$D$100003,"Jan")</f>
        <v>0</v>
      </c>
      <c r="BZ12" s="22">
        <f>SUMIFS('Stop Work Authority'!$J$4:$J$100003,'Stop Work Authority'!$D$4:$D$100003,"Jan",'Stop Work Authority'!$F$4:$F$100003,dCrit)</f>
        <v>0</v>
      </c>
      <c r="CA12" s="22">
        <f>SUMIFS('Training'!$M$4:$M$100003,'Training'!$D$4:$D$100003,"Jan",'Training'!$G$4:$G$100003,dCrit)</f>
        <v>0</v>
      </c>
      <c r="CB12" s="22">
        <f>SUMIFS('Workplace Inspections'!$J$4:$J$100003,'Workplace Inspections'!$D$4:$D$100003,"Jan",'Workplace Inspections'!$F$4:$F$100003,dCrit)</f>
        <v>0</v>
      </c>
      <c r="CC12" s="22">
        <f>COUNTIFS('Corrective Actions'!$O$4:$O$100003,"On-Time",'Corrective Actions'!$D$4:$D$100003,"Jan",'Corrective Actions'!$F$4:$F$100003,dCrit)</f>
        <v>0</v>
      </c>
      <c r="CD12" s="22">
        <f>COUNTIFS('Corrective Actions'!$O$4:$O$100003,"Delayed",'Corrective Actions'!$D$4:$D$100003,"Jan",'Corrective Actions'!$F$4:$F$100003,dCrit)</f>
        <v>0</v>
      </c>
      <c r="CE12" s="22">
        <f>COUNTIFS('JSA Risk Assessment'!$J$4:$J$100003,"Critical",'JSA Risk Assessment'!$D$4:$D$100003,"Jan",'JSA Risk Assessment'!$F$4:$F$100003,dCrit)</f>
        <v>0</v>
      </c>
      <c r="CF12" s="22">
        <f>COUNTIFS('JSA Risk Assessment'!$J$4:$J$100003,"High",'JSA Risk Assessment'!$D$4:$D$100003,"Jan",'JSA Risk Assessment'!$F$4:$F$100003,dCrit)</f>
        <v>0</v>
      </c>
      <c r="CG12" s="22">
        <f>COUNTIFS('JSA Risk Assessment'!$J$4:$J$100003,"Medium",'JSA Risk Assessment'!$D$4:$D$100003,"Jan",'JSA Risk Assessment'!$F$4:$F$100003,dCrit)</f>
        <v>0</v>
      </c>
      <c r="CH12" s="22">
        <f>COUNTIFS('JSA Risk Assessment'!$J$4:$J$100003,"Low",'JSA Risk Assessment'!$D$4:$D$100003,"Jan",'JSA Risk Assessment'!$F$4:$F$100003,dCrit)</f>
        <v>0</v>
      </c>
      <c r="CI12" s="21">
        <f>IFERROR($F$12*TRIRmult/Settings!$C$13,0)</f>
        <v>0</v>
      </c>
      <c r="CJ12" s="21">
        <f>IFERROR($G$12*LTIFRmult/Settings!$C$13,0)</f>
        <v>0</v>
      </c>
      <c r="CK12" s="23">
        <f>IFERROR($BK$12/$BJ$12*100,0)</f>
        <v>0</v>
      </c>
      <c r="CN12" s="12" t="s">
        <v>1647</v>
      </c>
      <c r="CO12" s="21" t="s">
        <v>1755</v>
      </c>
      <c r="CP12" s="21">
        <f>IFERROR(SUMPRODUCT(Calculations!$F$12:$F$23,Calculations!$D$12:$D$23)*TRIRmult/SUMPRODUCT(ManhoursM,Calculations!$D$12:$D$23),0)</f>
        <v>0</v>
      </c>
      <c r="CQ12" s="21">
        <f>IFERROR(SUMPRODUCT(Calculations!$F$12:$F$23,Calculations!$E$12:$E$23)*TRIRmult/SUMPRODUCT(ManhoursM,Calculations!$E$12:$E$23),0)</f>
        <v>0</v>
      </c>
      <c r="CR12" s="23">
        <f>IFERROR(($CP$12-$CQ$12)/$CQ$12,IF($CP$12&gt;0,1,0))</f>
        <v>0</v>
      </c>
      <c r="CS12" s="21">
        <f>($CP$12-$CQ$12)*-1</f>
        <v>0</v>
      </c>
      <c r="CT12" s="21">
        <f>TgtTRIR</f>
        <v>0</v>
      </c>
      <c r="CU12" s="21">
        <f>IFERROR(IF($CP$12&lt;=$CT$12,2,IF($CP$12&lt;=$CT$12/AmberBand,1,0)),1)</f>
        <v>0</v>
      </c>
      <c r="CW12" s="12" t="s">
        <v>1573</v>
      </c>
      <c r="CX12" s="22">
        <f>SUMPRODUCT(Calculations!$L$12:$L$23,Calculations!$D$12:$D$23)</f>
        <v>0</v>
      </c>
      <c r="CZ12" s="21" t="s">
        <v>19</v>
      </c>
      <c r="DA12" s="22">
        <f>COUNTIFS('Incident'!$D$4:$D$100003,"Feb",'Incident'!$H$4:$H$100003,dCrit)</f>
        <v>0</v>
      </c>
      <c r="DC12" s="21">
        <f>IFERROR($BQ$12/$BP$12*100,0)</f>
        <v>0</v>
      </c>
      <c r="DD12" s="21">
        <f>IFERROR($BK$12/$BJ$12*100,0)</f>
        <v>0</v>
      </c>
      <c r="DE12" s="21">
        <f>IFERROR($AI$12/$AJ$12*100,0)</f>
        <v>0</v>
      </c>
      <c r="DF12" s="21">
        <f>IFERROR($AK$12/$AD$12*100,0)</f>
        <v>0</v>
      </c>
      <c r="DG12" s="21">
        <f>IFERROR($S$12/$R$12*100,0)</f>
        <v>0</v>
      </c>
      <c r="DH12" s="21">
        <f>IFERROR($U$12/$T$12*100,0)</f>
        <v>0</v>
      </c>
      <c r="DI12" s="21">
        <f>IFERROR($AM$12/$AL$12*100,0)</f>
        <v>0</v>
      </c>
      <c r="DJ12" s="21">
        <f>IFERROR($AR$12/$AQ$12*100,0)</f>
        <v>0</v>
      </c>
      <c r="DK12" s="21">
        <f>IFERROR($AU$12/$AT$12*100,0)</f>
        <v>0</v>
      </c>
      <c r="DL12" s="21">
        <f>IFERROR($AW$12/$AV$12*100,0)</f>
        <v>0</v>
      </c>
      <c r="DM12" s="21">
        <f>IFERROR($BD$12/$BC$12*100,0)</f>
        <v>0</v>
      </c>
      <c r="DN12" s="21">
        <f>IFERROR($BF$12/$BG$12*100,0)</f>
        <v>0</v>
      </c>
      <c r="DO12" s="21">
        <f>IFERROR($Z$12/$Y$12*100,0)</f>
        <v>0</v>
      </c>
      <c r="DP12" s="21">
        <f>IFERROR($AC$12/$AB$12*100,0)</f>
        <v>0</v>
      </c>
      <c r="DQ12" s="21">
        <f>IFERROR($BM$12/$BL$12*100,0)</f>
        <v>0</v>
      </c>
      <c r="DR12" s="21">
        <f>IFERROR($BO$12/$BN$12*100,0)</f>
        <v>0</v>
      </c>
    </row>
    <row r="13" spans="2:122">
      <c r="B13" s="21" t="s">
        <v>19</v>
      </c>
      <c r="C13" s="21">
        <v>2</v>
      </c>
      <c r="D13" s="21">
        <f>IF(Calculations!$C$10=1,IF(ROUNDUP($C$13/3,0)=Calculations!$F$10,1,0),IF($C$13=Calculations!$I$10,1,0))</f>
        <v>0</v>
      </c>
      <c r="E13" s="21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Observations'!$M$4:$M$100003,"Closed",'HSE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Actions'!$N$4:$N$100003,"Closed",'Corrective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Inspections'!$M$4:$M$100003,"Closed",'Workplace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Acts'!$M$4:$M$100003,"Closed",'Unsafe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Conditions'!$M$4:$M$100003,"Closed",'Unsafe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2">
        <f>COUNTIFS('HSE Observations'!$E$4:$E$100003,"Safe Act",'HSE Observations'!$D$4:$D$100003,"Feb",'HSE Observations'!$G$4:$G$100003,dCrit)+COUNTIFS('HSE Observations'!$E$4:$E$100003,"Safe Condition",'HSE Observations'!$D$4:$D$100003,"Feb",'HSE Observations'!$G$4:$G$100003,dCrit)</f>
        <v>0</v>
      </c>
      <c r="BS13" s="22">
        <f>COUNTIFS('HSE Observations'!$E$4:$E$100003,"Unsafe Act",'HSE Observations'!$D$4:$D$100003,"Feb",'HSE Observations'!$G$4:$G$100003,dCrit)+COUNTIFS('HSE Observations'!$E$4:$E$100003,"Unsafe Condition",'HSE Observations'!$D$4:$D$100003,"Feb",'HSE Observations'!$G$4:$G$100003,dCrit)</f>
        <v>0</v>
      </c>
      <c r="BT13" s="22">
        <f>IFERROR(AVERAGEIFS('Emergency Drills'!$L$4:$L$100003,'Emergency Drills'!$D$4:$D$100003,"Feb"),0)</f>
        <v>0</v>
      </c>
      <c r="BU13" s="22">
        <f>IFERROR(AVERAGEIFS('Emergency Drills'!$K$4:$K$100003,'Emergency Drills'!$D$4:$D$100003,"Feb"),0)</f>
        <v>0</v>
      </c>
      <c r="BV13" s="22">
        <f>SUMIFS('Internal Audits'!$M$4:$M$100003,'Internal Audits'!$D$4:$D$100003,"Feb",'Internal Audits'!$G$4:$G$100003,dCrit)</f>
        <v>0</v>
      </c>
      <c r="BW13" s="22">
        <f>SUMIFS('External Audits'!$M$4:$M$100003,'External Audits'!$D$4:$D$100003,"Feb",'External Audits'!$G$4:$G$100003,dCrit)</f>
        <v>0</v>
      </c>
      <c r="BX13" s="22">
        <f>SUMIFS('Management Reviews'!$K$4:$K$100003,'Management Reviews'!$D$4:$D$100003,"Feb")</f>
        <v>0</v>
      </c>
      <c r="BY13" s="22">
        <f>SUMIFS('Management Reviews'!$L$4:$L$100003,'Management Reviews'!$D$4:$D$100003,"Feb")</f>
        <v>0</v>
      </c>
      <c r="BZ13" s="22">
        <f>SUMIFS('Stop Work Authority'!$J$4:$J$100003,'Stop Work Authority'!$D$4:$D$100003,"Feb",'Stop Work Authority'!$F$4:$F$100003,dCrit)</f>
        <v>0</v>
      </c>
      <c r="CA13" s="22">
        <f>SUMIFS('Training'!$M$4:$M$100003,'Training'!$D$4:$D$100003,"Feb",'Training'!$G$4:$G$100003,dCrit)</f>
        <v>0</v>
      </c>
      <c r="CB13" s="22">
        <f>SUMIFS('Workplace Inspections'!$J$4:$J$100003,'Workplace Inspections'!$D$4:$D$100003,"Feb",'Workplace Inspections'!$F$4:$F$100003,dCrit)</f>
        <v>0</v>
      </c>
      <c r="CC13" s="22">
        <f>COUNTIFS('Corrective Actions'!$O$4:$O$100003,"On-Time",'Corrective Actions'!$D$4:$D$100003,"Feb",'Corrective Actions'!$F$4:$F$100003,dCrit)</f>
        <v>0</v>
      </c>
      <c r="CD13" s="22">
        <f>COUNTIFS('Corrective Actions'!$O$4:$O$100003,"Delayed",'Corrective Actions'!$D$4:$D$100003,"Feb",'Corrective Actions'!$F$4:$F$100003,dCrit)</f>
        <v>0</v>
      </c>
      <c r="CE13" s="22">
        <f>COUNTIFS('JSA Risk Assessment'!$J$4:$J$100003,"Critical",'JSA Risk Assessment'!$D$4:$D$100003,"Feb",'JSA Risk Assessment'!$F$4:$F$100003,dCrit)</f>
        <v>0</v>
      </c>
      <c r="CF13" s="22">
        <f>COUNTIFS('JSA Risk Assessment'!$J$4:$J$100003,"High",'JSA Risk Assessment'!$D$4:$D$100003,"Feb",'JSA Risk Assessment'!$F$4:$F$100003,dCrit)</f>
        <v>0</v>
      </c>
      <c r="CG13" s="22">
        <f>COUNTIFS('JSA Risk Assessment'!$J$4:$J$100003,"Medium",'JSA Risk Assessment'!$D$4:$D$100003,"Feb",'JSA Risk Assessment'!$F$4:$F$100003,dCrit)</f>
        <v>0</v>
      </c>
      <c r="CH13" s="22">
        <f>COUNTIFS('JSA Risk Assessment'!$J$4:$J$100003,"Low",'JSA Risk Assessment'!$D$4:$D$100003,"Feb",'JSA Risk Assessment'!$F$4:$F$100003,dCrit)</f>
        <v>0</v>
      </c>
      <c r="CI13" s="21">
        <f>IFERROR($F$13*TRIRmult/Settings!$C$14,0)</f>
        <v>0</v>
      </c>
      <c r="CJ13" s="21">
        <f>IFERROR($G$13*LTIFRmult/Settings!$C$14,0)</f>
        <v>0</v>
      </c>
      <c r="CK13" s="23">
        <f>IFERROR($BK$13/$BJ$13*100,0)</f>
        <v>0</v>
      </c>
      <c r="CN13" s="12" t="s">
        <v>1649</v>
      </c>
      <c r="CO13" s="21" t="s">
        <v>1755</v>
      </c>
      <c r="CP13" s="21">
        <f>IFERROR(SUMPRODUCT(Calculations!$G$12:$G$23,Calculations!$D$12:$D$23)*LTIFRmult/SUMPRODUCT(ManhoursM,Calculations!$D$12:$D$23),0)</f>
        <v>0</v>
      </c>
      <c r="CQ13" s="21">
        <f>IFERROR(SUMPRODUCT(Calculations!$G$12:$G$23,Calculations!$E$12:$E$23)*LTIFRmult/SUMPRODUCT(ManhoursM,Calculations!$E$12:$E$23),0)</f>
        <v>0</v>
      </c>
      <c r="CR13" s="23">
        <f>IFERROR(($CP$13-$CQ$13)/$CQ$13,IF($CP$13&gt;0,1,0))</f>
        <v>0</v>
      </c>
      <c r="CS13" s="21">
        <f>($CP$13-$CQ$13)*-1</f>
        <v>0</v>
      </c>
      <c r="CT13" s="21">
        <f>TgtLTIFR</f>
        <v>0</v>
      </c>
      <c r="CU13" s="21">
        <f>IFERROR(IF($CP$13&lt;=$CT$13,2,IF($CP$13&lt;=$CT$13/AmberBand,1,0)),1)</f>
        <v>0</v>
      </c>
      <c r="CW13" s="12" t="s">
        <v>1536</v>
      </c>
      <c r="CX13" s="22">
        <f>SUMPRODUCT(Calculations!$K$12:$K$23,Calculations!$D$12:$D$23)</f>
        <v>0</v>
      </c>
      <c r="CZ13" s="21" t="s">
        <v>44</v>
      </c>
      <c r="DA13" s="22">
        <f>COUNTIFS('Incident'!$D$4:$D$100003,"Mar",'Incident'!$H$4:$H$100003,dCrit)</f>
        <v>0</v>
      </c>
      <c r="DC13" s="21">
        <f>IFERROR($BQ$13/$BP$13*100,0)</f>
        <v>0</v>
      </c>
      <c r="DD13" s="21">
        <f>IFERROR($BK$13/$BJ$13*100,0)</f>
        <v>0</v>
      </c>
      <c r="DE13" s="21">
        <f>IFERROR($AI$13/$AJ$13*100,0)</f>
        <v>0</v>
      </c>
      <c r="DF13" s="21">
        <f>IFERROR($AK$13/$AD$13*100,0)</f>
        <v>0</v>
      </c>
      <c r="DG13" s="21">
        <f>IFERROR($S$13/$R$13*100,0)</f>
        <v>0</v>
      </c>
      <c r="DH13" s="21">
        <f>IFERROR($U$13/$T$13*100,0)</f>
        <v>0</v>
      </c>
      <c r="DI13" s="21">
        <f>IFERROR($AM$13/$AL$13*100,0)</f>
        <v>0</v>
      </c>
      <c r="DJ13" s="21">
        <f>IFERROR($AR$13/$AQ$13*100,0)</f>
        <v>0</v>
      </c>
      <c r="DK13" s="21">
        <f>IFERROR($AU$13/$AT$13*100,0)</f>
        <v>0</v>
      </c>
      <c r="DL13" s="21">
        <f>IFERROR($AW$13/$AV$13*100,0)</f>
        <v>0</v>
      </c>
      <c r="DM13" s="21">
        <f>IFERROR($BD$13/$BC$13*100,0)</f>
        <v>0</v>
      </c>
      <c r="DN13" s="21">
        <f>IFERROR($BF$13/$BG$13*100,0)</f>
        <v>0</v>
      </c>
      <c r="DO13" s="21">
        <f>IFERROR($Z$13/$Y$13*100,0)</f>
        <v>0</v>
      </c>
      <c r="DP13" s="21">
        <f>IFERROR($AC$13/$AB$13*100,0)</f>
        <v>0</v>
      </c>
      <c r="DQ13" s="21">
        <f>IFERROR($BM$13/$BL$13*100,0)</f>
        <v>0</v>
      </c>
      <c r="DR13" s="21">
        <f>IFERROR($BO$13/$BN$13*100,0)</f>
        <v>0</v>
      </c>
    </row>
    <row r="14" spans="2:122">
      <c r="B14" s="21" t="s">
        <v>44</v>
      </c>
      <c r="C14" s="21">
        <v>3</v>
      </c>
      <c r="D14" s="21">
        <f>IF(Calculations!$C$10=1,IF(ROUNDUP($C$14/3,0)=Calculations!$F$10,1,0),IF($C$14=Calculations!$I$10,1,0))</f>
        <v>0</v>
      </c>
      <c r="E14" s="21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Observations'!$M$4:$M$100003,"Closed",'HSE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Actions'!$N$4:$N$100003,"Closed",'Corrective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Inspections'!$M$4:$M$100003,"Closed",'Workplace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Acts'!$M$4:$M$100003,"Closed",'Unsafe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Conditions'!$M$4:$M$100003,"Closed",'Unsafe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2">
        <f>COUNTIFS('HSE Observations'!$E$4:$E$100003,"Safe Act",'HSE Observations'!$D$4:$D$100003,"Mar",'HSE Observations'!$G$4:$G$100003,dCrit)+COUNTIFS('HSE Observations'!$E$4:$E$100003,"Safe Condition",'HSE Observations'!$D$4:$D$100003,"Mar",'HSE Observations'!$G$4:$G$100003,dCrit)</f>
        <v>0</v>
      </c>
      <c r="BS14" s="22">
        <f>COUNTIFS('HSE Observations'!$E$4:$E$100003,"Unsafe Act",'HSE Observations'!$D$4:$D$100003,"Mar",'HSE Observations'!$G$4:$G$100003,dCrit)+COUNTIFS('HSE Observations'!$E$4:$E$100003,"Unsafe Condition",'HSE Observations'!$D$4:$D$100003,"Mar",'HSE Observations'!$G$4:$G$100003,dCrit)</f>
        <v>0</v>
      </c>
      <c r="BT14" s="22">
        <f>IFERROR(AVERAGEIFS('Emergency Drills'!$L$4:$L$100003,'Emergency Drills'!$D$4:$D$100003,"Mar"),0)</f>
        <v>0</v>
      </c>
      <c r="BU14" s="22">
        <f>IFERROR(AVERAGEIFS('Emergency Drills'!$K$4:$K$100003,'Emergency Drills'!$D$4:$D$100003,"Mar"),0)</f>
        <v>0</v>
      </c>
      <c r="BV14" s="22">
        <f>SUMIFS('Internal Audits'!$M$4:$M$100003,'Internal Audits'!$D$4:$D$100003,"Mar",'Internal Audits'!$G$4:$G$100003,dCrit)</f>
        <v>0</v>
      </c>
      <c r="BW14" s="22">
        <f>SUMIFS('External Audits'!$M$4:$M$100003,'External Audits'!$D$4:$D$100003,"Mar",'External Audits'!$G$4:$G$100003,dCrit)</f>
        <v>0</v>
      </c>
      <c r="BX14" s="22">
        <f>SUMIFS('Management Reviews'!$K$4:$K$100003,'Management Reviews'!$D$4:$D$100003,"Mar")</f>
        <v>0</v>
      </c>
      <c r="BY14" s="22">
        <f>SUMIFS('Management Reviews'!$L$4:$L$100003,'Management Reviews'!$D$4:$D$100003,"Mar")</f>
        <v>0</v>
      </c>
      <c r="BZ14" s="22">
        <f>SUMIFS('Stop Work Authority'!$J$4:$J$100003,'Stop Work Authority'!$D$4:$D$100003,"Mar",'Stop Work Authority'!$F$4:$F$100003,dCrit)</f>
        <v>0</v>
      </c>
      <c r="CA14" s="22">
        <f>SUMIFS('Training'!$M$4:$M$100003,'Training'!$D$4:$D$100003,"Mar",'Training'!$G$4:$G$100003,dCrit)</f>
        <v>0</v>
      </c>
      <c r="CB14" s="22">
        <f>SUMIFS('Workplace Inspections'!$J$4:$J$100003,'Workplace Inspections'!$D$4:$D$100003,"Mar",'Workplace Inspections'!$F$4:$F$100003,dCrit)</f>
        <v>0</v>
      </c>
      <c r="CC14" s="22">
        <f>COUNTIFS('Corrective Actions'!$O$4:$O$100003,"On-Time",'Corrective Actions'!$D$4:$D$100003,"Mar",'Corrective Actions'!$F$4:$F$100003,dCrit)</f>
        <v>0</v>
      </c>
      <c r="CD14" s="22">
        <f>COUNTIFS('Corrective Actions'!$O$4:$O$100003,"Delayed",'Corrective Actions'!$D$4:$D$100003,"Mar",'Corrective Actions'!$F$4:$F$100003,dCrit)</f>
        <v>0</v>
      </c>
      <c r="CE14" s="22">
        <f>COUNTIFS('JSA Risk Assessment'!$J$4:$J$100003,"Critical",'JSA Risk Assessment'!$D$4:$D$100003,"Mar",'JSA Risk Assessment'!$F$4:$F$100003,dCrit)</f>
        <v>0</v>
      </c>
      <c r="CF14" s="22">
        <f>COUNTIFS('JSA Risk Assessment'!$J$4:$J$100003,"High",'JSA Risk Assessment'!$D$4:$D$100003,"Mar",'JSA Risk Assessment'!$F$4:$F$100003,dCrit)</f>
        <v>0</v>
      </c>
      <c r="CG14" s="22">
        <f>COUNTIFS('JSA Risk Assessment'!$J$4:$J$100003,"Medium",'JSA Risk Assessment'!$D$4:$D$100003,"Mar",'JSA Risk Assessment'!$F$4:$F$100003,dCrit)</f>
        <v>0</v>
      </c>
      <c r="CH14" s="22">
        <f>COUNTIFS('JSA Risk Assessment'!$J$4:$J$100003,"Low",'JSA Risk Assessment'!$D$4:$D$100003,"Mar",'JSA Risk Assessment'!$F$4:$F$100003,dCrit)</f>
        <v>0</v>
      </c>
      <c r="CI14" s="21">
        <f>IFERROR($F$14*TRIRmult/Settings!$C$15,0)</f>
        <v>0</v>
      </c>
      <c r="CJ14" s="21">
        <f>IFERROR($G$14*LTIFRmult/Settings!$C$15,0)</f>
        <v>0</v>
      </c>
      <c r="CK14" s="23">
        <f>IFERROR($BK$14/$BJ$14*100,0)</f>
        <v>0</v>
      </c>
      <c r="CN14" s="12" t="s">
        <v>1756</v>
      </c>
      <c r="CO14" s="21" t="s">
        <v>1755</v>
      </c>
      <c r="CP14" s="22">
        <f>SUMPRODUCT(Calculations!$O$12:$O$23,Calculations!$D$12:$D$23)</f>
        <v>0</v>
      </c>
      <c r="CQ14" s="22">
        <f>SUMPRODUCT(Calculations!$O$12:$O$23,Calculations!$E$12:$E$23)</f>
        <v>0</v>
      </c>
      <c r="CR14" s="23">
        <f>IFERROR(($CP$14-$CQ$14)/$CQ$14,IF($CP$14&gt;0,1,0))</f>
        <v>0</v>
      </c>
      <c r="CS14" s="21">
        <f>($CP$14-$CQ$14)*-1</f>
        <v>0</v>
      </c>
      <c r="CT14" s="22">
        <f>IFERROR(AVERAGE(Calculations!$O$12:$O$23)*SUM(Calculations!$D$12:$D$23),0)</f>
        <v>0</v>
      </c>
      <c r="CU14" s="21">
        <f>IFERROR(IF($CP$14&lt;=$CT$14,2,IF($CP$14&lt;=$CT$14/AmberBand,1,0)),1)</f>
        <v>0</v>
      </c>
      <c r="CW14" s="12" t="s">
        <v>1531</v>
      </c>
      <c r="CX14" s="22">
        <f>SUMPRODUCT(Calculations!$J$12:$J$23,Calculations!$D$12:$D$23)</f>
        <v>0</v>
      </c>
      <c r="CZ14" s="21" t="s">
        <v>53</v>
      </c>
      <c r="DA14" s="22">
        <f>COUNTIFS('Incident'!$D$4:$D$100003,"Apr",'Incident'!$H$4:$H$100003,dCrit)</f>
        <v>0</v>
      </c>
      <c r="DC14" s="21">
        <f>IFERROR($BQ$14/$BP$14*100,0)</f>
        <v>0</v>
      </c>
      <c r="DD14" s="21">
        <f>IFERROR($BK$14/$BJ$14*100,0)</f>
        <v>0</v>
      </c>
      <c r="DE14" s="21">
        <f>IFERROR($AI$14/$AJ$14*100,0)</f>
        <v>0</v>
      </c>
      <c r="DF14" s="21">
        <f>IFERROR($AK$14/$AD$14*100,0)</f>
        <v>0</v>
      </c>
      <c r="DG14" s="21">
        <f>IFERROR($S$14/$R$14*100,0)</f>
        <v>0</v>
      </c>
      <c r="DH14" s="21">
        <f>IFERROR($U$14/$T$14*100,0)</f>
        <v>0</v>
      </c>
      <c r="DI14" s="21">
        <f>IFERROR($AM$14/$AL$14*100,0)</f>
        <v>0</v>
      </c>
      <c r="DJ14" s="21">
        <f>IFERROR($AR$14/$AQ$14*100,0)</f>
        <v>0</v>
      </c>
      <c r="DK14" s="21">
        <f>IFERROR($AU$14/$AT$14*100,0)</f>
        <v>0</v>
      </c>
      <c r="DL14" s="21">
        <f>IFERROR($AW$14/$AV$14*100,0)</f>
        <v>0</v>
      </c>
      <c r="DM14" s="21">
        <f>IFERROR($BD$14/$BC$14*100,0)</f>
        <v>0</v>
      </c>
      <c r="DN14" s="21">
        <f>IFERROR($BF$14/$BG$14*100,0)</f>
        <v>0</v>
      </c>
      <c r="DO14" s="21">
        <f>IFERROR($Z$14/$Y$14*100,0)</f>
        <v>0</v>
      </c>
      <c r="DP14" s="21">
        <f>IFERROR($AC$14/$AB$14*100,0)</f>
        <v>0</v>
      </c>
      <c r="DQ14" s="21">
        <f>IFERROR($BM$14/$BL$14*100,0)</f>
        <v>0</v>
      </c>
      <c r="DR14" s="21">
        <f>IFERROR($BO$14/$BN$14*100,0)</f>
        <v>0</v>
      </c>
    </row>
    <row r="15" spans="2:122">
      <c r="B15" s="21" t="s">
        <v>53</v>
      </c>
      <c r="C15" s="21">
        <v>4</v>
      </c>
      <c r="D15" s="21">
        <f>IF(Calculations!$C$10=1,IF(ROUNDUP($C$15/3,0)=Calculations!$F$10,1,0),IF($C$15=Calculations!$I$10,1,0))</f>
        <v>0</v>
      </c>
      <c r="E15" s="21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Observations'!$M$4:$M$100003,"Closed",'HSE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Actions'!$N$4:$N$100003,"Closed",'Corrective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Inspections'!$M$4:$M$100003,"Closed",'Workplace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Acts'!$M$4:$M$100003,"Closed",'Unsafe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Conditions'!$M$4:$M$100003,"Closed",'Unsafe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2">
        <f>COUNTIFS('HSE Observations'!$E$4:$E$100003,"Safe Act",'HSE Observations'!$D$4:$D$100003,"Apr",'HSE Observations'!$G$4:$G$100003,dCrit)+COUNTIFS('HSE Observations'!$E$4:$E$100003,"Safe Condition",'HSE Observations'!$D$4:$D$100003,"Apr",'HSE Observations'!$G$4:$G$100003,dCrit)</f>
        <v>0</v>
      </c>
      <c r="BS15" s="22">
        <f>COUNTIFS('HSE Observations'!$E$4:$E$100003,"Unsafe Act",'HSE Observations'!$D$4:$D$100003,"Apr",'HSE Observations'!$G$4:$G$100003,dCrit)+COUNTIFS('HSE Observations'!$E$4:$E$100003,"Unsafe Condition",'HSE Observations'!$D$4:$D$100003,"Apr",'HSE Observations'!$G$4:$G$100003,dCrit)</f>
        <v>0</v>
      </c>
      <c r="BT15" s="22">
        <f>IFERROR(AVERAGEIFS('Emergency Drills'!$L$4:$L$100003,'Emergency Drills'!$D$4:$D$100003,"Apr"),0)</f>
        <v>0</v>
      </c>
      <c r="BU15" s="22">
        <f>IFERROR(AVERAGEIFS('Emergency Drills'!$K$4:$K$100003,'Emergency Drills'!$D$4:$D$100003,"Apr"),0)</f>
        <v>0</v>
      </c>
      <c r="BV15" s="22">
        <f>SUMIFS('Internal Audits'!$M$4:$M$100003,'Internal Audits'!$D$4:$D$100003,"Apr",'Internal Audits'!$G$4:$G$100003,dCrit)</f>
        <v>0</v>
      </c>
      <c r="BW15" s="22">
        <f>SUMIFS('External Audits'!$M$4:$M$100003,'External Audits'!$D$4:$D$100003,"Apr",'External Audits'!$G$4:$G$100003,dCrit)</f>
        <v>0</v>
      </c>
      <c r="BX15" s="22">
        <f>SUMIFS('Management Reviews'!$K$4:$K$100003,'Management Reviews'!$D$4:$D$100003,"Apr")</f>
        <v>0</v>
      </c>
      <c r="BY15" s="22">
        <f>SUMIFS('Management Reviews'!$L$4:$L$100003,'Management Reviews'!$D$4:$D$100003,"Apr")</f>
        <v>0</v>
      </c>
      <c r="BZ15" s="22">
        <f>SUMIFS('Stop Work Authority'!$J$4:$J$100003,'Stop Work Authority'!$D$4:$D$100003,"Apr",'Stop Work Authority'!$F$4:$F$100003,dCrit)</f>
        <v>0</v>
      </c>
      <c r="CA15" s="22">
        <f>SUMIFS('Training'!$M$4:$M$100003,'Training'!$D$4:$D$100003,"Apr",'Training'!$G$4:$G$100003,dCrit)</f>
        <v>0</v>
      </c>
      <c r="CB15" s="22">
        <f>SUMIFS('Workplace Inspections'!$J$4:$J$100003,'Workplace Inspections'!$D$4:$D$100003,"Apr",'Workplace Inspections'!$F$4:$F$100003,dCrit)</f>
        <v>0</v>
      </c>
      <c r="CC15" s="22">
        <f>COUNTIFS('Corrective Actions'!$O$4:$O$100003,"On-Time",'Corrective Actions'!$D$4:$D$100003,"Apr",'Corrective Actions'!$F$4:$F$100003,dCrit)</f>
        <v>0</v>
      </c>
      <c r="CD15" s="22">
        <f>COUNTIFS('Corrective Actions'!$O$4:$O$100003,"Delayed",'Corrective Actions'!$D$4:$D$100003,"Apr",'Corrective Actions'!$F$4:$F$100003,dCrit)</f>
        <v>0</v>
      </c>
      <c r="CE15" s="22">
        <f>COUNTIFS('JSA Risk Assessment'!$J$4:$J$100003,"Critical",'JSA Risk Assessment'!$D$4:$D$100003,"Apr",'JSA Risk Assessment'!$F$4:$F$100003,dCrit)</f>
        <v>0</v>
      </c>
      <c r="CF15" s="22">
        <f>COUNTIFS('JSA Risk Assessment'!$J$4:$J$100003,"High",'JSA Risk Assessment'!$D$4:$D$100003,"Apr",'JSA Risk Assessment'!$F$4:$F$100003,dCrit)</f>
        <v>0</v>
      </c>
      <c r="CG15" s="22">
        <f>COUNTIFS('JSA Risk Assessment'!$J$4:$J$100003,"Medium",'JSA Risk Assessment'!$D$4:$D$100003,"Apr",'JSA Risk Assessment'!$F$4:$F$100003,dCrit)</f>
        <v>0</v>
      </c>
      <c r="CH15" s="22">
        <f>COUNTIFS('JSA Risk Assessment'!$J$4:$J$100003,"Low",'JSA Risk Assessment'!$D$4:$D$100003,"Apr",'JSA Risk Assessment'!$F$4:$F$100003,dCrit)</f>
        <v>0</v>
      </c>
      <c r="CI15" s="21">
        <f>IFERROR($F$15*TRIRmult/Settings!$C$16,0)</f>
        <v>0</v>
      </c>
      <c r="CJ15" s="21">
        <f>IFERROR($G$15*LTIFRmult/Settings!$C$16,0)</f>
        <v>0</v>
      </c>
      <c r="CK15" s="23">
        <f>IFERROR($BK$15/$BJ$15*100,0)</f>
        <v>0</v>
      </c>
      <c r="CN15" s="12" t="s">
        <v>1757</v>
      </c>
      <c r="CO15" s="21" t="s">
        <v>1755</v>
      </c>
      <c r="CP15" s="22">
        <f>SUMPRODUCT(Calculations!$F$12:$F$23,Calculations!$D$12:$D$23)</f>
        <v>0</v>
      </c>
      <c r="CQ15" s="22">
        <f>SUMPRODUCT(Calculations!$F$12:$F$23,Calculations!$E$12:$E$23)</f>
        <v>0</v>
      </c>
      <c r="CR15" s="23">
        <f>IFERROR(($CP$15-$CQ$15)/$CQ$15,IF($CP$15&gt;0,1,0))</f>
        <v>0</v>
      </c>
      <c r="CS15" s="21">
        <f>($CP$15-$CQ$15)*-1</f>
        <v>0</v>
      </c>
      <c r="CT15" s="22">
        <f>IFERROR(AVERAGE(Calculations!$F$12:$F$23)*SUM(Calculations!$D$12:$D$23),0)</f>
        <v>0</v>
      </c>
      <c r="CU15" s="21">
        <f>IFERROR(IF($CP$15&lt;=$CT$15,2,IF($CP$15&lt;=$CT$15/AmberBand,1,0)),1)</f>
        <v>0</v>
      </c>
      <c r="CW15" s="12" t="s">
        <v>1507</v>
      </c>
      <c r="CX15" s="22">
        <f>SUMPRODUCT(Calculations!$I$12:$I$23,Calculations!$D$12:$D$23)</f>
        <v>0</v>
      </c>
      <c r="CZ15" s="21" t="s">
        <v>60</v>
      </c>
      <c r="DA15" s="22">
        <f>COUNTIFS('Incident'!$D$4:$D$100003,"May",'Incident'!$H$4:$H$100003,dCrit)</f>
        <v>0</v>
      </c>
      <c r="DC15" s="21">
        <f>IFERROR($BQ$15/$BP$15*100,0)</f>
        <v>0</v>
      </c>
      <c r="DD15" s="21">
        <f>IFERROR($BK$15/$BJ$15*100,0)</f>
        <v>0</v>
      </c>
      <c r="DE15" s="21">
        <f>IFERROR($AI$15/$AJ$15*100,0)</f>
        <v>0</v>
      </c>
      <c r="DF15" s="21">
        <f>IFERROR($AK$15/$AD$15*100,0)</f>
        <v>0</v>
      </c>
      <c r="DG15" s="21">
        <f>IFERROR($S$15/$R$15*100,0)</f>
        <v>0</v>
      </c>
      <c r="DH15" s="21">
        <f>IFERROR($U$15/$T$15*100,0)</f>
        <v>0</v>
      </c>
      <c r="DI15" s="21">
        <f>IFERROR($AM$15/$AL$15*100,0)</f>
        <v>0</v>
      </c>
      <c r="DJ15" s="21">
        <f>IFERROR($AR$15/$AQ$15*100,0)</f>
        <v>0</v>
      </c>
      <c r="DK15" s="21">
        <f>IFERROR($AU$15/$AT$15*100,0)</f>
        <v>0</v>
      </c>
      <c r="DL15" s="21">
        <f>IFERROR($AW$15/$AV$15*100,0)</f>
        <v>0</v>
      </c>
      <c r="DM15" s="21">
        <f>IFERROR($BD$15/$BC$15*100,0)</f>
        <v>0</v>
      </c>
      <c r="DN15" s="21">
        <f>IFERROR($BF$15/$BG$15*100,0)</f>
        <v>0</v>
      </c>
      <c r="DO15" s="21">
        <f>IFERROR($Z$15/$Y$15*100,0)</f>
        <v>0</v>
      </c>
      <c r="DP15" s="21">
        <f>IFERROR($AC$15/$AB$15*100,0)</f>
        <v>0</v>
      </c>
      <c r="DQ15" s="21">
        <f>IFERROR($BM$15/$BL$15*100,0)</f>
        <v>0</v>
      </c>
      <c r="DR15" s="21">
        <f>IFERROR($BO$15/$BN$15*100,0)</f>
        <v>0</v>
      </c>
    </row>
    <row r="16" spans="2:122">
      <c r="B16" s="21" t="s">
        <v>60</v>
      </c>
      <c r="C16" s="21">
        <v>5</v>
      </c>
      <c r="D16" s="21">
        <f>IF(Calculations!$C$10=1,IF(ROUNDUP($C$16/3,0)=Calculations!$F$10,1,0),IF($C$16=Calculations!$I$10,1,0))</f>
        <v>0</v>
      </c>
      <c r="E16" s="21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Observations'!$M$4:$M$100003,"Closed",'HSE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Actions'!$N$4:$N$100003,"Closed",'Corrective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Inspections'!$M$4:$M$100003,"Closed",'Workplace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Acts'!$M$4:$M$100003,"Closed",'Unsafe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Conditions'!$M$4:$M$100003,"Closed",'Unsafe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2">
        <f>COUNTIFS('HSE Observations'!$E$4:$E$100003,"Safe Act",'HSE Observations'!$D$4:$D$100003,"May",'HSE Observations'!$G$4:$G$100003,dCrit)+COUNTIFS('HSE Observations'!$E$4:$E$100003,"Safe Condition",'HSE Observations'!$D$4:$D$100003,"May",'HSE Observations'!$G$4:$G$100003,dCrit)</f>
        <v>0</v>
      </c>
      <c r="BS16" s="22">
        <f>COUNTIFS('HSE Observations'!$E$4:$E$100003,"Unsafe Act",'HSE Observations'!$D$4:$D$100003,"May",'HSE Observations'!$G$4:$G$100003,dCrit)+COUNTIFS('HSE Observations'!$E$4:$E$100003,"Unsafe Condition",'HSE Observations'!$D$4:$D$100003,"May",'HSE Observations'!$G$4:$G$100003,dCrit)</f>
        <v>0</v>
      </c>
      <c r="BT16" s="22">
        <f>IFERROR(AVERAGEIFS('Emergency Drills'!$L$4:$L$100003,'Emergency Drills'!$D$4:$D$100003,"May"),0)</f>
        <v>0</v>
      </c>
      <c r="BU16" s="22">
        <f>IFERROR(AVERAGEIFS('Emergency Drills'!$K$4:$K$100003,'Emergency Drills'!$D$4:$D$100003,"May"),0)</f>
        <v>0</v>
      </c>
      <c r="BV16" s="22">
        <f>SUMIFS('Internal Audits'!$M$4:$M$100003,'Internal Audits'!$D$4:$D$100003,"May",'Internal Audits'!$G$4:$G$100003,dCrit)</f>
        <v>0</v>
      </c>
      <c r="BW16" s="22">
        <f>SUMIFS('External Audits'!$M$4:$M$100003,'External Audits'!$D$4:$D$100003,"May",'External Audits'!$G$4:$G$100003,dCrit)</f>
        <v>0</v>
      </c>
      <c r="BX16" s="22">
        <f>SUMIFS('Management Reviews'!$K$4:$K$100003,'Management Reviews'!$D$4:$D$100003,"May")</f>
        <v>0</v>
      </c>
      <c r="BY16" s="22">
        <f>SUMIFS('Management Reviews'!$L$4:$L$100003,'Management Reviews'!$D$4:$D$100003,"May")</f>
        <v>0</v>
      </c>
      <c r="BZ16" s="22">
        <f>SUMIFS('Stop Work Authority'!$J$4:$J$100003,'Stop Work Authority'!$D$4:$D$100003,"May",'Stop Work Authority'!$F$4:$F$100003,dCrit)</f>
        <v>0</v>
      </c>
      <c r="CA16" s="22">
        <f>SUMIFS('Training'!$M$4:$M$100003,'Training'!$D$4:$D$100003,"May",'Training'!$G$4:$G$100003,dCrit)</f>
        <v>0</v>
      </c>
      <c r="CB16" s="22">
        <f>SUMIFS('Workplace Inspections'!$J$4:$J$100003,'Workplace Inspections'!$D$4:$D$100003,"May",'Workplace Inspections'!$F$4:$F$100003,dCrit)</f>
        <v>0</v>
      </c>
      <c r="CC16" s="22">
        <f>COUNTIFS('Corrective Actions'!$O$4:$O$100003,"On-Time",'Corrective Actions'!$D$4:$D$100003,"May",'Corrective Actions'!$F$4:$F$100003,dCrit)</f>
        <v>0</v>
      </c>
      <c r="CD16" s="22">
        <f>COUNTIFS('Corrective Actions'!$O$4:$O$100003,"Delayed",'Corrective Actions'!$D$4:$D$100003,"May",'Corrective Actions'!$F$4:$F$100003,dCrit)</f>
        <v>0</v>
      </c>
      <c r="CE16" s="22">
        <f>COUNTIFS('JSA Risk Assessment'!$J$4:$J$100003,"Critical",'JSA Risk Assessment'!$D$4:$D$100003,"May",'JSA Risk Assessment'!$F$4:$F$100003,dCrit)</f>
        <v>0</v>
      </c>
      <c r="CF16" s="22">
        <f>COUNTIFS('JSA Risk Assessment'!$J$4:$J$100003,"High",'JSA Risk Assessment'!$D$4:$D$100003,"May",'JSA Risk Assessment'!$F$4:$F$100003,dCrit)</f>
        <v>0</v>
      </c>
      <c r="CG16" s="22">
        <f>COUNTIFS('JSA Risk Assessment'!$J$4:$J$100003,"Medium",'JSA Risk Assessment'!$D$4:$D$100003,"May",'JSA Risk Assessment'!$F$4:$F$100003,dCrit)</f>
        <v>0</v>
      </c>
      <c r="CH16" s="22">
        <f>COUNTIFS('JSA Risk Assessment'!$J$4:$J$100003,"Low",'JSA Risk Assessment'!$D$4:$D$100003,"May",'JSA Risk Assessment'!$F$4:$F$100003,dCrit)</f>
        <v>0</v>
      </c>
      <c r="CI16" s="21">
        <f>IFERROR($F$16*TRIRmult/Settings!$C$17,0)</f>
        <v>0</v>
      </c>
      <c r="CJ16" s="21">
        <f>IFERROR($G$16*LTIFRmult/Settings!$C$17,0)</f>
        <v>0</v>
      </c>
      <c r="CK16" s="23">
        <f>IFERROR($BK$16/$BJ$16*100,0)</f>
        <v>0</v>
      </c>
      <c r="CN16" s="12" t="s">
        <v>1758</v>
      </c>
      <c r="CO16" s="21" t="s">
        <v>1755</v>
      </c>
      <c r="CP16" s="22">
        <f>SUMPRODUCT(Calculations!$G$12:$G$23,Calculations!$D$12:$D$23)</f>
        <v>0</v>
      </c>
      <c r="CQ16" s="22">
        <f>SUMPRODUCT(Calculations!$G$12:$G$23,Calculations!$E$12:$E$23)</f>
        <v>0</v>
      </c>
      <c r="CR16" s="23">
        <f>IFERROR(($CP$16-$CQ$16)/$CQ$16,IF($CP$16&gt;0,1,0))</f>
        <v>0</v>
      </c>
      <c r="CS16" s="21">
        <f>($CP$16-$CQ$16)*-1</f>
        <v>0</v>
      </c>
      <c r="CT16" s="22">
        <f>IFERROR(AVERAGE(Calculations!$G$12:$G$23)*SUM(Calculations!$D$12:$D$23),0)</f>
        <v>0</v>
      </c>
      <c r="CU16" s="21">
        <f>IFERROR(IF($CP$16&lt;=$CT$16,2,IF($CP$16&lt;=$CT$16/AmberBand,1,0)),1)</f>
        <v>0</v>
      </c>
      <c r="CW16" s="12" t="s">
        <v>1494</v>
      </c>
      <c r="CX16" s="22">
        <f>SUMPRODUCT(Calculations!$H$12:$H$23,Calculations!$D$12:$D$23)</f>
        <v>0</v>
      </c>
      <c r="CZ16" s="21" t="s">
        <v>73</v>
      </c>
      <c r="DA16" s="22">
        <f>COUNTIFS('Incident'!$D$4:$D$100003,"Jun",'Incident'!$H$4:$H$100003,dCrit)</f>
        <v>0</v>
      </c>
      <c r="DC16" s="21">
        <f>IFERROR($BQ$16/$BP$16*100,0)</f>
        <v>0</v>
      </c>
      <c r="DD16" s="21">
        <f>IFERROR($BK$16/$BJ$16*100,0)</f>
        <v>0</v>
      </c>
      <c r="DE16" s="21">
        <f>IFERROR($AI$16/$AJ$16*100,0)</f>
        <v>0</v>
      </c>
      <c r="DF16" s="21">
        <f>IFERROR($AK$16/$AD$16*100,0)</f>
        <v>0</v>
      </c>
      <c r="DG16" s="21">
        <f>IFERROR($S$16/$R$16*100,0)</f>
        <v>0</v>
      </c>
      <c r="DH16" s="21">
        <f>IFERROR($U$16/$T$16*100,0)</f>
        <v>0</v>
      </c>
      <c r="DI16" s="21">
        <f>IFERROR($AM$16/$AL$16*100,0)</f>
        <v>0</v>
      </c>
      <c r="DJ16" s="21">
        <f>IFERROR($AR$16/$AQ$16*100,0)</f>
        <v>0</v>
      </c>
      <c r="DK16" s="21">
        <f>IFERROR($AU$16/$AT$16*100,0)</f>
        <v>0</v>
      </c>
      <c r="DL16" s="21">
        <f>IFERROR($AW$16/$AV$16*100,0)</f>
        <v>0</v>
      </c>
      <c r="DM16" s="21">
        <f>IFERROR($BD$16/$BC$16*100,0)</f>
        <v>0</v>
      </c>
      <c r="DN16" s="21">
        <f>IFERROR($BF$16/$BG$16*100,0)</f>
        <v>0</v>
      </c>
      <c r="DO16" s="21">
        <f>IFERROR($Z$16/$Y$16*100,0)</f>
        <v>0</v>
      </c>
      <c r="DP16" s="21">
        <f>IFERROR($AC$16/$AB$16*100,0)</f>
        <v>0</v>
      </c>
      <c r="DQ16" s="21">
        <f>IFERROR($BM$16/$BL$16*100,0)</f>
        <v>0</v>
      </c>
      <c r="DR16" s="21">
        <f>IFERROR($BO$16/$BN$16*100,0)</f>
        <v>0</v>
      </c>
    </row>
    <row r="17" spans="2:122">
      <c r="B17" s="21" t="s">
        <v>73</v>
      </c>
      <c r="C17" s="21">
        <v>6</v>
      </c>
      <c r="D17" s="21">
        <f>IF(Calculations!$C$10=1,IF(ROUNDUP($C$17/3,0)=Calculations!$F$10,1,0),IF($C$17=Calculations!$I$10,1,0))</f>
        <v>0</v>
      </c>
      <c r="E17" s="21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Observations'!$M$4:$M$100003,"Closed",'HSE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Actions'!$N$4:$N$100003,"Closed",'Corrective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Inspections'!$M$4:$M$100003,"Closed",'Workplace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Acts'!$M$4:$M$100003,"Closed",'Unsafe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Conditions'!$M$4:$M$100003,"Closed",'Unsafe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2">
        <f>COUNTIFS('HSE Observations'!$E$4:$E$100003,"Safe Act",'HSE Observations'!$D$4:$D$100003,"Jun",'HSE Observations'!$G$4:$G$100003,dCrit)+COUNTIFS('HSE Observations'!$E$4:$E$100003,"Safe Condition",'HSE Observations'!$D$4:$D$100003,"Jun",'HSE Observations'!$G$4:$G$100003,dCrit)</f>
        <v>0</v>
      </c>
      <c r="BS17" s="22">
        <f>COUNTIFS('HSE Observations'!$E$4:$E$100003,"Unsafe Act",'HSE Observations'!$D$4:$D$100003,"Jun",'HSE Observations'!$G$4:$G$100003,dCrit)+COUNTIFS('HSE Observations'!$E$4:$E$100003,"Unsafe Condition",'HSE Observations'!$D$4:$D$100003,"Jun",'HSE Observations'!$G$4:$G$100003,dCrit)</f>
        <v>0</v>
      </c>
      <c r="BT17" s="22">
        <f>IFERROR(AVERAGEIFS('Emergency Drills'!$L$4:$L$100003,'Emergency Drills'!$D$4:$D$100003,"Jun"),0)</f>
        <v>0</v>
      </c>
      <c r="BU17" s="22">
        <f>IFERROR(AVERAGEIFS('Emergency Drills'!$K$4:$K$100003,'Emergency Drills'!$D$4:$D$100003,"Jun"),0)</f>
        <v>0</v>
      </c>
      <c r="BV17" s="22">
        <f>SUMIFS('Internal Audits'!$M$4:$M$100003,'Internal Audits'!$D$4:$D$100003,"Jun",'Internal Audits'!$G$4:$G$100003,dCrit)</f>
        <v>0</v>
      </c>
      <c r="BW17" s="22">
        <f>SUMIFS('External Audits'!$M$4:$M$100003,'External Audits'!$D$4:$D$100003,"Jun",'External Audits'!$G$4:$G$100003,dCrit)</f>
        <v>0</v>
      </c>
      <c r="BX17" s="22">
        <f>SUMIFS('Management Reviews'!$K$4:$K$100003,'Management Reviews'!$D$4:$D$100003,"Jun")</f>
        <v>0</v>
      </c>
      <c r="BY17" s="22">
        <f>SUMIFS('Management Reviews'!$L$4:$L$100003,'Management Reviews'!$D$4:$D$100003,"Jun")</f>
        <v>0</v>
      </c>
      <c r="BZ17" s="22">
        <f>SUMIFS('Stop Work Authority'!$J$4:$J$100003,'Stop Work Authority'!$D$4:$D$100003,"Jun",'Stop Work Authority'!$F$4:$F$100003,dCrit)</f>
        <v>0</v>
      </c>
      <c r="CA17" s="22">
        <f>SUMIFS('Training'!$M$4:$M$100003,'Training'!$D$4:$D$100003,"Jun",'Training'!$G$4:$G$100003,dCrit)</f>
        <v>0</v>
      </c>
      <c r="CB17" s="22">
        <f>SUMIFS('Workplace Inspections'!$J$4:$J$100003,'Workplace Inspections'!$D$4:$D$100003,"Jun",'Workplace Inspections'!$F$4:$F$100003,dCrit)</f>
        <v>0</v>
      </c>
      <c r="CC17" s="22">
        <f>COUNTIFS('Corrective Actions'!$O$4:$O$100003,"On-Time",'Corrective Actions'!$D$4:$D$100003,"Jun",'Corrective Actions'!$F$4:$F$100003,dCrit)</f>
        <v>0</v>
      </c>
      <c r="CD17" s="22">
        <f>COUNTIFS('Corrective Actions'!$O$4:$O$100003,"Delayed",'Corrective Actions'!$D$4:$D$100003,"Jun",'Corrective Actions'!$F$4:$F$100003,dCrit)</f>
        <v>0</v>
      </c>
      <c r="CE17" s="22">
        <f>COUNTIFS('JSA Risk Assessment'!$J$4:$J$100003,"Critical",'JSA Risk Assessment'!$D$4:$D$100003,"Jun",'JSA Risk Assessment'!$F$4:$F$100003,dCrit)</f>
        <v>0</v>
      </c>
      <c r="CF17" s="22">
        <f>COUNTIFS('JSA Risk Assessment'!$J$4:$J$100003,"High",'JSA Risk Assessment'!$D$4:$D$100003,"Jun",'JSA Risk Assessment'!$F$4:$F$100003,dCrit)</f>
        <v>0</v>
      </c>
      <c r="CG17" s="22">
        <f>COUNTIFS('JSA Risk Assessment'!$J$4:$J$100003,"Medium",'JSA Risk Assessment'!$D$4:$D$100003,"Jun",'JSA Risk Assessment'!$F$4:$F$100003,dCrit)</f>
        <v>0</v>
      </c>
      <c r="CH17" s="22">
        <f>COUNTIFS('JSA Risk Assessment'!$J$4:$J$100003,"Low",'JSA Risk Assessment'!$D$4:$D$100003,"Jun",'JSA Risk Assessment'!$F$4:$F$100003,dCrit)</f>
        <v>0</v>
      </c>
      <c r="CI17" s="21">
        <f>IFERROR($F$17*TRIRmult/Settings!$C$18,0)</f>
        <v>0</v>
      </c>
      <c r="CJ17" s="21">
        <f>IFERROR($G$17*LTIFRmult/Settings!$C$18,0)</f>
        <v>0</v>
      </c>
      <c r="CK17" s="23">
        <f>IFERROR($BK$17/$BJ$17*100,0)</f>
        <v>0</v>
      </c>
      <c r="CN17" s="12" t="s">
        <v>1494</v>
      </c>
      <c r="CO17" s="21" t="s">
        <v>1755</v>
      </c>
      <c r="CP17" s="22">
        <f>SUMPRODUCT(Calculations!$H$12:$H$23,Calculations!$D$12:$D$23)</f>
        <v>0</v>
      </c>
      <c r="CQ17" s="22">
        <f>SUMPRODUCT(Calculations!$H$12:$H$23,Calculations!$E$12:$E$23)</f>
        <v>0</v>
      </c>
      <c r="CR17" s="23">
        <f>IFERROR(($CP$17-$CQ$17)/$CQ$17,IF($CP$17&gt;0,1,0))</f>
        <v>0</v>
      </c>
      <c r="CS17" s="21">
        <f>($CP$17-$CQ$17)*-1</f>
        <v>0</v>
      </c>
      <c r="CT17" s="22">
        <f>IFERROR(AVERAGE(Calculations!$H$12:$H$23)*SUM(Calculations!$D$12:$D$23),0)</f>
        <v>0</v>
      </c>
      <c r="CU17" s="21">
        <f>IFERROR(IF($CP$17&lt;=$CT$17,2,IF($CP$17&lt;=$CT$17/AmberBand,1,0)),1)</f>
        <v>0</v>
      </c>
      <c r="CW17" s="12" t="s">
        <v>1809</v>
      </c>
      <c r="CX17" s="22">
        <f>SUMPRODUCT(Calculations!$AF$12:$AF$23,Calculations!$D$12:$D$23)</f>
        <v>0</v>
      </c>
      <c r="CZ17" s="21" t="s">
        <v>76</v>
      </c>
      <c r="DA17" s="22">
        <f>COUNTIFS('Incident'!$D$4:$D$100003,"Jul",'Incident'!$H$4:$H$100003,dCrit)</f>
        <v>0</v>
      </c>
      <c r="DC17" s="21">
        <f>IFERROR($BQ$17/$BP$17*100,0)</f>
        <v>0</v>
      </c>
      <c r="DD17" s="21">
        <f>IFERROR($BK$17/$BJ$17*100,0)</f>
        <v>0</v>
      </c>
      <c r="DE17" s="21">
        <f>IFERROR($AI$17/$AJ$17*100,0)</f>
        <v>0</v>
      </c>
      <c r="DF17" s="21">
        <f>IFERROR($AK$17/$AD$17*100,0)</f>
        <v>0</v>
      </c>
      <c r="DG17" s="21">
        <f>IFERROR($S$17/$R$17*100,0)</f>
        <v>0</v>
      </c>
      <c r="DH17" s="21">
        <f>IFERROR($U$17/$T$17*100,0)</f>
        <v>0</v>
      </c>
      <c r="DI17" s="21">
        <f>IFERROR($AM$17/$AL$17*100,0)</f>
        <v>0</v>
      </c>
      <c r="DJ17" s="21">
        <f>IFERROR($AR$17/$AQ$17*100,0)</f>
        <v>0</v>
      </c>
      <c r="DK17" s="21">
        <f>IFERROR($AU$17/$AT$17*100,0)</f>
        <v>0</v>
      </c>
      <c r="DL17" s="21">
        <f>IFERROR($AW$17/$AV$17*100,0)</f>
        <v>0</v>
      </c>
      <c r="DM17" s="21">
        <f>IFERROR($BD$17/$BC$17*100,0)</f>
        <v>0</v>
      </c>
      <c r="DN17" s="21">
        <f>IFERROR($BF$17/$BG$17*100,0)</f>
        <v>0</v>
      </c>
      <c r="DO17" s="21">
        <f>IFERROR($Z$17/$Y$17*100,0)</f>
        <v>0</v>
      </c>
      <c r="DP17" s="21">
        <f>IFERROR($AC$17/$AB$17*100,0)</f>
        <v>0</v>
      </c>
      <c r="DQ17" s="21">
        <f>IFERROR($BM$17/$BL$17*100,0)</f>
        <v>0</v>
      </c>
      <c r="DR17" s="21">
        <f>IFERROR($BO$17/$BN$17*100,0)</f>
        <v>0</v>
      </c>
    </row>
    <row r="18" spans="2:122">
      <c r="B18" s="21" t="s">
        <v>76</v>
      </c>
      <c r="C18" s="21">
        <v>7</v>
      </c>
      <c r="D18" s="21">
        <f>IF(Calculations!$C$10=1,IF(ROUNDUP($C$18/3,0)=Calculations!$F$10,1,0),IF($C$18=Calculations!$I$10,1,0))</f>
        <v>0</v>
      </c>
      <c r="E18" s="21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Observations'!$M$4:$M$100003,"Closed",'HSE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Actions'!$N$4:$N$100003,"Closed",'Corrective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Inspections'!$M$4:$M$100003,"Closed",'Workplace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Acts'!$M$4:$M$100003,"Closed",'Unsafe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Conditions'!$M$4:$M$100003,"Closed",'Unsafe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2">
        <f>COUNTIFS('HSE Observations'!$E$4:$E$100003,"Safe Act",'HSE Observations'!$D$4:$D$100003,"Jul",'HSE Observations'!$G$4:$G$100003,dCrit)+COUNTIFS('HSE Observations'!$E$4:$E$100003,"Safe Condition",'HSE Observations'!$D$4:$D$100003,"Jul",'HSE Observations'!$G$4:$G$100003,dCrit)</f>
        <v>0</v>
      </c>
      <c r="BS18" s="22">
        <f>COUNTIFS('HSE Observations'!$E$4:$E$100003,"Unsafe Act",'HSE Observations'!$D$4:$D$100003,"Jul",'HSE Observations'!$G$4:$G$100003,dCrit)+COUNTIFS('HSE Observations'!$E$4:$E$100003,"Unsafe Condition",'HSE Observations'!$D$4:$D$100003,"Jul",'HSE Observations'!$G$4:$G$100003,dCrit)</f>
        <v>0</v>
      </c>
      <c r="BT18" s="22">
        <f>IFERROR(AVERAGEIFS('Emergency Drills'!$L$4:$L$100003,'Emergency Drills'!$D$4:$D$100003,"Jul"),0)</f>
        <v>0</v>
      </c>
      <c r="BU18" s="22">
        <f>IFERROR(AVERAGEIFS('Emergency Drills'!$K$4:$K$100003,'Emergency Drills'!$D$4:$D$100003,"Jul"),0)</f>
        <v>0</v>
      </c>
      <c r="BV18" s="22">
        <f>SUMIFS('Internal Audits'!$M$4:$M$100003,'Internal Audits'!$D$4:$D$100003,"Jul",'Internal Audits'!$G$4:$G$100003,dCrit)</f>
        <v>0</v>
      </c>
      <c r="BW18" s="22">
        <f>SUMIFS('External Audits'!$M$4:$M$100003,'External Audits'!$D$4:$D$100003,"Jul",'External Audits'!$G$4:$G$100003,dCrit)</f>
        <v>0</v>
      </c>
      <c r="BX18" s="22">
        <f>SUMIFS('Management Reviews'!$K$4:$K$100003,'Management Reviews'!$D$4:$D$100003,"Jul")</f>
        <v>0</v>
      </c>
      <c r="BY18" s="22">
        <f>SUMIFS('Management Reviews'!$L$4:$L$100003,'Management Reviews'!$D$4:$D$100003,"Jul")</f>
        <v>0</v>
      </c>
      <c r="BZ18" s="22">
        <f>SUMIFS('Stop Work Authority'!$J$4:$J$100003,'Stop Work Authority'!$D$4:$D$100003,"Jul",'Stop Work Authority'!$F$4:$F$100003,dCrit)</f>
        <v>0</v>
      </c>
      <c r="CA18" s="22">
        <f>SUMIFS('Training'!$M$4:$M$100003,'Training'!$D$4:$D$100003,"Jul",'Training'!$G$4:$G$100003,dCrit)</f>
        <v>0</v>
      </c>
      <c r="CB18" s="22">
        <f>SUMIFS('Workplace Inspections'!$J$4:$J$100003,'Workplace Inspections'!$D$4:$D$100003,"Jul",'Workplace Inspections'!$F$4:$F$100003,dCrit)</f>
        <v>0</v>
      </c>
      <c r="CC18" s="22">
        <f>COUNTIFS('Corrective Actions'!$O$4:$O$100003,"On-Time",'Corrective Actions'!$D$4:$D$100003,"Jul",'Corrective Actions'!$F$4:$F$100003,dCrit)</f>
        <v>0</v>
      </c>
      <c r="CD18" s="22">
        <f>COUNTIFS('Corrective Actions'!$O$4:$O$100003,"Delayed",'Corrective Actions'!$D$4:$D$100003,"Jul",'Corrective Actions'!$F$4:$F$100003,dCrit)</f>
        <v>0</v>
      </c>
      <c r="CE18" s="22">
        <f>COUNTIFS('JSA Risk Assessment'!$J$4:$J$100003,"Critical",'JSA Risk Assessment'!$D$4:$D$100003,"Jul",'JSA Risk Assessment'!$F$4:$F$100003,dCrit)</f>
        <v>0</v>
      </c>
      <c r="CF18" s="22">
        <f>COUNTIFS('JSA Risk Assessment'!$J$4:$J$100003,"High",'JSA Risk Assessment'!$D$4:$D$100003,"Jul",'JSA Risk Assessment'!$F$4:$F$100003,dCrit)</f>
        <v>0</v>
      </c>
      <c r="CG18" s="22">
        <f>COUNTIFS('JSA Risk Assessment'!$J$4:$J$100003,"Medium",'JSA Risk Assessment'!$D$4:$D$100003,"Jul",'JSA Risk Assessment'!$F$4:$F$100003,dCrit)</f>
        <v>0</v>
      </c>
      <c r="CH18" s="22">
        <f>COUNTIFS('JSA Risk Assessment'!$J$4:$J$100003,"Low",'JSA Risk Assessment'!$D$4:$D$100003,"Jul",'JSA Risk Assessment'!$F$4:$F$100003,dCrit)</f>
        <v>0</v>
      </c>
      <c r="CI18" s="21">
        <f>IFERROR($F$18*TRIRmult/Settings!$C$19,0)</f>
        <v>0</v>
      </c>
      <c r="CJ18" s="21">
        <f>IFERROR($G$18*LTIFRmult/Settings!$C$19,0)</f>
        <v>0</v>
      </c>
      <c r="CK18" s="23">
        <f>IFERROR($BK$18/$BJ$18*100,0)</f>
        <v>0</v>
      </c>
      <c r="CN18" s="12" t="s">
        <v>1507</v>
      </c>
      <c r="CO18" s="21" t="s">
        <v>1755</v>
      </c>
      <c r="CP18" s="22">
        <f>SUMPRODUCT(Calculations!$I$12:$I$23,Calculations!$D$12:$D$23)</f>
        <v>0</v>
      </c>
      <c r="CQ18" s="22">
        <f>SUMPRODUCT(Calculations!$I$12:$I$23,Calculations!$E$12:$E$23)</f>
        <v>0</v>
      </c>
      <c r="CR18" s="23">
        <f>IFERROR(($CP$18-$CQ$18)/$CQ$18,IF($CP$18&gt;0,1,0))</f>
        <v>0</v>
      </c>
      <c r="CS18" s="21">
        <f>($CP$18-$CQ$18)*-1</f>
        <v>0</v>
      </c>
      <c r="CT18" s="22">
        <f>IFERROR(AVERAGE(Calculations!$I$12:$I$23)*SUM(Calculations!$D$12:$D$23),0)</f>
        <v>0</v>
      </c>
      <c r="CU18" s="21">
        <f>IFERROR(IF($CP$18&lt;=$CT$18,2,IF($CP$18&lt;=$CT$18/AmberBand,1,0)),1)</f>
        <v>0</v>
      </c>
      <c r="CZ18" s="21" t="s">
        <v>86</v>
      </c>
      <c r="DA18" s="22">
        <f>COUNTIFS('Incident'!$D$4:$D$100003,"Aug",'Incident'!$H$4:$H$100003,dCrit)</f>
        <v>0</v>
      </c>
      <c r="DC18" s="21">
        <f>IFERROR($BQ$18/$BP$18*100,0)</f>
        <v>0</v>
      </c>
      <c r="DD18" s="21">
        <f>IFERROR($BK$18/$BJ$18*100,0)</f>
        <v>0</v>
      </c>
      <c r="DE18" s="21">
        <f>IFERROR($AI$18/$AJ$18*100,0)</f>
        <v>0</v>
      </c>
      <c r="DF18" s="21">
        <f>IFERROR($AK$18/$AD$18*100,0)</f>
        <v>0</v>
      </c>
      <c r="DG18" s="21">
        <f>IFERROR($S$18/$R$18*100,0)</f>
        <v>0</v>
      </c>
      <c r="DH18" s="21">
        <f>IFERROR($U$18/$T$18*100,0)</f>
        <v>0</v>
      </c>
      <c r="DI18" s="21">
        <f>IFERROR($AM$18/$AL$18*100,0)</f>
        <v>0</v>
      </c>
      <c r="DJ18" s="21">
        <f>IFERROR($AR$18/$AQ$18*100,0)</f>
        <v>0</v>
      </c>
      <c r="DK18" s="21">
        <f>IFERROR($AU$18/$AT$18*100,0)</f>
        <v>0</v>
      </c>
      <c r="DL18" s="21">
        <f>IFERROR($AW$18/$AV$18*100,0)</f>
        <v>0</v>
      </c>
      <c r="DM18" s="21">
        <f>IFERROR($BD$18/$BC$18*100,0)</f>
        <v>0</v>
      </c>
      <c r="DN18" s="21">
        <f>IFERROR($BF$18/$BG$18*100,0)</f>
        <v>0</v>
      </c>
      <c r="DO18" s="21">
        <f>IFERROR($Z$18/$Y$18*100,0)</f>
        <v>0</v>
      </c>
      <c r="DP18" s="21">
        <f>IFERROR($AC$18/$AB$18*100,0)</f>
        <v>0</v>
      </c>
      <c r="DQ18" s="21">
        <f>IFERROR($BM$18/$BL$18*100,0)</f>
        <v>0</v>
      </c>
      <c r="DR18" s="21">
        <f>IFERROR($BO$18/$BN$18*100,0)</f>
        <v>0</v>
      </c>
    </row>
    <row r="19" spans="2:122">
      <c r="B19" s="21" t="s">
        <v>86</v>
      </c>
      <c r="C19" s="21">
        <v>8</v>
      </c>
      <c r="D19" s="21">
        <f>IF(Calculations!$C$10=1,IF(ROUNDUP($C$19/3,0)=Calculations!$F$10,1,0),IF($C$19=Calculations!$I$10,1,0))</f>
        <v>0</v>
      </c>
      <c r="E19" s="21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Observations'!$M$4:$M$100003,"Closed",'HSE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Actions'!$N$4:$N$100003,"Closed",'Corrective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Inspections'!$M$4:$M$100003,"Closed",'Workplace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Acts'!$M$4:$M$100003,"Closed",'Unsafe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Conditions'!$M$4:$M$100003,"Closed",'Unsafe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2">
        <f>COUNTIFS('HSE Observations'!$E$4:$E$100003,"Safe Act",'HSE Observations'!$D$4:$D$100003,"Aug",'HSE Observations'!$G$4:$G$100003,dCrit)+COUNTIFS('HSE Observations'!$E$4:$E$100003,"Safe Condition",'HSE Observations'!$D$4:$D$100003,"Aug",'HSE Observations'!$G$4:$G$100003,dCrit)</f>
        <v>0</v>
      </c>
      <c r="BS19" s="22">
        <f>COUNTIFS('HSE Observations'!$E$4:$E$100003,"Unsafe Act",'HSE Observations'!$D$4:$D$100003,"Aug",'HSE Observations'!$G$4:$G$100003,dCrit)+COUNTIFS('HSE Observations'!$E$4:$E$100003,"Unsafe Condition",'HSE Observations'!$D$4:$D$100003,"Aug",'HSE Observations'!$G$4:$G$100003,dCrit)</f>
        <v>0</v>
      </c>
      <c r="BT19" s="22">
        <f>IFERROR(AVERAGEIFS('Emergency Drills'!$L$4:$L$100003,'Emergency Drills'!$D$4:$D$100003,"Aug"),0)</f>
        <v>0</v>
      </c>
      <c r="BU19" s="22">
        <f>IFERROR(AVERAGEIFS('Emergency Drills'!$K$4:$K$100003,'Emergency Drills'!$D$4:$D$100003,"Aug"),0)</f>
        <v>0</v>
      </c>
      <c r="BV19" s="22">
        <f>SUMIFS('Internal Audits'!$M$4:$M$100003,'Internal Audits'!$D$4:$D$100003,"Aug",'Internal Audits'!$G$4:$G$100003,dCrit)</f>
        <v>0</v>
      </c>
      <c r="BW19" s="22">
        <f>SUMIFS('External Audits'!$M$4:$M$100003,'External Audits'!$D$4:$D$100003,"Aug",'External Audits'!$G$4:$G$100003,dCrit)</f>
        <v>0</v>
      </c>
      <c r="BX19" s="22">
        <f>SUMIFS('Management Reviews'!$K$4:$K$100003,'Management Reviews'!$D$4:$D$100003,"Aug")</f>
        <v>0</v>
      </c>
      <c r="BY19" s="22">
        <f>SUMIFS('Management Reviews'!$L$4:$L$100003,'Management Reviews'!$D$4:$D$100003,"Aug")</f>
        <v>0</v>
      </c>
      <c r="BZ19" s="22">
        <f>SUMIFS('Stop Work Authority'!$J$4:$J$100003,'Stop Work Authority'!$D$4:$D$100003,"Aug",'Stop Work Authority'!$F$4:$F$100003,dCrit)</f>
        <v>0</v>
      </c>
      <c r="CA19" s="22">
        <f>SUMIFS('Training'!$M$4:$M$100003,'Training'!$D$4:$D$100003,"Aug",'Training'!$G$4:$G$100003,dCrit)</f>
        <v>0</v>
      </c>
      <c r="CB19" s="22">
        <f>SUMIFS('Workplace Inspections'!$J$4:$J$100003,'Workplace Inspections'!$D$4:$D$100003,"Aug",'Workplace Inspections'!$F$4:$F$100003,dCrit)</f>
        <v>0</v>
      </c>
      <c r="CC19" s="22">
        <f>COUNTIFS('Corrective Actions'!$O$4:$O$100003,"On-Time",'Corrective Actions'!$D$4:$D$100003,"Aug",'Corrective Actions'!$F$4:$F$100003,dCrit)</f>
        <v>0</v>
      </c>
      <c r="CD19" s="22">
        <f>COUNTIFS('Corrective Actions'!$O$4:$O$100003,"Delayed",'Corrective Actions'!$D$4:$D$100003,"Aug",'Corrective Actions'!$F$4:$F$100003,dCrit)</f>
        <v>0</v>
      </c>
      <c r="CE19" s="22">
        <f>COUNTIFS('JSA Risk Assessment'!$J$4:$J$100003,"Critical",'JSA Risk Assessment'!$D$4:$D$100003,"Aug",'JSA Risk Assessment'!$F$4:$F$100003,dCrit)</f>
        <v>0</v>
      </c>
      <c r="CF19" s="22">
        <f>COUNTIFS('JSA Risk Assessment'!$J$4:$J$100003,"High",'JSA Risk Assessment'!$D$4:$D$100003,"Aug",'JSA Risk Assessment'!$F$4:$F$100003,dCrit)</f>
        <v>0</v>
      </c>
      <c r="CG19" s="22">
        <f>COUNTIFS('JSA Risk Assessment'!$J$4:$J$100003,"Medium",'JSA Risk Assessment'!$D$4:$D$100003,"Aug",'JSA Risk Assessment'!$F$4:$F$100003,dCrit)</f>
        <v>0</v>
      </c>
      <c r="CH19" s="22">
        <f>COUNTIFS('JSA Risk Assessment'!$J$4:$J$100003,"Low",'JSA Risk Assessment'!$D$4:$D$100003,"Aug",'JSA Risk Assessment'!$F$4:$F$100003,dCrit)</f>
        <v>0</v>
      </c>
      <c r="CI19" s="21">
        <f>IFERROR($F$19*TRIRmult/Settings!$C$20,0)</f>
        <v>0</v>
      </c>
      <c r="CJ19" s="21">
        <f>IFERROR($G$19*LTIFRmult/Settings!$C$20,0)</f>
        <v>0</v>
      </c>
      <c r="CK19" s="23">
        <f>IFERROR($BK$19/$BJ$19*100,0)</f>
        <v>0</v>
      </c>
      <c r="CN19" s="12" t="s">
        <v>1590</v>
      </c>
      <c r="CO19" s="21" t="s">
        <v>1755</v>
      </c>
      <c r="CP19" s="22">
        <f>SUMPRODUCT(Calculations!$N$12:$N$23,Calculations!$D$12:$D$23)</f>
        <v>0</v>
      </c>
      <c r="CQ19" s="22">
        <f>SUMPRODUCT(Calculations!$N$12:$N$23,Calculations!$E$12:$E$23)</f>
        <v>0</v>
      </c>
      <c r="CR19" s="23">
        <f>IFERROR(($CP$19-$CQ$19)/$CQ$19,IF($CP$19&gt;0,1,0))</f>
        <v>0</v>
      </c>
      <c r="CS19" s="21">
        <f>($CP$19-$CQ$19)*-1</f>
        <v>0</v>
      </c>
      <c r="CT19" s="22">
        <f>IFERROR(AVERAGE(Calculations!$N$12:$N$23)*SUM(Calculations!$D$12:$D$23),0)</f>
        <v>0</v>
      </c>
      <c r="CU19" s="21">
        <f>IFERROR(IF($CP$19&lt;=$CT$19,2,IF($CP$19&lt;=$CT$19/AmberBand,1,0)),1)</f>
        <v>0</v>
      </c>
      <c r="CW19" s="11" t="s">
        <v>1810</v>
      </c>
      <c r="CX19" s="11" t="s">
        <v>1808</v>
      </c>
      <c r="CZ19" s="21" t="s">
        <v>102</v>
      </c>
      <c r="DA19" s="22">
        <f>COUNTIFS('Incident'!$D$4:$D$100003,"Sep",'Incident'!$H$4:$H$100003,dCrit)</f>
        <v>0</v>
      </c>
      <c r="DC19" s="21">
        <f>IFERROR($BQ$19/$BP$19*100,0)</f>
        <v>0</v>
      </c>
      <c r="DD19" s="21">
        <f>IFERROR($BK$19/$BJ$19*100,0)</f>
        <v>0</v>
      </c>
      <c r="DE19" s="21">
        <f>IFERROR($AI$19/$AJ$19*100,0)</f>
        <v>0</v>
      </c>
      <c r="DF19" s="21">
        <f>IFERROR($AK$19/$AD$19*100,0)</f>
        <v>0</v>
      </c>
      <c r="DG19" s="21">
        <f>IFERROR($S$19/$R$19*100,0)</f>
        <v>0</v>
      </c>
      <c r="DH19" s="21">
        <f>IFERROR($U$19/$T$19*100,0)</f>
        <v>0</v>
      </c>
      <c r="DI19" s="21">
        <f>IFERROR($AM$19/$AL$19*100,0)</f>
        <v>0</v>
      </c>
      <c r="DJ19" s="21">
        <f>IFERROR($AR$19/$AQ$19*100,0)</f>
        <v>0</v>
      </c>
      <c r="DK19" s="21">
        <f>IFERROR($AU$19/$AT$19*100,0)</f>
        <v>0</v>
      </c>
      <c r="DL19" s="21">
        <f>IFERROR($AW$19/$AV$19*100,0)</f>
        <v>0</v>
      </c>
      <c r="DM19" s="21">
        <f>IFERROR($BD$19/$BC$19*100,0)</f>
        <v>0</v>
      </c>
      <c r="DN19" s="21">
        <f>IFERROR($BF$19/$BG$19*100,0)</f>
        <v>0</v>
      </c>
      <c r="DO19" s="21">
        <f>IFERROR($Z$19/$Y$19*100,0)</f>
        <v>0</v>
      </c>
      <c r="DP19" s="21">
        <f>IFERROR($AC$19/$AB$19*100,0)</f>
        <v>0</v>
      </c>
      <c r="DQ19" s="21">
        <f>IFERROR($BM$19/$BL$19*100,0)</f>
        <v>0</v>
      </c>
      <c r="DR19" s="21">
        <f>IFERROR($BO$19/$BN$19*100,0)</f>
        <v>0</v>
      </c>
    </row>
    <row r="20" spans="2:122">
      <c r="B20" s="21" t="s">
        <v>102</v>
      </c>
      <c r="C20" s="21">
        <v>9</v>
      </c>
      <c r="D20" s="21">
        <f>IF(Calculations!$C$10=1,IF(ROUNDUP($C$20/3,0)=Calculations!$F$10,1,0),IF($C$20=Calculations!$I$10,1,0))</f>
        <v>0</v>
      </c>
      <c r="E20" s="21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Observations'!$M$4:$M$100003,"Closed",'HSE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Actions'!$N$4:$N$100003,"Closed",'Corrective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Inspections'!$M$4:$M$100003,"Closed",'Workplace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Acts'!$M$4:$M$100003,"Closed",'Unsafe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Conditions'!$M$4:$M$100003,"Closed",'Unsafe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2">
        <f>COUNTIFS('HSE Observations'!$E$4:$E$100003,"Safe Act",'HSE Observations'!$D$4:$D$100003,"Sep",'HSE Observations'!$G$4:$G$100003,dCrit)+COUNTIFS('HSE Observations'!$E$4:$E$100003,"Safe Condition",'HSE Observations'!$D$4:$D$100003,"Sep",'HSE Observations'!$G$4:$G$100003,dCrit)</f>
        <v>0</v>
      </c>
      <c r="BS20" s="22">
        <f>COUNTIFS('HSE Observations'!$E$4:$E$100003,"Unsafe Act",'HSE Observations'!$D$4:$D$100003,"Sep",'HSE Observations'!$G$4:$G$100003,dCrit)+COUNTIFS('HSE Observations'!$E$4:$E$100003,"Unsafe Condition",'HSE Observations'!$D$4:$D$100003,"Sep",'HSE Observations'!$G$4:$G$100003,dCrit)</f>
        <v>0</v>
      </c>
      <c r="BT20" s="22">
        <f>IFERROR(AVERAGEIFS('Emergency Drills'!$L$4:$L$100003,'Emergency Drills'!$D$4:$D$100003,"Sep"),0)</f>
        <v>0</v>
      </c>
      <c r="BU20" s="22">
        <f>IFERROR(AVERAGEIFS('Emergency Drills'!$K$4:$K$100003,'Emergency Drills'!$D$4:$D$100003,"Sep"),0)</f>
        <v>0</v>
      </c>
      <c r="BV20" s="22">
        <f>SUMIFS('Internal Audits'!$M$4:$M$100003,'Internal Audits'!$D$4:$D$100003,"Sep",'Internal Audits'!$G$4:$G$100003,dCrit)</f>
        <v>0</v>
      </c>
      <c r="BW20" s="22">
        <f>SUMIFS('External Audits'!$M$4:$M$100003,'External Audits'!$D$4:$D$100003,"Sep",'External Audits'!$G$4:$G$100003,dCrit)</f>
        <v>0</v>
      </c>
      <c r="BX20" s="22">
        <f>SUMIFS('Management Reviews'!$K$4:$K$100003,'Management Reviews'!$D$4:$D$100003,"Sep")</f>
        <v>0</v>
      </c>
      <c r="BY20" s="22">
        <f>SUMIFS('Management Reviews'!$L$4:$L$100003,'Management Reviews'!$D$4:$D$100003,"Sep")</f>
        <v>0</v>
      </c>
      <c r="BZ20" s="22">
        <f>SUMIFS('Stop Work Authority'!$J$4:$J$100003,'Stop Work Authority'!$D$4:$D$100003,"Sep",'Stop Work Authority'!$F$4:$F$100003,dCrit)</f>
        <v>0</v>
      </c>
      <c r="CA20" s="22">
        <f>SUMIFS('Training'!$M$4:$M$100003,'Training'!$D$4:$D$100003,"Sep",'Training'!$G$4:$G$100003,dCrit)</f>
        <v>0</v>
      </c>
      <c r="CB20" s="22">
        <f>SUMIFS('Workplace Inspections'!$J$4:$J$100003,'Workplace Inspections'!$D$4:$D$100003,"Sep",'Workplace Inspections'!$F$4:$F$100003,dCrit)</f>
        <v>0</v>
      </c>
      <c r="CC20" s="22">
        <f>COUNTIFS('Corrective Actions'!$O$4:$O$100003,"On-Time",'Corrective Actions'!$D$4:$D$100003,"Sep",'Corrective Actions'!$F$4:$F$100003,dCrit)</f>
        <v>0</v>
      </c>
      <c r="CD20" s="22">
        <f>COUNTIFS('Corrective Actions'!$O$4:$O$100003,"Delayed",'Corrective Actions'!$D$4:$D$100003,"Sep",'Corrective Actions'!$F$4:$F$100003,dCrit)</f>
        <v>0</v>
      </c>
      <c r="CE20" s="22">
        <f>COUNTIFS('JSA Risk Assessment'!$J$4:$J$100003,"Critical",'JSA Risk Assessment'!$D$4:$D$100003,"Sep",'JSA Risk Assessment'!$F$4:$F$100003,dCrit)</f>
        <v>0</v>
      </c>
      <c r="CF20" s="22">
        <f>COUNTIFS('JSA Risk Assessment'!$J$4:$J$100003,"High",'JSA Risk Assessment'!$D$4:$D$100003,"Sep",'JSA Risk Assessment'!$F$4:$F$100003,dCrit)</f>
        <v>0</v>
      </c>
      <c r="CG20" s="22">
        <f>COUNTIFS('JSA Risk Assessment'!$J$4:$J$100003,"Medium",'JSA Risk Assessment'!$D$4:$D$100003,"Sep",'JSA Risk Assessment'!$F$4:$F$100003,dCrit)</f>
        <v>0</v>
      </c>
      <c r="CH20" s="22">
        <f>COUNTIFS('JSA Risk Assessment'!$J$4:$J$100003,"Low",'JSA Risk Assessment'!$D$4:$D$100003,"Sep",'JSA Risk Assessment'!$F$4:$F$100003,dCrit)</f>
        <v>0</v>
      </c>
      <c r="CI20" s="21">
        <f>IFERROR($F$20*TRIRmult/Settings!$C$21,0)</f>
        <v>0</v>
      </c>
      <c r="CJ20" s="21">
        <f>IFERROR($G$20*LTIFRmult/Settings!$C$21,0)</f>
        <v>0</v>
      </c>
      <c r="CK20" s="23">
        <f>IFERROR($BK$20/$BJ$20*100,0)</f>
        <v>0</v>
      </c>
      <c r="CN20" s="12" t="s">
        <v>1759</v>
      </c>
      <c r="CO20" s="21" t="s">
        <v>1755</v>
      </c>
      <c r="CP20" s="22">
        <f>SUMPRODUCT(Calculations!$P$12:$P$23,Calculations!$D$12:$D$23)</f>
        <v>0</v>
      </c>
      <c r="CQ20" s="22">
        <f>SUMPRODUCT(Calculations!$P$12:$P$23,Calculations!$E$12:$E$23)</f>
        <v>0</v>
      </c>
      <c r="CR20" s="23">
        <f>IFERROR(($CP$20-$CQ$20)/$CQ$20,IF($CP$20&gt;0,1,0))</f>
        <v>0</v>
      </c>
      <c r="CS20" s="21">
        <f>($CP$20-$CQ$20)*-1</f>
        <v>0</v>
      </c>
      <c r="CT20" s="22">
        <f>IFERROR(AVERAGE(Calculations!$P$12:$P$23)*SUM(Calculations!$D$12:$D$23),0)</f>
        <v>0</v>
      </c>
      <c r="CU20" s="21">
        <f>IFERROR(IF($CP$20&lt;=$CT$20,2,IF($CP$20&lt;=$CT$20/AmberBand,1,0)),1)</f>
        <v>0</v>
      </c>
      <c r="CW20" s="12" t="s">
        <v>1811</v>
      </c>
      <c r="CX20" s="22">
        <f>SUMPRODUCT(Calculations!$V$12:$V$23,Calculations!$D$12:$D$23)</f>
        <v>0</v>
      </c>
      <c r="CZ20" s="21" t="s">
        <v>106</v>
      </c>
      <c r="DA20" s="22">
        <f>COUNTIFS('Incident'!$D$4:$D$100003,"Oct",'Incident'!$H$4:$H$100003,dCrit)</f>
        <v>0</v>
      </c>
      <c r="DC20" s="21">
        <f>IFERROR($BQ$20/$BP$20*100,0)</f>
        <v>0</v>
      </c>
      <c r="DD20" s="21">
        <f>IFERROR($BK$20/$BJ$20*100,0)</f>
        <v>0</v>
      </c>
      <c r="DE20" s="21">
        <f>IFERROR($AI$20/$AJ$20*100,0)</f>
        <v>0</v>
      </c>
      <c r="DF20" s="21">
        <f>IFERROR($AK$20/$AD$20*100,0)</f>
        <v>0</v>
      </c>
      <c r="DG20" s="21">
        <f>IFERROR($S$20/$R$20*100,0)</f>
        <v>0</v>
      </c>
      <c r="DH20" s="21">
        <f>IFERROR($U$20/$T$20*100,0)</f>
        <v>0</v>
      </c>
      <c r="DI20" s="21">
        <f>IFERROR($AM$20/$AL$20*100,0)</f>
        <v>0</v>
      </c>
      <c r="DJ20" s="21">
        <f>IFERROR($AR$20/$AQ$20*100,0)</f>
        <v>0</v>
      </c>
      <c r="DK20" s="21">
        <f>IFERROR($AU$20/$AT$20*100,0)</f>
        <v>0</v>
      </c>
      <c r="DL20" s="21">
        <f>IFERROR($AW$20/$AV$20*100,0)</f>
        <v>0</v>
      </c>
      <c r="DM20" s="21">
        <f>IFERROR($BD$20/$BC$20*100,0)</f>
        <v>0</v>
      </c>
      <c r="DN20" s="21">
        <f>IFERROR($BF$20/$BG$20*100,0)</f>
        <v>0</v>
      </c>
      <c r="DO20" s="21">
        <f>IFERROR($Z$20/$Y$20*100,0)</f>
        <v>0</v>
      </c>
      <c r="DP20" s="21">
        <f>IFERROR($AC$20/$AB$20*100,0)</f>
        <v>0</v>
      </c>
      <c r="DQ20" s="21">
        <f>IFERROR($BM$20/$BL$20*100,0)</f>
        <v>0</v>
      </c>
      <c r="DR20" s="21">
        <f>IFERROR($BO$20/$BN$20*100,0)</f>
        <v>0</v>
      </c>
    </row>
    <row r="21" spans="2:122">
      <c r="B21" s="21" t="s">
        <v>106</v>
      </c>
      <c r="C21" s="21">
        <v>10</v>
      </c>
      <c r="D21" s="21">
        <f>IF(Calculations!$C$10=1,IF(ROUNDUP($C$21/3,0)=Calculations!$F$10,1,0),IF($C$21=Calculations!$I$10,1,0))</f>
        <v>0</v>
      </c>
      <c r="E21" s="21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Observations'!$M$4:$M$100003,"Closed",'HSE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Actions'!$N$4:$N$100003,"Closed",'Corrective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Inspections'!$M$4:$M$100003,"Closed",'Workplace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Acts'!$M$4:$M$100003,"Closed",'Unsafe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Conditions'!$M$4:$M$100003,"Closed",'Unsafe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2">
        <f>COUNTIFS('HSE Observations'!$E$4:$E$100003,"Safe Act",'HSE Observations'!$D$4:$D$100003,"Oct",'HSE Observations'!$G$4:$G$100003,dCrit)+COUNTIFS('HSE Observations'!$E$4:$E$100003,"Safe Condition",'HSE Observations'!$D$4:$D$100003,"Oct",'HSE Observations'!$G$4:$G$100003,dCrit)</f>
        <v>0</v>
      </c>
      <c r="BS21" s="22">
        <f>COUNTIFS('HSE Observations'!$E$4:$E$100003,"Unsafe Act",'HSE Observations'!$D$4:$D$100003,"Oct",'HSE Observations'!$G$4:$G$100003,dCrit)+COUNTIFS('HSE Observations'!$E$4:$E$100003,"Unsafe Condition",'HSE Observations'!$D$4:$D$100003,"Oct",'HSE Observations'!$G$4:$G$100003,dCrit)</f>
        <v>0</v>
      </c>
      <c r="BT21" s="22">
        <f>IFERROR(AVERAGEIFS('Emergency Drills'!$L$4:$L$100003,'Emergency Drills'!$D$4:$D$100003,"Oct"),0)</f>
        <v>0</v>
      </c>
      <c r="BU21" s="22">
        <f>IFERROR(AVERAGEIFS('Emergency Drills'!$K$4:$K$100003,'Emergency Drills'!$D$4:$D$100003,"Oct"),0)</f>
        <v>0</v>
      </c>
      <c r="BV21" s="22">
        <f>SUMIFS('Internal Audits'!$M$4:$M$100003,'Internal Audits'!$D$4:$D$100003,"Oct",'Internal Audits'!$G$4:$G$100003,dCrit)</f>
        <v>0</v>
      </c>
      <c r="BW21" s="22">
        <f>SUMIFS('External Audits'!$M$4:$M$100003,'External Audits'!$D$4:$D$100003,"Oct",'External Audits'!$G$4:$G$100003,dCrit)</f>
        <v>0</v>
      </c>
      <c r="BX21" s="22">
        <f>SUMIFS('Management Reviews'!$K$4:$K$100003,'Management Reviews'!$D$4:$D$100003,"Oct")</f>
        <v>0</v>
      </c>
      <c r="BY21" s="22">
        <f>SUMIFS('Management Reviews'!$L$4:$L$100003,'Management Reviews'!$D$4:$D$100003,"Oct")</f>
        <v>0</v>
      </c>
      <c r="BZ21" s="22">
        <f>SUMIFS('Stop Work Authority'!$J$4:$J$100003,'Stop Work Authority'!$D$4:$D$100003,"Oct",'Stop Work Authority'!$F$4:$F$100003,dCrit)</f>
        <v>0</v>
      </c>
      <c r="CA21" s="22">
        <f>SUMIFS('Training'!$M$4:$M$100003,'Training'!$D$4:$D$100003,"Oct",'Training'!$G$4:$G$100003,dCrit)</f>
        <v>0</v>
      </c>
      <c r="CB21" s="22">
        <f>SUMIFS('Workplace Inspections'!$J$4:$J$100003,'Workplace Inspections'!$D$4:$D$100003,"Oct",'Workplace Inspections'!$F$4:$F$100003,dCrit)</f>
        <v>0</v>
      </c>
      <c r="CC21" s="22">
        <f>COUNTIFS('Corrective Actions'!$O$4:$O$100003,"On-Time",'Corrective Actions'!$D$4:$D$100003,"Oct",'Corrective Actions'!$F$4:$F$100003,dCrit)</f>
        <v>0</v>
      </c>
      <c r="CD21" s="22">
        <f>COUNTIFS('Corrective Actions'!$O$4:$O$100003,"Delayed",'Corrective Actions'!$D$4:$D$100003,"Oct",'Corrective Actions'!$F$4:$F$100003,dCrit)</f>
        <v>0</v>
      </c>
      <c r="CE21" s="22">
        <f>COUNTIFS('JSA Risk Assessment'!$J$4:$J$100003,"Critical",'JSA Risk Assessment'!$D$4:$D$100003,"Oct",'JSA Risk Assessment'!$F$4:$F$100003,dCrit)</f>
        <v>0</v>
      </c>
      <c r="CF21" s="22">
        <f>COUNTIFS('JSA Risk Assessment'!$J$4:$J$100003,"High",'JSA Risk Assessment'!$D$4:$D$100003,"Oct",'JSA Risk Assessment'!$F$4:$F$100003,dCrit)</f>
        <v>0</v>
      </c>
      <c r="CG21" s="22">
        <f>COUNTIFS('JSA Risk Assessment'!$J$4:$J$100003,"Medium",'JSA Risk Assessment'!$D$4:$D$100003,"Oct",'JSA Risk Assessment'!$F$4:$F$100003,dCrit)</f>
        <v>0</v>
      </c>
      <c r="CH21" s="22">
        <f>COUNTIFS('JSA Risk Assessment'!$J$4:$J$100003,"Low",'JSA Risk Assessment'!$D$4:$D$100003,"Oct",'JSA Risk Assessment'!$F$4:$F$100003,dCrit)</f>
        <v>0</v>
      </c>
      <c r="CI21" s="21">
        <f>IFERROR($F$21*TRIRmult/Settings!$C$22,0)</f>
        <v>0</v>
      </c>
      <c r="CJ21" s="21">
        <f>IFERROR($G$21*LTIFRmult/Settings!$C$22,0)</f>
        <v>0</v>
      </c>
      <c r="CK21" s="23">
        <f>IFERROR($BK$21/$BJ$21*100,0)</f>
        <v>0</v>
      </c>
      <c r="CN21" s="12" t="s">
        <v>1760</v>
      </c>
      <c r="CO21" s="21" t="s">
        <v>1755</v>
      </c>
      <c r="CP21" s="22">
        <f>SUMPRODUCT(Calculations!$Q$12:$Q$23,Calculations!$D$12:$D$23)</f>
        <v>0</v>
      </c>
      <c r="CQ21" s="22">
        <f>SUMPRODUCT(Calculations!$Q$12:$Q$23,Calculations!$E$12:$E$23)</f>
        <v>0</v>
      </c>
      <c r="CR21" s="23">
        <f>IFERROR(($CP$21-$CQ$21)/$CQ$21,IF($CP$21&gt;0,1,0))</f>
        <v>0</v>
      </c>
      <c r="CS21" s="21">
        <f>($CP$21-$CQ$21)*-1</f>
        <v>0</v>
      </c>
      <c r="CT21" s="22">
        <f>IFERROR(AVERAGE(Calculations!$Q$12:$Q$23)*SUM(Calculations!$D$12:$D$23),0)</f>
        <v>0</v>
      </c>
      <c r="CU21" s="21">
        <f>IFERROR(IF($CP$21&lt;=$CT$21,2,IF($CP$21&lt;=$CT$21/AmberBand,1,0)),1)</f>
        <v>0</v>
      </c>
      <c r="CW21" s="12" t="s">
        <v>1768</v>
      </c>
      <c r="CX21" s="22">
        <f>SUMPRODUCT(Calculations!$R$12:$R$23,Calculations!$D$12:$D$23)</f>
        <v>0</v>
      </c>
      <c r="CZ21" s="21" t="s">
        <v>111</v>
      </c>
      <c r="DA21" s="22">
        <f>COUNTIFS('Incident'!$D$4:$D$100003,"Nov",'Incident'!$H$4:$H$100003,dCrit)</f>
        <v>0</v>
      </c>
      <c r="DC21" s="21">
        <f>IFERROR($BQ$21/$BP$21*100,0)</f>
        <v>0</v>
      </c>
      <c r="DD21" s="21">
        <f>IFERROR($BK$21/$BJ$21*100,0)</f>
        <v>0</v>
      </c>
      <c r="DE21" s="21">
        <f>IFERROR($AI$21/$AJ$21*100,0)</f>
        <v>0</v>
      </c>
      <c r="DF21" s="21">
        <f>IFERROR($AK$21/$AD$21*100,0)</f>
        <v>0</v>
      </c>
      <c r="DG21" s="21">
        <f>IFERROR($S$21/$R$21*100,0)</f>
        <v>0</v>
      </c>
      <c r="DH21" s="21">
        <f>IFERROR($U$21/$T$21*100,0)</f>
        <v>0</v>
      </c>
      <c r="DI21" s="21">
        <f>IFERROR($AM$21/$AL$21*100,0)</f>
        <v>0</v>
      </c>
      <c r="DJ21" s="21">
        <f>IFERROR($AR$21/$AQ$21*100,0)</f>
        <v>0</v>
      </c>
      <c r="DK21" s="21">
        <f>IFERROR($AU$21/$AT$21*100,0)</f>
        <v>0</v>
      </c>
      <c r="DL21" s="21">
        <f>IFERROR($AW$21/$AV$21*100,0)</f>
        <v>0</v>
      </c>
      <c r="DM21" s="21">
        <f>IFERROR($BD$21/$BC$21*100,0)</f>
        <v>0</v>
      </c>
      <c r="DN21" s="21">
        <f>IFERROR($BF$21/$BG$21*100,0)</f>
        <v>0</v>
      </c>
      <c r="DO21" s="21">
        <f>IFERROR($Z$21/$Y$21*100,0)</f>
        <v>0</v>
      </c>
      <c r="DP21" s="21">
        <f>IFERROR($AC$21/$AB$21*100,0)</f>
        <v>0</v>
      </c>
      <c r="DQ21" s="21">
        <f>IFERROR($BM$21/$BL$21*100,0)</f>
        <v>0</v>
      </c>
      <c r="DR21" s="21">
        <f>IFERROR($BO$21/$BN$21*100,0)</f>
        <v>0</v>
      </c>
    </row>
    <row r="22" spans="2:122">
      <c r="B22" s="21" t="s">
        <v>111</v>
      </c>
      <c r="C22" s="21">
        <v>11</v>
      </c>
      <c r="D22" s="21">
        <f>IF(Calculations!$C$10=1,IF(ROUNDUP($C$22/3,0)=Calculations!$F$10,1,0),IF($C$22=Calculations!$I$10,1,0))</f>
        <v>0</v>
      </c>
      <c r="E22" s="21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Observations'!$M$4:$M$100003,"Closed",'HSE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Actions'!$N$4:$N$100003,"Closed",'Corrective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Inspections'!$M$4:$M$100003,"Closed",'Workplace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Acts'!$M$4:$M$100003,"Closed",'Unsafe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Conditions'!$M$4:$M$100003,"Closed",'Unsafe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2">
        <f>COUNTIFS('HSE Observations'!$E$4:$E$100003,"Safe Act",'HSE Observations'!$D$4:$D$100003,"Nov",'HSE Observations'!$G$4:$G$100003,dCrit)+COUNTIFS('HSE Observations'!$E$4:$E$100003,"Safe Condition",'HSE Observations'!$D$4:$D$100003,"Nov",'HSE Observations'!$G$4:$G$100003,dCrit)</f>
        <v>0</v>
      </c>
      <c r="BS22" s="22">
        <f>COUNTIFS('HSE Observations'!$E$4:$E$100003,"Unsafe Act",'HSE Observations'!$D$4:$D$100003,"Nov",'HSE Observations'!$G$4:$G$100003,dCrit)+COUNTIFS('HSE Observations'!$E$4:$E$100003,"Unsafe Condition",'HSE Observations'!$D$4:$D$100003,"Nov",'HSE Observations'!$G$4:$G$100003,dCrit)</f>
        <v>0</v>
      </c>
      <c r="BT22" s="22">
        <f>IFERROR(AVERAGEIFS('Emergency Drills'!$L$4:$L$100003,'Emergency Drills'!$D$4:$D$100003,"Nov"),0)</f>
        <v>0</v>
      </c>
      <c r="BU22" s="22">
        <f>IFERROR(AVERAGEIFS('Emergency Drills'!$K$4:$K$100003,'Emergency Drills'!$D$4:$D$100003,"Nov"),0)</f>
        <v>0</v>
      </c>
      <c r="BV22" s="22">
        <f>SUMIFS('Internal Audits'!$M$4:$M$100003,'Internal Audits'!$D$4:$D$100003,"Nov",'Internal Audits'!$G$4:$G$100003,dCrit)</f>
        <v>0</v>
      </c>
      <c r="BW22" s="22">
        <f>SUMIFS('External Audits'!$M$4:$M$100003,'External Audits'!$D$4:$D$100003,"Nov",'External Audits'!$G$4:$G$100003,dCrit)</f>
        <v>0</v>
      </c>
      <c r="BX22" s="22">
        <f>SUMIFS('Management Reviews'!$K$4:$K$100003,'Management Reviews'!$D$4:$D$100003,"Nov")</f>
        <v>0</v>
      </c>
      <c r="BY22" s="22">
        <f>SUMIFS('Management Reviews'!$L$4:$L$100003,'Management Reviews'!$D$4:$D$100003,"Nov")</f>
        <v>0</v>
      </c>
      <c r="BZ22" s="22">
        <f>SUMIFS('Stop Work Authority'!$J$4:$J$100003,'Stop Work Authority'!$D$4:$D$100003,"Nov",'Stop Work Authority'!$F$4:$F$100003,dCrit)</f>
        <v>0</v>
      </c>
      <c r="CA22" s="22">
        <f>SUMIFS('Training'!$M$4:$M$100003,'Training'!$D$4:$D$100003,"Nov",'Training'!$G$4:$G$100003,dCrit)</f>
        <v>0</v>
      </c>
      <c r="CB22" s="22">
        <f>SUMIFS('Workplace Inspections'!$J$4:$J$100003,'Workplace Inspections'!$D$4:$D$100003,"Nov",'Workplace Inspections'!$F$4:$F$100003,dCrit)</f>
        <v>0</v>
      </c>
      <c r="CC22" s="22">
        <f>COUNTIFS('Corrective Actions'!$O$4:$O$100003,"On-Time",'Corrective Actions'!$D$4:$D$100003,"Nov",'Corrective Actions'!$F$4:$F$100003,dCrit)</f>
        <v>0</v>
      </c>
      <c r="CD22" s="22">
        <f>COUNTIFS('Corrective Actions'!$O$4:$O$100003,"Delayed",'Corrective Actions'!$D$4:$D$100003,"Nov",'Corrective Actions'!$F$4:$F$100003,dCrit)</f>
        <v>0</v>
      </c>
      <c r="CE22" s="22">
        <f>COUNTIFS('JSA Risk Assessment'!$J$4:$J$100003,"Critical",'JSA Risk Assessment'!$D$4:$D$100003,"Nov",'JSA Risk Assessment'!$F$4:$F$100003,dCrit)</f>
        <v>0</v>
      </c>
      <c r="CF22" s="22">
        <f>COUNTIFS('JSA Risk Assessment'!$J$4:$J$100003,"High",'JSA Risk Assessment'!$D$4:$D$100003,"Nov",'JSA Risk Assessment'!$F$4:$F$100003,dCrit)</f>
        <v>0</v>
      </c>
      <c r="CG22" s="22">
        <f>COUNTIFS('JSA Risk Assessment'!$J$4:$J$100003,"Medium",'JSA Risk Assessment'!$D$4:$D$100003,"Nov",'JSA Risk Assessment'!$F$4:$F$100003,dCrit)</f>
        <v>0</v>
      </c>
      <c r="CH22" s="22">
        <f>COUNTIFS('JSA Risk Assessment'!$J$4:$J$100003,"Low",'JSA Risk Assessment'!$D$4:$D$100003,"Nov",'JSA Risk Assessment'!$F$4:$F$100003,dCrit)</f>
        <v>0</v>
      </c>
      <c r="CI22" s="21">
        <f>IFERROR($F$22*TRIRmult/Settings!$C$23,0)</f>
        <v>0</v>
      </c>
      <c r="CJ22" s="21">
        <f>IFERROR($G$22*LTIFRmult/Settings!$C$23,0)</f>
        <v>0</v>
      </c>
      <c r="CK22" s="23">
        <f>IFERROR($BK$22/$BJ$22*100,0)</f>
        <v>0</v>
      </c>
      <c r="CN22" s="12" t="s">
        <v>1761</v>
      </c>
      <c r="CO22" s="21" t="s">
        <v>1755</v>
      </c>
      <c r="CP22" s="23">
        <f>IFERROR(SUMPRODUCT(Calculations!$BQ$12:$BQ$23,Calculations!$D$12:$D$23)/SUMPRODUCT(Calculations!$BP$12:$BP$23,Calculations!$D$12:$D$23),0)*100</f>
        <v>0</v>
      </c>
      <c r="CQ22" s="23">
        <f>IFERROR(SUMPRODUCT(Calculations!$BQ$12:$BQ$23,Calculations!$E$12:$E$23)/SUMPRODUCT(Calculations!$BP$12:$BP$23,Calculations!$E$12:$E$23),0)*100</f>
        <v>0</v>
      </c>
      <c r="CR22" s="23">
        <f>IFERROR(($CP$22-$CQ$22)/$CQ$22,IF($CP$22&gt;0,1,0))</f>
        <v>0</v>
      </c>
      <c r="CS22" s="21">
        <f>($CP$22-$CQ$22)*1</f>
        <v>0</v>
      </c>
      <c r="CT22" s="23">
        <f>TgtCloseout*100</f>
        <v>0</v>
      </c>
      <c r="CU22" s="21">
        <f>IFERROR(IF($CP$22&gt;=$CT$22,2,IF($CP$22&gt;=$CT$22*AmberBand,1,0)),1)</f>
        <v>0</v>
      </c>
      <c r="CW22" s="12" t="s">
        <v>771</v>
      </c>
      <c r="CX22" s="22">
        <f>SUMPRODUCT(Calculations!$T$12:$T$23,Calculations!$D$12:$D$23)</f>
        <v>0</v>
      </c>
      <c r="CZ22" s="21" t="s">
        <v>122</v>
      </c>
      <c r="DA22" s="22">
        <f>COUNTIFS('Incident'!$D$4:$D$100003,"Dec",'Incident'!$H$4:$H$100003,dCrit)</f>
        <v>0</v>
      </c>
      <c r="DC22" s="21">
        <f>IFERROR($BQ$22/$BP$22*100,0)</f>
        <v>0</v>
      </c>
      <c r="DD22" s="21">
        <f>IFERROR($BK$22/$BJ$22*100,0)</f>
        <v>0</v>
      </c>
      <c r="DE22" s="21">
        <f>IFERROR($AI$22/$AJ$22*100,0)</f>
        <v>0</v>
      </c>
      <c r="DF22" s="21">
        <f>IFERROR($AK$22/$AD$22*100,0)</f>
        <v>0</v>
      </c>
      <c r="DG22" s="21">
        <f>IFERROR($S$22/$R$22*100,0)</f>
        <v>0</v>
      </c>
      <c r="DH22" s="21">
        <f>IFERROR($U$22/$T$22*100,0)</f>
        <v>0</v>
      </c>
      <c r="DI22" s="21">
        <f>IFERROR($AM$22/$AL$22*100,0)</f>
        <v>0</v>
      </c>
      <c r="DJ22" s="21">
        <f>IFERROR($AR$22/$AQ$22*100,0)</f>
        <v>0</v>
      </c>
      <c r="DK22" s="21">
        <f>IFERROR($AU$22/$AT$22*100,0)</f>
        <v>0</v>
      </c>
      <c r="DL22" s="21">
        <f>IFERROR($AW$22/$AV$22*100,0)</f>
        <v>0</v>
      </c>
      <c r="DM22" s="21">
        <f>IFERROR($BD$22/$BC$22*100,0)</f>
        <v>0</v>
      </c>
      <c r="DN22" s="21">
        <f>IFERROR($BF$22/$BG$22*100,0)</f>
        <v>0</v>
      </c>
      <c r="DO22" s="21">
        <f>IFERROR($Z$22/$Y$22*100,0)</f>
        <v>0</v>
      </c>
      <c r="DP22" s="21">
        <f>IFERROR($AC$22/$AB$22*100,0)</f>
        <v>0</v>
      </c>
      <c r="DQ22" s="21">
        <f>IFERROR($BM$22/$BL$22*100,0)</f>
        <v>0</v>
      </c>
      <c r="DR22" s="21">
        <f>IFERROR($BO$22/$BN$22*100,0)</f>
        <v>0</v>
      </c>
    </row>
    <row r="23" spans="2:122">
      <c r="B23" s="21" t="s">
        <v>122</v>
      </c>
      <c r="C23" s="21">
        <v>12</v>
      </c>
      <c r="D23" s="21">
        <f>IF(Calculations!$C$10=1,IF(ROUNDUP($C$23/3,0)=Calculations!$F$10,1,0),IF($C$23=Calculations!$I$10,1,0))</f>
        <v>0</v>
      </c>
      <c r="E23" s="21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Observations'!$M$4:$M$100003,"Closed",'HSE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Actions'!$N$4:$N$100003,"Closed",'Corrective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Inspections'!$M$4:$M$100003,"Closed",'Workplace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Acts'!$M$4:$M$100003,"Closed",'Unsafe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Conditions'!$M$4:$M$100003,"Closed",'Unsafe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2">
        <f>COUNTIFS('HSE Observations'!$E$4:$E$100003,"Safe Act",'HSE Observations'!$D$4:$D$100003,"Dec",'HSE Observations'!$G$4:$G$100003,dCrit)+COUNTIFS('HSE Observations'!$E$4:$E$100003,"Safe Condition",'HSE Observations'!$D$4:$D$100003,"Dec",'HSE Observations'!$G$4:$G$100003,dCrit)</f>
        <v>0</v>
      </c>
      <c r="BS23" s="22">
        <f>COUNTIFS('HSE Observations'!$E$4:$E$100003,"Unsafe Act",'HSE Observations'!$D$4:$D$100003,"Dec",'HSE Observations'!$G$4:$G$100003,dCrit)+COUNTIFS('HSE Observations'!$E$4:$E$100003,"Unsafe Condition",'HSE Observations'!$D$4:$D$100003,"Dec",'HSE Observations'!$G$4:$G$100003,dCrit)</f>
        <v>0</v>
      </c>
      <c r="BT23" s="22">
        <f>IFERROR(AVERAGEIFS('Emergency Drills'!$L$4:$L$100003,'Emergency Drills'!$D$4:$D$100003,"Dec"),0)</f>
        <v>0</v>
      </c>
      <c r="BU23" s="22">
        <f>IFERROR(AVERAGEIFS('Emergency Drills'!$K$4:$K$100003,'Emergency Drills'!$D$4:$D$100003,"Dec"),0)</f>
        <v>0</v>
      </c>
      <c r="BV23" s="22">
        <f>SUMIFS('Internal Audits'!$M$4:$M$100003,'Internal Audits'!$D$4:$D$100003,"Dec",'Internal Audits'!$G$4:$G$100003,dCrit)</f>
        <v>0</v>
      </c>
      <c r="BW23" s="22">
        <f>SUMIFS('External Audits'!$M$4:$M$100003,'External Audits'!$D$4:$D$100003,"Dec",'External Audits'!$G$4:$G$100003,dCrit)</f>
        <v>0</v>
      </c>
      <c r="BX23" s="22">
        <f>SUMIFS('Management Reviews'!$K$4:$K$100003,'Management Reviews'!$D$4:$D$100003,"Dec")</f>
        <v>0</v>
      </c>
      <c r="BY23" s="22">
        <f>SUMIFS('Management Reviews'!$L$4:$L$100003,'Management Reviews'!$D$4:$D$100003,"Dec")</f>
        <v>0</v>
      </c>
      <c r="BZ23" s="22">
        <f>SUMIFS('Stop Work Authority'!$J$4:$J$100003,'Stop Work Authority'!$D$4:$D$100003,"Dec",'Stop Work Authority'!$F$4:$F$100003,dCrit)</f>
        <v>0</v>
      </c>
      <c r="CA23" s="22">
        <f>SUMIFS('Training'!$M$4:$M$100003,'Training'!$D$4:$D$100003,"Dec",'Training'!$G$4:$G$100003,dCrit)</f>
        <v>0</v>
      </c>
      <c r="CB23" s="22">
        <f>SUMIFS('Workplace Inspections'!$J$4:$J$100003,'Workplace Inspections'!$D$4:$D$100003,"Dec",'Workplace Inspections'!$F$4:$F$100003,dCrit)</f>
        <v>0</v>
      </c>
      <c r="CC23" s="22">
        <f>COUNTIFS('Corrective Actions'!$O$4:$O$100003,"On-Time",'Corrective Actions'!$D$4:$D$100003,"Dec",'Corrective Actions'!$F$4:$F$100003,dCrit)</f>
        <v>0</v>
      </c>
      <c r="CD23" s="22">
        <f>COUNTIFS('Corrective Actions'!$O$4:$O$100003,"Delayed",'Corrective Actions'!$D$4:$D$100003,"Dec",'Corrective Actions'!$F$4:$F$100003,dCrit)</f>
        <v>0</v>
      </c>
      <c r="CE23" s="22">
        <f>COUNTIFS('JSA Risk Assessment'!$J$4:$J$100003,"Critical",'JSA Risk Assessment'!$D$4:$D$100003,"Dec",'JSA Risk Assessment'!$F$4:$F$100003,dCrit)</f>
        <v>0</v>
      </c>
      <c r="CF23" s="22">
        <f>COUNTIFS('JSA Risk Assessment'!$J$4:$J$100003,"High",'JSA Risk Assessment'!$D$4:$D$100003,"Dec",'JSA Risk Assessment'!$F$4:$F$100003,dCrit)</f>
        <v>0</v>
      </c>
      <c r="CG23" s="22">
        <f>COUNTIFS('JSA Risk Assessment'!$J$4:$J$100003,"Medium",'JSA Risk Assessment'!$D$4:$D$100003,"Dec",'JSA Risk Assessment'!$F$4:$F$100003,dCrit)</f>
        <v>0</v>
      </c>
      <c r="CH23" s="22">
        <f>COUNTIFS('JSA Risk Assessment'!$J$4:$J$100003,"Low",'JSA Risk Assessment'!$D$4:$D$100003,"Dec",'JSA Risk Assessment'!$F$4:$F$100003,dCrit)</f>
        <v>0</v>
      </c>
      <c r="CI23" s="21">
        <f>IFERROR($F$23*TRIRmult/Settings!$C$24,0)</f>
        <v>0</v>
      </c>
      <c r="CJ23" s="21">
        <f>IFERROR($G$23*LTIFRmult/Settings!$C$24,0)</f>
        <v>0</v>
      </c>
      <c r="CK23" s="23">
        <f>IFERROR($BK$23/$BJ$23*100,0)</f>
        <v>0</v>
      </c>
      <c r="CN23" s="12" t="s">
        <v>1762</v>
      </c>
      <c r="CO23" s="21" t="s">
        <v>1755</v>
      </c>
      <c r="CP23" s="23">
        <f>IFERROR(SUMPRODUCT(Calculations!$BK$12:$BK$23,Calculations!$D$12:$D$23)/SUMPRODUCT(Calculations!$BJ$12:$BJ$23,Calculations!$D$12:$D$23),0)*100</f>
        <v>0</v>
      </c>
      <c r="CQ23" s="23">
        <f>IFERROR(SUMPRODUCT(Calculations!$BK$12:$BK$23,Calculations!$E$12:$E$23)/SUMPRODUCT(Calculations!$BJ$12:$BJ$23,Calculations!$E$12:$E$23),0)*100</f>
        <v>0</v>
      </c>
      <c r="CR23" s="23">
        <f>IFERROR(($CP$23-$CQ$23)/$CQ$23,IF($CP$23&gt;0,1,0))</f>
        <v>0</v>
      </c>
      <c r="CS23" s="21">
        <f>($CP$23-$CQ$23)*-1</f>
        <v>0</v>
      </c>
      <c r="CT23" s="23">
        <f>TgtAlcoholPositive*100</f>
        <v>0</v>
      </c>
      <c r="CU23" s="21">
        <f>IFERROR(IF($CP$23&lt;=$CT$23,2,IF($CP$23&lt;=$CT$23/AmberBand,1,0)),1)</f>
        <v>0</v>
      </c>
      <c r="CW23" s="12" t="s">
        <v>1812</v>
      </c>
      <c r="CX23" s="22">
        <f>SUMPRODUCT(Calculations!$W$12:$W$23,Calculations!$D$12:$D$23)</f>
        <v>0</v>
      </c>
      <c r="DC23" s="21">
        <f>IFERROR($BQ$23/$BP$23*100,0)</f>
        <v>0</v>
      </c>
      <c r="DD23" s="21">
        <f>IFERROR($BK$23/$BJ$23*100,0)</f>
        <v>0</v>
      </c>
      <c r="DE23" s="21">
        <f>IFERROR($AI$23/$AJ$23*100,0)</f>
        <v>0</v>
      </c>
      <c r="DF23" s="21">
        <f>IFERROR($AK$23/$AD$23*100,0)</f>
        <v>0</v>
      </c>
      <c r="DG23" s="21">
        <f>IFERROR($S$23/$R$23*100,0)</f>
        <v>0</v>
      </c>
      <c r="DH23" s="21">
        <f>IFERROR($U$23/$T$23*100,0)</f>
        <v>0</v>
      </c>
      <c r="DI23" s="21">
        <f>IFERROR($AM$23/$AL$23*100,0)</f>
        <v>0</v>
      </c>
      <c r="DJ23" s="21">
        <f>IFERROR($AR$23/$AQ$23*100,0)</f>
        <v>0</v>
      </c>
      <c r="DK23" s="21">
        <f>IFERROR($AU$23/$AT$23*100,0)</f>
        <v>0</v>
      </c>
      <c r="DL23" s="21">
        <f>IFERROR($AW$23/$AV$23*100,0)</f>
        <v>0</v>
      </c>
      <c r="DM23" s="21">
        <f>IFERROR($BD$23/$BC$23*100,0)</f>
        <v>0</v>
      </c>
      <c r="DN23" s="21">
        <f>IFERROR($BF$23/$BG$23*100,0)</f>
        <v>0</v>
      </c>
      <c r="DO23" s="21">
        <f>IFERROR($Z$23/$Y$23*100,0)</f>
        <v>0</v>
      </c>
      <c r="DP23" s="21">
        <f>IFERROR($AC$23/$AB$23*100,0)</f>
        <v>0</v>
      </c>
      <c r="DQ23" s="21">
        <f>IFERROR($BM$23/$BL$23*100,0)</f>
        <v>0</v>
      </c>
      <c r="DR23" s="21">
        <f>IFERROR($BO$23/$BN$23*100,0)</f>
        <v>0</v>
      </c>
    </row>
    <row r="24" spans="2:122">
      <c r="CN24" s="12" t="s">
        <v>1763</v>
      </c>
      <c r="CO24" s="21" t="s">
        <v>1764</v>
      </c>
      <c r="CP24" s="22">
        <f>SUMPRODUCT(Calculations!$V$12:$V$23,Calculations!$D$12:$D$23)</f>
        <v>0</v>
      </c>
      <c r="CQ24" s="22">
        <f>SUMPRODUCT(Calculations!$V$12:$V$23,Calculations!$E$12:$E$23)</f>
        <v>0</v>
      </c>
      <c r="CR24" s="23">
        <f>IFERROR(($CP$24-$CQ$24)/$CQ$24,IF($CP$24&gt;0,1,0))</f>
        <v>0</v>
      </c>
      <c r="CS24" s="21">
        <f>($CP$24-$CQ$24)*1</f>
        <v>0</v>
      </c>
      <c r="CT24" s="22">
        <f>IFERROR(AVERAGE(Calculations!$V$12:$V$23)*SUM(Calculations!$D$12:$D$23),0)</f>
        <v>0</v>
      </c>
      <c r="CU24" s="21">
        <f>IFERROR(IF($CP$24&gt;=$CT$24,2,IF($CP$24&gt;=$CT$24*AmberBand,1,0)),1)</f>
        <v>0</v>
      </c>
      <c r="CW24" s="12" t="s">
        <v>1813</v>
      </c>
      <c r="CX24" s="22">
        <f>SUMPRODUCT(Calculations!$X$12:$X$23,Calculations!$D$12:$D$23)</f>
        <v>0</v>
      </c>
    </row>
    <row r="25" spans="2:122">
      <c r="CN25" s="12" t="s">
        <v>1765</v>
      </c>
      <c r="CO25" s="21" t="s">
        <v>1764</v>
      </c>
      <c r="CP25" s="23">
        <f>IFERROR(SUMPRODUCT(Calculations!$AI$12:$AI$23,Calculations!$D$12:$D$23)/SUMPRODUCT(Calculations!$AJ$12:$AJ$23,Calculations!$D$12:$D$23),0)*100</f>
        <v>0</v>
      </c>
      <c r="CQ25" s="23">
        <f>IFERROR(SUMPRODUCT(Calculations!$AI$12:$AI$23,Calculations!$E$12:$E$23)/SUMPRODUCT(Calculations!$AJ$12:$AJ$23,Calculations!$E$12:$E$23),0)*100</f>
        <v>0</v>
      </c>
      <c r="CR25" s="23">
        <f>IFERROR(($CP$25-$CQ$25)/$CQ$25,IF($CP$25&gt;0,1,0))</f>
        <v>0</v>
      </c>
      <c r="CS25" s="21">
        <f>($CP$25-$CQ$25)*1</f>
        <v>0</v>
      </c>
      <c r="CT25" s="23">
        <f>TgtAttendance*100</f>
        <v>0</v>
      </c>
      <c r="CU25" s="21">
        <f>IFERROR(IF($CP$25&gt;=$CT$25,2,IF($CP$25&gt;=$CT$25*AmberBand,1,0)),1)</f>
        <v>0</v>
      </c>
      <c r="CW25" s="12" t="s">
        <v>1814</v>
      </c>
      <c r="CX25" s="22">
        <f>SUMPRODUCT(Calculations!$AA$12:$AA$23,Calculations!$D$12:$D$23)</f>
        <v>0</v>
      </c>
    </row>
    <row r="26" spans="2:122">
      <c r="CN26" s="12" t="s">
        <v>1766</v>
      </c>
      <c r="CO26" s="21" t="s">
        <v>1764</v>
      </c>
      <c r="CP26" s="22">
        <f>SUMPRODUCT(Calculations!$AD$12:$AD$23,Calculations!$D$12:$D$23)</f>
        <v>0</v>
      </c>
      <c r="CQ26" s="22">
        <f>SUMPRODUCT(Calculations!$AD$12:$AD$23,Calculations!$E$12:$E$23)</f>
        <v>0</v>
      </c>
      <c r="CR26" s="23">
        <f>IFERROR(($CP$26-$CQ$26)/$CQ$26,IF($CP$26&gt;0,1,0))</f>
        <v>0</v>
      </c>
      <c r="CS26" s="21">
        <f>($CP$26-$CQ$26)*1</f>
        <v>0</v>
      </c>
      <c r="CT26" s="22">
        <f>IFERROR(AVERAGE(Calculations!$AD$12:$AD$23)*SUM(Calculations!$D$12:$D$23),0)</f>
        <v>0</v>
      </c>
      <c r="CU26" s="21">
        <f>IFERROR(IF($CP$26&gt;=$CT$26,2,IF($CP$26&gt;=$CT$26*AmberBand,1,0)),1)</f>
        <v>0</v>
      </c>
      <c r="CW26" s="12" t="s">
        <v>1794</v>
      </c>
      <c r="CX26" s="22">
        <f>SUMPRODUCT(Calculations!$Y$12:$Y$23,Calculations!$D$12:$D$23)</f>
        <v>0</v>
      </c>
    </row>
    <row r="27" spans="2:122">
      <c r="CN27" s="12" t="s">
        <v>1767</v>
      </c>
      <c r="CO27" s="21" t="s">
        <v>1764</v>
      </c>
      <c r="CP27" s="23">
        <f>IFERROR(SUMPRODUCT(Calculations!$AK$12:$AK$23,Calculations!$D$12:$D$23)/SUMPRODUCT(Calculations!$AD$12:$AD$23,Calculations!$D$12:$D$23),0)*100</f>
        <v>0</v>
      </c>
      <c r="CQ27" s="23">
        <f>IFERROR(SUMPRODUCT(Calculations!$AK$12:$AK$23,Calculations!$E$12:$E$23)/SUMPRODUCT(Calculations!$AD$12:$AD$23,Calculations!$E$12:$E$23),0)*100</f>
        <v>0</v>
      </c>
      <c r="CR27" s="23">
        <f>IFERROR(($CP$27-$CQ$27)/$CQ$27,IF($CP$27&gt;0,1,0))</f>
        <v>0</v>
      </c>
      <c r="CS27" s="21">
        <f>($CP$27-$CQ$27)*1</f>
        <v>0</v>
      </c>
      <c r="CT27" s="23">
        <f>TgtCloseout*100</f>
        <v>0</v>
      </c>
      <c r="CU27" s="21">
        <f>IFERROR(IF($CP$27&gt;=$CT$27,2,IF($CP$27&gt;=$CT$27*AmberBand,1,0)),1)</f>
        <v>0</v>
      </c>
      <c r="CW27" s="12" t="s">
        <v>1815</v>
      </c>
      <c r="CX27" s="22">
        <f>SUMPRODUCT(Calculations!$AE$12:$AE$23,Calculations!$D$12:$D$23)</f>
        <v>0</v>
      </c>
    </row>
    <row r="28" spans="2:122">
      <c r="CN28" s="12" t="s">
        <v>1768</v>
      </c>
      <c r="CO28" s="21" t="s">
        <v>1764</v>
      </c>
      <c r="CP28" s="22">
        <f>SUMPRODUCT(Calculations!$R$12:$R$23,Calculations!$D$12:$D$23)</f>
        <v>0</v>
      </c>
      <c r="CQ28" s="22">
        <f>SUMPRODUCT(Calculations!$R$12:$R$23,Calculations!$E$12:$E$23)</f>
        <v>0</v>
      </c>
      <c r="CR28" s="23">
        <f>IFERROR(($CP$28-$CQ$28)/$CQ$28,IF($CP$28&gt;0,1,0))</f>
        <v>0</v>
      </c>
      <c r="CS28" s="21">
        <f>($CP$28-$CQ$28)*1</f>
        <v>0</v>
      </c>
      <c r="CT28" s="22">
        <f>IFERROR(AVERAGE(Calculations!$R$12:$R$23)*SUM(Calculations!$D$12:$D$23),0)</f>
        <v>0</v>
      </c>
      <c r="CU28" s="21">
        <f>IFERROR(IF($CP$28&gt;=$CT$28,2,IF($CP$28&gt;=$CT$28*AmberBand,1,0)),1)</f>
        <v>0</v>
      </c>
      <c r="CW28" s="12" t="s">
        <v>169</v>
      </c>
      <c r="CX28" s="22">
        <f>SUMPRODUCT(Calculations!$AD$12:$AD$23,Calculations!$D$12:$D$23)</f>
        <v>0</v>
      </c>
    </row>
    <row r="29" spans="2:122">
      <c r="CN29" s="12" t="s">
        <v>1769</v>
      </c>
      <c r="CO29" s="21" t="s">
        <v>1764</v>
      </c>
      <c r="CP29" s="23">
        <f>IFERROR(SUMPRODUCT(Calculations!$S$12:$S$23,Calculations!$D$12:$D$23)/SUMPRODUCT(Calculations!$R$12:$R$23,Calculations!$D$12:$D$23),0)*100</f>
        <v>0</v>
      </c>
      <c r="CQ29" s="23">
        <f>IFERROR(SUMPRODUCT(Calculations!$S$12:$S$23,Calculations!$E$12:$E$23)/SUMPRODUCT(Calculations!$R$12:$R$23,Calculations!$E$12:$E$23),0)*100</f>
        <v>0</v>
      </c>
      <c r="CR29" s="23">
        <f>IFERROR(($CP$29-$CQ$29)/$CQ$29,IF($CP$29&gt;0,1,0))</f>
        <v>0</v>
      </c>
      <c r="CS29" s="21">
        <f>($CP$29-$CQ$29)*1</f>
        <v>0</v>
      </c>
      <c r="CT29" s="23">
        <f>TgtTrain*100</f>
        <v>0</v>
      </c>
      <c r="CU29" s="21">
        <f>IFERROR(IF($CP$29&gt;=$CT$29,2,IF($CP$29&gt;=$CT$29*AmberBand,1,0)),1)</f>
        <v>0</v>
      </c>
    </row>
    <row r="30" spans="2:122">
      <c r="CN30" s="12" t="s">
        <v>1770</v>
      </c>
      <c r="CO30" s="21" t="s">
        <v>1764</v>
      </c>
      <c r="CP30" s="22">
        <f>SUMPRODUCT(Calculations!$T$12:$T$23,Calculations!$D$12:$D$23)</f>
        <v>0</v>
      </c>
      <c r="CQ30" s="22">
        <f>SUMPRODUCT(Calculations!$T$12:$T$23,Calculations!$E$12:$E$23)</f>
        <v>0</v>
      </c>
      <c r="CR30" s="23">
        <f>IFERROR(($CP$30-$CQ$30)/$CQ$30,IF($CP$30&gt;0,1,0))</f>
        <v>0</v>
      </c>
      <c r="CS30" s="21">
        <f>($CP$30-$CQ$30)*1</f>
        <v>0</v>
      </c>
      <c r="CT30" s="22">
        <f>IFERROR(AVERAGE(Calculations!$T$12:$T$23)*SUM(Calculations!$D$12:$D$23),0)</f>
        <v>0</v>
      </c>
      <c r="CU30" s="21">
        <f>IFERROR(IF($CP$30&gt;=$CT$30,2,IF($CP$30&gt;=$CT$30*AmberBand,1,0)),1)</f>
        <v>0</v>
      </c>
      <c r="CW30" s="11" t="s">
        <v>1816</v>
      </c>
      <c r="CX30" s="11" t="s">
        <v>1808</v>
      </c>
    </row>
    <row r="31" spans="2:122">
      <c r="CN31" s="12" t="s">
        <v>1771</v>
      </c>
      <c r="CO31" s="21" t="s">
        <v>1764</v>
      </c>
      <c r="CP31" s="23">
        <f>IFERROR(SUMPRODUCT(Calculations!$U$12:$U$23,Calculations!$D$12:$D$23)/SUMPRODUCT(Calculations!$T$12:$T$23,Calculations!$D$12:$D$23),0)*100</f>
        <v>0</v>
      </c>
      <c r="CQ31" s="23">
        <f>IFERROR(SUMPRODUCT(Calculations!$U$12:$U$23,Calculations!$E$12:$E$23)/SUMPRODUCT(Calculations!$T$12:$T$23,Calculations!$E$12:$E$23),0)*100</f>
        <v>0</v>
      </c>
      <c r="CR31" s="23">
        <f>IFERROR(($CP$31-$CQ$31)/$CQ$31,IF($CP$31&gt;0,1,0))</f>
        <v>0</v>
      </c>
      <c r="CS31" s="21">
        <f>($CP$31-$CQ$31)*1</f>
        <v>0</v>
      </c>
      <c r="CT31" s="23">
        <f>TgtObs*100</f>
        <v>0</v>
      </c>
      <c r="CU31" s="21">
        <f>IFERROR(IF($CP$31&gt;=$CT$31,2,IF($CP$31&gt;=$CT$31*AmberBand,1,0)),1)</f>
        <v>0</v>
      </c>
      <c r="CW31" s="12" t="s">
        <v>1817</v>
      </c>
      <c r="CX31" s="22">
        <f>SUMPRODUCT(Calculations!$O$12:$O$23,Calculations!$D$12:$D$23)</f>
        <v>0</v>
      </c>
    </row>
    <row r="32" spans="2:122">
      <c r="CN32" s="12" t="s">
        <v>1772</v>
      </c>
      <c r="CO32" s="21" t="s">
        <v>1764</v>
      </c>
      <c r="CP32" s="22">
        <f>SUMPRODUCT(Calculations!$AL$12:$AL$23,Calculations!$D$12:$D$23)</f>
        <v>0</v>
      </c>
      <c r="CQ32" s="22">
        <f>SUMPRODUCT(Calculations!$AL$12:$AL$23,Calculations!$E$12:$E$23)</f>
        <v>0</v>
      </c>
      <c r="CR32" s="23">
        <f>IFERROR(($CP$32-$CQ$32)/$CQ$32,IF($CP$32&gt;0,1,0))</f>
        <v>0</v>
      </c>
      <c r="CS32" s="21">
        <f>($CP$32-$CQ$32)*1</f>
        <v>0</v>
      </c>
      <c r="CT32" s="22">
        <f>IFERROR(AVERAGE(Calculations!$AL$12:$AL$23)*SUM(Calculations!$D$12:$D$23),0)</f>
        <v>0</v>
      </c>
      <c r="CU32" s="21">
        <f>IFERROR(IF($CP$32&gt;=$CT$32,2,IF($CP$32&gt;=$CT$32*AmberBand,1,0)),1)</f>
        <v>0</v>
      </c>
      <c r="CW32" s="12" t="s">
        <v>1757</v>
      </c>
      <c r="CX32" s="22">
        <f>SUMPRODUCT(Calculations!$F$12:$F$23,Calculations!$D$12:$D$23)</f>
        <v>0</v>
      </c>
    </row>
    <row r="33" spans="92:104">
      <c r="CN33" s="12" t="s">
        <v>1773</v>
      </c>
      <c r="CO33" s="21" t="s">
        <v>1764</v>
      </c>
      <c r="CP33" s="23">
        <f>IFERROR(SUMPRODUCT(Calculations!$AM$12:$AM$23,Calculations!$D$12:$D$23)/SUMPRODUCT(Calculations!$AL$12:$AL$23,Calculations!$D$12:$D$23),0)*100</f>
        <v>0</v>
      </c>
      <c r="CQ33" s="23">
        <f>IFERROR(SUMPRODUCT(Calculations!$AM$12:$AM$23,Calculations!$E$12:$E$23)/SUMPRODUCT(Calculations!$AL$12:$AL$23,Calculations!$E$12:$E$23),0)*100</f>
        <v>0</v>
      </c>
      <c r="CR33" s="23">
        <f>IFERROR(($CP$33-$CQ$33)/$CQ$33,IF($CP$33&gt;0,1,0))</f>
        <v>0</v>
      </c>
      <c r="CS33" s="21">
        <f>($CP$33-$CQ$33)*1</f>
        <v>0</v>
      </c>
      <c r="CT33" s="23">
        <f>TgtCloseout*100</f>
        <v>0</v>
      </c>
      <c r="CU33" s="21">
        <f>IFERROR(IF($CP$33&gt;=$CT$33,2,IF($CP$33&gt;=$CT$33*AmberBand,1,0)),1)</f>
        <v>0</v>
      </c>
      <c r="CW33" s="12" t="s">
        <v>1494</v>
      </c>
      <c r="CX33" s="22">
        <f>SUMPRODUCT(Calculations!$H$12:$H$23,Calculations!$D$12:$D$23)</f>
        <v>0</v>
      </c>
    </row>
    <row r="34" spans="92:104">
      <c r="CN34" s="12" t="s">
        <v>1774</v>
      </c>
      <c r="CO34" s="21" t="s">
        <v>1764</v>
      </c>
      <c r="CP34" s="22">
        <f>SUMPRODUCT(Calculations!$AN$12:$AN$23,Calculations!$D$12:$D$23)</f>
        <v>0</v>
      </c>
      <c r="CQ34" s="22">
        <f>SUMPRODUCT(Calculations!$AN$12:$AN$23,Calculations!$E$12:$E$23)</f>
        <v>0</v>
      </c>
      <c r="CR34" s="23">
        <f>IFERROR(($CP$34-$CQ$34)/$CQ$34,IF($CP$34&gt;0,1,0))</f>
        <v>0</v>
      </c>
      <c r="CS34" s="21">
        <f>($CP$34-$CQ$34)*1</f>
        <v>0</v>
      </c>
      <c r="CT34" s="22">
        <f>IFERROR(AVERAGE(Calculations!$AN$12:$AN$23)*SUM(Calculations!$D$12:$D$23),0)</f>
        <v>0</v>
      </c>
      <c r="CU34" s="21">
        <f>IFERROR(IF($CP$34&gt;=$CT$34,2,IF($CP$34&gt;=$CT$34*AmberBand,1,0)),1)</f>
        <v>0</v>
      </c>
      <c r="CW34" s="12" t="s">
        <v>1507</v>
      </c>
      <c r="CX34" s="22">
        <f>SUMPRODUCT(Calculations!$I$12:$I$23,Calculations!$D$12:$D$23)</f>
        <v>0</v>
      </c>
    </row>
    <row r="35" spans="92:104">
      <c r="CN35" s="12" t="s">
        <v>1775</v>
      </c>
      <c r="CO35" s="21" t="s">
        <v>1764</v>
      </c>
      <c r="CP35" s="22">
        <f>SUMPRODUCT(Calculations!$AO$12:$AO$23,Calculations!$D$12:$D$23)</f>
        <v>0</v>
      </c>
      <c r="CQ35" s="22">
        <f>SUMPRODUCT(Calculations!$AO$12:$AO$23,Calculations!$E$12:$E$23)</f>
        <v>0</v>
      </c>
      <c r="CR35" s="23">
        <f>IFERROR(($CP$35-$CQ$35)/$CQ$35,IF($CP$35&gt;0,1,0))</f>
        <v>0</v>
      </c>
      <c r="CS35" s="21">
        <f>($CP$35-$CQ$35)*-1</f>
        <v>0</v>
      </c>
      <c r="CT35" s="22">
        <f>IFERROR(AVERAGE(Calculations!$AO$12:$AO$23)*SUM(Calculations!$D$12:$D$23),0)</f>
        <v>0</v>
      </c>
      <c r="CU35" s="21">
        <f>IFERROR(IF($CP$35&lt;=$CT$35,2,IF($CP$35&lt;=$CT$35/AmberBand,1,0)),1)</f>
        <v>0</v>
      </c>
      <c r="CW35" s="12" t="s">
        <v>1818</v>
      </c>
      <c r="CX35" s="22">
        <f>SUMPRODUCT(Calculations!$G$12:$G$23,Calculations!$D$12:$D$23)</f>
        <v>0</v>
      </c>
    </row>
    <row r="36" spans="92:104">
      <c r="CN36" s="12" t="s">
        <v>1776</v>
      </c>
      <c r="CO36" s="21" t="s">
        <v>1764</v>
      </c>
      <c r="CP36" s="22">
        <f>SUMPRODUCT(Calculations!$AP$12:$AP$23,Calculations!$D$12:$D$23)</f>
        <v>0</v>
      </c>
      <c r="CQ36" s="22">
        <f>SUMPRODUCT(Calculations!$AP$12:$AP$23,Calculations!$E$12:$E$23)</f>
        <v>0</v>
      </c>
      <c r="CR36" s="23">
        <f>IFERROR(($CP$36-$CQ$36)/$CQ$36,IF($CP$36&gt;0,1,0))</f>
        <v>0</v>
      </c>
      <c r="CS36" s="21">
        <f>($CP$36-$CQ$36)*1</f>
        <v>0</v>
      </c>
      <c r="CT36" s="22">
        <f>IFERROR(AVERAGE(Calculations!$AP$12:$AP$23)*SUM(Calculations!$D$12:$D$23),0)</f>
        <v>0</v>
      </c>
      <c r="CU36" s="21">
        <f>IFERROR(IF($CP$36&gt;=$CT$36,2,IF($CP$36&gt;=$CT$36*AmberBand,1,0)),1)</f>
        <v>0</v>
      </c>
      <c r="CW36" s="12" t="s">
        <v>1590</v>
      </c>
      <c r="CX36" s="22">
        <f>SUMPRODUCT(Calculations!$N$12:$N$23,Calculations!$D$12:$D$23)</f>
        <v>0</v>
      </c>
    </row>
    <row r="37" spans="92:104">
      <c r="CN37" s="12" t="s">
        <v>1777</v>
      </c>
      <c r="CO37" s="21" t="s">
        <v>1764</v>
      </c>
      <c r="CP37" s="22">
        <f>SUMPRODUCT(Calculations!$AE$12:$AE$23,Calculations!$D$12:$D$23)</f>
        <v>0</v>
      </c>
      <c r="CQ37" s="22">
        <f>SUMPRODUCT(Calculations!$AE$12:$AE$23,Calculations!$E$12:$E$23)</f>
        <v>0</v>
      </c>
      <c r="CR37" s="23">
        <f>IFERROR(($CP$37-$CQ$37)/$CQ$37,IF($CP$37&gt;0,1,0))</f>
        <v>0</v>
      </c>
      <c r="CS37" s="21">
        <f>($CP$37-$CQ$37)*1</f>
        <v>0</v>
      </c>
      <c r="CT37" s="22">
        <f>IFERROR(AVERAGE(Calculations!$AE$12:$AE$23)*SUM(Calculations!$D$12:$D$23),0)</f>
        <v>0</v>
      </c>
      <c r="CU37" s="21">
        <f>IFERROR(IF($CP$37&gt;=$CT$37,2,IF($CP$37&gt;=$CT$37*AmberBand,1,0)),1)</f>
        <v>0</v>
      </c>
      <c r="CW37" s="12" t="s">
        <v>1759</v>
      </c>
      <c r="CX37" s="22">
        <f>SUMPRODUCT(Calculations!$P$12:$P$23,Calculations!$D$12:$D$23)</f>
        <v>0</v>
      </c>
    </row>
    <row r="38" spans="92:104">
      <c r="CN38" s="12" t="s">
        <v>1778</v>
      </c>
      <c r="CO38" s="21" t="s">
        <v>1764</v>
      </c>
      <c r="CP38" s="23">
        <f>IFERROR(SUMPRODUCT(Calculations!$AR$12:$AR$23,Calculations!$D$12:$D$23)/SUMPRODUCT(Calculations!$AQ$12:$AQ$23,Calculations!$D$12:$D$23),0)*100</f>
        <v>0</v>
      </c>
      <c r="CQ38" s="23">
        <f>IFERROR(SUMPRODUCT(Calculations!$AR$12:$AR$23,Calculations!$E$12:$E$23)/SUMPRODUCT(Calculations!$AQ$12:$AQ$23,Calculations!$E$12:$E$23),0)*100</f>
        <v>0</v>
      </c>
      <c r="CR38" s="23">
        <f>IFERROR(($CP$38-$CQ$38)/$CQ$38,IF($CP$38&gt;0,1,0))</f>
        <v>0</v>
      </c>
      <c r="CS38" s="21">
        <f>($CP$38-$CQ$38)*1</f>
        <v>0</v>
      </c>
      <c r="CT38" s="23">
        <f>TgtCloseout*100</f>
        <v>0</v>
      </c>
      <c r="CU38" s="21">
        <f>IFERROR(IF($CP$38&gt;=$CT$38,2,IF($CP$38&gt;=$CT$38*AmberBand,1,0)),1)</f>
        <v>0</v>
      </c>
      <c r="CW38" s="12" t="s">
        <v>1819</v>
      </c>
      <c r="CX38" s="22">
        <f>SUMPRODUCT(Calculations!$Q$12:$Q$23,Calculations!$D$12:$D$23)</f>
        <v>0</v>
      </c>
    </row>
    <row r="39" spans="92:104">
      <c r="CN39" s="12" t="s">
        <v>1779</v>
      </c>
      <c r="CO39" s="21" t="s">
        <v>1764</v>
      </c>
      <c r="CP39" s="22">
        <f>SUMPRODUCT(Calculations!$AS$12:$AS$23,Calculations!$D$12:$D$23)</f>
        <v>0</v>
      </c>
      <c r="CQ39" s="22">
        <f>SUMPRODUCT(Calculations!$AS$12:$AS$23,Calculations!$E$12:$E$23)</f>
        <v>0</v>
      </c>
      <c r="CR39" s="23">
        <f>IFERROR(($CP$39-$CQ$39)/$CQ$39,IF($CP$39&gt;0,1,0))</f>
        <v>0</v>
      </c>
      <c r="CS39" s="21">
        <f>($CP$39-$CQ$39)*1</f>
        <v>0</v>
      </c>
      <c r="CT39" s="22">
        <f>IFERROR(AVERAGE(Calculations!$AS$12:$AS$23)*SUM(Calculations!$D$12:$D$23),0)</f>
        <v>0</v>
      </c>
      <c r="CU39" s="21">
        <f>IFERROR(IF($CP$39&gt;=$CT$39,2,IF($CP$39&gt;=$CT$39*AmberBand,1,0)),1)</f>
        <v>0</v>
      </c>
    </row>
    <row r="40" spans="92:104">
      <c r="CN40" s="12" t="s">
        <v>1780</v>
      </c>
      <c r="CO40" s="21" t="s">
        <v>1764</v>
      </c>
      <c r="CP40" s="23">
        <f>IFERROR(SUMPRODUCT(Calculations!$AU$12:$AU$23,Calculations!$D$12:$D$23)/SUMPRODUCT(Calculations!$AT$12:$AT$23,Calculations!$D$12:$D$23),0)*100</f>
        <v>0</v>
      </c>
      <c r="CQ40" s="23">
        <f>IFERROR(SUMPRODUCT(Calculations!$AU$12:$AU$23,Calculations!$E$12:$E$23)/SUMPRODUCT(Calculations!$AT$12:$AT$23,Calculations!$E$12:$E$23),0)*100</f>
        <v>0</v>
      </c>
      <c r="CR40" s="23">
        <f>IFERROR(($CP$40-$CQ$40)/$CQ$40,IF($CP$40&gt;0,1,0))</f>
        <v>0</v>
      </c>
      <c r="CS40" s="21">
        <f>($CP$40-$CQ$40)*1</f>
        <v>0</v>
      </c>
      <c r="CT40" s="23">
        <f>TgtCloseout*100</f>
        <v>0</v>
      </c>
      <c r="CU40" s="21">
        <f>IFERROR(IF($CP$40&gt;=$CT$40,2,IF($CP$40&gt;=$CT$40*AmberBand,1,0)),1)</f>
        <v>0</v>
      </c>
      <c r="CW40" s="11" t="s">
        <v>1822</v>
      </c>
      <c r="CX40" s="11" t="s">
        <v>1823</v>
      </c>
      <c r="CY40" s="11" t="s">
        <v>1824</v>
      </c>
      <c r="CZ40" s="11" t="s">
        <v>287</v>
      </c>
    </row>
    <row r="41" spans="92:104">
      <c r="CN41" s="12" t="s">
        <v>1781</v>
      </c>
      <c r="CO41" s="21" t="s">
        <v>1764</v>
      </c>
      <c r="CP41" s="22">
        <f>SUMPRODUCT(Calculations!$AA$12:$AA$23,Calculations!$D$12:$D$23)</f>
        <v>0</v>
      </c>
      <c r="CQ41" s="22">
        <f>SUMPRODUCT(Calculations!$AA$12:$AA$23,Calculations!$E$12:$E$23)</f>
        <v>0</v>
      </c>
      <c r="CR41" s="23">
        <f>IFERROR(($CP$41-$CQ$41)/$CQ$41,IF($CP$41&gt;0,1,0))</f>
        <v>0</v>
      </c>
      <c r="CS41" s="21">
        <f>($CP$41-$CQ$41)*1</f>
        <v>0</v>
      </c>
      <c r="CT41" s="22">
        <f>IFERROR(AVERAGE(Calculations!$AA$12:$AA$23)*SUM(Calculations!$D$12:$D$23),0)</f>
        <v>0</v>
      </c>
      <c r="CU41" s="21">
        <f>IFERROR(IF($CP$41&gt;=$CT$41,2,IF($CP$41&gt;=$CT$41*AmberBand,1,0)),1)</f>
        <v>0</v>
      </c>
      <c r="CW41" s="12" t="s">
        <v>1647</v>
      </c>
      <c r="CX41" s="21">
        <f>TRIR</f>
        <v>0</v>
      </c>
      <c r="CY41" s="21">
        <f>TgtTRIR</f>
        <v>0</v>
      </c>
      <c r="CZ41" s="12">
        <f>IF(TRIR&lt;=TgtTRIR,"🟢 GREEN",IF(TRIR&lt;=TgtTRIR/AmberBand,"🟡 AMBER","🔴 RED"))</f>
        <v>0</v>
      </c>
    </row>
    <row r="42" spans="92:104">
      <c r="CN42" s="12" t="s">
        <v>1782</v>
      </c>
      <c r="CO42" s="21" t="s">
        <v>1764</v>
      </c>
      <c r="CP42" s="23">
        <f>IFERROR(SUMPRODUCT(Calculations!$AW$12:$AW$23,Calculations!$D$12:$D$23)/SUMPRODUCT(Calculations!$AV$12:$AV$23,Calculations!$D$12:$D$23),0)*100</f>
        <v>0</v>
      </c>
      <c r="CQ42" s="23">
        <f>IFERROR(SUMPRODUCT(Calculations!$AW$12:$AW$23,Calculations!$E$12:$E$23)/SUMPRODUCT(Calculations!$AV$12:$AV$23,Calculations!$E$12:$E$23),0)*100</f>
        <v>0</v>
      </c>
      <c r="CR42" s="23">
        <f>IFERROR(($CP$42-$CQ$42)/$CQ$42,IF($CP$42&gt;0,1,0))</f>
        <v>0</v>
      </c>
      <c r="CS42" s="21">
        <f>($CP$42-$CQ$42)*1</f>
        <v>0</v>
      </c>
      <c r="CT42" s="23">
        <f>TgtAttendance*100</f>
        <v>0</v>
      </c>
      <c r="CU42" s="21">
        <f>IFERROR(IF($CP$42&gt;=$CT$42,2,IF($CP$42&gt;=$CT$42*AmberBand,1,0)),1)</f>
        <v>0</v>
      </c>
      <c r="CW42" s="12" t="s">
        <v>1771</v>
      </c>
      <c r="CX42" s="21">
        <f>ObsClosure/100</f>
        <v>0</v>
      </c>
      <c r="CY42" s="21">
        <f>TgtObs</f>
        <v>0</v>
      </c>
      <c r="CZ42" s="12">
        <f>IF(ObsClosure/100&gt;=TgtObs,"🟢 GREEN",IF(ObsClosure/100&gt;=TgtObs*AmberBand,"🟡 AMBER","🔴 RED"))</f>
        <v>0</v>
      </c>
    </row>
    <row r="43" spans="92:104">
      <c r="CN43" s="12" t="s">
        <v>1783</v>
      </c>
      <c r="CO43" s="21" t="s">
        <v>1764</v>
      </c>
      <c r="CP43" s="22">
        <f>SUMPRODUCT(Calculations!$AX$12:$AX$23,Calculations!$D$12:$D$23)</f>
        <v>0</v>
      </c>
      <c r="CQ43" s="22">
        <f>SUMPRODUCT(Calculations!$AX$12:$AX$23,Calculations!$E$12:$E$23)</f>
        <v>0</v>
      </c>
      <c r="CR43" s="23">
        <f>IFERROR(($CP$43-$CQ$43)/$CQ$43,IF($CP$43&gt;0,1,0))</f>
        <v>0</v>
      </c>
      <c r="CS43" s="21">
        <f>($CP$43-$CQ$43)*1</f>
        <v>0</v>
      </c>
      <c r="CT43" s="22">
        <f>IFERROR(AVERAGE(Calculations!$AX$12:$AX$23)*SUM(Calculations!$D$12:$D$23),0)</f>
        <v>0</v>
      </c>
      <c r="CU43" s="21">
        <f>IFERROR(IF($CP$43&gt;=$CT$43,2,IF($CP$43&gt;=$CT$43*AmberBand,1,0)),1)</f>
        <v>0</v>
      </c>
      <c r="CW43" s="12" t="s">
        <v>1803</v>
      </c>
      <c r="CX43" s="21">
        <f>TrainCompliance/100</f>
        <v>0</v>
      </c>
      <c r="CY43" s="21">
        <f>TgtTrain</f>
        <v>0</v>
      </c>
      <c r="CZ43" s="12">
        <f>IF(TrainCompliance/100&gt;=TgtTrain,"🟢 GREEN",IF(TrainCompliance/100&gt;=TgtTrain*AmberBand,"🟡 AMBER","🔴 RED"))</f>
        <v>0</v>
      </c>
    </row>
    <row r="44" spans="92:104">
      <c r="CN44" s="12" t="s">
        <v>1784</v>
      </c>
      <c r="CO44" s="21" t="s">
        <v>1764</v>
      </c>
      <c r="CP44" s="22">
        <f>SUMPRODUCT(Calculations!$AY$12:$AY$23,Calculations!$D$12:$D$23)</f>
        <v>0</v>
      </c>
      <c r="CQ44" s="22">
        <f>SUMPRODUCT(Calculations!$AY$12:$AY$23,Calculations!$E$12:$E$23)</f>
        <v>0</v>
      </c>
      <c r="CR44" s="23">
        <f>IFERROR(($CP$44-$CQ$44)/$CQ$44,IF($CP$44&gt;0,1,0))</f>
        <v>0</v>
      </c>
      <c r="CS44" s="21">
        <f>($CP$44-$CQ$44)*-1</f>
        <v>0</v>
      </c>
      <c r="CT44" s="22">
        <f>IFERROR(AVERAGE(Calculations!$AY$12:$AY$23)*SUM(Calculations!$D$12:$D$23),0)</f>
        <v>0</v>
      </c>
      <c r="CU44" s="21">
        <f>IFERROR(IF($CP$44&lt;=$CT$44,2,IF($CP$44&lt;=$CT$44/AmberBand,1,0)),1)</f>
        <v>0</v>
      </c>
      <c r="CW44" s="12" t="s">
        <v>1797</v>
      </c>
      <c r="CX44" s="21">
        <f>CAClosure/100</f>
        <v>0</v>
      </c>
      <c r="CY44" s="21">
        <f>TgtCA</f>
        <v>0</v>
      </c>
      <c r="CZ44" s="12">
        <f>IF(CAClosure/100&gt;=TgtCA,"🟢 GREEN",IF(CAClosure/100&gt;=TgtCA*AmberBand,"🟡 AMBER","🔴 RED"))</f>
        <v>0</v>
      </c>
    </row>
    <row r="45" spans="92:104">
      <c r="CN45" s="12" t="s">
        <v>1785</v>
      </c>
      <c r="CO45" s="21" t="s">
        <v>1764</v>
      </c>
      <c r="CP45" s="22">
        <f>SUMPRODUCT(Calculations!$AZ$12:$AZ$23,Calculations!$D$12:$D$23)</f>
        <v>0</v>
      </c>
      <c r="CQ45" s="22">
        <f>SUMPRODUCT(Calculations!$AZ$12:$AZ$23,Calculations!$E$12:$E$23)</f>
        <v>0</v>
      </c>
      <c r="CR45" s="23">
        <f>IFERROR(($CP$45-$CQ$45)/$CQ$45,IF($CP$45&gt;0,1,0))</f>
        <v>0</v>
      </c>
      <c r="CS45" s="21">
        <f>($CP$45-$CQ$45)*1</f>
        <v>0</v>
      </c>
      <c r="CT45" s="22">
        <f>IFERROR(AVERAGE(Calculations!$AZ$12:$AZ$23)*SUM(Calculations!$D$12:$D$23),0)</f>
        <v>0</v>
      </c>
      <c r="CU45" s="21">
        <f>IFERROR(IF($CP$45&gt;=$CT$45,2,IF($CP$45&gt;=$CT$45*AmberBand,1,0)),1)</f>
        <v>0</v>
      </c>
      <c r="CW45" s="12" t="s">
        <v>1773</v>
      </c>
      <c r="CX45" s="21">
        <f>Calculations!$CP$33/100</f>
        <v>0</v>
      </c>
      <c r="CY45" s="21">
        <f>TgtObs</f>
        <v>0</v>
      </c>
      <c r="CZ45" s="12">
        <f>IF(Calculations!$CP$33/100&gt;=TgtObs,"🟢 GREEN",IF(Calculations!$CP$33/100&gt;=TgtObs*AmberBand,"🟡 AMBER","🔴 RED"))</f>
        <v>0</v>
      </c>
    </row>
    <row r="46" spans="92:104">
      <c r="CN46" s="12" t="s">
        <v>1786</v>
      </c>
      <c r="CO46" s="21" t="s">
        <v>1764</v>
      </c>
      <c r="CP46" s="22">
        <f>SUMPRODUCT(Calculations!$BA$12:$BA$23,Calculations!$D$12:$D$23)</f>
        <v>0</v>
      </c>
      <c r="CQ46" s="22">
        <f>SUMPRODUCT(Calculations!$BA$12:$BA$23,Calculations!$E$12:$E$23)</f>
        <v>0</v>
      </c>
      <c r="CR46" s="23">
        <f>IFERROR(($CP$46-$CQ$46)/$CQ$46,IF($CP$46&gt;0,1,0))</f>
        <v>0</v>
      </c>
      <c r="CS46" s="21">
        <f>($CP$46-$CQ$46)*-1</f>
        <v>0</v>
      </c>
      <c r="CT46" s="22">
        <f>IFERROR(AVERAGE(Calculations!$BA$12:$BA$23)*SUM(Calculations!$D$12:$D$23),0)</f>
        <v>0</v>
      </c>
      <c r="CU46" s="21">
        <f>IFERROR(IF($CP$46&lt;=$CT$46,2,IF($CP$46&lt;=$CT$46/AmberBand,1,0)),1)</f>
        <v>0</v>
      </c>
      <c r="CW46" s="12" t="s">
        <v>1795</v>
      </c>
      <c r="CX46" s="21">
        <f>PTWauditComp/100</f>
        <v>0</v>
      </c>
      <c r="CY46" s="21">
        <f>TgtObs</f>
        <v>0</v>
      </c>
      <c r="CZ46" s="12">
        <f>IF(PTWauditComp/100&gt;=TgtObs,"🟢 GREEN",IF(PTWauditComp/100&gt;=TgtObs*AmberBand,"🟡 AMBER","🔴 RED"))</f>
        <v>0</v>
      </c>
    </row>
    <row r="47" spans="92:104">
      <c r="CN47" s="12" t="s">
        <v>1787</v>
      </c>
      <c r="CO47" s="21" t="s">
        <v>1764</v>
      </c>
      <c r="CP47" s="22">
        <f>SUMPRODUCT(Calculations!$BB$12:$BB$23,Calculations!$D$12:$D$23)</f>
        <v>0</v>
      </c>
      <c r="CQ47" s="22">
        <f>SUMPRODUCT(Calculations!$BB$12:$BB$23,Calculations!$E$12:$E$23)</f>
        <v>0</v>
      </c>
      <c r="CR47" s="23">
        <f>IFERROR(($CP$47-$CQ$47)/$CQ$47,IF($CP$47&gt;0,1,0))</f>
        <v>0</v>
      </c>
      <c r="CS47" s="21">
        <f>($CP$47-$CQ$47)*1</f>
        <v>0</v>
      </c>
      <c r="CT47" s="22">
        <f>IFERROR(AVERAGE(Calculations!$BB$12:$BB$23)*SUM(Calculations!$D$12:$D$23),0)</f>
        <v>0</v>
      </c>
      <c r="CU47" s="21">
        <f>IFERROR(IF($CP$47&gt;=$CT$47,2,IF($CP$47&gt;=$CT$47*AmberBand,1,0)),1)</f>
        <v>0</v>
      </c>
    </row>
    <row r="48" spans="92:104">
      <c r="CN48" s="12" t="s">
        <v>1788</v>
      </c>
      <c r="CO48" s="21" t="s">
        <v>1764</v>
      </c>
      <c r="CP48" s="23">
        <f>IFERROR(SUMPRODUCT(Calculations!$BD$12:$BD$23,Calculations!$D$12:$D$23)/SUMPRODUCT(Calculations!$BC$12:$BC$23,Calculations!$D$12:$D$23),0)*100</f>
        <v>0</v>
      </c>
      <c r="CQ48" s="23">
        <f>IFERROR(SUMPRODUCT(Calculations!$BD$12:$BD$23,Calculations!$E$12:$E$23)/SUMPRODUCT(Calculations!$BC$12:$BC$23,Calculations!$E$12:$E$23),0)*100</f>
        <v>0</v>
      </c>
      <c r="CR48" s="23">
        <f>IFERROR(($CP$48-$CQ$48)/$CQ$48,IF($CP$48&gt;0,1,0))</f>
        <v>0</v>
      </c>
      <c r="CS48" s="21">
        <f>($CP$48-$CQ$48)*1</f>
        <v>0</v>
      </c>
      <c r="CT48" s="23">
        <f>TgtCloseout*100</f>
        <v>0</v>
      </c>
      <c r="CU48" s="21">
        <f>IFERROR(IF($CP$48&gt;=$CT$48,2,IF($CP$48&gt;=$CT$48*AmberBand,1,0)),1)</f>
        <v>0</v>
      </c>
    </row>
    <row r="49" spans="92:99">
      <c r="CN49" s="12" t="s">
        <v>1789</v>
      </c>
      <c r="CO49" s="21" t="s">
        <v>1764</v>
      </c>
      <c r="CP49" s="22">
        <f>SUMPRODUCT(Calculations!$BE$12:$BE$23,Calculations!$D$12:$D$23)</f>
        <v>0</v>
      </c>
      <c r="CQ49" s="22">
        <f>SUMPRODUCT(Calculations!$BE$12:$BE$23,Calculations!$E$12:$E$23)</f>
        <v>0</v>
      </c>
      <c r="CR49" s="23">
        <f>IFERROR(($CP$49-$CQ$49)/$CQ$49,IF($CP$49&gt;0,1,0))</f>
        <v>0</v>
      </c>
      <c r="CS49" s="21">
        <f>($CP$49-$CQ$49)*1</f>
        <v>0</v>
      </c>
      <c r="CT49" s="22">
        <f>IFERROR(AVERAGE(Calculations!$BE$12:$BE$23)*SUM(Calculations!$D$12:$D$23),0)</f>
        <v>0</v>
      </c>
      <c r="CU49" s="21">
        <f>IFERROR(IF($CP$49&gt;=$CT$49,2,IF($CP$49&gt;=$CT$49*AmberBand,1,0)),1)</f>
        <v>0</v>
      </c>
    </row>
    <row r="50" spans="92:99">
      <c r="CN50" s="12" t="s">
        <v>1790</v>
      </c>
      <c r="CO50" s="21" t="s">
        <v>1764</v>
      </c>
      <c r="CP50" s="23">
        <f>IFERROR(SUMPRODUCT(Calculations!$BF$12:$BF$23,Calculations!$D$12:$D$23)/SUMPRODUCT(Calculations!$BG$12:$BG$23,Calculations!$D$12:$D$23),0)*100</f>
        <v>0</v>
      </c>
      <c r="CQ50" s="23">
        <f>IFERROR(SUMPRODUCT(Calculations!$BF$12:$BF$23,Calculations!$E$12:$E$23)/SUMPRODUCT(Calculations!$BG$12:$BG$23,Calculations!$E$12:$E$23),0)*100</f>
        <v>0</v>
      </c>
      <c r="CR50" s="23">
        <f>IFERROR(($CP$50-$CQ$50)/$CQ$50,IF($CP$50&gt;0,1,0))</f>
        <v>0</v>
      </c>
      <c r="CS50" s="21">
        <f>($CP$50-$CQ$50)*1</f>
        <v>0</v>
      </c>
      <c r="CT50" s="23">
        <f>TgtAttendance*100</f>
        <v>0</v>
      </c>
      <c r="CU50" s="21">
        <f>IFERROR(IF($CP$50&gt;=$CT$50,2,IF($CP$50&gt;=$CT$50*AmberBand,1,0)),1)</f>
        <v>0</v>
      </c>
    </row>
    <row r="51" spans="92:99">
      <c r="CN51" s="12" t="s">
        <v>1791</v>
      </c>
      <c r="CO51" s="21" t="s">
        <v>1764</v>
      </c>
      <c r="CP51" s="22">
        <f>SUMPRODUCT(Calculations!$BH$12:$BH$23,Calculations!$D$12:$D$23)</f>
        <v>0</v>
      </c>
      <c r="CQ51" s="22">
        <f>SUMPRODUCT(Calculations!$BH$12:$BH$23,Calculations!$E$12:$E$23)</f>
        <v>0</v>
      </c>
      <c r="CR51" s="23">
        <f>IFERROR(($CP$51-$CQ$51)/$CQ$51,IF($CP$51&gt;0,1,0))</f>
        <v>0</v>
      </c>
      <c r="CS51" s="21">
        <f>($CP$51-$CQ$51)*1</f>
        <v>0</v>
      </c>
      <c r="CT51" s="22">
        <f>IFERROR(AVERAGE(Calculations!$BH$12:$BH$23)*SUM(Calculations!$D$12:$D$23),0)</f>
        <v>0</v>
      </c>
      <c r="CU51" s="21">
        <f>IFERROR(IF($CP$51&gt;=$CT$51,2,IF($CP$51&gt;=$CT$51*AmberBand,1,0)),1)</f>
        <v>0</v>
      </c>
    </row>
    <row r="52" spans="92:99">
      <c r="CN52" s="12" t="s">
        <v>1792</v>
      </c>
      <c r="CO52" s="21" t="s">
        <v>1764</v>
      </c>
      <c r="CP52" s="22">
        <f>SUMPRODUCT(Calculations!$BI$12:$BI$23,Calculations!$D$12:$D$23)</f>
        <v>0</v>
      </c>
      <c r="CQ52" s="22">
        <f>SUMPRODUCT(Calculations!$BI$12:$BI$23,Calculations!$E$12:$E$23)</f>
        <v>0</v>
      </c>
      <c r="CR52" s="23">
        <f>IFERROR(($CP$52-$CQ$52)/$CQ$52,IF($CP$52&gt;0,1,0))</f>
        <v>0</v>
      </c>
      <c r="CS52" s="21">
        <f>($CP$52-$CQ$52)*1</f>
        <v>0</v>
      </c>
      <c r="CT52" s="22">
        <f>IFERROR(AVERAGE(Calculations!$BI$12:$BI$23)*SUM(Calculations!$D$12:$D$23),0)</f>
        <v>0</v>
      </c>
      <c r="CU52" s="21">
        <f>IFERROR(IF($CP$52&gt;=$CT$52,2,IF($CP$52&gt;=$CT$52*AmberBand,1,0)),1)</f>
        <v>0</v>
      </c>
    </row>
    <row r="53" spans="92:99">
      <c r="CN53" s="12" t="s">
        <v>1793</v>
      </c>
      <c r="CO53" s="21" t="s">
        <v>1764</v>
      </c>
      <c r="CP53" s="22">
        <f>SUMPRODUCT(Calculations!$BJ$12:$BJ$23,Calculations!$D$12:$D$23)</f>
        <v>0</v>
      </c>
      <c r="CQ53" s="22">
        <f>SUMPRODUCT(Calculations!$BJ$12:$BJ$23,Calculations!$E$12:$E$23)</f>
        <v>0</v>
      </c>
      <c r="CR53" s="23">
        <f>IFERROR(($CP$53-$CQ$53)/$CQ$53,IF($CP$53&gt;0,1,0))</f>
        <v>0</v>
      </c>
      <c r="CS53" s="21">
        <f>($CP$53-$CQ$53)*1</f>
        <v>0</v>
      </c>
      <c r="CT53" s="22">
        <f>IFERROR(AVERAGE(Calculations!$BJ$12:$BJ$23)*SUM(Calculations!$D$12:$D$23),0)</f>
        <v>0</v>
      </c>
      <c r="CU53" s="21">
        <f>IFERROR(IF($CP$53&gt;=$CT$53,2,IF($CP$53&gt;=$CT$53*AmberBand,1,0)),1)</f>
        <v>0</v>
      </c>
    </row>
    <row r="54" spans="92:99">
      <c r="CN54" s="12" t="s">
        <v>1794</v>
      </c>
      <c r="CO54" s="21" t="s">
        <v>1764</v>
      </c>
      <c r="CP54" s="22">
        <f>SUMPRODUCT(Calculations!$Y$12:$Y$23,Calculations!$D$12:$D$23)</f>
        <v>0</v>
      </c>
      <c r="CQ54" s="22">
        <f>SUMPRODUCT(Calculations!$Y$12:$Y$23,Calculations!$E$12:$E$23)</f>
        <v>0</v>
      </c>
      <c r="CR54" s="23">
        <f>IFERROR(($CP$54-$CQ$54)/$CQ$54,IF($CP$54&gt;0,1,0))</f>
        <v>0</v>
      </c>
      <c r="CS54" s="21">
        <f>($CP$54-$CQ$54)*1</f>
        <v>0</v>
      </c>
      <c r="CT54" s="22">
        <f>IFERROR(AVERAGE(Calculations!$Y$12:$Y$23)*SUM(Calculations!$D$12:$D$23),0)</f>
        <v>0</v>
      </c>
      <c r="CU54" s="21">
        <f>IFERROR(IF($CP$54&gt;=$CT$54,2,IF($CP$54&gt;=$CT$54*AmberBand,1,0)),1)</f>
        <v>0</v>
      </c>
    </row>
    <row r="55" spans="92:99">
      <c r="CN55" s="12" t="s">
        <v>1795</v>
      </c>
      <c r="CO55" s="21" t="s">
        <v>1764</v>
      </c>
      <c r="CP55" s="23">
        <f>IFERROR(SUMPRODUCT(Calculations!$Z$12:$Z$23,Calculations!$D$12:$D$23)/SUMPRODUCT(Calculations!$Y$12:$Y$23,Calculations!$D$12:$D$23),0)*100</f>
        <v>0</v>
      </c>
      <c r="CQ55" s="23">
        <f>IFERROR(SUMPRODUCT(Calculations!$Z$12:$Z$23,Calculations!$E$12:$E$23)/SUMPRODUCT(Calculations!$Y$12:$Y$23,Calculations!$E$12:$E$23),0)*100</f>
        <v>0</v>
      </c>
      <c r="CR55" s="23">
        <f>IFERROR(($CP$55-$CQ$55)/$CQ$55,IF($CP$55&gt;0,1,0))</f>
        <v>0</v>
      </c>
      <c r="CS55" s="21">
        <f>($CP$55-$CQ$55)*1</f>
        <v>0</v>
      </c>
      <c r="CT55" s="23">
        <f>TgtPTW*100</f>
        <v>0</v>
      </c>
      <c r="CU55" s="21">
        <f>IFERROR(IF($CP$55&gt;=$CT$55,2,IF($CP$55&gt;=$CT$55*AmberBand,1,0)),1)</f>
        <v>0</v>
      </c>
    </row>
    <row r="56" spans="92:99">
      <c r="CN56" s="12" t="s">
        <v>1796</v>
      </c>
      <c r="CO56" s="21" t="s">
        <v>1764</v>
      </c>
      <c r="CP56" s="22">
        <f>SUMPRODUCT(Calculations!$AB$12:$AB$23,Calculations!$D$12:$D$23)</f>
        <v>0</v>
      </c>
      <c r="CQ56" s="22">
        <f>SUMPRODUCT(Calculations!$AB$12:$AB$23,Calculations!$E$12:$E$23)</f>
        <v>0</v>
      </c>
      <c r="CR56" s="23">
        <f>IFERROR(($CP$56-$CQ$56)/$CQ$56,IF($CP$56&gt;0,1,0))</f>
        <v>0</v>
      </c>
      <c r="CS56" s="21">
        <f>($CP$56-$CQ$56)*1</f>
        <v>0</v>
      </c>
      <c r="CT56" s="22">
        <f>IFERROR(AVERAGE(Calculations!$AB$12:$AB$23)*SUM(Calculations!$D$12:$D$23),0)</f>
        <v>0</v>
      </c>
      <c r="CU56" s="21">
        <f>IFERROR(IF($CP$56&gt;=$CT$56,2,IF($CP$56&gt;=$CT$56*AmberBand,1,0)),1)</f>
        <v>0</v>
      </c>
    </row>
    <row r="57" spans="92:99">
      <c r="CN57" s="12" t="s">
        <v>1797</v>
      </c>
      <c r="CO57" s="21" t="s">
        <v>1764</v>
      </c>
      <c r="CP57" s="23">
        <f>IFERROR(SUMPRODUCT(Calculations!$AC$12:$AC$23,Calculations!$D$12:$D$23)/SUMPRODUCT(Calculations!$AB$12:$AB$23,Calculations!$D$12:$D$23),0)*100</f>
        <v>0</v>
      </c>
      <c r="CQ57" s="23">
        <f>IFERROR(SUMPRODUCT(Calculations!$AC$12:$AC$23,Calculations!$E$12:$E$23)/SUMPRODUCT(Calculations!$AB$12:$AB$23,Calculations!$E$12:$E$23),0)*100</f>
        <v>0</v>
      </c>
      <c r="CR57" s="23">
        <f>IFERROR(($CP$57-$CQ$57)/$CQ$57,IF($CP$57&gt;0,1,0))</f>
        <v>0</v>
      </c>
      <c r="CS57" s="21">
        <f>($CP$57-$CQ$57)*1</f>
        <v>0</v>
      </c>
      <c r="CT57" s="23">
        <f>TgtCA*100</f>
        <v>0</v>
      </c>
      <c r="CU57" s="21">
        <f>IFERROR(IF($CP$57&gt;=$CT$57,2,IF($CP$57&gt;=$CT$57*AmberBand,1,0)),1)</f>
        <v>0</v>
      </c>
    </row>
    <row r="58" spans="92:99">
      <c r="CN58" s="12" t="s">
        <v>1798</v>
      </c>
      <c r="CO58" s="21" t="s">
        <v>1764</v>
      </c>
      <c r="CP58" s="22">
        <f>SUMPRODUCT(Calculations!$BL$12:$BL$23,Calculations!$D$12:$D$23)</f>
        <v>0</v>
      </c>
      <c r="CQ58" s="22">
        <f>SUMPRODUCT(Calculations!$BL$12:$BL$23,Calculations!$E$12:$E$23)</f>
        <v>0</v>
      </c>
      <c r="CR58" s="23">
        <f>IFERROR(($CP$58-$CQ$58)/$CQ$58,IF($CP$58&gt;0,1,0))</f>
        <v>0</v>
      </c>
      <c r="CS58" s="21">
        <f>($CP$58-$CQ$58)*1</f>
        <v>0</v>
      </c>
      <c r="CT58" s="22">
        <f>IFERROR(AVERAGE(Calculations!$BL$12:$BL$23)*SUM(Calculations!$D$12:$D$23),0)</f>
        <v>0</v>
      </c>
      <c r="CU58" s="21">
        <f>IFERROR(IF($CP$58&gt;=$CT$58,2,IF($CP$58&gt;=$CT$58*AmberBand,1,0)),1)</f>
        <v>0</v>
      </c>
    </row>
    <row r="59" spans="92:99">
      <c r="CN59" s="12" t="s">
        <v>1799</v>
      </c>
      <c r="CO59" s="21" t="s">
        <v>1764</v>
      </c>
      <c r="CP59" s="23">
        <f>IFERROR(SUMPRODUCT(Calculations!$BM$12:$BM$23,Calculations!$D$12:$D$23)/SUMPRODUCT(Calculations!$BL$12:$BL$23,Calculations!$D$12:$D$23),0)*100</f>
        <v>0</v>
      </c>
      <c r="CQ59" s="23">
        <f>IFERROR(SUMPRODUCT(Calculations!$BM$12:$BM$23,Calculations!$E$12:$E$23)/SUMPRODUCT(Calculations!$BL$12:$BL$23,Calculations!$E$12:$E$23),0)*100</f>
        <v>0</v>
      </c>
      <c r="CR59" s="23">
        <f>IFERROR(($CP$59-$CQ$59)/$CQ$59,IF($CP$59&gt;0,1,0))</f>
        <v>0</v>
      </c>
      <c r="CS59" s="21">
        <f>($CP$59-$CQ$59)*1</f>
        <v>0</v>
      </c>
      <c r="CT59" s="23">
        <f>TgtCloseout*100</f>
        <v>0</v>
      </c>
      <c r="CU59" s="21">
        <f>IFERROR(IF($CP$59&gt;=$CT$59,2,IF($CP$59&gt;=$CT$59*AmberBand,1,0)),1)</f>
        <v>0</v>
      </c>
    </row>
    <row r="60" spans="92:99">
      <c r="CN60" s="12" t="s">
        <v>1800</v>
      </c>
      <c r="CO60" s="21" t="s">
        <v>1764</v>
      </c>
      <c r="CP60" s="22">
        <f>SUMPRODUCT(Calculations!$BN$12:$BN$23,Calculations!$D$12:$D$23)</f>
        <v>0</v>
      </c>
      <c r="CQ60" s="22">
        <f>SUMPRODUCT(Calculations!$BN$12:$BN$23,Calculations!$E$12:$E$23)</f>
        <v>0</v>
      </c>
      <c r="CR60" s="23">
        <f>IFERROR(($CP$60-$CQ$60)/$CQ$60,IF($CP$60&gt;0,1,0))</f>
        <v>0</v>
      </c>
      <c r="CS60" s="21">
        <f>($CP$60-$CQ$60)*1</f>
        <v>0</v>
      </c>
      <c r="CT60" s="22">
        <f>IFERROR(AVERAGE(Calculations!$BN$12:$BN$23)*SUM(Calculations!$D$12:$D$23),0)</f>
        <v>0</v>
      </c>
      <c r="CU60" s="21">
        <f>IFERROR(IF($CP$60&gt;=$CT$60,2,IF($CP$60&gt;=$CT$60*AmberBand,1,0)),1)</f>
        <v>0</v>
      </c>
    </row>
    <row r="61" spans="92:99">
      <c r="CN61" s="12" t="s">
        <v>1801</v>
      </c>
      <c r="CO61" s="21" t="s">
        <v>1764</v>
      </c>
      <c r="CP61" s="23">
        <f>IFERROR(SUMPRODUCT(Calculations!$BO$12:$BO$23,Calculations!$D$12:$D$23)/SUMPRODUCT(Calculations!$BN$12:$BN$23,Calculations!$D$12:$D$23),0)*100</f>
        <v>0</v>
      </c>
      <c r="CQ61" s="23">
        <f>IFERROR(SUMPRODUCT(Calculations!$BO$12:$BO$23,Calculations!$E$12:$E$23)/SUMPRODUCT(Calculations!$BN$12:$BN$23,Calculations!$E$12:$E$23),0)*100</f>
        <v>0</v>
      </c>
      <c r="CR61" s="23">
        <f>IFERROR(($CP$61-$CQ$61)/$CQ$61,IF($CP$61&gt;0,1,0))</f>
        <v>0</v>
      </c>
      <c r="CS61" s="21">
        <f>($CP$61-$CQ$61)*1</f>
        <v>0</v>
      </c>
      <c r="CT61" s="23">
        <f>TgtCloseout*100</f>
        <v>0</v>
      </c>
      <c r="CU61" s="21">
        <f>IFERROR(IF($CP$61&gt;=$CT$61,2,IF($CP$61&gt;=$CT$61*AmberBand,1,0)),1)</f>
        <v>0</v>
      </c>
    </row>
    <row r="64" spans="92:99">
      <c r="CN64" s="16" t="s">
        <v>1802</v>
      </c>
    </row>
    <row r="65" spans="92:95">
      <c r="CN65" s="12" t="s">
        <v>1803</v>
      </c>
      <c r="CO65" s="21">
        <f>MIN(100,Calculations!$CP$29)/2</f>
        <v>0</v>
      </c>
      <c r="CP65" s="21">
        <f>50-$CO$65</f>
        <v>0</v>
      </c>
      <c r="CQ65" s="21">
        <v>50</v>
      </c>
    </row>
    <row r="66" spans="92:95">
      <c r="CN66" s="12" t="s">
        <v>1804</v>
      </c>
      <c r="CO66" s="21">
        <f>MIN(100,Calculations!$CP$55)/2</f>
        <v>0</v>
      </c>
      <c r="CP66" s="21">
        <f>50-$CO$66</f>
        <v>0</v>
      </c>
      <c r="CQ66" s="21">
        <v>50</v>
      </c>
    </row>
    <row r="67" spans="92:95">
      <c r="CN67" s="12" t="s">
        <v>1771</v>
      </c>
      <c r="CO67" s="21">
        <f>MIN(100,Calculations!$CP$31)/2</f>
        <v>0</v>
      </c>
      <c r="CP67" s="21">
        <f>50-$CO$67</f>
        <v>0</v>
      </c>
      <c r="CQ67" s="21">
        <v>50</v>
      </c>
    </row>
    <row r="68" spans="92:95">
      <c r="CN68" s="12" t="s">
        <v>1797</v>
      </c>
      <c r="CO68" s="21">
        <f>MIN(100,Calculations!$CP$57)/2</f>
        <v>0</v>
      </c>
      <c r="CP68" s="21">
        <f>50-$CO$68</f>
        <v>0</v>
      </c>
      <c r="CQ68" s="21">
        <v>50</v>
      </c>
    </row>
    <row r="69" spans="92:95">
      <c r="CN69" s="12" t="s">
        <v>1805</v>
      </c>
      <c r="CO69" s="21">
        <f>MIN(100,Calculations!$CP$33)/2</f>
        <v>0</v>
      </c>
      <c r="CP69" s="21">
        <f>50-$CO$69</f>
        <v>0</v>
      </c>
      <c r="CQ69" s="21">
        <v>50</v>
      </c>
    </row>
    <row r="70" spans="92:95">
      <c r="CN70" s="12" t="s">
        <v>1806</v>
      </c>
      <c r="CO70" s="21">
        <f>MIN(100,Calculations!$CP$22)/2</f>
        <v>0</v>
      </c>
      <c r="CP70" s="21">
        <f>50-$CO$70</f>
        <v>0</v>
      </c>
      <c r="CQ70" s="21">
        <v>50</v>
      </c>
    </row>
    <row r="72" spans="92:95">
      <c r="CN72" s="11" t="s">
        <v>1752</v>
      </c>
      <c r="CO72" s="11" t="s">
        <v>1825</v>
      </c>
      <c r="CP72" s="11" t="s">
        <v>1826</v>
      </c>
    </row>
    <row r="73" spans="92:95">
      <c r="CN73" s="12" t="s">
        <v>1647</v>
      </c>
      <c r="CO73" s="21">
        <f>Calculations!$CR$12*-1</f>
        <v>0</v>
      </c>
      <c r="CP73" s="24">
        <f>CO73+ROW()/100000</f>
        <v>0</v>
      </c>
    </row>
    <row r="74" spans="92:95">
      <c r="CN74" s="12" t="s">
        <v>1649</v>
      </c>
      <c r="CO74" s="21">
        <f>Calculations!$CR$13*-1</f>
        <v>0</v>
      </c>
      <c r="CP74" s="24">
        <f>CO74+ROW()/100000</f>
        <v>0</v>
      </c>
    </row>
    <row r="75" spans="92:95">
      <c r="CN75" s="12" t="s">
        <v>1756</v>
      </c>
      <c r="CO75" s="21">
        <f>Calculations!$CR$14*-1</f>
        <v>0</v>
      </c>
      <c r="CP75" s="24">
        <f>CO75+ROW()/100000</f>
        <v>0</v>
      </c>
    </row>
    <row r="76" spans="92:95">
      <c r="CN76" s="12" t="s">
        <v>1757</v>
      </c>
      <c r="CO76" s="21">
        <f>Calculations!$CR$15*-1</f>
        <v>0</v>
      </c>
      <c r="CP76" s="24">
        <f>CO76+ROW()/100000</f>
        <v>0</v>
      </c>
    </row>
    <row r="77" spans="92:95">
      <c r="CN77" s="12" t="s">
        <v>1758</v>
      </c>
      <c r="CO77" s="21">
        <f>Calculations!$CR$16*-1</f>
        <v>0</v>
      </c>
      <c r="CP77" s="24">
        <f>CO77+ROW()/100000</f>
        <v>0</v>
      </c>
    </row>
    <row r="78" spans="92:95">
      <c r="CN78" s="12" t="s">
        <v>1494</v>
      </c>
      <c r="CO78" s="21">
        <f>Calculations!$CR$17*-1</f>
        <v>0</v>
      </c>
      <c r="CP78" s="24">
        <f>CO78+ROW()/100000</f>
        <v>0</v>
      </c>
    </row>
    <row r="79" spans="92:95">
      <c r="CN79" s="12" t="s">
        <v>1507</v>
      </c>
      <c r="CO79" s="21">
        <f>Calculations!$CR$18*-1</f>
        <v>0</v>
      </c>
      <c r="CP79" s="24">
        <f>CO79+ROW()/100000</f>
        <v>0</v>
      </c>
    </row>
    <row r="80" spans="92:95">
      <c r="CN80" s="12" t="s">
        <v>1590</v>
      </c>
      <c r="CO80" s="21">
        <f>Calculations!$CR$19*-1</f>
        <v>0</v>
      </c>
      <c r="CP80" s="24">
        <f>CO80+ROW()/100000</f>
        <v>0</v>
      </c>
    </row>
    <row r="81" spans="92:94">
      <c r="CN81" s="12" t="s">
        <v>1759</v>
      </c>
      <c r="CO81" s="21">
        <f>Calculations!$CR$20*-1</f>
        <v>0</v>
      </c>
      <c r="CP81" s="24">
        <f>CO81+ROW()/100000</f>
        <v>0</v>
      </c>
    </row>
    <row r="82" spans="92:94">
      <c r="CN82" s="12" t="s">
        <v>1760</v>
      </c>
      <c r="CO82" s="21">
        <f>Calculations!$CR$21*-1</f>
        <v>0</v>
      </c>
      <c r="CP82" s="24">
        <f>CO82+ROW()/100000</f>
        <v>0</v>
      </c>
    </row>
    <row r="83" spans="92:94">
      <c r="CN83" s="12" t="s">
        <v>1761</v>
      </c>
      <c r="CO83" s="21">
        <f>Calculations!$CR$22*1</f>
        <v>0</v>
      </c>
      <c r="CP83" s="24">
        <f>CO83+ROW()/100000</f>
        <v>0</v>
      </c>
    </row>
    <row r="84" spans="92:94">
      <c r="CN84" s="12" t="s">
        <v>1762</v>
      </c>
      <c r="CO84" s="21">
        <f>Calculations!$CR$23*-1</f>
        <v>0</v>
      </c>
      <c r="CP84" s="24">
        <f>CO84+ROW()/100000</f>
        <v>0</v>
      </c>
    </row>
    <row r="85" spans="92:94">
      <c r="CN85" s="12" t="s">
        <v>1763</v>
      </c>
      <c r="CO85" s="21">
        <f>Calculations!$CR$24*1</f>
        <v>0</v>
      </c>
      <c r="CP85" s="24">
        <f>CO85+ROW()/100000</f>
        <v>0</v>
      </c>
    </row>
    <row r="86" spans="92:94">
      <c r="CN86" s="12" t="s">
        <v>1765</v>
      </c>
      <c r="CO86" s="21">
        <f>Calculations!$CR$25*1</f>
        <v>0</v>
      </c>
      <c r="CP86" s="24">
        <f>CO86+ROW()/100000</f>
        <v>0</v>
      </c>
    </row>
    <row r="87" spans="92:94">
      <c r="CN87" s="12" t="s">
        <v>1766</v>
      </c>
      <c r="CO87" s="21">
        <f>Calculations!$CR$26*1</f>
        <v>0</v>
      </c>
      <c r="CP87" s="24">
        <f>CO87+ROW()/100000</f>
        <v>0</v>
      </c>
    </row>
    <row r="88" spans="92:94">
      <c r="CN88" s="12" t="s">
        <v>1767</v>
      </c>
      <c r="CO88" s="21">
        <f>Calculations!$CR$27*1</f>
        <v>0</v>
      </c>
      <c r="CP88" s="24">
        <f>CO88+ROW()/100000</f>
        <v>0</v>
      </c>
    </row>
    <row r="89" spans="92:94">
      <c r="CN89" s="12" t="s">
        <v>1768</v>
      </c>
      <c r="CO89" s="21">
        <f>Calculations!$CR$28*1</f>
        <v>0</v>
      </c>
      <c r="CP89" s="24">
        <f>CO89+ROW()/100000</f>
        <v>0</v>
      </c>
    </row>
    <row r="90" spans="92:94">
      <c r="CN90" s="12" t="s">
        <v>1769</v>
      </c>
      <c r="CO90" s="21">
        <f>Calculations!$CR$29*1</f>
        <v>0</v>
      </c>
      <c r="CP90" s="24">
        <f>CO90+ROW()/100000</f>
        <v>0</v>
      </c>
    </row>
    <row r="91" spans="92:94">
      <c r="CN91" s="12" t="s">
        <v>1770</v>
      </c>
      <c r="CO91" s="21">
        <f>Calculations!$CR$30*1</f>
        <v>0</v>
      </c>
      <c r="CP91" s="24">
        <f>CO91+ROW()/100000</f>
        <v>0</v>
      </c>
    </row>
    <row r="92" spans="92:94">
      <c r="CN92" s="12" t="s">
        <v>1771</v>
      </c>
      <c r="CO92" s="21">
        <f>Calculations!$CR$31*1</f>
        <v>0</v>
      </c>
      <c r="CP92" s="24">
        <f>CO92+ROW()/100000</f>
        <v>0</v>
      </c>
    </row>
    <row r="93" spans="92:94">
      <c r="CN93" s="12" t="s">
        <v>1772</v>
      </c>
      <c r="CO93" s="21">
        <f>Calculations!$CR$32*1</f>
        <v>0</v>
      </c>
      <c r="CP93" s="24">
        <f>CO93+ROW()/100000</f>
        <v>0</v>
      </c>
    </row>
    <row r="94" spans="92:94">
      <c r="CN94" s="12" t="s">
        <v>1773</v>
      </c>
      <c r="CO94" s="21">
        <f>Calculations!$CR$33*1</f>
        <v>0</v>
      </c>
      <c r="CP94" s="24">
        <f>CO94+ROW()/100000</f>
        <v>0</v>
      </c>
    </row>
    <row r="95" spans="92:94">
      <c r="CN95" s="12" t="s">
        <v>1774</v>
      </c>
      <c r="CO95" s="21">
        <f>Calculations!$CR$34*1</f>
        <v>0</v>
      </c>
      <c r="CP95" s="24">
        <f>CO95+ROW()/100000</f>
        <v>0</v>
      </c>
    </row>
    <row r="96" spans="92:94">
      <c r="CN96" s="12" t="s">
        <v>1775</v>
      </c>
      <c r="CO96" s="21">
        <f>Calculations!$CR$35*-1</f>
        <v>0</v>
      </c>
      <c r="CP96" s="24">
        <f>CO96+ROW()/100000</f>
        <v>0</v>
      </c>
    </row>
    <row r="97" spans="92:94">
      <c r="CN97" s="12" t="s">
        <v>1776</v>
      </c>
      <c r="CO97" s="21">
        <f>Calculations!$CR$36*1</f>
        <v>0</v>
      </c>
      <c r="CP97" s="24">
        <f>CO97+ROW()/100000</f>
        <v>0</v>
      </c>
    </row>
    <row r="98" spans="92:94">
      <c r="CN98" s="12" t="s">
        <v>1777</v>
      </c>
      <c r="CO98" s="21">
        <f>Calculations!$CR$37*1</f>
        <v>0</v>
      </c>
      <c r="CP98" s="24">
        <f>CO98+ROW()/100000</f>
        <v>0</v>
      </c>
    </row>
    <row r="99" spans="92:94">
      <c r="CN99" s="12" t="s">
        <v>1778</v>
      </c>
      <c r="CO99" s="21">
        <f>Calculations!$CR$38*1</f>
        <v>0</v>
      </c>
      <c r="CP99" s="24">
        <f>CO99+ROW()/100000</f>
        <v>0</v>
      </c>
    </row>
    <row r="100" spans="92:94">
      <c r="CN100" s="12" t="s">
        <v>1779</v>
      </c>
      <c r="CO100" s="21">
        <f>Calculations!$CR$39*1</f>
        <v>0</v>
      </c>
      <c r="CP100" s="24">
        <f>CO100+ROW()/100000</f>
        <v>0</v>
      </c>
    </row>
    <row r="101" spans="92:94">
      <c r="CN101" s="12" t="s">
        <v>1780</v>
      </c>
      <c r="CO101" s="21">
        <f>Calculations!$CR$40*1</f>
        <v>0</v>
      </c>
      <c r="CP101" s="24">
        <f>CO101+ROW()/100000</f>
        <v>0</v>
      </c>
    </row>
    <row r="102" spans="92:94">
      <c r="CN102" s="12" t="s">
        <v>1781</v>
      </c>
      <c r="CO102" s="21">
        <f>Calculations!$CR$41*1</f>
        <v>0</v>
      </c>
      <c r="CP102" s="24">
        <f>CO102+ROW()/100000</f>
        <v>0</v>
      </c>
    </row>
    <row r="103" spans="92:94">
      <c r="CN103" s="12" t="s">
        <v>1782</v>
      </c>
      <c r="CO103" s="21">
        <f>Calculations!$CR$42*1</f>
        <v>0</v>
      </c>
      <c r="CP103" s="24">
        <f>CO103+ROW()/100000</f>
        <v>0</v>
      </c>
    </row>
    <row r="104" spans="92:94">
      <c r="CN104" s="12" t="s">
        <v>1783</v>
      </c>
      <c r="CO104" s="21">
        <f>Calculations!$CR$43*1</f>
        <v>0</v>
      </c>
      <c r="CP104" s="24">
        <f>CO104+ROW()/100000</f>
        <v>0</v>
      </c>
    </row>
    <row r="105" spans="92:94">
      <c r="CN105" s="12" t="s">
        <v>1784</v>
      </c>
      <c r="CO105" s="21">
        <f>Calculations!$CR$44*-1</f>
        <v>0</v>
      </c>
      <c r="CP105" s="24">
        <f>CO105+ROW()/100000</f>
        <v>0</v>
      </c>
    </row>
    <row r="106" spans="92:94">
      <c r="CN106" s="12" t="s">
        <v>1785</v>
      </c>
      <c r="CO106" s="21">
        <f>Calculations!$CR$45*1</f>
        <v>0</v>
      </c>
      <c r="CP106" s="24">
        <f>CO106+ROW()/100000</f>
        <v>0</v>
      </c>
    </row>
    <row r="107" spans="92:94">
      <c r="CN107" s="12" t="s">
        <v>1786</v>
      </c>
      <c r="CO107" s="21">
        <f>Calculations!$CR$46*-1</f>
        <v>0</v>
      </c>
      <c r="CP107" s="24">
        <f>CO107+ROW()/100000</f>
        <v>0</v>
      </c>
    </row>
    <row r="108" spans="92:94">
      <c r="CN108" s="12" t="s">
        <v>1787</v>
      </c>
      <c r="CO108" s="21">
        <f>Calculations!$CR$47*1</f>
        <v>0</v>
      </c>
      <c r="CP108" s="24">
        <f>CO108+ROW()/100000</f>
        <v>0</v>
      </c>
    </row>
    <row r="109" spans="92:94">
      <c r="CN109" s="12" t="s">
        <v>1788</v>
      </c>
      <c r="CO109" s="21">
        <f>Calculations!$CR$48*1</f>
        <v>0</v>
      </c>
      <c r="CP109" s="24">
        <f>CO109+ROW()/100000</f>
        <v>0</v>
      </c>
    </row>
    <row r="110" spans="92:94">
      <c r="CN110" s="12" t="s">
        <v>1789</v>
      </c>
      <c r="CO110" s="21">
        <f>Calculations!$CR$49*1</f>
        <v>0</v>
      </c>
      <c r="CP110" s="24">
        <f>CO110+ROW()/100000</f>
        <v>0</v>
      </c>
    </row>
    <row r="111" spans="92:94">
      <c r="CN111" s="12" t="s">
        <v>1790</v>
      </c>
      <c r="CO111" s="21">
        <f>Calculations!$CR$50*1</f>
        <v>0</v>
      </c>
      <c r="CP111" s="24">
        <f>CO111+ROW()/100000</f>
        <v>0</v>
      </c>
    </row>
    <row r="112" spans="92:94">
      <c r="CN112" s="12" t="s">
        <v>1791</v>
      </c>
      <c r="CO112" s="21">
        <f>Calculations!$CR$51*1</f>
        <v>0</v>
      </c>
      <c r="CP112" s="24">
        <f>CO112+ROW()/100000</f>
        <v>0</v>
      </c>
    </row>
    <row r="113" spans="92:94">
      <c r="CN113" s="12" t="s">
        <v>1792</v>
      </c>
      <c r="CO113" s="21">
        <f>Calculations!$CR$52*1</f>
        <v>0</v>
      </c>
      <c r="CP113" s="24">
        <f>CO113+ROW()/100000</f>
        <v>0</v>
      </c>
    </row>
    <row r="114" spans="92:94">
      <c r="CN114" s="12" t="s">
        <v>1793</v>
      </c>
      <c r="CO114" s="21">
        <f>Calculations!$CR$53*1</f>
        <v>0</v>
      </c>
      <c r="CP114" s="24">
        <f>CO114+ROW()/100000</f>
        <v>0</v>
      </c>
    </row>
    <row r="115" spans="92:94">
      <c r="CN115" s="12" t="s">
        <v>1794</v>
      </c>
      <c r="CO115" s="21">
        <f>Calculations!$CR$54*1</f>
        <v>0</v>
      </c>
      <c r="CP115" s="24">
        <f>CO115+ROW()/100000</f>
        <v>0</v>
      </c>
    </row>
    <row r="116" spans="92:94">
      <c r="CN116" s="12" t="s">
        <v>1795</v>
      </c>
      <c r="CO116" s="21">
        <f>Calculations!$CR$55*1</f>
        <v>0</v>
      </c>
      <c r="CP116" s="24">
        <f>CO116+ROW()/100000</f>
        <v>0</v>
      </c>
    </row>
    <row r="117" spans="92:94">
      <c r="CN117" s="12" t="s">
        <v>1796</v>
      </c>
      <c r="CO117" s="21">
        <f>Calculations!$CR$56*1</f>
        <v>0</v>
      </c>
      <c r="CP117" s="24">
        <f>CO117+ROW()/100000</f>
        <v>0</v>
      </c>
    </row>
    <row r="118" spans="92:94">
      <c r="CN118" s="12" t="s">
        <v>1797</v>
      </c>
      <c r="CO118" s="21">
        <f>Calculations!$CR$57*1</f>
        <v>0</v>
      </c>
      <c r="CP118" s="24">
        <f>CO118+ROW()/100000</f>
        <v>0</v>
      </c>
    </row>
    <row r="119" spans="92:94">
      <c r="CN119" s="12" t="s">
        <v>1798</v>
      </c>
      <c r="CO119" s="21">
        <f>Calculations!$CR$58*1</f>
        <v>0</v>
      </c>
      <c r="CP119" s="24">
        <f>CO119+ROW()/100000</f>
        <v>0</v>
      </c>
    </row>
    <row r="120" spans="92:94">
      <c r="CN120" s="12" t="s">
        <v>1799</v>
      </c>
      <c r="CO120" s="21">
        <f>Calculations!$CR$59*1</f>
        <v>0</v>
      </c>
      <c r="CP120" s="24">
        <f>CO120+ROW()/100000</f>
        <v>0</v>
      </c>
    </row>
    <row r="121" spans="92:94">
      <c r="CN121" s="12" t="s">
        <v>1800</v>
      </c>
      <c r="CO121" s="21">
        <f>Calculations!$CR$60*1</f>
        <v>0</v>
      </c>
      <c r="CP121" s="24">
        <f>CO121+ROW()/100000</f>
        <v>0</v>
      </c>
    </row>
    <row r="122" spans="92:94">
      <c r="CN122" s="12" t="s">
        <v>1801</v>
      </c>
      <c r="CO122" s="21">
        <f>Calculations!$CR$61*1</f>
        <v>0</v>
      </c>
      <c r="CP122" s="24">
        <f>CO122+ROW()/100000</f>
        <v>0</v>
      </c>
    </row>
    <row r="124" spans="92:94">
      <c r="CN124" s="11" t="s">
        <v>1827</v>
      </c>
      <c r="CO124" s="11" t="s">
        <v>1828</v>
      </c>
    </row>
    <row r="125" spans="92:94">
      <c r="CN125" s="12">
        <f>INDEX($CN$73:$CN$122,MATCH(LARGE($CP$73:$CP$122,1),$CP$73:$CP$122,0))</f>
        <v>0</v>
      </c>
      <c r="CO125" s="25">
        <f>INDEX($CO$73:$CO$122,MATCH(LARGE($CP$73:$CP$122,1),$CP$73:$CP$122,0))</f>
        <v>0</v>
      </c>
    </row>
    <row r="126" spans="92:94">
      <c r="CN126" s="12">
        <f>INDEX($CN$73:$CN$122,MATCH(LARGE($CP$73:$CP$122,2),$CP$73:$CP$122,0))</f>
        <v>0</v>
      </c>
      <c r="CO126" s="25">
        <f>INDEX($CO$73:$CO$122,MATCH(LARGE($CP$73:$CP$122,2),$CP$73:$CP$122,0))</f>
        <v>0</v>
      </c>
    </row>
    <row r="127" spans="92:94">
      <c r="CN127" s="12">
        <f>INDEX($CN$73:$CN$122,MATCH(LARGE($CP$73:$CP$122,3),$CP$73:$CP$122,0))</f>
        <v>0</v>
      </c>
      <c r="CO127" s="25">
        <f>INDEX($CO$73:$CO$122,MATCH(LARGE($CP$73:$CP$122,3),$CP$73:$CP$122,0))</f>
        <v>0</v>
      </c>
    </row>
    <row r="128" spans="92:94">
      <c r="CN128" s="11" t="s">
        <v>1829</v>
      </c>
      <c r="CO128" s="11" t="s">
        <v>1828</v>
      </c>
    </row>
    <row r="129" spans="2:93">
      <c r="CN129" s="12">
        <f>INDEX($CN$73:$CN$122,MATCH(SMALL($CP$73:$CP$122,1),$CP$73:$CP$122,0))</f>
        <v>0</v>
      </c>
      <c r="CO129" s="25">
        <f>INDEX($CO$73:$CO$122,MATCH(SMALL($CP$73:$CP$122,1),$CP$73:$CP$122,0))</f>
        <v>0</v>
      </c>
    </row>
    <row r="130" spans="2:93">
      <c r="CN130" s="12">
        <f>INDEX($CN$73:$CN$122,MATCH(SMALL($CP$73:$CP$122,2),$CP$73:$CP$122,0))</f>
        <v>0</v>
      </c>
      <c r="CO130" s="25">
        <f>INDEX($CO$73:$CO$122,MATCH(SMALL($CP$73:$CP$122,2),$CP$73:$CP$122,0))</f>
        <v>0</v>
      </c>
    </row>
    <row r="131" spans="2:93">
      <c r="CN131" s="12">
        <f>INDEX($CN$73:$CN$122,MATCH(SMALL($CP$73:$CP$122,3),$CP$73:$CP$122,0))</f>
        <v>0</v>
      </c>
      <c r="CO131" s="25">
        <f>INDEX($CO$73:$CO$122,MATCH(SMALL($CP$73:$CP$122,3),$CP$73:$CP$122,0))</f>
        <v>0</v>
      </c>
    </row>
    <row r="134" spans="2:93">
      <c r="B134" s="16" t="s">
        <v>1830</v>
      </c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2:93">
      <c r="B135" s="11" t="s">
        <v>1588</v>
      </c>
      <c r="C135" s="11" t="s">
        <v>1808</v>
      </c>
      <c r="D135" s="11" t="s">
        <v>1826</v>
      </c>
      <c r="E135" s="11" t="s">
        <v>1831</v>
      </c>
      <c r="F135" s="11" t="s">
        <v>1832</v>
      </c>
      <c r="G135" s="11" t="s">
        <v>1833</v>
      </c>
    </row>
    <row r="136" spans="2:93">
      <c r="B136" s="12" t="s">
        <v>1318</v>
      </c>
      <c r="C136" s="22">
        <f>COUNTIFS('Incident'!$T$4:$T$100003,"Human Error",'Incident'!$D$4:$D$100003,mCrit,'Incident'!$H$4:$H$100003,dCrit)</f>
        <v>0</v>
      </c>
      <c r="D136" s="24">
        <f>C136+ROW()/100000</f>
        <v>0</v>
      </c>
      <c r="E136" s="12">
        <f>INDEX($B$136:$B$143,MATCH(LARGE($D$136:$D$143,1),$D$136:$D$143,0))</f>
        <v>0</v>
      </c>
      <c r="F136" s="22">
        <f>INT(LARGE($D$136:$D$143,1))</f>
        <v>0</v>
      </c>
      <c r="G136" s="23">
        <f>IFERROR(SUM($F$136:F$136)/SUM($C$136:$C$143)*100,0)</f>
        <v>0</v>
      </c>
    </row>
    <row r="137" spans="2:93">
      <c r="B137" s="12" t="s">
        <v>300</v>
      </c>
      <c r="C137" s="22">
        <f>COUNTIFS('Incident'!$T$4:$T$100003,"Unsafe Act",'Incident'!$D$4:$D$100003,mCrit,'Incident'!$H$4:$H$100003,dCrit)</f>
        <v>0</v>
      </c>
      <c r="D137" s="24">
        <f>C137+ROW()/100000</f>
        <v>0</v>
      </c>
      <c r="E137" s="12">
        <f>INDEX($B$136:$B$143,MATCH(LARGE($D$136:$D$143,2),$D$136:$D$143,0))</f>
        <v>0</v>
      </c>
      <c r="F137" s="22">
        <f>INT(LARGE($D$136:$D$143,2))</f>
        <v>0</v>
      </c>
      <c r="G137" s="23">
        <f>IFERROR(SUM($F$136:F$137)/SUM($C$136:$C$143)*100,0)</f>
        <v>0</v>
      </c>
    </row>
    <row r="138" spans="2:93">
      <c r="B138" s="12" t="s">
        <v>296</v>
      </c>
      <c r="C138" s="22">
        <f>COUNTIFS('Incident'!$T$4:$T$100003,"Unsafe Condition",'Incident'!$D$4:$D$100003,mCrit,'Incident'!$H$4:$H$100003,dCrit)</f>
        <v>0</v>
      </c>
      <c r="D138" s="24">
        <f>C138+ROW()/100000</f>
        <v>0</v>
      </c>
      <c r="E138" s="12">
        <f>INDEX($B$136:$B$143,MATCH(LARGE($D$136:$D$143,3),$D$136:$D$143,0))</f>
        <v>0</v>
      </c>
      <c r="F138" s="22">
        <f>INT(LARGE($D$136:$D$143,3))</f>
        <v>0</v>
      </c>
      <c r="G138" s="23">
        <f>IFERROR(SUM($F$136:F$138)/SUM($C$136:$C$143)*100,0)</f>
        <v>0</v>
      </c>
    </row>
    <row r="139" spans="2:93">
      <c r="B139" s="12" t="s">
        <v>1315</v>
      </c>
      <c r="C139" s="22">
        <f>COUNTIFS('Incident'!$T$4:$T$100003,"Inadequate Procedure",'Incident'!$D$4:$D$100003,mCrit,'Incident'!$H$4:$H$100003,dCrit)</f>
        <v>0</v>
      </c>
      <c r="D139" s="24">
        <f>C139+ROW()/100000</f>
        <v>0</v>
      </c>
      <c r="E139" s="12">
        <f>INDEX($B$136:$B$143,MATCH(LARGE($D$136:$D$143,4),$D$136:$D$143,0))</f>
        <v>0</v>
      </c>
      <c r="F139" s="22">
        <f>INT(LARGE($D$136:$D$143,4))</f>
        <v>0</v>
      </c>
      <c r="G139" s="23">
        <f>IFERROR(SUM($F$136:F$139)/SUM($C$136:$C$143)*100,0)</f>
        <v>0</v>
      </c>
    </row>
    <row r="140" spans="2:93">
      <c r="B140" s="12" t="s">
        <v>1337</v>
      </c>
      <c r="C140" s="22">
        <f>COUNTIFS('Incident'!$T$4:$T$100003,"Lack of Training",'Incident'!$D$4:$D$100003,mCrit,'Incident'!$H$4:$H$100003,dCrit)</f>
        <v>0</v>
      </c>
      <c r="D140" s="24">
        <f>C140+ROW()/100000</f>
        <v>0</v>
      </c>
      <c r="E140" s="12">
        <f>INDEX($B$136:$B$143,MATCH(LARGE($D$136:$D$143,5),$D$136:$D$143,0))</f>
        <v>0</v>
      </c>
      <c r="F140" s="22">
        <f>INT(LARGE($D$136:$D$143,5))</f>
        <v>0</v>
      </c>
      <c r="G140" s="23">
        <f>IFERROR(SUM($F$136:F$140)/SUM($C$136:$C$143)*100,0)</f>
        <v>0</v>
      </c>
    </row>
    <row r="141" spans="2:93">
      <c r="B141" s="12" t="s">
        <v>1330</v>
      </c>
      <c r="C141" s="22">
        <f>COUNTIFS('Incident'!$T$4:$T$100003,"Equipment Failure",'Incident'!$D$4:$D$100003,mCrit,'Incident'!$H$4:$H$100003,dCrit)</f>
        <v>0</v>
      </c>
      <c r="D141" s="24">
        <f>C141+ROW()/100000</f>
        <v>0</v>
      </c>
      <c r="E141" s="12">
        <f>INDEX($B$136:$B$143,MATCH(LARGE($D$136:$D$143,6),$D$136:$D$143,0))</f>
        <v>0</v>
      </c>
      <c r="F141" s="22">
        <f>INT(LARGE($D$136:$D$143,6))</f>
        <v>0</v>
      </c>
      <c r="G141" s="23">
        <f>IFERROR(SUM($F$136:F$141)/SUM($C$136:$C$143)*100,0)</f>
        <v>0</v>
      </c>
    </row>
    <row r="142" spans="2:93">
      <c r="B142" s="12" t="s">
        <v>1310</v>
      </c>
      <c r="C142" s="22">
        <f>COUNTIFS('Incident'!$T$4:$T$100003,"PPE Not Used",'Incident'!$D$4:$D$100003,mCrit,'Incident'!$H$4:$H$100003,dCrit)</f>
        <v>0</v>
      </c>
      <c r="D142" s="24">
        <f>C142+ROW()/100000</f>
        <v>0</v>
      </c>
      <c r="E142" s="12">
        <f>INDEX($B$136:$B$143,MATCH(LARGE($D$136:$D$143,7),$D$136:$D$143,0))</f>
        <v>0</v>
      </c>
      <c r="F142" s="22">
        <f>INT(LARGE($D$136:$D$143,7))</f>
        <v>0</v>
      </c>
      <c r="G142" s="23">
        <f>IFERROR(SUM($F$136:F$142)/SUM($C$136:$C$143)*100,0)</f>
        <v>0</v>
      </c>
    </row>
    <row r="143" spans="2:93">
      <c r="B143" s="12" t="s">
        <v>1312</v>
      </c>
      <c r="C143" s="22">
        <f>COUNTIFS('Incident'!$T$4:$T$100003,"Poor Housekeeping",'Incident'!$D$4:$D$100003,mCrit,'Incident'!$H$4:$H$100003,dCrit)</f>
        <v>0</v>
      </c>
      <c r="D143" s="24">
        <f>C143+ROW()/100000</f>
        <v>0</v>
      </c>
      <c r="E143" s="12">
        <f>INDEX($B$136:$B$143,MATCH(LARGE($D$136:$D$143,8),$D$136:$D$143,0))</f>
        <v>0</v>
      </c>
      <c r="F143" s="22">
        <f>INT(LARGE($D$136:$D$143,8))</f>
        <v>0</v>
      </c>
      <c r="G143" s="23">
        <f>IFERROR(SUM($F$136:F$143)/SUM($C$136:$C$143)*100,0)</f>
        <v>0</v>
      </c>
    </row>
    <row r="145" spans="2:8">
      <c r="B145" s="11" t="s">
        <v>129</v>
      </c>
      <c r="C145" s="11" t="s">
        <v>1834</v>
      </c>
      <c r="D145" s="11" t="s">
        <v>1757</v>
      </c>
      <c r="E145" s="11" t="s">
        <v>1494</v>
      </c>
    </row>
    <row r="146" spans="2:8">
      <c r="B146" s="12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2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2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2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2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2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2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2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2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2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1" t="s">
        <v>1835</v>
      </c>
      <c r="C157" s="11" t="s">
        <v>1836</v>
      </c>
      <c r="D157" s="11" t="s">
        <v>1837</v>
      </c>
      <c r="E157" s="11" t="s">
        <v>1838</v>
      </c>
      <c r="F157" s="11" t="s">
        <v>1839</v>
      </c>
      <c r="G157" s="11" t="s">
        <v>65</v>
      </c>
      <c r="H157" s="11" t="s">
        <v>1840</v>
      </c>
    </row>
    <row r="158" spans="2:8">
      <c r="B158" s="11" t="s">
        <v>162</v>
      </c>
      <c r="C158" s="26">
        <f>COUNTIFS('Incident'!$U$4:$U$100003,"Critical",'Incident'!$D$4:$D$100003,mCrit,'Incident'!$H$4:$H$100003,"Operations")</f>
        <v>0</v>
      </c>
      <c r="D158" s="26">
        <f>COUNTIFS('Incident'!$U$4:$U$100003,"Critical",'Incident'!$D$4:$D$100003,mCrit,'Incident'!$H$4:$H$100003,"Maintenance")</f>
        <v>0</v>
      </c>
      <c r="E158" s="26">
        <f>COUNTIFS('Incident'!$U$4:$U$100003,"Critical",'Incident'!$D$4:$D$100003,mCrit,'Incident'!$H$4:$H$100003,"Engineering")</f>
        <v>0</v>
      </c>
      <c r="F158" s="26">
        <f>COUNTIFS('Incident'!$U$4:$U$100003,"Critical",'Incident'!$D$4:$D$100003,mCrit,'Incident'!$H$4:$H$100003,"Construction")</f>
        <v>0</v>
      </c>
      <c r="G158" s="26">
        <f>COUNTIFS('Incident'!$U$4:$U$100003,"Critical",'Incident'!$D$4:$D$100003,mCrit,'Incident'!$H$4:$H$100003,"Safety")</f>
        <v>0</v>
      </c>
      <c r="H158" s="26">
        <f>COUNTIFS('Incident'!$U$4:$U$100003,"Critical",'Incident'!$D$4:$D$100003,mCrit,'Incident'!$H$4:$H$100003,"Logistics")</f>
        <v>0</v>
      </c>
    </row>
    <row r="159" spans="2:8">
      <c r="B159" s="11" t="s">
        <v>159</v>
      </c>
      <c r="C159" s="26">
        <f>COUNTIFS('Incident'!$U$4:$U$100003,"High",'Incident'!$D$4:$D$100003,mCrit,'Incident'!$H$4:$H$100003,"Operations")</f>
        <v>0</v>
      </c>
      <c r="D159" s="26">
        <f>COUNTIFS('Incident'!$U$4:$U$100003,"High",'Incident'!$D$4:$D$100003,mCrit,'Incident'!$H$4:$H$100003,"Maintenance")</f>
        <v>0</v>
      </c>
      <c r="E159" s="26">
        <f>COUNTIFS('Incident'!$U$4:$U$100003,"High",'Incident'!$D$4:$D$100003,mCrit,'Incident'!$H$4:$H$100003,"Engineering")</f>
        <v>0</v>
      </c>
      <c r="F159" s="26">
        <f>COUNTIFS('Incident'!$U$4:$U$100003,"High",'Incident'!$D$4:$D$100003,mCrit,'Incident'!$H$4:$H$100003,"Construction")</f>
        <v>0</v>
      </c>
      <c r="G159" s="26">
        <f>COUNTIFS('Incident'!$U$4:$U$100003,"High",'Incident'!$D$4:$D$100003,mCrit,'Incident'!$H$4:$H$100003,"Safety")</f>
        <v>0</v>
      </c>
      <c r="H159" s="26">
        <f>COUNTIFS('Incident'!$U$4:$U$100003,"High",'Incident'!$D$4:$D$100003,mCrit,'Incident'!$H$4:$H$100003,"Logistics")</f>
        <v>0</v>
      </c>
    </row>
    <row r="160" spans="2:8">
      <c r="B160" s="11" t="s">
        <v>142</v>
      </c>
      <c r="C160" s="26">
        <f>COUNTIFS('Incident'!$U$4:$U$100003,"Medium",'Incident'!$D$4:$D$100003,mCrit,'Incident'!$H$4:$H$100003,"Operations")</f>
        <v>0</v>
      </c>
      <c r="D160" s="26">
        <f>COUNTIFS('Incident'!$U$4:$U$100003,"Medium",'Incident'!$D$4:$D$100003,mCrit,'Incident'!$H$4:$H$100003,"Maintenance")</f>
        <v>0</v>
      </c>
      <c r="E160" s="26">
        <f>COUNTIFS('Incident'!$U$4:$U$100003,"Medium",'Incident'!$D$4:$D$100003,mCrit,'Incident'!$H$4:$H$100003,"Engineering")</f>
        <v>0</v>
      </c>
      <c r="F160" s="26">
        <f>COUNTIFS('Incident'!$U$4:$U$100003,"Medium",'Incident'!$D$4:$D$100003,mCrit,'Incident'!$H$4:$H$100003,"Construction")</f>
        <v>0</v>
      </c>
      <c r="G160" s="26">
        <f>COUNTIFS('Incident'!$U$4:$U$100003,"Medium",'Incident'!$D$4:$D$100003,mCrit,'Incident'!$H$4:$H$100003,"Safety")</f>
        <v>0</v>
      </c>
      <c r="H160" s="26">
        <f>COUNTIFS('Incident'!$U$4:$U$100003,"Medium",'Incident'!$D$4:$D$100003,mCrit,'Incident'!$H$4:$H$100003,"Logistics")</f>
        <v>0</v>
      </c>
    </row>
    <row r="161" spans="2:8">
      <c r="B161" s="11" t="s">
        <v>154</v>
      </c>
      <c r="C161" s="26">
        <f>COUNTIFS('Incident'!$U$4:$U$100003,"Low",'Incident'!$D$4:$D$100003,mCrit,'Incident'!$H$4:$H$100003,"Operations")</f>
        <v>0</v>
      </c>
      <c r="D161" s="26">
        <f>COUNTIFS('Incident'!$U$4:$U$100003,"Low",'Incident'!$D$4:$D$100003,mCrit,'Incident'!$H$4:$H$100003,"Maintenance")</f>
        <v>0</v>
      </c>
      <c r="E161" s="26">
        <f>COUNTIFS('Incident'!$U$4:$U$100003,"Low",'Incident'!$D$4:$D$100003,mCrit,'Incident'!$H$4:$H$100003,"Engineering")</f>
        <v>0</v>
      </c>
      <c r="F161" s="26">
        <f>COUNTIFS('Incident'!$U$4:$U$100003,"Low",'Incident'!$D$4:$D$100003,mCrit,'Incident'!$H$4:$H$100003,"Construction")</f>
        <v>0</v>
      </c>
      <c r="G161" s="26">
        <f>COUNTIFS('Incident'!$U$4:$U$100003,"Low",'Incident'!$D$4:$D$100003,mCrit,'Incident'!$H$4:$H$100003,"Safety")</f>
        <v>0</v>
      </c>
      <c r="H161" s="26">
        <f>COUNTIFS('Incident'!$U$4:$U$100003,"Low",'Incident'!$D$4:$D$100003,mCrit,'Incident'!$H$4:$H$100003,"Logistics")</f>
        <v>0</v>
      </c>
    </row>
    <row r="162" spans="2:8">
      <c r="B162" s="11" t="s">
        <v>1841</v>
      </c>
      <c r="C162" s="11" t="s">
        <v>1808</v>
      </c>
      <c r="D162" s="11" t="s">
        <v>1826</v>
      </c>
      <c r="E162" s="11" t="s">
        <v>1842</v>
      </c>
      <c r="F162" s="11" t="s">
        <v>1843</v>
      </c>
    </row>
    <row r="163" spans="2:8">
      <c r="B163" s="12" t="s">
        <v>1379</v>
      </c>
      <c r="C163" s="22">
        <f>COUNTIFS('Unsafe Acts'!$E$4:$E$100003,"Bypassing Safety Device",'Unsafe Acts'!$D$4:$D$100003,mCrit,'Unsafe Acts'!$F$4:$F$100003,dCrit)</f>
        <v>0</v>
      </c>
      <c r="D163" s="24">
        <f>C163+ROW()/100000</f>
        <v>0</v>
      </c>
      <c r="E163" s="12">
        <f>INDEX($B$163:$B$172,MATCH(LARGE($D$163:$D$172,1),$D$163:$D$172,0))</f>
        <v>0</v>
      </c>
      <c r="F163" s="22">
        <f>INT(LARGE($D$163:$D$172,1))</f>
        <v>0</v>
      </c>
    </row>
    <row r="164" spans="2:8">
      <c r="B164" s="12" t="s">
        <v>1377</v>
      </c>
      <c r="C164" s="22">
        <f>COUNTIFS('Unsafe Acts'!$E$4:$E$100003,"Not Using PPE",'Unsafe Acts'!$D$4:$D$100003,mCrit,'Unsafe Acts'!$F$4:$F$100003,dCrit)</f>
        <v>0</v>
      </c>
      <c r="D164" s="24">
        <f>C164+ROW()/100000</f>
        <v>0</v>
      </c>
      <c r="E164" s="12">
        <f>INDEX($B$163:$B$172,MATCH(LARGE($D$163:$D$172,2),$D$163:$D$172,0))</f>
        <v>0</v>
      </c>
      <c r="F164" s="22">
        <f>INT(LARGE($D$163:$D$172,2))</f>
        <v>0</v>
      </c>
    </row>
    <row r="165" spans="2:8">
      <c r="B165" s="12" t="s">
        <v>1370</v>
      </c>
      <c r="C165" s="22">
        <f>COUNTIFS('Unsafe Acts'!$E$4:$E$100003,"Improper Lifting Technique",'Unsafe Acts'!$D$4:$D$100003,mCrit,'Unsafe Acts'!$F$4:$F$100003,dCrit)</f>
        <v>0</v>
      </c>
      <c r="D165" s="24">
        <f>C165+ROW()/100000</f>
        <v>0</v>
      </c>
      <c r="E165" s="12">
        <f>INDEX($B$163:$B$172,MATCH(LARGE($D$163:$D$172,3),$D$163:$D$172,0))</f>
        <v>0</v>
      </c>
      <c r="F165" s="22">
        <f>INT(LARGE($D$163:$D$172,3))</f>
        <v>0</v>
      </c>
    </row>
    <row r="166" spans="2:8">
      <c r="B166" s="12" t="s">
        <v>1384</v>
      </c>
      <c r="C166" s="22">
        <f>COUNTIFS('Unsafe Acts'!$E$4:$E$100003,"Working Without Permit",'Unsafe Acts'!$D$4:$D$100003,mCrit,'Unsafe Acts'!$F$4:$F$100003,dCrit)</f>
        <v>0</v>
      </c>
      <c r="D166" s="24">
        <f>C166+ROW()/100000</f>
        <v>0</v>
      </c>
      <c r="E166" s="12">
        <f>INDEX($B$163:$B$172,MATCH(LARGE($D$163:$D$172,4),$D$163:$D$172,0))</f>
        <v>0</v>
      </c>
      <c r="F166" s="22">
        <f>INT(LARGE($D$163:$D$172,4))</f>
        <v>0</v>
      </c>
    </row>
    <row r="167" spans="2:8">
      <c r="B167" s="12" t="s">
        <v>1368</v>
      </c>
      <c r="C167" s="22">
        <f>COUNTIFS('Unsafe Acts'!$E$4:$E$100003,"Operating Without Authorization",'Unsafe Acts'!$D$4:$D$100003,mCrit,'Unsafe Acts'!$F$4:$F$100003,dCrit)</f>
        <v>0</v>
      </c>
      <c r="D167" s="24">
        <f>C167+ROW()/100000</f>
        <v>0</v>
      </c>
      <c r="E167" s="12">
        <f>INDEX($B$163:$B$172,MATCH(LARGE($D$163:$D$172,5),$D$163:$D$172,0))</f>
        <v>0</v>
      </c>
      <c r="F167" s="22">
        <f>INT(LARGE($D$163:$D$172,5))</f>
        <v>0</v>
      </c>
    </row>
    <row r="168" spans="2:8">
      <c r="B168" s="12" t="s">
        <v>1381</v>
      </c>
      <c r="C168" s="22">
        <f>COUNTIFS('Unsafe Acts'!$E$4:$E$100003,"Using Defective Equipment",'Unsafe Acts'!$D$4:$D$100003,mCrit,'Unsafe Acts'!$F$4:$F$100003,dCrit)</f>
        <v>0</v>
      </c>
      <c r="D168" s="24">
        <f>C168+ROW()/100000</f>
        <v>0</v>
      </c>
      <c r="E168" s="12">
        <f>INDEX($B$163:$B$172,MATCH(LARGE($D$163:$D$172,6),$D$163:$D$172,0))</f>
        <v>0</v>
      </c>
      <c r="F168" s="22">
        <f>INT(LARGE($D$163:$D$172,6))</f>
        <v>0</v>
      </c>
    </row>
    <row r="169" spans="2:8">
      <c r="B169" s="12" t="s">
        <v>1375</v>
      </c>
      <c r="C169" s="22">
        <f>COUNTIFS('Unsafe Acts'!$E$4:$E$100003,"Horseplay",'Unsafe Acts'!$D$4:$D$100003,mCrit,'Unsafe Acts'!$F$4:$F$100003,dCrit)</f>
        <v>0</v>
      </c>
      <c r="D169" s="24">
        <f>C169+ROW()/100000</f>
        <v>0</v>
      </c>
      <c r="E169" s="12">
        <f>INDEX($B$163:$B$172,MATCH(LARGE($D$163:$D$172,7),$D$163:$D$172,0))</f>
        <v>0</v>
      </c>
      <c r="F169" s="22">
        <f>INT(LARGE($D$163:$D$172,7))</f>
        <v>0</v>
      </c>
    </row>
    <row r="170" spans="2:8">
      <c r="B170" s="12" t="s">
        <v>1372</v>
      </c>
      <c r="C170" s="22">
        <f>COUNTIFS('Unsafe Acts'!$E$4:$E$100003,"Wrong Tool for the Job",'Unsafe Acts'!$D$4:$D$100003,mCrit,'Unsafe Acts'!$F$4:$F$100003,dCrit)</f>
        <v>0</v>
      </c>
      <c r="D170" s="24">
        <f>C170+ROW()/100000</f>
        <v>0</v>
      </c>
      <c r="E170" s="12">
        <f>INDEX($B$163:$B$172,MATCH(LARGE($D$163:$D$172,8),$D$163:$D$172,0))</f>
        <v>0</v>
      </c>
      <c r="F170" s="22">
        <f>INT(LARGE($D$163:$D$172,8))</f>
        <v>0</v>
      </c>
    </row>
    <row r="171" spans="2:8">
      <c r="B171" s="12" t="s">
        <v>1395</v>
      </c>
      <c r="C171" s="22">
        <f>COUNTIFS('Unsafe Acts'!$E$4:$E$100003,"LOTO Not Followed",'Unsafe Acts'!$D$4:$D$100003,mCrit,'Unsafe Acts'!$F$4:$F$100003,dCrit)</f>
        <v>0</v>
      </c>
      <c r="D171" s="24">
        <f>C171+ROW()/100000</f>
        <v>0</v>
      </c>
      <c r="E171" s="12">
        <f>INDEX($B$163:$B$172,MATCH(LARGE($D$163:$D$172,9),$D$163:$D$172,0))</f>
        <v>0</v>
      </c>
      <c r="F171" s="22">
        <f>INT(LARGE($D$163:$D$172,9))</f>
        <v>0</v>
      </c>
    </row>
    <row r="172" spans="2:8">
      <c r="B172" s="12" t="s">
        <v>1411</v>
      </c>
      <c r="C172" s="22">
        <f>COUNTIFS('Unsafe Acts'!$E$4:$E$100003,"Vehicle/Forklift Overspeeding",'Unsafe Acts'!$D$4:$D$100003,mCrit,'Unsafe Acts'!$F$4:$F$100003,dCrit)</f>
        <v>0</v>
      </c>
      <c r="D172" s="24">
        <f>C172+ROW()/100000</f>
        <v>0</v>
      </c>
      <c r="E172" s="12">
        <f>INDEX($B$163:$B$172,MATCH(LARGE($D$163:$D$172,10),$D$163:$D$172,0))</f>
        <v>0</v>
      </c>
      <c r="F172" s="22">
        <f>INT(LARGE($D$163:$D$172,10))</f>
        <v>0</v>
      </c>
    </row>
    <row r="174" spans="2:8">
      <c r="B174" s="11" t="s">
        <v>1844</v>
      </c>
      <c r="C174" s="11" t="s">
        <v>1808</v>
      </c>
      <c r="D174" s="11" t="s">
        <v>1826</v>
      </c>
      <c r="E174" s="11" t="s">
        <v>1842</v>
      </c>
      <c r="F174" s="11" t="s">
        <v>1843</v>
      </c>
    </row>
    <row r="175" spans="2:8">
      <c r="B175" s="12" t="s">
        <v>1439</v>
      </c>
      <c r="C175" s="22">
        <f>COUNTIFS('Unsafe Conditions'!$E$4:$E$100003,"Slippery Floor",'Unsafe Conditions'!$D$4:$D$100003,mCrit,'Unsafe Conditions'!$F$4:$F$100003,dCrit)</f>
        <v>0</v>
      </c>
      <c r="D175" s="24">
        <f>C175+ROW()/100000</f>
        <v>0</v>
      </c>
      <c r="E175" s="12">
        <f>INDEX($B$175:$B$184,MATCH(LARGE($D$175:$D$184,1),$D$175:$D$184,0))</f>
        <v>0</v>
      </c>
      <c r="F175" s="22">
        <f>INT(LARGE($D$175:$D$184,1))</f>
        <v>0</v>
      </c>
    </row>
    <row r="176" spans="2:8">
      <c r="B176" s="12" t="s">
        <v>1312</v>
      </c>
      <c r="C176" s="22">
        <f>COUNTIFS('Unsafe Conditions'!$E$4:$E$100003,"Poor Housekeeping",'Unsafe Conditions'!$D$4:$D$100003,mCrit,'Unsafe Conditions'!$F$4:$F$100003,dCrit)</f>
        <v>0</v>
      </c>
      <c r="D176" s="24">
        <f>C176+ROW()/100000</f>
        <v>0</v>
      </c>
      <c r="E176" s="12">
        <f>INDEX($B$175:$B$184,MATCH(LARGE($D$175:$D$184,2),$D$175:$D$184,0))</f>
        <v>0</v>
      </c>
      <c r="F176" s="22">
        <f>INT(LARGE($D$175:$D$184,2))</f>
        <v>0</v>
      </c>
    </row>
    <row r="177" spans="2:6">
      <c r="B177" s="12" t="s">
        <v>1432</v>
      </c>
      <c r="C177" s="22">
        <f>COUNTIFS('Unsafe Conditions'!$E$4:$E$100003,"Inadequate Lighting",'Unsafe Conditions'!$D$4:$D$100003,mCrit,'Unsafe Conditions'!$F$4:$F$100003,dCrit)</f>
        <v>0</v>
      </c>
      <c r="D177" s="24">
        <f>C177+ROW()/100000</f>
        <v>0</v>
      </c>
      <c r="E177" s="12">
        <f>INDEX($B$175:$B$184,MATCH(LARGE($D$175:$D$184,3),$D$175:$D$184,0))</f>
        <v>0</v>
      </c>
      <c r="F177" s="22">
        <f>INT(LARGE($D$175:$D$184,3))</f>
        <v>0</v>
      </c>
    </row>
    <row r="178" spans="2:6">
      <c r="B178" s="12" t="s">
        <v>1449</v>
      </c>
      <c r="C178" s="22">
        <f>COUNTIFS('Unsafe Conditions'!$E$4:$E$100003,"Damaged Machine Guard",'Unsafe Conditions'!$D$4:$D$100003,mCrit,'Unsafe Conditions'!$F$4:$F$100003,dCrit)</f>
        <v>0</v>
      </c>
      <c r="D178" s="24">
        <f>C178+ROW()/100000</f>
        <v>0</v>
      </c>
      <c r="E178" s="12">
        <f>INDEX($B$175:$B$184,MATCH(LARGE($D$175:$D$184,4),$D$175:$D$184,0))</f>
        <v>0</v>
      </c>
      <c r="F178" s="22">
        <f>INT(LARGE($D$175:$D$184,4))</f>
        <v>0</v>
      </c>
    </row>
    <row r="179" spans="2:6">
      <c r="B179" s="12" t="s">
        <v>1434</v>
      </c>
      <c r="C179" s="22">
        <f>COUNTIFS('Unsafe Conditions'!$E$4:$E$100003,"Exposed Wiring",'Unsafe Conditions'!$D$4:$D$100003,mCrit,'Unsafe Conditions'!$F$4:$F$100003,dCrit)</f>
        <v>0</v>
      </c>
      <c r="D179" s="24">
        <f>C179+ROW()/100000</f>
        <v>0</v>
      </c>
      <c r="E179" s="12">
        <f>INDEX($B$175:$B$184,MATCH(LARGE($D$175:$D$184,5),$D$175:$D$184,0))</f>
        <v>0</v>
      </c>
      <c r="F179" s="22">
        <f>INT(LARGE($D$175:$D$184,5))</f>
        <v>0</v>
      </c>
    </row>
    <row r="180" spans="2:6">
      <c r="B180" s="12" t="s">
        <v>1445</v>
      </c>
      <c r="C180" s="22">
        <f>COUNTIFS('Unsafe Conditions'!$E$4:$E$100003,"Blocked Walkway/Aisle",'Unsafe Conditions'!$D$4:$D$100003,mCrit,'Unsafe Conditions'!$F$4:$F$100003,dCrit)</f>
        <v>0</v>
      </c>
      <c r="D180" s="24">
        <f>C180+ROW()/100000</f>
        <v>0</v>
      </c>
      <c r="E180" s="12">
        <f>INDEX($B$175:$B$184,MATCH(LARGE($D$175:$D$184,6),$D$175:$D$184,0))</f>
        <v>0</v>
      </c>
      <c r="F180" s="22">
        <f>INT(LARGE($D$175:$D$184,6))</f>
        <v>0</v>
      </c>
    </row>
    <row r="181" spans="2:6">
      <c r="B181" s="12" t="s">
        <v>1437</v>
      </c>
      <c r="C181" s="22">
        <f>COUNTIFS('Unsafe Conditions'!$E$4:$E$100003,"Missing Signage",'Unsafe Conditions'!$D$4:$D$100003,mCrit,'Unsafe Conditions'!$F$4:$F$100003,dCrit)</f>
        <v>0</v>
      </c>
      <c r="D181" s="24">
        <f>C181+ROW()/100000</f>
        <v>0</v>
      </c>
      <c r="E181" s="12">
        <f>INDEX($B$175:$B$184,MATCH(LARGE($D$175:$D$184,7),$D$175:$D$184,0))</f>
        <v>0</v>
      </c>
      <c r="F181" s="22">
        <f>INT(LARGE($D$175:$D$184,7))</f>
        <v>0</v>
      </c>
    </row>
    <row r="182" spans="2:6">
      <c r="B182" s="12" t="s">
        <v>1430</v>
      </c>
      <c r="C182" s="22">
        <f>COUNTIFS('Unsafe Conditions'!$E$4:$E$100003,"Chemical Leak",'Unsafe Conditions'!$D$4:$D$100003,mCrit,'Unsafe Conditions'!$F$4:$F$100003,dCrit)</f>
        <v>0</v>
      </c>
      <c r="D182" s="24">
        <f>C182+ROW()/100000</f>
        <v>0</v>
      </c>
      <c r="E182" s="12">
        <f>INDEX($B$175:$B$184,MATCH(LARGE($D$175:$D$184,8),$D$175:$D$184,0))</f>
        <v>0</v>
      </c>
      <c r="F182" s="22">
        <f>INT(LARGE($D$175:$D$184,8))</f>
        <v>0</v>
      </c>
    </row>
    <row r="183" spans="2:6">
      <c r="B183" s="12" t="s">
        <v>1447</v>
      </c>
      <c r="C183" s="22">
        <f>COUNTIFS('Unsafe Conditions'!$E$4:$E$100003,"Faulty Ladder/Scaffold",'Unsafe Conditions'!$D$4:$D$100003,mCrit,'Unsafe Conditions'!$F$4:$F$100003,dCrit)</f>
        <v>0</v>
      </c>
      <c r="D183" s="24">
        <f>C183+ROW()/100000</f>
        <v>0</v>
      </c>
      <c r="E183" s="12">
        <f>INDEX($B$175:$B$184,MATCH(LARGE($D$175:$D$184,9),$D$175:$D$184,0))</f>
        <v>0</v>
      </c>
      <c r="F183" s="22">
        <f>INT(LARGE($D$175:$D$184,9))</f>
        <v>0</v>
      </c>
    </row>
    <row r="184" spans="2:6">
      <c r="B184" s="12" t="s">
        <v>1452</v>
      </c>
      <c r="C184" s="22">
        <f>COUNTIFS('Unsafe Conditions'!$E$4:$E$100003,"Blocked Fire Exit",'Unsafe Conditions'!$D$4:$D$100003,mCrit,'Unsafe Conditions'!$F$4:$F$100003,dCrit)</f>
        <v>0</v>
      </c>
      <c r="D184" s="24">
        <f>C184+ROW()/100000</f>
        <v>0</v>
      </c>
      <c r="E184" s="12">
        <f>INDEX($B$175:$B$184,MATCH(LARGE($D$175:$D$184,10),$D$175:$D$184,0))</f>
        <v>0</v>
      </c>
      <c r="F184" s="22">
        <f>INT(LARGE($D$175:$D$184,10))</f>
        <v>0</v>
      </c>
    </row>
    <row r="186" spans="2:6">
      <c r="B186" s="11" t="s">
        <v>1845</v>
      </c>
      <c r="C186" s="11" t="s">
        <v>1808</v>
      </c>
      <c r="D186" s="11" t="s">
        <v>1826</v>
      </c>
      <c r="E186" s="11" t="s">
        <v>1842</v>
      </c>
      <c r="F186" s="11" t="s">
        <v>1843</v>
      </c>
    </row>
    <row r="187" spans="2:6">
      <c r="B187" s="12" t="s">
        <v>87</v>
      </c>
      <c r="C187" s="22">
        <f>COUNTIFS('Incident'!$I$4:$I$100003,"Plant A",'Incident'!$D$4:$D$100003,mCrit,'Incident'!$H$4:$H$100003,dCrit)</f>
        <v>0</v>
      </c>
      <c r="D187" s="24">
        <f>C187+ROW()/100000</f>
        <v>0</v>
      </c>
      <c r="E187" s="12">
        <f>INDEX($B$187:$B$196,MATCH(LARGE($D$187:$D$196,1),$D$187:$D$196,0))</f>
        <v>0</v>
      </c>
      <c r="F187" s="22">
        <f>INT(LARGE($D$187:$D$196,1))</f>
        <v>0</v>
      </c>
    </row>
    <row r="188" spans="2:6">
      <c r="B188" s="12" t="s">
        <v>77</v>
      </c>
      <c r="C188" s="22">
        <f>COUNTIFS('Incident'!$I$4:$I$100003,"Plant B",'Incident'!$D$4:$D$100003,mCrit,'Incident'!$H$4:$H$100003,dCrit)</f>
        <v>0</v>
      </c>
      <c r="D188" s="24">
        <f>C188+ROW()/100000</f>
        <v>0</v>
      </c>
      <c r="E188" s="12">
        <f>INDEX($B$187:$B$196,MATCH(LARGE($D$187:$D$196,2),$D$187:$D$196,0))</f>
        <v>0</v>
      </c>
      <c r="F188" s="22">
        <f>INT(LARGE($D$187:$D$196,2))</f>
        <v>0</v>
      </c>
    </row>
    <row r="189" spans="2:6">
      <c r="B189" s="12" t="s">
        <v>95</v>
      </c>
      <c r="C189" s="22">
        <f>COUNTIFS('Incident'!$I$4:$I$100003,"Warehouse",'Incident'!$D$4:$D$100003,mCrit,'Incident'!$H$4:$H$100003,dCrit)</f>
        <v>0</v>
      </c>
      <c r="D189" s="24">
        <f>C189+ROW()/100000</f>
        <v>0</v>
      </c>
      <c r="E189" s="12">
        <f>INDEX($B$187:$B$196,MATCH(LARGE($D$187:$D$196,3),$D$187:$D$196,0))</f>
        <v>0</v>
      </c>
      <c r="F189" s="22">
        <f>INT(LARGE($D$187:$D$196,3))</f>
        <v>0</v>
      </c>
    </row>
    <row r="190" spans="2:6">
      <c r="B190" s="12" t="s">
        <v>82</v>
      </c>
      <c r="C190" s="22">
        <f>COUNTIFS('Incident'!$I$4:$I$100003,"Workshop",'Incident'!$D$4:$D$100003,mCrit,'Incident'!$H$4:$H$100003,dCrit)</f>
        <v>0</v>
      </c>
      <c r="D190" s="24">
        <f>C190+ROW()/100000</f>
        <v>0</v>
      </c>
      <c r="E190" s="12">
        <f>INDEX($B$187:$B$196,MATCH(LARGE($D$187:$D$196,4),$D$187:$D$196,0))</f>
        <v>0</v>
      </c>
      <c r="F190" s="22">
        <f>INT(LARGE($D$187:$D$196,4))</f>
        <v>0</v>
      </c>
    </row>
    <row r="191" spans="2:6">
      <c r="B191" s="12" t="s">
        <v>80</v>
      </c>
      <c r="C191" s="22">
        <f>COUNTIFS('Incident'!$I$4:$I$100003,"Field Site",'Incident'!$D$4:$D$100003,mCrit,'Incident'!$H$4:$H$100003,dCrit)</f>
        <v>0</v>
      </c>
      <c r="D191" s="24">
        <f>C191+ROW()/100000</f>
        <v>0</v>
      </c>
      <c r="E191" s="12">
        <f>INDEX($B$187:$B$196,MATCH(LARGE($D$187:$D$196,5),$D$187:$D$196,0))</f>
        <v>0</v>
      </c>
      <c r="F191" s="22">
        <f>INT(LARGE($D$187:$D$196,5))</f>
        <v>0</v>
      </c>
    </row>
    <row r="192" spans="2:6">
      <c r="B192" s="12" t="s">
        <v>31</v>
      </c>
      <c r="C192" s="22">
        <f>COUNTIFS('Incident'!$I$4:$I$100003,"Control Room",'Incident'!$D$4:$D$100003,mCrit,'Incident'!$H$4:$H$100003,dCrit)</f>
        <v>0</v>
      </c>
      <c r="D192" s="24">
        <f>C192+ROW()/100000</f>
        <v>0</v>
      </c>
      <c r="E192" s="12">
        <f>INDEX($B$187:$B$196,MATCH(LARGE($D$187:$D$196,6),$D$187:$D$196,0))</f>
        <v>0</v>
      </c>
      <c r="F192" s="22">
        <f>INT(LARGE($D$187:$D$196,6))</f>
        <v>0</v>
      </c>
    </row>
    <row r="193" spans="2:6">
      <c r="B193" s="12" t="s">
        <v>40</v>
      </c>
      <c r="C193" s="22">
        <f>COUNTIFS('Incident'!$I$4:$I$100003,"Office",'Incident'!$D$4:$D$100003,mCrit,'Incident'!$H$4:$H$100003,dCrit)</f>
        <v>0</v>
      </c>
      <c r="D193" s="24">
        <f>C193+ROW()/100000</f>
        <v>0</v>
      </c>
      <c r="E193" s="12">
        <f>INDEX($B$187:$B$196,MATCH(LARGE($D$187:$D$196,7),$D$187:$D$196,0))</f>
        <v>0</v>
      </c>
      <c r="F193" s="22">
        <f>INT(LARGE($D$187:$D$196,7))</f>
        <v>0</v>
      </c>
    </row>
    <row r="194" spans="2:6">
      <c r="B194" s="12" t="s">
        <v>51</v>
      </c>
      <c r="C194" s="22">
        <f>COUNTIFS('Incident'!$I$4:$I$100003,"Tank Farm",'Incident'!$D$4:$D$100003,mCrit,'Incident'!$H$4:$H$100003,dCrit)</f>
        <v>0</v>
      </c>
      <c r="D194" s="24">
        <f>C194+ROW()/100000</f>
        <v>0</v>
      </c>
      <c r="E194" s="12">
        <f>INDEX($B$187:$B$196,MATCH(LARGE($D$187:$D$196,8),$D$187:$D$196,0))</f>
        <v>0</v>
      </c>
      <c r="F194" s="22">
        <f>INT(LARGE($D$187:$D$196,8))</f>
        <v>0</v>
      </c>
    </row>
    <row r="195" spans="2:6">
      <c r="B195" s="12" t="s">
        <v>6</v>
      </c>
      <c r="C195" s="22">
        <f>COUNTIFS('Incident'!$I$4:$I$100003,"Boiler House",'Incident'!$D$4:$D$100003,mCrit,'Incident'!$H$4:$H$100003,dCrit)</f>
        <v>0</v>
      </c>
      <c r="D195" s="24">
        <f>C195+ROW()/100000</f>
        <v>0</v>
      </c>
      <c r="E195" s="12">
        <f>INDEX($B$187:$B$196,MATCH(LARGE($D$187:$D$196,9),$D$187:$D$196,0))</f>
        <v>0</v>
      </c>
      <c r="F195" s="22">
        <f>INT(LARGE($D$187:$D$196,9))</f>
        <v>0</v>
      </c>
    </row>
    <row r="196" spans="2:6">
      <c r="B196" s="12" t="s">
        <v>14</v>
      </c>
      <c r="C196" s="22">
        <f>COUNTIFS('Incident'!$I$4:$I$100003,"ETP Plant",'Incident'!$D$4:$D$100003,mCrit,'Incident'!$H$4:$H$100003,dCrit)</f>
        <v>0</v>
      </c>
      <c r="D196" s="24">
        <f>C196+ROW()/100000</f>
        <v>0</v>
      </c>
      <c r="E196" s="12">
        <f>INDEX($B$187:$B$196,MATCH(LARGE($D$187:$D$196,10),$D$187:$D$196,0))</f>
        <v>0</v>
      </c>
      <c r="F196" s="22">
        <f>INT(LARGE($D$187:$D$196,10))</f>
        <v>0</v>
      </c>
    </row>
    <row r="198" spans="2:6">
      <c r="B198" s="11" t="s">
        <v>1846</v>
      </c>
      <c r="C198" s="11" t="s">
        <v>1847</v>
      </c>
      <c r="D198" s="11" t="s">
        <v>1848</v>
      </c>
    </row>
    <row r="199" spans="2:6">
      <c r="B199" s="12" t="s">
        <v>1803</v>
      </c>
      <c r="C199" s="23">
        <f>Calculations!$CP$29</f>
        <v>0</v>
      </c>
      <c r="D199" s="23">
        <f>Calculations!$CT$29</f>
        <v>0</v>
      </c>
    </row>
    <row r="200" spans="2:6">
      <c r="B200" s="12" t="s">
        <v>1804</v>
      </c>
      <c r="C200" s="23">
        <f>Calculations!$CP$55</f>
        <v>0</v>
      </c>
      <c r="D200" s="23">
        <f>Calculations!$CT$55</f>
        <v>0</v>
      </c>
    </row>
    <row r="201" spans="2:6">
      <c r="B201" s="12" t="s">
        <v>1770</v>
      </c>
      <c r="C201" s="23">
        <f>Calculations!$CP$31</f>
        <v>0</v>
      </c>
      <c r="D201" s="23">
        <f>Calculations!$CT$31</f>
        <v>0</v>
      </c>
    </row>
    <row r="202" spans="2:6">
      <c r="B202" s="12" t="s">
        <v>1849</v>
      </c>
      <c r="C202" s="23">
        <f>Calculations!$CP$33</f>
        <v>0</v>
      </c>
      <c r="D202" s="23">
        <f>Calculations!$CT$33</f>
        <v>0</v>
      </c>
    </row>
    <row r="203" spans="2:6">
      <c r="B203" s="12" t="s">
        <v>1796</v>
      </c>
      <c r="C203" s="23">
        <f>Calculations!$CP$57</f>
        <v>0</v>
      </c>
      <c r="D203" s="23">
        <f>Calculations!$CT$57</f>
        <v>0</v>
      </c>
    </row>
    <row r="204" spans="2:6">
      <c r="B204" s="12" t="s">
        <v>1850</v>
      </c>
      <c r="C204" s="23">
        <f>Calculations!$CP$22</f>
        <v>0</v>
      </c>
      <c r="D204" s="23">
        <f>Calculations!$CT$22</f>
        <v>0</v>
      </c>
    </row>
    <row r="205" spans="2:6">
      <c r="B205" s="12" t="s">
        <v>1780</v>
      </c>
      <c r="C205" s="23">
        <f>Calculations!$CP$40</f>
        <v>0</v>
      </c>
      <c r="D205" s="23">
        <f>Calculations!$CT$40</f>
        <v>0</v>
      </c>
    </row>
    <row r="206" spans="2:6">
      <c r="B206" s="12" t="s">
        <v>1799</v>
      </c>
      <c r="C206" s="23">
        <f>Calculations!$CP$59</f>
        <v>0</v>
      </c>
      <c r="D206" s="23">
        <f>Calculations!$CT$59</f>
        <v>0</v>
      </c>
    </row>
    <row r="208" spans="2:6">
      <c r="B208" s="11" t="s">
        <v>640</v>
      </c>
      <c r="C208" s="11" t="s">
        <v>1851</v>
      </c>
    </row>
    <row r="209" spans="2:3">
      <c r="B209" s="12" t="s">
        <v>601</v>
      </c>
      <c r="C209" s="23">
        <f>IFERROR(AVERAGEIFS('Safety Bulletins'!$N$4:$N$100003,'Safety Bulletins'!$I$4:$I$100003,"Email",'Safety Bulletins'!$D$4:$D$100003,mCrit),0)</f>
        <v>0</v>
      </c>
    </row>
    <row r="210" spans="2:3">
      <c r="B210" s="12" t="s">
        <v>578</v>
      </c>
      <c r="C210" s="23">
        <f>IFERROR(AVERAGEIFS('Safety Bulletins'!$N$4:$N$100003,'Safety Bulletins'!$I$4:$I$100003,"Notice Board",'Safety Bulletins'!$D$4:$D$100003,mCrit),0)</f>
        <v>0</v>
      </c>
    </row>
    <row r="211" spans="2:3">
      <c r="B211" s="12" t="s">
        <v>581</v>
      </c>
      <c r="C211" s="23">
        <f>IFERROR(AVERAGEIFS('Safety Bulletins'!$N$4:$N$100003,'Safety Bulletins'!$I$4:$I$100003,"App Notification",'Safety Bulletins'!$D$4:$D$100003,mCrit),0)</f>
        <v>0</v>
      </c>
    </row>
    <row r="212" spans="2:3">
      <c r="B212" s="12" t="s">
        <v>585</v>
      </c>
      <c r="C212" s="23">
        <f>IFERROR(AVERAGEIFS('Safety Bulletins'!$N$4:$N$100003,'Safety Bulletins'!$I$4:$I$100003,"All Channels",'Safety Bulletins'!$D$4:$D$100003,mCrit),0)</f>
        <v>0</v>
      </c>
    </row>
    <row r="214" spans="2:3">
      <c r="B214" s="11" t="s">
        <v>1852</v>
      </c>
      <c r="C214" s="11" t="s">
        <v>1853</v>
      </c>
    </row>
    <row r="215" spans="2:3">
      <c r="B215" s="12" t="s">
        <v>30</v>
      </c>
      <c r="C215" s="23">
        <f>IFERROR(AVERAGEIFS('PTW Audits'!$L$4:$L$100003,'PTW Audits'!$E$4:$E$100003,"Hot Work",'PTW Audits'!$D$4:$D$100003,mCrit),0)</f>
        <v>0</v>
      </c>
    </row>
    <row r="216" spans="2:3">
      <c r="B216" s="12" t="s">
        <v>61</v>
      </c>
      <c r="C216" s="23">
        <f>IFERROR(AVERAGEIFS('PTW Audits'!$L$4:$L$100003,'PTW Audits'!$E$4:$E$100003,"Confined Space",'PTW Audits'!$D$4:$D$100003,mCrit),0)</f>
        <v>0</v>
      </c>
    </row>
    <row r="217" spans="2:3">
      <c r="B217" s="12" t="s">
        <v>1196</v>
      </c>
      <c r="C217" s="23">
        <f>IFERROR(AVERAGEIFS('PTW Audits'!$L$4:$L$100003,'PTW Audits'!$E$4:$E$100003,"Working at Height",'PTW Audits'!$D$4:$D$100003,mCrit),0)</f>
        <v>0</v>
      </c>
    </row>
    <row r="218" spans="2:3">
      <c r="B218" s="12" t="s">
        <v>1202</v>
      </c>
      <c r="C218" s="23">
        <f>IFERROR(AVERAGEIFS('PTW Audits'!$L$4:$L$100003,'PTW Audits'!$E$4:$E$100003,"Electrical",'PTW Audits'!$D$4:$D$100003,mCrit),0)</f>
        <v>0</v>
      </c>
    </row>
    <row r="219" spans="2:3">
      <c r="B219" s="12" t="s">
        <v>1185</v>
      </c>
      <c r="C219" s="23">
        <f>IFERROR(AVERAGEIFS('PTW Audits'!$L$4:$L$100003,'PTW Audits'!$E$4:$E$100003,"Cold Work",'PTW Audits'!$D$4:$D$100003,mCrit),0)</f>
        <v>0</v>
      </c>
    </row>
    <row r="220" spans="2:3">
      <c r="B220" s="12" t="s">
        <v>1187</v>
      </c>
      <c r="C220" s="23">
        <f>IFERROR(AVERAGEIFS('PTW Audits'!$L$4:$L$100003,'PTW Audits'!$E$4:$E$100003,"Lifting",'PTW Audits'!$D$4:$D$100003,mCrit),0)</f>
        <v>0</v>
      </c>
    </row>
    <row r="221" spans="2:3">
      <c r="B221" s="12" t="s">
        <v>1205</v>
      </c>
      <c r="C221" s="23">
        <f>IFERROR(AVERAGEIFS('PTW Audits'!$L$4:$L$100003,'PTW Audits'!$E$4:$E$100003,"Excavation",'PTW Audits'!$D$4:$D$100003,mCrit),0)</f>
        <v>0</v>
      </c>
    </row>
    <row r="223" spans="2:3">
      <c r="B223" s="11" t="s">
        <v>283</v>
      </c>
      <c r="C223" s="11" t="s">
        <v>1854</v>
      </c>
    </row>
    <row r="224" spans="2:3">
      <c r="B224" s="12" t="s">
        <v>237</v>
      </c>
      <c r="C224" s="23">
        <f>IFERROR(COUNTIFS('Training'!$F$4:$F$100003,"Induction",'Training'!$O$4:$O$100003,"Pass",'Training'!$D$4:$D$100003,mCrit)/COUNTIFS('Training'!$F$4:$F$100003,"Induction",'Training'!$D$4:$D$100003,mCrit)*100,0)</f>
        <v>0</v>
      </c>
    </row>
    <row r="225" spans="2:6">
      <c r="B225" s="12" t="s">
        <v>233</v>
      </c>
      <c r="C225" s="23">
        <f>IFERROR(COUNTIFS('Training'!$F$4:$F$100003,"Refresher",'Training'!$O$4:$O$100003,"Pass",'Training'!$D$4:$D$100003,mCrit)/COUNTIFS('Training'!$F$4:$F$100003,"Refresher",'Training'!$D$4:$D$100003,mCrit)*100,0)</f>
        <v>0</v>
      </c>
    </row>
    <row r="226" spans="2:6">
      <c r="B226" s="12" t="s">
        <v>230</v>
      </c>
      <c r="C226" s="23">
        <f>IFERROR(COUNTIFS('Training'!$F$4:$F$100003,"Advanced",'Training'!$O$4:$O$100003,"Pass",'Training'!$D$4:$D$100003,mCrit)/COUNTIFS('Training'!$F$4:$F$100003,"Advanced",'Training'!$D$4:$D$100003,mCrit)*100,0)</f>
        <v>0</v>
      </c>
    </row>
    <row r="227" spans="2:6">
      <c r="B227" s="12" t="s">
        <v>224</v>
      </c>
      <c r="C227" s="23">
        <f>IFERROR(COUNTIFS('Training'!$F$4:$F$100003,"On-the-Job",'Training'!$O$4:$O$100003,"Pass",'Training'!$D$4:$D$100003,mCrit)/COUNTIFS('Training'!$F$4:$F$100003,"On-the-Job",'Training'!$D$4:$D$100003,mCrit)*100,0)</f>
        <v>0</v>
      </c>
    </row>
    <row r="228" spans="2:6">
      <c r="B228" s="12" t="s">
        <v>223</v>
      </c>
      <c r="C228" s="23">
        <f>IFERROR(COUNTIFS('Training'!$F$4:$F$100003,"Awareness",'Training'!$O$4:$O$100003,"Pass",'Training'!$D$4:$D$100003,mCrit)/COUNTIFS('Training'!$F$4:$F$100003,"Awareness",'Training'!$D$4:$D$100003,mCrit)*100,0)</f>
        <v>0</v>
      </c>
    </row>
    <row r="229" spans="2:6">
      <c r="B229" s="12" t="s">
        <v>218</v>
      </c>
      <c r="C229" s="23">
        <f>IFERROR(COUNTIFS('Training'!$F$4:$F$100003,"Competency",'Training'!$O$4:$O$100003,"Pass",'Training'!$D$4:$D$100003,mCrit)/COUNTIFS('Training'!$F$4:$F$100003,"Competency",'Training'!$D$4:$D$100003,mCrit)*100,0)</f>
        <v>0</v>
      </c>
    </row>
    <row r="231" spans="2:6">
      <c r="B231" s="11" t="s">
        <v>1120</v>
      </c>
      <c r="C231" s="11" t="s">
        <v>1855</v>
      </c>
    </row>
    <row r="232" spans="2:6">
      <c r="B232" s="12" t="s">
        <v>162</v>
      </c>
      <c r="C232" s="22">
        <f>IFERROR(AVERAGEIFS('Stop Work Authority'!$J$4:$J$100003,'Stop Work Authority'!$K$4:$K$100003,"Critical",'Stop Work Authority'!$D$4:$D$100003,mCrit),0)</f>
        <v>0</v>
      </c>
    </row>
    <row r="233" spans="2:6">
      <c r="B233" s="12" t="s">
        <v>159</v>
      </c>
      <c r="C233" s="22">
        <f>IFERROR(AVERAGEIFS('Stop Work Authority'!$J$4:$J$100003,'Stop Work Authority'!$K$4:$K$100003,"High",'Stop Work Authority'!$D$4:$D$100003,mCrit),0)</f>
        <v>0</v>
      </c>
    </row>
    <row r="234" spans="2:6">
      <c r="B234" s="12" t="s">
        <v>142</v>
      </c>
      <c r="C234" s="22">
        <f>IFERROR(AVERAGEIFS('Stop Work Authority'!$J$4:$J$100003,'Stop Work Authority'!$K$4:$K$100003,"Medium",'Stop Work Authority'!$D$4:$D$100003,mCrit),0)</f>
        <v>0</v>
      </c>
    </row>
    <row r="235" spans="2:6">
      <c r="B235" s="12" t="s">
        <v>154</v>
      </c>
      <c r="C235" s="22">
        <f>IFERROR(AVERAGEIFS('Stop Work Authority'!$J$4:$J$100003,'Stop Work Authority'!$K$4:$K$100003,"Low",'Stop Work Authority'!$D$4:$D$100003,mCrit),0)</f>
        <v>0</v>
      </c>
    </row>
    <row r="237" spans="2:6">
      <c r="B237" s="11" t="s">
        <v>1856</v>
      </c>
      <c r="C237" s="11" t="s">
        <v>1808</v>
      </c>
      <c r="D237" s="11" t="s">
        <v>1826</v>
      </c>
      <c r="E237" s="11" t="s">
        <v>1842</v>
      </c>
      <c r="F237" s="11" t="s">
        <v>1843</v>
      </c>
    </row>
    <row r="238" spans="2:6">
      <c r="B238" s="12" t="s">
        <v>1318</v>
      </c>
      <c r="C238" s="22">
        <f>COUNTIFS('NC Management'!$N$4:$N$100003,"Human Error",'NC Management'!$D$4:$D$100003,mCrit,'NC Management'!$G$4:$G$100003,dCrit)</f>
        <v>0</v>
      </c>
      <c r="D238" s="24">
        <f>C238+ROW()/100000</f>
        <v>0</v>
      </c>
      <c r="E238" s="12">
        <f>INDEX($B$238:$B$245,MATCH(LARGE($D$238:$D$245,1),$D$238:$D$245,0))</f>
        <v>0</v>
      </c>
      <c r="F238" s="22">
        <f>INT(LARGE($D$238:$D$245,1))</f>
        <v>0</v>
      </c>
    </row>
    <row r="239" spans="2:6">
      <c r="B239" s="12" t="s">
        <v>300</v>
      </c>
      <c r="C239" s="22">
        <f>COUNTIFS('NC Management'!$N$4:$N$100003,"Unsafe Act",'NC Management'!$D$4:$D$100003,mCrit,'NC Management'!$G$4:$G$100003,dCrit)</f>
        <v>0</v>
      </c>
      <c r="D239" s="24">
        <f>C239+ROW()/100000</f>
        <v>0</v>
      </c>
      <c r="E239" s="12">
        <f>INDEX($B$238:$B$245,MATCH(LARGE($D$238:$D$245,2),$D$238:$D$245,0))</f>
        <v>0</v>
      </c>
      <c r="F239" s="22">
        <f>INT(LARGE($D$238:$D$245,2))</f>
        <v>0</v>
      </c>
    </row>
    <row r="240" spans="2:6">
      <c r="B240" s="12" t="s">
        <v>296</v>
      </c>
      <c r="C240" s="22">
        <f>COUNTIFS('NC Management'!$N$4:$N$100003,"Unsafe Condition",'NC Management'!$D$4:$D$100003,mCrit,'NC Management'!$G$4:$G$100003,dCrit)</f>
        <v>0</v>
      </c>
      <c r="D240" s="24">
        <f>C240+ROW()/100000</f>
        <v>0</v>
      </c>
      <c r="E240" s="12">
        <f>INDEX($B$238:$B$245,MATCH(LARGE($D$238:$D$245,3),$D$238:$D$245,0))</f>
        <v>0</v>
      </c>
      <c r="F240" s="22">
        <f>INT(LARGE($D$238:$D$245,3))</f>
        <v>0</v>
      </c>
    </row>
    <row r="241" spans="2:6">
      <c r="B241" s="12" t="s">
        <v>1315</v>
      </c>
      <c r="C241" s="22">
        <f>COUNTIFS('NC Management'!$N$4:$N$100003,"Inadequate Procedure",'NC Management'!$D$4:$D$100003,mCrit,'NC Management'!$G$4:$G$100003,dCrit)</f>
        <v>0</v>
      </c>
      <c r="D241" s="24">
        <f>C241+ROW()/100000</f>
        <v>0</v>
      </c>
      <c r="E241" s="12">
        <f>INDEX($B$238:$B$245,MATCH(LARGE($D$238:$D$245,4),$D$238:$D$245,0))</f>
        <v>0</v>
      </c>
      <c r="F241" s="22">
        <f>INT(LARGE($D$238:$D$245,4))</f>
        <v>0</v>
      </c>
    </row>
    <row r="242" spans="2:6">
      <c r="B242" s="12" t="s">
        <v>1337</v>
      </c>
      <c r="C242" s="22">
        <f>COUNTIFS('NC Management'!$N$4:$N$100003,"Lack of Training",'NC Management'!$D$4:$D$100003,mCrit,'NC Management'!$G$4:$G$100003,dCrit)</f>
        <v>0</v>
      </c>
      <c r="D242" s="24">
        <f>C242+ROW()/100000</f>
        <v>0</v>
      </c>
      <c r="E242" s="12">
        <f>INDEX($B$238:$B$245,MATCH(LARGE($D$238:$D$245,5),$D$238:$D$245,0))</f>
        <v>0</v>
      </c>
      <c r="F242" s="22">
        <f>INT(LARGE($D$238:$D$245,5))</f>
        <v>0</v>
      </c>
    </row>
    <row r="243" spans="2:6">
      <c r="B243" s="12" t="s">
        <v>1330</v>
      </c>
      <c r="C243" s="22">
        <f>COUNTIFS('NC Management'!$N$4:$N$100003,"Equipment Failure",'NC Management'!$D$4:$D$100003,mCrit,'NC Management'!$G$4:$G$100003,dCrit)</f>
        <v>0</v>
      </c>
      <c r="D243" s="24">
        <f>C243+ROW()/100000</f>
        <v>0</v>
      </c>
      <c r="E243" s="12">
        <f>INDEX($B$238:$B$245,MATCH(LARGE($D$238:$D$245,6),$D$238:$D$245,0))</f>
        <v>0</v>
      </c>
      <c r="F243" s="22">
        <f>INT(LARGE($D$238:$D$245,6))</f>
        <v>0</v>
      </c>
    </row>
    <row r="244" spans="2:6">
      <c r="B244" s="12" t="s">
        <v>1310</v>
      </c>
      <c r="C244" s="22">
        <f>COUNTIFS('NC Management'!$N$4:$N$100003,"PPE Not Used",'NC Management'!$D$4:$D$100003,mCrit,'NC Management'!$G$4:$G$100003,dCrit)</f>
        <v>0</v>
      </c>
      <c r="D244" s="24">
        <f>C244+ROW()/100000</f>
        <v>0</v>
      </c>
      <c r="E244" s="12">
        <f>INDEX($B$238:$B$245,MATCH(LARGE($D$238:$D$245,7),$D$238:$D$245,0))</f>
        <v>0</v>
      </c>
      <c r="F244" s="22">
        <f>INT(LARGE($D$238:$D$245,7))</f>
        <v>0</v>
      </c>
    </row>
    <row r="245" spans="2:6">
      <c r="B245" s="12" t="s">
        <v>1312</v>
      </c>
      <c r="C245" s="22">
        <f>COUNTIFS('NC Management'!$N$4:$N$100003,"Poor Housekeeping",'NC Management'!$D$4:$D$100003,mCrit,'NC Management'!$G$4:$G$100003,dCrit)</f>
        <v>0</v>
      </c>
      <c r="D245" s="24">
        <f>C245+ROW()/100000</f>
        <v>0</v>
      </c>
      <c r="E245" s="12">
        <f>INDEX($B$238:$B$245,MATCH(LARGE($D$238:$D$245,8),$D$238:$D$245,0))</f>
        <v>0</v>
      </c>
      <c r="F245" s="22">
        <f>INT(LARGE($D$238:$D$245,8))</f>
        <v>0</v>
      </c>
    </row>
    <row r="247" spans="2:6">
      <c r="B247" s="11" t="s">
        <v>1857</v>
      </c>
      <c r="C247" s="11" t="s">
        <v>410</v>
      </c>
      <c r="D247" s="11" t="s">
        <v>1826</v>
      </c>
      <c r="E247" s="11" t="s">
        <v>1858</v>
      </c>
      <c r="F247" s="11" t="s">
        <v>1859</v>
      </c>
    </row>
    <row r="248" spans="2:6">
      <c r="B248" s="12" t="s">
        <v>91</v>
      </c>
      <c r="C248" s="22">
        <f>SUMIFS('Workplace Inspections'!$J$4:$J$100003,'Workplace Inspections'!$E$4:$E$100003,"PPE Usage",'Workplace Inspections'!$D$4:$D$100003,mCrit,'Workplace Inspections'!$F$4:$F$100003,dCrit)</f>
        <v>0</v>
      </c>
      <c r="D248" s="24">
        <f>C248+ROW()/100000</f>
        <v>0</v>
      </c>
      <c r="E248" s="12">
        <f>INDEX($B$248:$B$255,MATCH(LARGE($D$248:$D$255,1),$D$248:$D$255,0))</f>
        <v>0</v>
      </c>
      <c r="F248" s="22">
        <f>INT(LARGE($D$248:$D$255,1))</f>
        <v>0</v>
      </c>
    </row>
    <row r="249" spans="2:6">
      <c r="B249" s="12" t="s">
        <v>45</v>
      </c>
      <c r="C249" s="22">
        <f>SUMIFS('Workplace Inspections'!$J$4:$J$100003,'Workplace Inspections'!$E$4:$E$100003,"Fire Safety",'Workplace Inspections'!$D$4:$D$100003,mCrit,'Workplace Inspections'!$F$4:$F$100003,dCrit)</f>
        <v>0</v>
      </c>
      <c r="D249" s="24">
        <f>C249+ROW()/100000</f>
        <v>0</v>
      </c>
      <c r="E249" s="12">
        <f>INDEX($B$248:$B$255,MATCH(LARGE($D$248:$D$255,2),$D$248:$D$255,0))</f>
        <v>0</v>
      </c>
      <c r="F249" s="22">
        <f>INT(LARGE($D$248:$D$255,2))</f>
        <v>0</v>
      </c>
    </row>
    <row r="250" spans="2:6">
      <c r="B250" s="12" t="s">
        <v>49</v>
      </c>
      <c r="C250" s="22">
        <f>SUMIFS('Workplace Inspections'!$J$4:$J$100003,'Workplace Inspections'!$E$4:$E$100003,"Working at Heights",'Workplace Inspections'!$D$4:$D$100003,mCrit,'Workplace Inspections'!$F$4:$F$100003,dCrit)</f>
        <v>0</v>
      </c>
      <c r="D250" s="24">
        <f>C250+ROW()/100000</f>
        <v>0</v>
      </c>
      <c r="E250" s="12">
        <f>INDEX($B$248:$B$255,MATCH(LARGE($D$248:$D$255,3),$D$248:$D$255,0))</f>
        <v>0</v>
      </c>
      <c r="F250" s="22">
        <f>INT(LARGE($D$248:$D$255,3))</f>
        <v>0</v>
      </c>
    </row>
    <row r="251" spans="2:6">
      <c r="B251" s="12" t="s">
        <v>4</v>
      </c>
      <c r="C251" s="22">
        <f>SUMIFS('Workplace Inspections'!$J$4:$J$100003,'Workplace Inspections'!$E$4:$E$100003,"Manual Handling",'Workplace Inspections'!$D$4:$D$100003,mCrit,'Workplace Inspections'!$F$4:$F$100003,dCrit)</f>
        <v>0</v>
      </c>
      <c r="D251" s="24">
        <f>C251+ROW()/100000</f>
        <v>0</v>
      </c>
      <c r="E251" s="12">
        <f>INDEX($B$248:$B$255,MATCH(LARGE($D$248:$D$255,4),$D$248:$D$255,0))</f>
        <v>0</v>
      </c>
      <c r="F251" s="22">
        <f>INT(LARGE($D$248:$D$255,4))</f>
        <v>0</v>
      </c>
    </row>
    <row r="252" spans="2:6">
      <c r="B252" s="12" t="s">
        <v>57</v>
      </c>
      <c r="C252" s="22">
        <f>SUMIFS('Workplace Inspections'!$J$4:$J$100003,'Workplace Inspections'!$E$4:$E$100003,"Electrical Safety",'Workplace Inspections'!$D$4:$D$100003,mCrit,'Workplace Inspections'!$F$4:$F$100003,dCrit)</f>
        <v>0</v>
      </c>
      <c r="D252" s="24">
        <f>C252+ROW()/100000</f>
        <v>0</v>
      </c>
      <c r="E252" s="12">
        <f>INDEX($B$248:$B$255,MATCH(LARGE($D$248:$D$255,5),$D$248:$D$255,0))</f>
        <v>0</v>
      </c>
      <c r="F252" s="22">
        <f>INT(LARGE($D$248:$D$255,5))</f>
        <v>0</v>
      </c>
    </row>
    <row r="253" spans="2:6">
      <c r="B253" s="12" t="s">
        <v>12</v>
      </c>
      <c r="C253" s="22">
        <f>SUMIFS('Workplace Inspections'!$J$4:$J$100003,'Workplace Inspections'!$E$4:$E$100003,"Chemical Safety",'Workplace Inspections'!$D$4:$D$100003,mCrit,'Workplace Inspections'!$F$4:$F$100003,dCrit)</f>
        <v>0</v>
      </c>
      <c r="D253" s="24">
        <f>C253+ROW()/100000</f>
        <v>0</v>
      </c>
      <c r="E253" s="12">
        <f>INDEX($B$248:$B$255,MATCH(LARGE($D$248:$D$255,6),$D$248:$D$255,0))</f>
        <v>0</v>
      </c>
      <c r="F253" s="22">
        <f>INT(LARGE($D$248:$D$255,6))</f>
        <v>0</v>
      </c>
    </row>
    <row r="254" spans="2:6">
      <c r="B254" s="12" t="s">
        <v>16</v>
      </c>
      <c r="C254" s="22">
        <f>SUMIFS('Workplace Inspections'!$J$4:$J$100003,'Workplace Inspections'!$E$4:$E$100003,"Housekeeping",'Workplace Inspections'!$D$4:$D$100003,mCrit,'Workplace Inspections'!$F$4:$F$100003,dCrit)</f>
        <v>0</v>
      </c>
      <c r="D254" s="24">
        <f>C254+ROW()/100000</f>
        <v>0</v>
      </c>
      <c r="E254" s="12">
        <f>INDEX($B$248:$B$255,MATCH(LARGE($D$248:$D$255,7),$D$248:$D$255,0))</f>
        <v>0</v>
      </c>
      <c r="F254" s="22">
        <f>INT(LARGE($D$248:$D$255,7))</f>
        <v>0</v>
      </c>
    </row>
    <row r="255" spans="2:6">
      <c r="B255" s="12" t="s">
        <v>54</v>
      </c>
      <c r="C255" s="22">
        <f>SUMIFS('Workplace Inspections'!$J$4:$J$100003,'Workplace Inspections'!$E$4:$E$100003,"Heat Stress",'Workplace Inspections'!$D$4:$D$100003,mCrit,'Workplace Inspections'!$F$4:$F$100003,dCrit)</f>
        <v>0</v>
      </c>
      <c r="D255" s="24">
        <f>C255+ROW()/100000</f>
        <v>0</v>
      </c>
      <c r="E255" s="12">
        <f>INDEX($B$248:$B$255,MATCH(LARGE($D$248:$D$255,8),$D$248:$D$255,0))</f>
        <v>0</v>
      </c>
      <c r="F255" s="22">
        <f>INT(LARGE($D$248:$D$255,8))</f>
        <v>0</v>
      </c>
    </row>
    <row r="257" spans="2:8">
      <c r="B257" s="11" t="s">
        <v>1860</v>
      </c>
      <c r="C257" s="11" t="s">
        <v>1808</v>
      </c>
    </row>
    <row r="258" spans="2:8">
      <c r="B258" s="12" t="s">
        <v>1861</v>
      </c>
      <c r="C258" s="22">
        <f>COUNTIFS('Incident'!$AB$4:$AB$100003,"Open",'Incident'!$AC$4:$AC$100003,"&gt;=0",'Incident'!$AC$4:$AC$100003,"&lt;=7",'Incident'!$D$4:$D$100003,mCrit,'Incident'!$H$4:$H$100003,dCrit)</f>
        <v>0</v>
      </c>
    </row>
    <row r="259" spans="2:8">
      <c r="B259" s="12" t="s">
        <v>1862</v>
      </c>
      <c r="C259" s="22">
        <f>COUNTIFS('Incident'!$AB$4:$AB$100003,"Open",'Incident'!$AC$4:$AC$100003,"&gt;=8",'Incident'!$AC$4:$AC$100003,"&lt;=15",'Incident'!$D$4:$D$100003,mCrit,'Incident'!$H$4:$H$100003,dCrit)</f>
        <v>0</v>
      </c>
    </row>
    <row r="260" spans="2:8">
      <c r="B260" s="12" t="s">
        <v>1863</v>
      </c>
      <c r="C260" s="22">
        <f>COUNTIFS('Incident'!$AB$4:$AB$100003,"Open",'Incident'!$AC$4:$AC$100003,"&gt;=16",'Incident'!$AC$4:$AC$100003,"&lt;=30",'Incident'!$D$4:$D$100003,mCrit,'Incident'!$H$4:$H$100003,dCrit)</f>
        <v>0</v>
      </c>
    </row>
    <row r="261" spans="2:8">
      <c r="B261" s="12" t="s">
        <v>1864</v>
      </c>
      <c r="C261" s="22">
        <f>COUNTIFS('Incident'!$AB$4:$AB$100003,"Open",'Incident'!$AC$4:$AC$100003,"&gt;=31",'Incident'!$D$4:$D$100003,mCrit,'Incident'!$H$4:$H$100003,dCrit)</f>
        <v>0</v>
      </c>
    </row>
    <row r="263" spans="2:8">
      <c r="B263" s="11" t="s">
        <v>1585</v>
      </c>
      <c r="C263" s="11" t="s">
        <v>1808</v>
      </c>
    </row>
    <row r="264" spans="2:8">
      <c r="B264" s="12" t="s">
        <v>1495</v>
      </c>
      <c r="C264" s="22">
        <f>COUNTIFS('Incident'!$P$4:$P$100003,"Employee",'Incident'!$D$4:$D$100003,mCrit,'Incident'!$H$4:$H$100003,dCrit)</f>
        <v>0</v>
      </c>
    </row>
    <row r="265" spans="2:8">
      <c r="B265" s="12" t="s">
        <v>58</v>
      </c>
      <c r="C265" s="22">
        <f>COUNTIFS('Incident'!$P$4:$P$100003,"Contractor",'Incident'!$D$4:$D$100003,mCrit,'Incident'!$H$4:$H$100003,dCrit)</f>
        <v>0</v>
      </c>
    </row>
    <row r="266" spans="2:8">
      <c r="B266" s="12" t="s">
        <v>1501</v>
      </c>
      <c r="C266" s="22">
        <f>COUNTIFS('Incident'!$P$4:$P$100003,"Visitor",'Incident'!$D$4:$D$100003,mCrit,'Incident'!$H$4:$H$100003,dCrit)</f>
        <v>0</v>
      </c>
    </row>
    <row r="267" spans="2:8">
      <c r="B267" s="12" t="s">
        <v>1508</v>
      </c>
      <c r="C267" s="22">
        <f>COUNTIFS('Incident'!$P$4:$P$100003,"Third Party",'Incident'!$D$4:$D$100003,mCrit,'Incident'!$H$4:$H$100003,dCrit)</f>
        <v>0</v>
      </c>
    </row>
    <row r="269" spans="2:8">
      <c r="B269" s="11" t="s">
        <v>1865</v>
      </c>
      <c r="C269" s="11" t="s">
        <v>1836</v>
      </c>
      <c r="D269" s="11" t="s">
        <v>1837</v>
      </c>
      <c r="E269" s="11" t="s">
        <v>1838</v>
      </c>
      <c r="F269" s="11" t="s">
        <v>1839</v>
      </c>
      <c r="G269" s="11" t="s">
        <v>65</v>
      </c>
      <c r="H269" s="11" t="s">
        <v>1840</v>
      </c>
    </row>
    <row r="270" spans="2:8">
      <c r="B270" s="12" t="s">
        <v>91</v>
      </c>
      <c r="C270" s="26">
        <f>COUNTIFS('Toolbox Talks'!$E$4:$E$100003,"PPE Usage",'Toolbox Talks'!$F$4:$F$100003,"Operations",'Toolbox Talks'!$D$4:$D$100003,mCrit)</f>
        <v>0</v>
      </c>
      <c r="D270" s="26">
        <f>COUNTIFS('Toolbox Talks'!$E$4:$E$100003,"PPE Usage",'Toolbox Talks'!$F$4:$F$100003,"Maintenance",'Toolbox Talks'!$D$4:$D$100003,mCrit)</f>
        <v>0</v>
      </c>
      <c r="E270" s="26">
        <f>COUNTIFS('Toolbox Talks'!$E$4:$E$100003,"PPE Usage",'Toolbox Talks'!$F$4:$F$100003,"Engineering",'Toolbox Talks'!$D$4:$D$100003,mCrit)</f>
        <v>0</v>
      </c>
      <c r="F270" s="26">
        <f>COUNTIFS('Toolbox Talks'!$E$4:$E$100003,"PPE Usage",'Toolbox Talks'!$F$4:$F$100003,"Construction",'Toolbox Talks'!$D$4:$D$100003,mCrit)</f>
        <v>0</v>
      </c>
      <c r="G270" s="26">
        <f>COUNTIFS('Toolbox Talks'!$E$4:$E$100003,"PPE Usage",'Toolbox Talks'!$F$4:$F$100003,"Safety",'Toolbox Talks'!$D$4:$D$100003,mCrit)</f>
        <v>0</v>
      </c>
      <c r="H270" s="26">
        <f>COUNTIFS('Toolbox Talks'!$E$4:$E$100003,"PPE Usage",'Toolbox Talks'!$F$4:$F$100003,"Logistics",'Toolbox Talks'!$D$4:$D$100003,mCrit)</f>
        <v>0</v>
      </c>
    </row>
    <row r="271" spans="2:8">
      <c r="B271" s="12" t="s">
        <v>45</v>
      </c>
      <c r="C271" s="26">
        <f>COUNTIFS('Toolbox Talks'!$E$4:$E$100003,"Fire Safety",'Toolbox Talks'!$F$4:$F$100003,"Operations",'Toolbox Talks'!$D$4:$D$100003,mCrit)</f>
        <v>0</v>
      </c>
      <c r="D271" s="26">
        <f>COUNTIFS('Toolbox Talks'!$E$4:$E$100003,"Fire Safety",'Toolbox Talks'!$F$4:$F$100003,"Maintenance",'Toolbox Talks'!$D$4:$D$100003,mCrit)</f>
        <v>0</v>
      </c>
      <c r="E271" s="26">
        <f>COUNTIFS('Toolbox Talks'!$E$4:$E$100003,"Fire Safety",'Toolbox Talks'!$F$4:$F$100003,"Engineering",'Toolbox Talks'!$D$4:$D$100003,mCrit)</f>
        <v>0</v>
      </c>
      <c r="F271" s="26">
        <f>COUNTIFS('Toolbox Talks'!$E$4:$E$100003,"Fire Safety",'Toolbox Talks'!$F$4:$F$100003,"Construction",'Toolbox Talks'!$D$4:$D$100003,mCrit)</f>
        <v>0</v>
      </c>
      <c r="G271" s="26">
        <f>COUNTIFS('Toolbox Talks'!$E$4:$E$100003,"Fire Safety",'Toolbox Talks'!$F$4:$F$100003,"Safety",'Toolbox Talks'!$D$4:$D$100003,mCrit)</f>
        <v>0</v>
      </c>
      <c r="H271" s="26">
        <f>COUNTIFS('Toolbox Talks'!$E$4:$E$100003,"Fire Safety",'Toolbox Talks'!$F$4:$F$100003,"Logistics",'Toolbox Talks'!$D$4:$D$100003,mCrit)</f>
        <v>0</v>
      </c>
    </row>
    <row r="272" spans="2:8">
      <c r="B272" s="12" t="s">
        <v>49</v>
      </c>
      <c r="C272" s="26">
        <f>COUNTIFS('Toolbox Talks'!$E$4:$E$100003,"Working at Heights",'Toolbox Talks'!$F$4:$F$100003,"Operations",'Toolbox Talks'!$D$4:$D$100003,mCrit)</f>
        <v>0</v>
      </c>
      <c r="D272" s="26">
        <f>COUNTIFS('Toolbox Talks'!$E$4:$E$100003,"Working at Heights",'Toolbox Talks'!$F$4:$F$100003,"Maintenance",'Toolbox Talks'!$D$4:$D$100003,mCrit)</f>
        <v>0</v>
      </c>
      <c r="E272" s="26">
        <f>COUNTIFS('Toolbox Talks'!$E$4:$E$100003,"Working at Heights",'Toolbox Talks'!$F$4:$F$100003,"Engineering",'Toolbox Talks'!$D$4:$D$100003,mCrit)</f>
        <v>0</v>
      </c>
      <c r="F272" s="26">
        <f>COUNTIFS('Toolbox Talks'!$E$4:$E$100003,"Working at Heights",'Toolbox Talks'!$F$4:$F$100003,"Construction",'Toolbox Talks'!$D$4:$D$100003,mCrit)</f>
        <v>0</v>
      </c>
      <c r="G272" s="26">
        <f>COUNTIFS('Toolbox Talks'!$E$4:$E$100003,"Working at Heights",'Toolbox Talks'!$F$4:$F$100003,"Safety",'Toolbox Talks'!$D$4:$D$100003,mCrit)</f>
        <v>0</v>
      </c>
      <c r="H272" s="26">
        <f>COUNTIFS('Toolbox Talks'!$E$4:$E$100003,"Working at Heights",'Toolbox Talks'!$F$4:$F$100003,"Logistics",'Toolbox Talks'!$D$4:$D$100003,mCrit)</f>
        <v>0</v>
      </c>
    </row>
    <row r="273" spans="2:34">
      <c r="B273" s="12" t="s">
        <v>4</v>
      </c>
      <c r="C273" s="26">
        <f>COUNTIFS('Toolbox Talks'!$E$4:$E$100003,"Manual Handling",'Toolbox Talks'!$F$4:$F$100003,"Operations",'Toolbox Talks'!$D$4:$D$100003,mCrit)</f>
        <v>0</v>
      </c>
      <c r="D273" s="26">
        <f>COUNTIFS('Toolbox Talks'!$E$4:$E$100003,"Manual Handling",'Toolbox Talks'!$F$4:$F$100003,"Maintenance",'Toolbox Talks'!$D$4:$D$100003,mCrit)</f>
        <v>0</v>
      </c>
      <c r="E273" s="26">
        <f>COUNTIFS('Toolbox Talks'!$E$4:$E$100003,"Manual Handling",'Toolbox Talks'!$F$4:$F$100003,"Engineering",'Toolbox Talks'!$D$4:$D$100003,mCrit)</f>
        <v>0</v>
      </c>
      <c r="F273" s="26">
        <f>COUNTIFS('Toolbox Talks'!$E$4:$E$100003,"Manual Handling",'Toolbox Talks'!$F$4:$F$100003,"Construction",'Toolbox Talks'!$D$4:$D$100003,mCrit)</f>
        <v>0</v>
      </c>
      <c r="G273" s="26">
        <f>COUNTIFS('Toolbox Talks'!$E$4:$E$100003,"Manual Handling",'Toolbox Talks'!$F$4:$F$100003,"Safety",'Toolbox Talks'!$D$4:$D$100003,mCrit)</f>
        <v>0</v>
      </c>
      <c r="H273" s="26">
        <f>COUNTIFS('Toolbox Talks'!$E$4:$E$100003,"Manual Handling",'Toolbox Talks'!$F$4:$F$100003,"Logistics",'Toolbox Talks'!$D$4:$D$100003,mCrit)</f>
        <v>0</v>
      </c>
    </row>
    <row r="274" spans="2:34">
      <c r="B274" s="12" t="s">
        <v>57</v>
      </c>
      <c r="C274" s="26">
        <f>COUNTIFS('Toolbox Talks'!$E$4:$E$100003,"Electrical Safety",'Toolbox Talks'!$F$4:$F$100003,"Operations",'Toolbox Talks'!$D$4:$D$100003,mCrit)</f>
        <v>0</v>
      </c>
      <c r="D274" s="26">
        <f>COUNTIFS('Toolbox Talks'!$E$4:$E$100003,"Electrical Safety",'Toolbox Talks'!$F$4:$F$100003,"Maintenance",'Toolbox Talks'!$D$4:$D$100003,mCrit)</f>
        <v>0</v>
      </c>
      <c r="E274" s="26">
        <f>COUNTIFS('Toolbox Talks'!$E$4:$E$100003,"Electrical Safety",'Toolbox Talks'!$F$4:$F$100003,"Engineering",'Toolbox Talks'!$D$4:$D$100003,mCrit)</f>
        <v>0</v>
      </c>
      <c r="F274" s="26">
        <f>COUNTIFS('Toolbox Talks'!$E$4:$E$100003,"Electrical Safety",'Toolbox Talks'!$F$4:$F$100003,"Construction",'Toolbox Talks'!$D$4:$D$100003,mCrit)</f>
        <v>0</v>
      </c>
      <c r="G274" s="26">
        <f>COUNTIFS('Toolbox Talks'!$E$4:$E$100003,"Electrical Safety",'Toolbox Talks'!$F$4:$F$100003,"Safety",'Toolbox Talks'!$D$4:$D$100003,mCrit)</f>
        <v>0</v>
      </c>
      <c r="H274" s="26">
        <f>COUNTIFS('Toolbox Talks'!$E$4:$E$100003,"Electrical Safety",'Toolbox Talks'!$F$4:$F$100003,"Logistics",'Toolbox Talks'!$D$4:$D$100003,mCrit)</f>
        <v>0</v>
      </c>
    </row>
    <row r="275" spans="2:34">
      <c r="B275" s="12" t="s">
        <v>12</v>
      </c>
      <c r="C275" s="26">
        <f>COUNTIFS('Toolbox Talks'!$E$4:$E$100003,"Chemical Safety",'Toolbox Talks'!$F$4:$F$100003,"Operations",'Toolbox Talks'!$D$4:$D$100003,mCrit)</f>
        <v>0</v>
      </c>
      <c r="D275" s="26">
        <f>COUNTIFS('Toolbox Talks'!$E$4:$E$100003,"Chemical Safety",'Toolbox Talks'!$F$4:$F$100003,"Maintenance",'Toolbox Talks'!$D$4:$D$100003,mCrit)</f>
        <v>0</v>
      </c>
      <c r="E275" s="26">
        <f>COUNTIFS('Toolbox Talks'!$E$4:$E$100003,"Chemical Safety",'Toolbox Talks'!$F$4:$F$100003,"Engineering",'Toolbox Talks'!$D$4:$D$100003,mCrit)</f>
        <v>0</v>
      </c>
      <c r="F275" s="26">
        <f>COUNTIFS('Toolbox Talks'!$E$4:$E$100003,"Chemical Safety",'Toolbox Talks'!$F$4:$F$100003,"Construction",'Toolbox Talks'!$D$4:$D$100003,mCrit)</f>
        <v>0</v>
      </c>
      <c r="G275" s="26">
        <f>COUNTIFS('Toolbox Talks'!$E$4:$E$100003,"Chemical Safety",'Toolbox Talks'!$F$4:$F$100003,"Safety",'Toolbox Talks'!$D$4:$D$100003,mCrit)</f>
        <v>0</v>
      </c>
      <c r="H275" s="26">
        <f>COUNTIFS('Toolbox Talks'!$E$4:$E$100003,"Chemical Safety",'Toolbox Talks'!$F$4:$F$100003,"Logistics",'Toolbox Talks'!$D$4:$D$100003,mCrit)</f>
        <v>0</v>
      </c>
    </row>
    <row r="276" spans="2:34">
      <c r="B276" s="12" t="s">
        <v>16</v>
      </c>
      <c r="C276" s="26">
        <f>COUNTIFS('Toolbox Talks'!$E$4:$E$100003,"Housekeeping",'Toolbox Talks'!$F$4:$F$100003,"Operations",'Toolbox Talks'!$D$4:$D$100003,mCrit)</f>
        <v>0</v>
      </c>
      <c r="D276" s="26">
        <f>COUNTIFS('Toolbox Talks'!$E$4:$E$100003,"Housekeeping",'Toolbox Talks'!$F$4:$F$100003,"Maintenance",'Toolbox Talks'!$D$4:$D$100003,mCrit)</f>
        <v>0</v>
      </c>
      <c r="E276" s="26">
        <f>COUNTIFS('Toolbox Talks'!$E$4:$E$100003,"Housekeeping",'Toolbox Talks'!$F$4:$F$100003,"Engineering",'Toolbox Talks'!$D$4:$D$100003,mCrit)</f>
        <v>0</v>
      </c>
      <c r="F276" s="26">
        <f>COUNTIFS('Toolbox Talks'!$E$4:$E$100003,"Housekeeping",'Toolbox Talks'!$F$4:$F$100003,"Construction",'Toolbox Talks'!$D$4:$D$100003,mCrit)</f>
        <v>0</v>
      </c>
      <c r="G276" s="26">
        <f>COUNTIFS('Toolbox Talks'!$E$4:$E$100003,"Housekeeping",'Toolbox Talks'!$F$4:$F$100003,"Safety",'Toolbox Talks'!$D$4:$D$100003,mCrit)</f>
        <v>0</v>
      </c>
      <c r="H276" s="26">
        <f>COUNTIFS('Toolbox Talks'!$E$4:$E$100003,"Housekeeping",'Toolbox Talks'!$F$4:$F$100003,"Logistics",'Toolbox Talks'!$D$4:$D$100003,mCrit)</f>
        <v>0</v>
      </c>
    </row>
    <row r="277" spans="2:34">
      <c r="B277" s="12" t="s">
        <v>54</v>
      </c>
      <c r="C277" s="26">
        <f>COUNTIFS('Toolbox Talks'!$E$4:$E$100003,"Heat Stress",'Toolbox Talks'!$F$4:$F$100003,"Operations",'Toolbox Talks'!$D$4:$D$100003,mCrit)</f>
        <v>0</v>
      </c>
      <c r="D277" s="26">
        <f>COUNTIFS('Toolbox Talks'!$E$4:$E$100003,"Heat Stress",'Toolbox Talks'!$F$4:$F$100003,"Maintenance",'Toolbox Talks'!$D$4:$D$100003,mCrit)</f>
        <v>0</v>
      </c>
      <c r="E277" s="26">
        <f>COUNTIFS('Toolbox Talks'!$E$4:$E$100003,"Heat Stress",'Toolbox Talks'!$F$4:$F$100003,"Engineering",'Toolbox Talks'!$D$4:$D$100003,mCrit)</f>
        <v>0</v>
      </c>
      <c r="F277" s="26">
        <f>COUNTIFS('Toolbox Talks'!$E$4:$E$100003,"Heat Stress",'Toolbox Talks'!$F$4:$F$100003,"Construction",'Toolbox Talks'!$D$4:$D$100003,mCrit)</f>
        <v>0</v>
      </c>
      <c r="G277" s="26">
        <f>COUNTIFS('Toolbox Talks'!$E$4:$E$100003,"Heat Stress",'Toolbox Talks'!$F$4:$F$100003,"Safety",'Toolbox Talks'!$D$4:$D$100003,mCrit)</f>
        <v>0</v>
      </c>
      <c r="H277" s="26">
        <f>COUNTIFS('Toolbox Talks'!$E$4:$E$100003,"Heat Stress",'Toolbox Talks'!$F$4:$F$100003,"Logistics",'Toolbox Talks'!$D$4:$D$100003,mCrit)</f>
        <v>0</v>
      </c>
    </row>
    <row r="279" spans="2:34">
      <c r="B279" s="16" t="s">
        <v>1866</v>
      </c>
    </row>
    <row r="280" spans="2:34">
      <c r="B280" s="11" t="s">
        <v>127</v>
      </c>
      <c r="C280" s="11" t="s">
        <v>1808</v>
      </c>
      <c r="E280" s="11" t="s">
        <v>136</v>
      </c>
      <c r="F280" s="11" t="s">
        <v>1808</v>
      </c>
      <c r="G280" s="11" t="s">
        <v>138</v>
      </c>
      <c r="H280" s="11" t="s">
        <v>1808</v>
      </c>
      <c r="M280" s="11" t="s">
        <v>1752</v>
      </c>
      <c r="N280" s="11" t="s">
        <v>1867</v>
      </c>
      <c r="P280" s="11" t="s">
        <v>129</v>
      </c>
      <c r="Q280" s="11" t="s">
        <v>1808</v>
      </c>
      <c r="R280" s="11" t="s">
        <v>1872</v>
      </c>
      <c r="S280" s="11" t="s">
        <v>1869</v>
      </c>
      <c r="U280" s="11" t="s">
        <v>1873</v>
      </c>
      <c r="V280" s="11" t="s">
        <v>3</v>
      </c>
      <c r="W280" s="11" t="s">
        <v>19</v>
      </c>
      <c r="X280" s="11" t="s">
        <v>44</v>
      </c>
      <c r="Y280" s="11" t="s">
        <v>53</v>
      </c>
      <c r="Z280" s="11" t="s">
        <v>60</v>
      </c>
      <c r="AA280" s="11" t="s">
        <v>73</v>
      </c>
      <c r="AB280" s="11" t="s">
        <v>76</v>
      </c>
      <c r="AC280" s="11" t="s">
        <v>86</v>
      </c>
      <c r="AD280" s="11" t="s">
        <v>102</v>
      </c>
      <c r="AE280" s="11" t="s">
        <v>106</v>
      </c>
      <c r="AF280" s="11" t="s">
        <v>111</v>
      </c>
      <c r="AG280" s="11" t="s">
        <v>122</v>
      </c>
      <c r="AH280" s="11" t="s">
        <v>1874</v>
      </c>
    </row>
    <row r="281" spans="2:34">
      <c r="B281" s="21" t="s">
        <v>3</v>
      </c>
      <c r="C281" s="22">
        <f>COUNTIFS('Toolbox Talks'!$D$4:$D$100003,"Jan",'Toolbox Talks'!$F$4:$F$100003,dCrit)</f>
        <v>0</v>
      </c>
      <c r="E281" s="12" t="s">
        <v>8</v>
      </c>
      <c r="F281" s="22">
        <f>COUNTIFS('Toolbox Talks'!$M$4:$M$100003,"Ergonomics",'Toolbox Talks'!$D$4:$D$100003,mCrit,'Toolbox Talks'!$F$4:$F$100003,dCrit)</f>
        <v>0</v>
      </c>
      <c r="G281" s="12" t="s">
        <v>10</v>
      </c>
      <c r="H281" s="22">
        <f>COUNTIFS('Toolbox Talks'!$O$4:$O$100003,"Excellent",'Toolbox Talks'!$D$4:$D$100003,mCrit,'Toolbox Talks'!$F$4:$F$100003,dCrit)</f>
        <v>0</v>
      </c>
      <c r="M281" s="12" t="s">
        <v>1868</v>
      </c>
      <c r="N281" s="22">
        <f>COUNTIFS('Toolbox Talks'!$D$4:$D$100003,mCrit,'Toolbox Talks'!$F$4:$F$100003,dCrit)</f>
        <v>0</v>
      </c>
      <c r="P281" s="12" t="s">
        <v>27</v>
      </c>
      <c r="Q281" s="22">
        <f>COUNTIFS('Toolbox Talks'!$D$4:$D$100003,mCrit,'Toolbox Talks'!$F$4:$F$100003,"Operations")</f>
        <v>0</v>
      </c>
      <c r="R281" s="22">
        <f>COUNTIFS('Toolbox Talks'!$D$4:$D$100003,mCrit,'Toolbox Talks'!$F$4:$F$100003,"Operations")</f>
        <v>0</v>
      </c>
      <c r="S281" s="23">
        <f>IFERROR(AVERAGEIFS('Toolbox Talks'!$K$4:$K$100003,'Toolbox Talks'!$D$4:$D$100003,mCrit,'Toolbox Talks'!$F$4:$F$100003,"Operations"),0)</f>
        <v>0</v>
      </c>
      <c r="U281" s="12" t="s">
        <v>1872</v>
      </c>
      <c r="V281" s="22">
        <f>COUNTIFS('Toolbox Talks'!$D$4:$D$100003,"Jan",'Toolbox Talks'!$F$4:$F$100003,dCrit)</f>
        <v>0</v>
      </c>
      <c r="W281" s="22">
        <f>COUNTIFS('Toolbox Talks'!$D$4:$D$100003,"Feb",'Toolbox Talks'!$F$4:$F$100003,dCrit)</f>
        <v>0</v>
      </c>
      <c r="X281" s="22">
        <f>COUNTIFS('Toolbox Talks'!$D$4:$D$100003,"Mar",'Toolbox Talks'!$F$4:$F$100003,dCrit)</f>
        <v>0</v>
      </c>
      <c r="Y281" s="22">
        <f>COUNTIFS('Toolbox Talks'!$D$4:$D$100003,"Apr",'Toolbox Talks'!$F$4:$F$100003,dCrit)</f>
        <v>0</v>
      </c>
      <c r="Z281" s="22">
        <f>COUNTIFS('Toolbox Talks'!$D$4:$D$100003,"May",'Toolbox Talks'!$F$4:$F$100003,dCrit)</f>
        <v>0</v>
      </c>
      <c r="AA281" s="22">
        <f>COUNTIFS('Toolbox Talks'!$D$4:$D$100003,"Jun",'Toolbox Talks'!$F$4:$F$100003,dCrit)</f>
        <v>0</v>
      </c>
      <c r="AB281" s="22">
        <f>COUNTIFS('Toolbox Talks'!$D$4:$D$100003,"Jul",'Toolbox Talks'!$F$4:$F$100003,dCrit)</f>
        <v>0</v>
      </c>
      <c r="AC281" s="22">
        <f>COUNTIFS('Toolbox Talks'!$D$4:$D$100003,"Aug",'Toolbox Talks'!$F$4:$F$100003,dCrit)</f>
        <v>0</v>
      </c>
      <c r="AD281" s="22">
        <f>COUNTIFS('Toolbox Talks'!$D$4:$D$100003,"Sep",'Toolbox Talks'!$F$4:$F$100003,dCrit)</f>
        <v>0</v>
      </c>
      <c r="AE281" s="22">
        <f>COUNTIFS('Toolbox Talks'!$D$4:$D$100003,"Oct",'Toolbox Talks'!$F$4:$F$100003,dCrit)</f>
        <v>0</v>
      </c>
      <c r="AF281" s="22">
        <f>COUNTIFS('Toolbox Talks'!$D$4:$D$100003,"Nov",'Toolbox Talks'!$F$4:$F$100003,dCrit)</f>
        <v>0</v>
      </c>
      <c r="AG281" s="22">
        <f>COUNTIFS('Toolbox Talks'!$D$4:$D$100003,"Dec",'Toolbox Talks'!$F$4:$F$100003,dCrit)</f>
        <v>0</v>
      </c>
      <c r="AH281" s="22">
        <f>SUM(V281:AG281)</f>
        <v>0</v>
      </c>
    </row>
    <row r="282" spans="2:34">
      <c r="B282" s="21" t="s">
        <v>19</v>
      </c>
      <c r="C282" s="22">
        <f>COUNTIFS('Toolbox Talks'!$D$4:$D$100003,"Feb",'Toolbox Talks'!$F$4:$F$100003,dCrit)</f>
        <v>0</v>
      </c>
      <c r="E282" s="12" t="s">
        <v>16</v>
      </c>
      <c r="F282" s="22">
        <f>COUNTIFS('Toolbox Talks'!$M$4:$M$100003,"Housekeeping",'Toolbox Talks'!$D$4:$D$100003,mCrit,'Toolbox Talks'!$F$4:$F$100003,dCrit)</f>
        <v>0</v>
      </c>
      <c r="G282" s="12" t="s">
        <v>42</v>
      </c>
      <c r="H282" s="22">
        <f>COUNTIFS('Toolbox Talks'!$O$4:$O$100003,"Good",'Toolbox Talks'!$D$4:$D$100003,mCrit,'Toolbox Talks'!$F$4:$F$100003,dCrit)</f>
        <v>0</v>
      </c>
      <c r="M282" s="12" t="s">
        <v>1869</v>
      </c>
      <c r="N282" s="23">
        <f>IFERROR(AVERAGEIFS('Toolbox Talks'!$K$4:$K$100003,'Toolbox Talks'!$D$4:$D$100003,mCrit,'Toolbox Talks'!$F$4:$F$100003,dCrit),0)</f>
        <v>0</v>
      </c>
      <c r="P282" s="12" t="s">
        <v>92</v>
      </c>
      <c r="Q282" s="22">
        <f>COUNTIFS('Toolbox Talks'!$D$4:$D$100003,mCrit,'Toolbox Talks'!$F$4:$F$100003,"Maintenance")</f>
        <v>0</v>
      </c>
      <c r="R282" s="22">
        <f>COUNTIFS('Toolbox Talks'!$D$4:$D$100003,mCrit,'Toolbox Talks'!$F$4:$F$100003,"Maintenance")</f>
        <v>0</v>
      </c>
      <c r="S282" s="23">
        <f>IFERROR(AVERAGEIFS('Toolbox Talks'!$K$4:$K$100003,'Toolbox Talks'!$D$4:$D$100003,mCrit,'Toolbox Talks'!$F$4:$F$100003,"Maintenance"),0)</f>
        <v>0</v>
      </c>
      <c r="U282" s="12" t="s">
        <v>1869</v>
      </c>
      <c r="V282" s="23">
        <f>IFERROR(AVERAGEIFS('Toolbox Talks'!$K$4:$K$100003,'Toolbox Talks'!$D$4:$D$100003,"Jan",'Toolbox Talks'!$F$4:$F$100003,dCrit),0)</f>
        <v>0</v>
      </c>
      <c r="W282" s="23">
        <f>IFERROR(AVERAGEIFS('Toolbox Talks'!$K$4:$K$100003,'Toolbox Talks'!$D$4:$D$100003,"Feb",'Toolbox Talks'!$F$4:$F$100003,dCrit),0)</f>
        <v>0</v>
      </c>
      <c r="X282" s="23">
        <f>IFERROR(AVERAGEIFS('Toolbox Talks'!$K$4:$K$100003,'Toolbox Talks'!$D$4:$D$100003,"Mar",'Toolbox Talks'!$F$4:$F$100003,dCrit),0)</f>
        <v>0</v>
      </c>
      <c r="Y282" s="23">
        <f>IFERROR(AVERAGEIFS('Toolbox Talks'!$K$4:$K$100003,'Toolbox Talks'!$D$4:$D$100003,"Apr",'Toolbox Talks'!$F$4:$F$100003,dCrit),0)</f>
        <v>0</v>
      </c>
      <c r="Z282" s="23">
        <f>IFERROR(AVERAGEIFS('Toolbox Talks'!$K$4:$K$100003,'Toolbox Talks'!$D$4:$D$100003,"May",'Toolbox Talks'!$F$4:$F$100003,dCrit),0)</f>
        <v>0</v>
      </c>
      <c r="AA282" s="23">
        <f>IFERROR(AVERAGEIFS('Toolbox Talks'!$K$4:$K$100003,'Toolbox Talks'!$D$4:$D$100003,"Jun",'Toolbox Talks'!$F$4:$F$100003,dCrit),0)</f>
        <v>0</v>
      </c>
      <c r="AB282" s="23">
        <f>IFERROR(AVERAGEIFS('Toolbox Talks'!$K$4:$K$100003,'Toolbox Talks'!$D$4:$D$100003,"Jul",'Toolbox Talks'!$F$4:$F$100003,dCrit),0)</f>
        <v>0</v>
      </c>
      <c r="AC282" s="23">
        <f>IFERROR(AVERAGEIFS('Toolbox Talks'!$K$4:$K$100003,'Toolbox Talks'!$D$4:$D$100003,"Aug",'Toolbox Talks'!$F$4:$F$100003,dCrit),0)</f>
        <v>0</v>
      </c>
      <c r="AD282" s="23">
        <f>IFERROR(AVERAGEIFS('Toolbox Talks'!$K$4:$K$100003,'Toolbox Talks'!$D$4:$D$100003,"Sep",'Toolbox Talks'!$F$4:$F$100003,dCrit),0)</f>
        <v>0</v>
      </c>
      <c r="AE282" s="23">
        <f>IFERROR(AVERAGEIFS('Toolbox Talks'!$K$4:$K$100003,'Toolbox Talks'!$D$4:$D$100003,"Oct",'Toolbox Talks'!$F$4:$F$100003,dCrit),0)</f>
        <v>0</v>
      </c>
      <c r="AF282" s="23">
        <f>IFERROR(AVERAGEIFS('Toolbox Talks'!$K$4:$K$100003,'Toolbox Talks'!$D$4:$D$100003,"Nov",'Toolbox Talks'!$F$4:$F$100003,dCrit),0)</f>
        <v>0</v>
      </c>
      <c r="AG282" s="23">
        <f>IFERROR(AVERAGEIFS('Toolbox Talks'!$K$4:$K$100003,'Toolbox Talks'!$D$4:$D$100003,"Dec",'Toolbox Talks'!$F$4:$F$100003,dCrit),0)</f>
        <v>0</v>
      </c>
      <c r="AH282" s="23">
        <f>IFERROR(AVERAGE(V282:AG282),0)</f>
        <v>0</v>
      </c>
    </row>
    <row r="283" spans="2:34">
      <c r="B283" s="21" t="s">
        <v>44</v>
      </c>
      <c r="C283" s="22">
        <f>COUNTIFS('Toolbox Talks'!$D$4:$D$100003,"Mar",'Toolbox Talks'!$F$4:$F$100003,dCrit)</f>
        <v>0</v>
      </c>
      <c r="E283" s="12" t="s">
        <v>33</v>
      </c>
      <c r="F283" s="22">
        <f>COUNTIFS('Toolbox Talks'!$M$4:$M$100003,"BBS",'Toolbox Talks'!$D$4:$D$100003,mCrit,'Toolbox Talks'!$F$4:$F$100003,dCrit)</f>
        <v>0</v>
      </c>
      <c r="G283" s="12" t="s">
        <v>17</v>
      </c>
      <c r="H283" s="22">
        <f>COUNTIFS('Toolbox Talks'!$O$4:$O$100003,"Satisfactory",'Toolbox Talks'!$D$4:$D$100003,mCrit,'Toolbox Talks'!$F$4:$F$100003,dCrit)</f>
        <v>0</v>
      </c>
      <c r="M283" s="12" t="s">
        <v>1870</v>
      </c>
      <c r="N283" s="22">
        <f>SUMIFS('Toolbox Talks'!$L$4:$L$100003,'Toolbox Talks'!$D$4:$D$100003,mCrit,'Toolbox Talks'!$F$4:$F$100003,dCrit)</f>
        <v>0</v>
      </c>
      <c r="P283" s="12" t="s">
        <v>39</v>
      </c>
      <c r="Q283" s="22">
        <f>COUNTIFS('Toolbox Talks'!$D$4:$D$100003,mCrit,'Toolbox Talks'!$F$4:$F$100003,"Engineering")</f>
        <v>0</v>
      </c>
      <c r="R283" s="22">
        <f>COUNTIFS('Toolbox Talks'!$D$4:$D$100003,mCrit,'Toolbox Talks'!$F$4:$F$100003,"Engineering")</f>
        <v>0</v>
      </c>
      <c r="S283" s="23">
        <f>IFERROR(AVERAGEIFS('Toolbox Talks'!$K$4:$K$100003,'Toolbox Talks'!$D$4:$D$100003,mCrit,'Toolbox Talks'!$F$4:$F$100003,"Engineering"),0)</f>
        <v>0</v>
      </c>
    </row>
    <row r="284" spans="2:34">
      <c r="B284" s="21" t="s">
        <v>53</v>
      </c>
      <c r="C284" s="22">
        <f>COUNTIFS('Toolbox Talks'!$D$4:$D$100003,"Apr",'Toolbox Talks'!$F$4:$F$100003,dCrit)</f>
        <v>0</v>
      </c>
      <c r="E284" s="12" t="s">
        <v>47</v>
      </c>
      <c r="F284" s="22">
        <f>COUNTIFS('Toolbox Talks'!$M$4:$M$100003,"General",'Toolbox Talks'!$D$4:$D$100003,mCrit,'Toolbox Talks'!$F$4:$F$100003,dCrit)</f>
        <v>0</v>
      </c>
      <c r="G284" s="12" t="s">
        <v>96</v>
      </c>
      <c r="H284" s="22">
        <f>COUNTIFS('Toolbox Talks'!$O$4:$O$100003,"Needs Improvement",'Toolbox Talks'!$D$4:$D$100003,mCrit,'Toolbox Talks'!$F$4:$F$100003,dCrit)</f>
        <v>0</v>
      </c>
      <c r="M284" s="12" t="s">
        <v>1871</v>
      </c>
      <c r="N284" s="22">
        <f>COUNTIFS('Toolbox Talks'!$N$4:$N$100003,"Yes",'Toolbox Talks'!$D$4:$D$100003,mCrit,'Toolbox Talks'!$F$4:$F$100003,dCrit)</f>
        <v>0</v>
      </c>
      <c r="P284" s="12" t="s">
        <v>89</v>
      </c>
      <c r="Q284" s="22">
        <f>COUNTIFS('Toolbox Talks'!$D$4:$D$100003,mCrit,'Toolbox Talks'!$F$4:$F$100003,"Construction")</f>
        <v>0</v>
      </c>
      <c r="R284" s="22">
        <f>COUNTIFS('Toolbox Talks'!$D$4:$D$100003,mCrit,'Toolbox Talks'!$F$4:$F$100003,"Construction")</f>
        <v>0</v>
      </c>
      <c r="S284" s="23">
        <f>IFERROR(AVERAGEIFS('Toolbox Talks'!$K$4:$K$100003,'Toolbox Talks'!$D$4:$D$100003,mCrit,'Toolbox Talks'!$F$4:$F$100003,"Construction"),0)</f>
        <v>0</v>
      </c>
    </row>
    <row r="285" spans="2:34">
      <c r="B285" s="21" t="s">
        <v>60</v>
      </c>
      <c r="C285" s="22">
        <f>COUNTIFS('Toolbox Talks'!$D$4:$D$100003,"May",'Toolbox Talks'!$F$4:$F$100003,dCrit)</f>
        <v>0</v>
      </c>
      <c r="E285" s="12" t="s">
        <v>55</v>
      </c>
      <c r="F285" s="22">
        <f>COUNTIFS('Toolbox Talks'!$M$4:$M$100003,"Process Safety",'Toolbox Talks'!$D$4:$D$100003,mCrit,'Toolbox Talks'!$F$4:$F$100003,dCrit)</f>
        <v>0</v>
      </c>
      <c r="G285" s="12" t="s">
        <v>24</v>
      </c>
      <c r="H285" s="22">
        <f>COUNTIFS('Toolbox Talks'!$O$4:$O$100003,"Unsatisfactory",'Toolbox Talks'!$D$4:$D$100003,mCrit,'Toolbox Talks'!$F$4:$F$100003,dCrit)</f>
        <v>0</v>
      </c>
      <c r="P285" s="12" t="s">
        <v>65</v>
      </c>
      <c r="Q285" s="22">
        <f>COUNTIFS('Toolbox Talks'!$D$4:$D$100003,mCrit,'Toolbox Talks'!$F$4:$F$100003,"Safety")</f>
        <v>0</v>
      </c>
      <c r="R285" s="22">
        <f>COUNTIFS('Toolbox Talks'!$D$4:$D$100003,mCrit,'Toolbox Talks'!$F$4:$F$100003,"Safety")</f>
        <v>0</v>
      </c>
      <c r="S285" s="23">
        <f>IFERROR(AVERAGEIFS('Toolbox Talks'!$K$4:$K$100003,'Toolbox Talks'!$D$4:$D$100003,mCrit,'Toolbox Talks'!$F$4:$F$100003,"Safety"),0)</f>
        <v>0</v>
      </c>
    </row>
    <row r="286" spans="2:34">
      <c r="B286" s="21" t="s">
        <v>73</v>
      </c>
      <c r="C286" s="22">
        <f>COUNTIFS('Toolbox Talks'!$D$4:$D$100003,"Jun",'Toolbox Talks'!$F$4:$F$100003,dCrit)</f>
        <v>0</v>
      </c>
      <c r="E286" s="12" t="s">
        <v>99</v>
      </c>
      <c r="F286" s="22">
        <f>COUNTIFS('Toolbox Talks'!$M$4:$M$100003,"PPE",'Toolbox Talks'!$D$4:$D$100003,mCrit,'Toolbox Talks'!$F$4:$F$100003,dCrit)</f>
        <v>0</v>
      </c>
      <c r="P286" s="12" t="s">
        <v>5</v>
      </c>
      <c r="Q286" s="22">
        <f>COUNTIFS('Toolbox Talks'!$D$4:$D$100003,mCrit,'Toolbox Talks'!$F$4:$F$100003,"Logistics")</f>
        <v>0</v>
      </c>
      <c r="R286" s="22">
        <f>COUNTIFS('Toolbox Talks'!$D$4:$D$100003,mCrit,'Toolbox Talks'!$F$4:$F$100003,"Logistics")</f>
        <v>0</v>
      </c>
      <c r="S286" s="23">
        <f>IFERROR(AVERAGEIFS('Toolbox Talks'!$K$4:$K$100003,'Toolbox Talks'!$D$4:$D$100003,mCrit,'Toolbox Talks'!$F$4:$F$100003,"Logistics"),0)</f>
        <v>0</v>
      </c>
    </row>
    <row r="287" spans="2:34">
      <c r="B287" s="21" t="s">
        <v>76</v>
      </c>
      <c r="C287" s="22">
        <f>COUNTIFS('Toolbox Talks'!$D$4:$D$100003,"Jul",'Toolbox Talks'!$F$4:$F$100003,dCrit)</f>
        <v>0</v>
      </c>
      <c r="P287" s="12" t="s">
        <v>50</v>
      </c>
      <c r="Q287" s="22">
        <f>COUNTIFS('Toolbox Talks'!$D$4:$D$100003,mCrit,'Toolbox Talks'!$F$4:$F$100003,"Quality")</f>
        <v>0</v>
      </c>
      <c r="R287" s="22">
        <f>COUNTIFS('Toolbox Talks'!$D$4:$D$100003,mCrit,'Toolbox Talks'!$F$4:$F$100003,"Quality")</f>
        <v>0</v>
      </c>
      <c r="S287" s="23">
        <f>IFERROR(AVERAGEIFS('Toolbox Talks'!$K$4:$K$100003,'Toolbox Talks'!$D$4:$D$100003,mCrit,'Toolbox Talks'!$F$4:$F$100003,"Quality"),0)</f>
        <v>0</v>
      </c>
    </row>
    <row r="288" spans="2:34">
      <c r="B288" s="21" t="s">
        <v>86</v>
      </c>
      <c r="C288" s="22">
        <f>COUNTIFS('Toolbox Talks'!$D$4:$D$100003,"Aug",'Toolbox Talks'!$F$4:$F$100003,dCrit)</f>
        <v>0</v>
      </c>
      <c r="P288" s="12" t="s">
        <v>46</v>
      </c>
      <c r="Q288" s="22">
        <f>COUNTIFS('Toolbox Talks'!$D$4:$D$100003,mCrit,'Toolbox Talks'!$F$4:$F$100003,"Admin")</f>
        <v>0</v>
      </c>
      <c r="R288" s="22">
        <f>COUNTIFS('Toolbox Talks'!$D$4:$D$100003,mCrit,'Toolbox Talks'!$F$4:$F$100003,"Admin")</f>
        <v>0</v>
      </c>
      <c r="S288" s="23">
        <f>IFERROR(AVERAGEIFS('Toolbox Talks'!$K$4:$K$100003,'Toolbox Talks'!$D$4:$D$100003,mCrit,'Toolbox Talks'!$F$4:$F$100003,"Admin"),0)</f>
        <v>0</v>
      </c>
    </row>
    <row r="289" spans="2:19">
      <c r="B289" s="21" t="s">
        <v>102</v>
      </c>
      <c r="C289" s="22">
        <f>COUNTIFS('Toolbox Talks'!$D$4:$D$100003,"Sep",'Toolbox Talks'!$F$4:$F$100003,dCrit)</f>
        <v>0</v>
      </c>
      <c r="P289" s="12" t="s">
        <v>13</v>
      </c>
      <c r="Q289" s="22">
        <f>COUNTIFS('Toolbox Talks'!$D$4:$D$100003,mCrit,'Toolbox Talks'!$F$4:$F$100003,"Projects")</f>
        <v>0</v>
      </c>
      <c r="R289" s="22">
        <f>COUNTIFS('Toolbox Talks'!$D$4:$D$100003,mCrit,'Toolbox Talks'!$F$4:$F$100003,"Projects")</f>
        <v>0</v>
      </c>
      <c r="S289" s="23">
        <f>IFERROR(AVERAGEIFS('Toolbox Talks'!$K$4:$K$100003,'Toolbox Talks'!$D$4:$D$100003,mCrit,'Toolbox Talks'!$F$4:$F$100003,"Projects"),0)</f>
        <v>0</v>
      </c>
    </row>
    <row r="290" spans="2:19">
      <c r="B290" s="21" t="s">
        <v>106</v>
      </c>
      <c r="C290" s="22">
        <f>COUNTIFS('Toolbox Talks'!$D$4:$D$100003,"Oct",'Toolbox Talks'!$F$4:$F$100003,dCrit)</f>
        <v>0</v>
      </c>
      <c r="P290" s="12" t="s">
        <v>58</v>
      </c>
      <c r="Q290" s="22">
        <f>COUNTIFS('Toolbox Talks'!$D$4:$D$100003,mCrit,'Toolbox Talks'!$F$4:$F$100003,"Contractor")</f>
        <v>0</v>
      </c>
      <c r="R290" s="22">
        <f>COUNTIFS('Toolbox Talks'!$D$4:$D$100003,mCrit,'Toolbox Talks'!$F$4:$F$100003,"Contractor")</f>
        <v>0</v>
      </c>
      <c r="S290" s="23">
        <f>IFERROR(AVERAGEIFS('Toolbox Talks'!$K$4:$K$100003,'Toolbox Talks'!$D$4:$D$100003,mCrit,'Toolbox Talks'!$F$4:$F$100003,"Contractor"),0)</f>
        <v>0</v>
      </c>
    </row>
    <row r="291" spans="2:19">
      <c r="B291" s="21" t="s">
        <v>111</v>
      </c>
      <c r="C291" s="22">
        <f>COUNTIFS('Toolbox Talks'!$D$4:$D$100003,"Nov",'Toolbox Talks'!$F$4:$F$100003,dCrit)</f>
        <v>0</v>
      </c>
    </row>
    <row r="292" spans="2:19">
      <c r="B292" s="21" t="s">
        <v>122</v>
      </c>
      <c r="C292" s="22">
        <f>COUNTIFS('Toolbox Talks'!$D$4:$D$100003,"Dec",'Toolbox Talks'!$F$4:$F$100003,dCrit)</f>
        <v>0</v>
      </c>
    </row>
    <row r="305" spans="2:34">
      <c r="B305" s="16" t="s">
        <v>1875</v>
      </c>
    </row>
    <row r="306" spans="2:34">
      <c r="B306" s="11" t="s">
        <v>127</v>
      </c>
      <c r="C306" s="11" t="s">
        <v>1808</v>
      </c>
      <c r="E306" s="11" t="s">
        <v>210</v>
      </c>
      <c r="F306" s="11" t="s">
        <v>1808</v>
      </c>
      <c r="G306" s="11" t="s">
        <v>212</v>
      </c>
      <c r="H306" s="11" t="s">
        <v>1808</v>
      </c>
      <c r="J306" s="11" t="s">
        <v>213</v>
      </c>
      <c r="K306" s="11" t="s">
        <v>1808</v>
      </c>
      <c r="M306" s="11" t="s">
        <v>1752</v>
      </c>
      <c r="N306" s="11" t="s">
        <v>1867</v>
      </c>
      <c r="P306" s="11" t="s">
        <v>129</v>
      </c>
      <c r="Q306" s="11" t="s">
        <v>1808</v>
      </c>
      <c r="R306" s="11" t="s">
        <v>1879</v>
      </c>
      <c r="S306" s="11" t="s">
        <v>1872</v>
      </c>
      <c r="U306" s="11" t="s">
        <v>1873</v>
      </c>
      <c r="V306" s="11" t="s">
        <v>3</v>
      </c>
      <c r="W306" s="11" t="s">
        <v>19</v>
      </c>
      <c r="X306" s="11" t="s">
        <v>44</v>
      </c>
      <c r="Y306" s="11" t="s">
        <v>53</v>
      </c>
      <c r="Z306" s="11" t="s">
        <v>60</v>
      </c>
      <c r="AA306" s="11" t="s">
        <v>73</v>
      </c>
      <c r="AB306" s="11" t="s">
        <v>76</v>
      </c>
      <c r="AC306" s="11" t="s">
        <v>86</v>
      </c>
      <c r="AD306" s="11" t="s">
        <v>102</v>
      </c>
      <c r="AE306" s="11" t="s">
        <v>106</v>
      </c>
      <c r="AF306" s="11" t="s">
        <v>111</v>
      </c>
      <c r="AG306" s="11" t="s">
        <v>122</v>
      </c>
      <c r="AH306" s="11" t="s">
        <v>1874</v>
      </c>
    </row>
    <row r="307" spans="2:34">
      <c r="B307" s="21" t="s">
        <v>3</v>
      </c>
      <c r="C307" s="22">
        <f>COUNTIFS('JSA Risk Assessment'!$D$4:$D$100003,"Jan",'JSA Risk Assessment'!$F$4:$F$100003,dCrit)</f>
        <v>0</v>
      </c>
      <c r="E307" s="12" t="s">
        <v>162</v>
      </c>
      <c r="F307" s="22">
        <f>COUNTIFS('JSA Risk Assessment'!$J$4:$J$100003,"Critical",'JSA Risk Assessment'!$D$4:$D$100003,mCrit,'JSA Risk Assessment'!$F$4:$F$100003,dCrit)</f>
        <v>0</v>
      </c>
      <c r="G307" s="12" t="s">
        <v>143</v>
      </c>
      <c r="H307" s="22">
        <f>COUNTIFS('JSA Risk Assessment'!$L$4:$L$100003,"HIRA",'JSA Risk Assessment'!$D$4:$D$100003,mCrit,'JSA Risk Assessment'!$F$4:$F$100003,dCrit)</f>
        <v>0</v>
      </c>
      <c r="J307" s="12" t="s">
        <v>152</v>
      </c>
      <c r="K307" s="22">
        <f>COUNTIFS('JSA Risk Assessment'!$M$4:$M$100003,"Approved",'JSA Risk Assessment'!$D$4:$D$100003,mCrit,'JSA Risk Assessment'!$F$4:$F$100003,dCrit)</f>
        <v>0</v>
      </c>
      <c r="M307" s="12" t="s">
        <v>1868</v>
      </c>
      <c r="N307" s="22">
        <f>COUNTIFS('JSA Risk Assessment'!$D$4:$D$100003,mCrit,'JSA Risk Assessment'!$F$4:$F$100003,dCrit)</f>
        <v>0</v>
      </c>
      <c r="P307" s="12" t="s">
        <v>27</v>
      </c>
      <c r="Q307" s="22">
        <f>COUNTIFS('JSA Risk Assessment'!$D$4:$D$100003,mCrit,'JSA Risk Assessment'!$F$4:$F$100003,"Operations")</f>
        <v>0</v>
      </c>
      <c r="R307" s="23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307" s="22">
        <f>COUNTIFS('JSA Risk Assessment'!$D$4:$D$100003,mCrit,'JSA Risk Assessment'!$F$4:$F$100003,"Operations")</f>
        <v>0</v>
      </c>
      <c r="U307" s="12" t="s">
        <v>1872</v>
      </c>
      <c r="V307" s="22">
        <f>COUNTIFS('JSA Risk Assessment'!$D$4:$D$100003,"Jan",'JSA Risk Assessment'!$F$4:$F$100003,dCrit)</f>
        <v>0</v>
      </c>
      <c r="W307" s="22">
        <f>COUNTIFS('JSA Risk Assessment'!$D$4:$D$100003,"Feb",'JSA Risk Assessment'!$F$4:$F$100003,dCrit)</f>
        <v>0</v>
      </c>
      <c r="X307" s="22">
        <f>COUNTIFS('JSA Risk Assessment'!$D$4:$D$100003,"Mar",'JSA Risk Assessment'!$F$4:$F$100003,dCrit)</f>
        <v>0</v>
      </c>
      <c r="Y307" s="22">
        <f>COUNTIFS('JSA Risk Assessment'!$D$4:$D$100003,"Apr",'JSA Risk Assessment'!$F$4:$F$100003,dCrit)</f>
        <v>0</v>
      </c>
      <c r="Z307" s="22">
        <f>COUNTIFS('JSA Risk Assessment'!$D$4:$D$100003,"May",'JSA Risk Assessment'!$F$4:$F$100003,dCrit)</f>
        <v>0</v>
      </c>
      <c r="AA307" s="22">
        <f>COUNTIFS('JSA Risk Assessment'!$D$4:$D$100003,"Jun",'JSA Risk Assessment'!$F$4:$F$100003,dCrit)</f>
        <v>0</v>
      </c>
      <c r="AB307" s="22">
        <f>COUNTIFS('JSA Risk Assessment'!$D$4:$D$100003,"Jul",'JSA Risk Assessment'!$F$4:$F$100003,dCrit)</f>
        <v>0</v>
      </c>
      <c r="AC307" s="22">
        <f>COUNTIFS('JSA Risk Assessment'!$D$4:$D$100003,"Aug",'JSA Risk Assessment'!$F$4:$F$100003,dCrit)</f>
        <v>0</v>
      </c>
      <c r="AD307" s="22">
        <f>COUNTIFS('JSA Risk Assessment'!$D$4:$D$100003,"Sep",'JSA Risk Assessment'!$F$4:$F$100003,dCrit)</f>
        <v>0</v>
      </c>
      <c r="AE307" s="22">
        <f>COUNTIFS('JSA Risk Assessment'!$D$4:$D$100003,"Oct",'JSA Risk Assessment'!$F$4:$F$100003,dCrit)</f>
        <v>0</v>
      </c>
      <c r="AF307" s="22">
        <f>COUNTIFS('JSA Risk Assessment'!$D$4:$D$100003,"Nov",'JSA Risk Assessment'!$F$4:$F$100003,dCrit)</f>
        <v>0</v>
      </c>
      <c r="AG307" s="22">
        <f>COUNTIFS('JSA Risk Assessment'!$D$4:$D$100003,"Dec",'JSA Risk Assessment'!$F$4:$F$100003,dCrit)</f>
        <v>0</v>
      </c>
      <c r="AH307" s="22">
        <f>SUM(V307:AG307)</f>
        <v>0</v>
      </c>
    </row>
    <row r="308" spans="2:34">
      <c r="B308" s="21" t="s">
        <v>19</v>
      </c>
      <c r="C308" s="22">
        <f>COUNTIFS('JSA Risk Assessment'!$D$4:$D$100003,"Feb",'JSA Risk Assessment'!$F$4:$F$100003,dCrit)</f>
        <v>0</v>
      </c>
      <c r="E308" s="12" t="s">
        <v>159</v>
      </c>
      <c r="F308" s="22">
        <f>COUNTIFS('JSA Risk Assessment'!$J$4:$J$100003,"High",'JSA Risk Assessment'!$D$4:$D$100003,mCrit,'JSA Risk Assessment'!$F$4:$F$100003,dCrit)</f>
        <v>0</v>
      </c>
      <c r="G308" s="12" t="s">
        <v>160</v>
      </c>
      <c r="H308" s="22">
        <f>COUNTIFS('JSA Risk Assessment'!$L$4:$L$100003,"Task RA",'JSA Risk Assessment'!$D$4:$D$100003,mCrit,'JSA Risk Assessment'!$F$4:$F$100003,dCrit)</f>
        <v>0</v>
      </c>
      <c r="J308" s="12" t="s">
        <v>144</v>
      </c>
      <c r="K308" s="22">
        <f>COUNTIFS('JSA Risk Assessment'!$M$4:$M$100003,"Pending Review",'JSA Risk Assessment'!$D$4:$D$100003,mCrit,'JSA Risk Assessment'!$F$4:$F$100003,dCrit)</f>
        <v>0</v>
      </c>
      <c r="M308" s="12" t="s">
        <v>1876</v>
      </c>
      <c r="N308" s="23">
        <f>IFERROR((COUNTIFS('JSA Risk Assessment'!$M$4:$M$100003,"Approved",'JSA Risk Assessment'!$D$4:$D$100003,mCrit,'JSA Risk Assessment'!$F$4:$F$100003,dCrit))/COUNTIFS('JSA Risk Assessment'!$D$4:$D$100003,mCrit,'JSA Risk Assessment'!$F$4:$F$100003,dCrit)*100,0)</f>
        <v>0</v>
      </c>
      <c r="P308" s="12" t="s">
        <v>92</v>
      </c>
      <c r="Q308" s="22">
        <f>COUNTIFS('JSA Risk Assessment'!$D$4:$D$100003,mCrit,'JSA Risk Assessment'!$F$4:$F$100003,"Maintenance")</f>
        <v>0</v>
      </c>
      <c r="R308" s="23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308" s="22">
        <f>COUNTIFS('JSA Risk Assessment'!$D$4:$D$100003,mCrit,'JSA Risk Assessment'!$F$4:$F$100003,"Maintenance")</f>
        <v>0</v>
      </c>
      <c r="U308" s="12" t="s">
        <v>1880</v>
      </c>
      <c r="V308" s="23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308" s="23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308" s="23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308" s="23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308" s="23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308" s="23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308" s="23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308" s="23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308" s="23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308" s="23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308" s="23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308" s="23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308" s="23">
        <f>IFERROR(AVERAGE(V308:AG308),0)</f>
        <v>0</v>
      </c>
    </row>
    <row r="309" spans="2:34">
      <c r="B309" s="21" t="s">
        <v>44</v>
      </c>
      <c r="C309" s="22">
        <f>COUNTIFS('JSA Risk Assessment'!$D$4:$D$100003,"Mar",'JSA Risk Assessment'!$F$4:$F$100003,dCrit)</f>
        <v>0</v>
      </c>
      <c r="E309" s="12" t="s">
        <v>142</v>
      </c>
      <c r="F309" s="22">
        <f>COUNTIFS('JSA Risk Assessment'!$J$4:$J$100003,"Medium",'JSA Risk Assessment'!$D$4:$D$100003,mCrit,'JSA Risk Assessment'!$F$4:$F$100003,dCrit)</f>
        <v>0</v>
      </c>
      <c r="G309" s="12" t="s">
        <v>150</v>
      </c>
      <c r="H309" s="22">
        <f>COUNTIFS('JSA Risk Assessment'!$L$4:$L$100003,"HAZOP",'JSA Risk Assessment'!$D$4:$D$100003,mCrit,'JSA Risk Assessment'!$F$4:$F$100003,dCrit)</f>
        <v>0</v>
      </c>
      <c r="J309" s="12" t="s">
        <v>155</v>
      </c>
      <c r="K309" s="22">
        <f>COUNTIFS('JSA Risk Assessment'!$M$4:$M$100003,"Revision Required",'JSA Risk Assessment'!$D$4:$D$100003,mCrit,'JSA Risk Assessment'!$F$4:$F$100003,dCrit)</f>
        <v>0</v>
      </c>
      <c r="M309" s="12" t="s">
        <v>1877</v>
      </c>
      <c r="N309" s="22">
        <f>COUNTIFS('JSA Risk Assessment'!$M$4:$M$100003,"Pending Review",'JSA Risk Assessment'!$D$4:$D$100003,mCrit,'JSA Risk Assessment'!$F$4:$F$100003,dCrit)</f>
        <v>0</v>
      </c>
      <c r="P309" s="12" t="s">
        <v>39</v>
      </c>
      <c r="Q309" s="22">
        <f>COUNTIFS('JSA Risk Assessment'!$D$4:$D$100003,mCrit,'JSA Risk Assessment'!$F$4:$F$100003,"Engineering")</f>
        <v>0</v>
      </c>
      <c r="R309" s="23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309" s="22">
        <f>COUNTIFS('JSA Risk Assessment'!$D$4:$D$100003,mCrit,'JSA Risk Assessment'!$F$4:$F$100003,"Engineering")</f>
        <v>0</v>
      </c>
    </row>
    <row r="310" spans="2:34">
      <c r="B310" s="21" t="s">
        <v>53</v>
      </c>
      <c r="C310" s="22">
        <f>COUNTIFS('JSA Risk Assessment'!$D$4:$D$100003,"Apr",'JSA Risk Assessment'!$F$4:$F$100003,dCrit)</f>
        <v>0</v>
      </c>
      <c r="E310" s="12" t="s">
        <v>154</v>
      </c>
      <c r="F310" s="22">
        <f>COUNTIFS('JSA Risk Assessment'!$J$4:$J$100003,"Low",'JSA Risk Assessment'!$D$4:$D$100003,mCrit,'JSA Risk Assessment'!$F$4:$F$100003,dCrit)</f>
        <v>0</v>
      </c>
      <c r="G310" s="12" t="s">
        <v>163</v>
      </c>
      <c r="H310" s="22">
        <f>COUNTIFS('JSA Risk Assessment'!$L$4:$L$100003,"What-If",'JSA Risk Assessment'!$D$4:$D$100003,mCrit,'JSA Risk Assessment'!$F$4:$F$100003,dCrit)</f>
        <v>0</v>
      </c>
      <c r="J310" s="12" t="s">
        <v>147</v>
      </c>
      <c r="K310" s="22">
        <f>COUNTIFS('JSA Risk Assessment'!$M$4:$M$100003,"Rejected",'JSA Risk Assessment'!$D$4:$D$100003,mCrit,'JSA Risk Assessment'!$F$4:$F$100003,dCrit)</f>
        <v>0</v>
      </c>
      <c r="M310" s="12" t="s">
        <v>211</v>
      </c>
      <c r="N310" s="22">
        <f>SUMIFS('JSA Risk Assessment'!$K$4:$K$100003,'JSA Risk Assessment'!$D$4:$D$100003,mCrit,'JSA Risk Assessment'!$F$4:$F$100003,dCrit)</f>
        <v>0</v>
      </c>
      <c r="P310" s="12" t="s">
        <v>89</v>
      </c>
      <c r="Q310" s="22">
        <f>COUNTIFS('JSA Risk Assessment'!$D$4:$D$100003,mCrit,'JSA Risk Assessment'!$F$4:$F$100003,"Construction")</f>
        <v>0</v>
      </c>
      <c r="R310" s="23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310" s="22">
        <f>COUNTIFS('JSA Risk Assessment'!$D$4:$D$100003,mCrit,'JSA Risk Assessment'!$F$4:$F$100003,"Construction")</f>
        <v>0</v>
      </c>
    </row>
    <row r="311" spans="2:34">
      <c r="B311" s="21" t="s">
        <v>60</v>
      </c>
      <c r="C311" s="22">
        <f>COUNTIFS('JSA Risk Assessment'!$D$4:$D$100003,"May",'JSA Risk Assessment'!$F$4:$F$100003,dCrit)</f>
        <v>0</v>
      </c>
      <c r="G311" s="12" t="s">
        <v>157</v>
      </c>
      <c r="H311" s="22">
        <f>COUNTIFS('JSA Risk Assessment'!$L$4:$L$100003,"Bow Tie",'JSA Risk Assessment'!$D$4:$D$100003,mCrit,'JSA Risk Assessment'!$F$4:$F$100003,dCrit)</f>
        <v>0</v>
      </c>
      <c r="M311" s="12" t="s">
        <v>1878</v>
      </c>
      <c r="N311" s="22">
        <f>COUNTIFS('JSA Risk Assessment'!$J$4:$J$100003,"High",'JSA Risk Assessment'!$D$4:$D$100003,mCrit,'JSA Risk Assessment'!$F$4:$F$100003,dCrit)+COUNTIFS('JSA Risk Assessment'!$J$4:$J$100003,"Critical",'JSA Risk Assessment'!$D$4:$D$100003,mCrit,'JSA Risk Assessment'!$F$4:$F$100003,dCrit)</f>
        <v>0</v>
      </c>
      <c r="P311" s="12" t="s">
        <v>65</v>
      </c>
      <c r="Q311" s="22">
        <f>COUNTIFS('JSA Risk Assessment'!$D$4:$D$100003,mCrit,'JSA Risk Assessment'!$F$4:$F$100003,"Safety")</f>
        <v>0</v>
      </c>
      <c r="R311" s="23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311" s="22">
        <f>COUNTIFS('JSA Risk Assessment'!$D$4:$D$100003,mCrit,'JSA Risk Assessment'!$F$4:$F$100003,"Safety")</f>
        <v>0</v>
      </c>
    </row>
    <row r="312" spans="2:34">
      <c r="B312" s="21" t="s">
        <v>73</v>
      </c>
      <c r="C312" s="22">
        <f>COUNTIFS('JSA Risk Assessment'!$D$4:$D$100003,"Jun",'JSA Risk Assessment'!$F$4:$F$100003,dCrit)</f>
        <v>0</v>
      </c>
      <c r="G312" s="12" t="s">
        <v>169</v>
      </c>
      <c r="H312" s="22">
        <f>COUNTIFS('JSA Risk Assessment'!$L$4:$L$100003,"JSA",'JSA Risk Assessment'!$D$4:$D$100003,mCrit,'JSA Risk Assessment'!$F$4:$F$100003,dCrit)</f>
        <v>0</v>
      </c>
      <c r="P312" s="12" t="s">
        <v>5</v>
      </c>
      <c r="Q312" s="22">
        <f>COUNTIFS('JSA Risk Assessment'!$D$4:$D$100003,mCrit,'JSA Risk Assessment'!$F$4:$F$100003,"Logistics")</f>
        <v>0</v>
      </c>
      <c r="R312" s="23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312" s="22">
        <f>COUNTIFS('JSA Risk Assessment'!$D$4:$D$100003,mCrit,'JSA Risk Assessment'!$F$4:$F$100003,"Logistics")</f>
        <v>0</v>
      </c>
    </row>
    <row r="313" spans="2:34">
      <c r="B313" s="21" t="s">
        <v>76</v>
      </c>
      <c r="C313" s="22">
        <f>COUNTIFS('JSA Risk Assessment'!$D$4:$D$100003,"Jul",'JSA Risk Assessment'!$F$4:$F$100003,dCrit)</f>
        <v>0</v>
      </c>
      <c r="P313" s="12" t="s">
        <v>50</v>
      </c>
      <c r="Q313" s="22">
        <f>COUNTIFS('JSA Risk Assessment'!$D$4:$D$100003,mCrit,'JSA Risk Assessment'!$F$4:$F$100003,"Quality")</f>
        <v>0</v>
      </c>
      <c r="R313" s="23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313" s="22">
        <f>COUNTIFS('JSA Risk Assessment'!$D$4:$D$100003,mCrit,'JSA Risk Assessment'!$F$4:$F$100003,"Quality")</f>
        <v>0</v>
      </c>
    </row>
    <row r="314" spans="2:34">
      <c r="B314" s="21" t="s">
        <v>86</v>
      </c>
      <c r="C314" s="22">
        <f>COUNTIFS('JSA Risk Assessment'!$D$4:$D$100003,"Aug",'JSA Risk Assessment'!$F$4:$F$100003,dCrit)</f>
        <v>0</v>
      </c>
      <c r="P314" s="12" t="s">
        <v>46</v>
      </c>
      <c r="Q314" s="22">
        <f>COUNTIFS('JSA Risk Assessment'!$D$4:$D$100003,mCrit,'JSA Risk Assessment'!$F$4:$F$100003,"Admin")</f>
        <v>0</v>
      </c>
      <c r="R314" s="23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314" s="22">
        <f>COUNTIFS('JSA Risk Assessment'!$D$4:$D$100003,mCrit,'JSA Risk Assessment'!$F$4:$F$100003,"Admin")</f>
        <v>0</v>
      </c>
    </row>
    <row r="315" spans="2:34">
      <c r="B315" s="21" t="s">
        <v>102</v>
      </c>
      <c r="C315" s="22">
        <f>COUNTIFS('JSA Risk Assessment'!$D$4:$D$100003,"Sep",'JSA Risk Assessment'!$F$4:$F$100003,dCrit)</f>
        <v>0</v>
      </c>
      <c r="P315" s="12" t="s">
        <v>13</v>
      </c>
      <c r="Q315" s="22">
        <f>COUNTIFS('JSA Risk Assessment'!$D$4:$D$100003,mCrit,'JSA Risk Assessment'!$F$4:$F$100003,"Projects")</f>
        <v>0</v>
      </c>
      <c r="R315" s="23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315" s="22">
        <f>COUNTIFS('JSA Risk Assessment'!$D$4:$D$100003,mCrit,'JSA Risk Assessment'!$F$4:$F$100003,"Projects")</f>
        <v>0</v>
      </c>
    </row>
    <row r="316" spans="2:34">
      <c r="B316" s="21" t="s">
        <v>106</v>
      </c>
      <c r="C316" s="22">
        <f>COUNTIFS('JSA Risk Assessment'!$D$4:$D$100003,"Oct",'JSA Risk Assessment'!$F$4:$F$100003,dCrit)</f>
        <v>0</v>
      </c>
      <c r="P316" s="12" t="s">
        <v>58</v>
      </c>
      <c r="Q316" s="22">
        <f>COUNTIFS('JSA Risk Assessment'!$D$4:$D$100003,mCrit,'JSA Risk Assessment'!$F$4:$F$100003,"Contractor")</f>
        <v>0</v>
      </c>
      <c r="R316" s="23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316" s="22">
        <f>COUNTIFS('JSA Risk Assessment'!$D$4:$D$100003,mCrit,'JSA Risk Assessment'!$F$4:$F$100003,"Contractor")</f>
        <v>0</v>
      </c>
    </row>
    <row r="317" spans="2:34">
      <c r="B317" s="21" t="s">
        <v>111</v>
      </c>
      <c r="C317" s="22">
        <f>COUNTIFS('JSA Risk Assessment'!$D$4:$D$100003,"Nov",'JSA Risk Assessment'!$F$4:$F$100003,dCrit)</f>
        <v>0</v>
      </c>
    </row>
    <row r="318" spans="2:34">
      <c r="B318" s="21" t="s">
        <v>122</v>
      </c>
      <c r="C318" s="22">
        <f>COUNTIFS('JSA Risk Assessment'!$D$4:$D$100003,"Dec",'JSA Risk Assessment'!$F$4:$F$100003,dCrit)</f>
        <v>0</v>
      </c>
    </row>
    <row r="331" spans="2:34">
      <c r="B331" s="16" t="s">
        <v>1881</v>
      </c>
    </row>
    <row r="332" spans="2:34">
      <c r="B332" s="11" t="s">
        <v>127</v>
      </c>
      <c r="C332" s="11" t="s">
        <v>1808</v>
      </c>
      <c r="E332" s="11" t="s">
        <v>283</v>
      </c>
      <c r="F332" s="11" t="s">
        <v>1808</v>
      </c>
      <c r="G332" s="11" t="s">
        <v>285</v>
      </c>
      <c r="H332" s="11" t="s">
        <v>1808</v>
      </c>
      <c r="J332" s="11" t="s">
        <v>287</v>
      </c>
      <c r="K332" s="11" t="s">
        <v>1808</v>
      </c>
      <c r="M332" s="11" t="s">
        <v>1752</v>
      </c>
      <c r="N332" s="11" t="s">
        <v>1867</v>
      </c>
      <c r="P332" s="11" t="s">
        <v>129</v>
      </c>
      <c r="Q332" s="11" t="s">
        <v>1808</v>
      </c>
      <c r="R332" s="11" t="s">
        <v>1879</v>
      </c>
      <c r="S332" s="11" t="s">
        <v>1869</v>
      </c>
      <c r="U332" s="11" t="s">
        <v>1873</v>
      </c>
      <c r="V332" s="11" t="s">
        <v>3</v>
      </c>
      <c r="W332" s="11" t="s">
        <v>19</v>
      </c>
      <c r="X332" s="11" t="s">
        <v>44</v>
      </c>
      <c r="Y332" s="11" t="s">
        <v>53</v>
      </c>
      <c r="Z332" s="11" t="s">
        <v>60</v>
      </c>
      <c r="AA332" s="11" t="s">
        <v>73</v>
      </c>
      <c r="AB332" s="11" t="s">
        <v>76</v>
      </c>
      <c r="AC332" s="11" t="s">
        <v>86</v>
      </c>
      <c r="AD332" s="11" t="s">
        <v>102</v>
      </c>
      <c r="AE332" s="11" t="s">
        <v>106</v>
      </c>
      <c r="AF332" s="11" t="s">
        <v>111</v>
      </c>
      <c r="AG332" s="11" t="s">
        <v>122</v>
      </c>
      <c r="AH332" s="11" t="s">
        <v>1874</v>
      </c>
    </row>
    <row r="333" spans="2:34">
      <c r="B333" s="21" t="s">
        <v>3</v>
      </c>
      <c r="C333" s="22">
        <f>COUNTIFS('Training'!$D$4:$D$100003,"Jan",'Training'!$G$4:$G$100003,dCrit)</f>
        <v>0</v>
      </c>
      <c r="E333" s="12" t="s">
        <v>237</v>
      </c>
      <c r="F333" s="22">
        <f>COUNTIFS('Training'!$F$4:$F$100003,"Induction",'Training'!$D$4:$D$100003,mCrit,'Training'!$G$4:$G$100003,dCrit)</f>
        <v>0</v>
      </c>
      <c r="G333" s="12" t="s">
        <v>227</v>
      </c>
      <c r="H333" s="22">
        <f>COUNTIFS('Training'!$I$4:$I$100003,"Internal",'Training'!$D$4:$D$100003,mCrit,'Training'!$G$4:$G$100003,dCrit)</f>
        <v>0</v>
      </c>
      <c r="J333" s="12" t="s">
        <v>220</v>
      </c>
      <c r="K333" s="22">
        <f>COUNTIFS('Training'!$N$4:$N$100003,"Completed",'Training'!$D$4:$D$100003,mCrit,'Training'!$G$4:$G$100003,dCrit)</f>
        <v>0</v>
      </c>
      <c r="M333" s="12" t="s">
        <v>1868</v>
      </c>
      <c r="N333" s="22">
        <f>COUNTIFS('Training'!$D$4:$D$100003,mCrit,'Training'!$G$4:$G$100003,dCrit)</f>
        <v>0</v>
      </c>
      <c r="P333" s="12" t="s">
        <v>27</v>
      </c>
      <c r="Q333" s="22">
        <f>COUNTIFS('Training'!$D$4:$D$100003,mCrit,'Training'!$G$4:$G$100003,"Operations")</f>
        <v>0</v>
      </c>
      <c r="R333" s="23">
        <f>IFERROR((COUNTIFS('Training'!$N$4:$N$100003,"Closed",'Training'!$D$4:$D$100003,mCrit,'Training'!$G$4:$G$100003,"Operations"))/COUNTIFS('Training'!$D$4:$D$100003,mCrit,'Training'!$G$4:$G$100003,"Operations")*100,0)</f>
        <v>0</v>
      </c>
      <c r="S333" s="23">
        <f>IFERROR(AVERAGEIFS('Training'!$L$4:$L$100003,'Training'!$D$4:$D$100003,mCrit,'Training'!$G$4:$G$100003,"Operations"),0)</f>
        <v>0</v>
      </c>
      <c r="U333" s="12" t="s">
        <v>1872</v>
      </c>
      <c r="V333" s="22">
        <f>COUNTIFS('Training'!$D$4:$D$100003,"Jan",'Training'!$G$4:$G$100003,dCrit)</f>
        <v>0</v>
      </c>
      <c r="W333" s="22">
        <f>COUNTIFS('Training'!$D$4:$D$100003,"Feb",'Training'!$G$4:$G$100003,dCrit)</f>
        <v>0</v>
      </c>
      <c r="X333" s="22">
        <f>COUNTIFS('Training'!$D$4:$D$100003,"Mar",'Training'!$G$4:$G$100003,dCrit)</f>
        <v>0</v>
      </c>
      <c r="Y333" s="22">
        <f>COUNTIFS('Training'!$D$4:$D$100003,"Apr",'Training'!$G$4:$G$100003,dCrit)</f>
        <v>0</v>
      </c>
      <c r="Z333" s="22">
        <f>COUNTIFS('Training'!$D$4:$D$100003,"May",'Training'!$G$4:$G$100003,dCrit)</f>
        <v>0</v>
      </c>
      <c r="AA333" s="22">
        <f>COUNTIFS('Training'!$D$4:$D$100003,"Jun",'Training'!$G$4:$G$100003,dCrit)</f>
        <v>0</v>
      </c>
      <c r="AB333" s="22">
        <f>COUNTIFS('Training'!$D$4:$D$100003,"Jul",'Training'!$G$4:$G$100003,dCrit)</f>
        <v>0</v>
      </c>
      <c r="AC333" s="22">
        <f>COUNTIFS('Training'!$D$4:$D$100003,"Aug",'Training'!$G$4:$G$100003,dCrit)</f>
        <v>0</v>
      </c>
      <c r="AD333" s="22">
        <f>COUNTIFS('Training'!$D$4:$D$100003,"Sep",'Training'!$G$4:$G$100003,dCrit)</f>
        <v>0</v>
      </c>
      <c r="AE333" s="22">
        <f>COUNTIFS('Training'!$D$4:$D$100003,"Oct",'Training'!$G$4:$G$100003,dCrit)</f>
        <v>0</v>
      </c>
      <c r="AF333" s="22">
        <f>COUNTIFS('Training'!$D$4:$D$100003,"Nov",'Training'!$G$4:$G$100003,dCrit)</f>
        <v>0</v>
      </c>
      <c r="AG333" s="22">
        <f>COUNTIFS('Training'!$D$4:$D$100003,"Dec",'Training'!$G$4:$G$100003,dCrit)</f>
        <v>0</v>
      </c>
      <c r="AH333" s="22">
        <f>SUM(V333:AG333)</f>
        <v>0</v>
      </c>
    </row>
    <row r="334" spans="2:34">
      <c r="B334" s="21" t="s">
        <v>19</v>
      </c>
      <c r="C334" s="22">
        <f>COUNTIFS('Training'!$D$4:$D$100003,"Feb",'Training'!$G$4:$G$100003,dCrit)</f>
        <v>0</v>
      </c>
      <c r="E334" s="12" t="s">
        <v>233</v>
      </c>
      <c r="F334" s="22">
        <f>COUNTIFS('Training'!$F$4:$F$100003,"Refresher",'Training'!$D$4:$D$100003,mCrit,'Training'!$G$4:$G$100003,dCrit)</f>
        <v>0</v>
      </c>
      <c r="G334" s="12" t="s">
        <v>240</v>
      </c>
      <c r="H334" s="22">
        <f>COUNTIFS('Training'!$I$4:$I$100003,"External",'Training'!$D$4:$D$100003,mCrit,'Training'!$G$4:$G$100003,dCrit)</f>
        <v>0</v>
      </c>
      <c r="J334" s="12" t="s">
        <v>235</v>
      </c>
      <c r="K334" s="22">
        <f>COUNTIFS('Training'!$N$4:$N$100003,"Scheduled",'Training'!$D$4:$D$100003,mCrit,'Training'!$G$4:$G$100003,dCrit)</f>
        <v>0</v>
      </c>
      <c r="M334" s="12" t="s">
        <v>1876</v>
      </c>
      <c r="N334" s="23">
        <f>IFERROR((COUNTIFS('Training'!$N$4:$N$100003,"Closed",'Training'!$D$4:$D$100003,mCrit,'Training'!$G$4:$G$100003,dCrit))/COUNTIFS('Training'!$D$4:$D$100003,mCrit,'Training'!$G$4:$G$100003,dCrit)*100,0)</f>
        <v>0</v>
      </c>
      <c r="P334" s="12" t="s">
        <v>92</v>
      </c>
      <c r="Q334" s="22">
        <f>COUNTIFS('Training'!$D$4:$D$100003,mCrit,'Training'!$G$4:$G$100003,"Maintenance")</f>
        <v>0</v>
      </c>
      <c r="R334" s="23">
        <f>IFERROR((COUNTIFS('Training'!$N$4:$N$100003,"Closed",'Training'!$D$4:$D$100003,mCrit,'Training'!$G$4:$G$100003,"Maintenance"))/COUNTIFS('Training'!$D$4:$D$100003,mCrit,'Training'!$G$4:$G$100003,"Maintenance")*100,0)</f>
        <v>0</v>
      </c>
      <c r="S334" s="23">
        <f>IFERROR(AVERAGEIFS('Training'!$L$4:$L$100003,'Training'!$D$4:$D$100003,mCrit,'Training'!$G$4:$G$100003,"Maintenance"),0)</f>
        <v>0</v>
      </c>
      <c r="U334" s="12" t="s">
        <v>1880</v>
      </c>
      <c r="V334" s="23">
        <f>IFERROR((COUNTIFS('Training'!$N$4:$N$100003,"Closed",'Training'!$D$4:$D$100003,"Jan",'Training'!$G$4:$G$100003,dCrit))/COUNTIFS('Training'!$D$4:$D$100003,"Jan",'Training'!$G$4:$G$100003,dCrit)*100,0)</f>
        <v>0</v>
      </c>
      <c r="W334" s="23">
        <f>IFERROR((COUNTIFS('Training'!$N$4:$N$100003,"Closed",'Training'!$D$4:$D$100003,"Feb",'Training'!$G$4:$G$100003,dCrit))/COUNTIFS('Training'!$D$4:$D$100003,"Feb",'Training'!$G$4:$G$100003,dCrit)*100,0)</f>
        <v>0</v>
      </c>
      <c r="X334" s="23">
        <f>IFERROR((COUNTIFS('Training'!$N$4:$N$100003,"Closed",'Training'!$D$4:$D$100003,"Mar",'Training'!$G$4:$G$100003,dCrit))/COUNTIFS('Training'!$D$4:$D$100003,"Mar",'Training'!$G$4:$G$100003,dCrit)*100,0)</f>
        <v>0</v>
      </c>
      <c r="Y334" s="23">
        <f>IFERROR((COUNTIFS('Training'!$N$4:$N$100003,"Closed",'Training'!$D$4:$D$100003,"Apr",'Training'!$G$4:$G$100003,dCrit))/COUNTIFS('Training'!$D$4:$D$100003,"Apr",'Training'!$G$4:$G$100003,dCrit)*100,0)</f>
        <v>0</v>
      </c>
      <c r="Z334" s="23">
        <f>IFERROR((COUNTIFS('Training'!$N$4:$N$100003,"Closed",'Training'!$D$4:$D$100003,"May",'Training'!$G$4:$G$100003,dCrit))/COUNTIFS('Training'!$D$4:$D$100003,"May",'Training'!$G$4:$G$100003,dCrit)*100,0)</f>
        <v>0</v>
      </c>
      <c r="AA334" s="23">
        <f>IFERROR((COUNTIFS('Training'!$N$4:$N$100003,"Closed",'Training'!$D$4:$D$100003,"Jun",'Training'!$G$4:$G$100003,dCrit))/COUNTIFS('Training'!$D$4:$D$100003,"Jun",'Training'!$G$4:$G$100003,dCrit)*100,0)</f>
        <v>0</v>
      </c>
      <c r="AB334" s="23">
        <f>IFERROR((COUNTIFS('Training'!$N$4:$N$100003,"Closed",'Training'!$D$4:$D$100003,"Jul",'Training'!$G$4:$G$100003,dCrit))/COUNTIFS('Training'!$D$4:$D$100003,"Jul",'Training'!$G$4:$G$100003,dCrit)*100,0)</f>
        <v>0</v>
      </c>
      <c r="AC334" s="23">
        <f>IFERROR((COUNTIFS('Training'!$N$4:$N$100003,"Closed",'Training'!$D$4:$D$100003,"Aug",'Training'!$G$4:$G$100003,dCrit))/COUNTIFS('Training'!$D$4:$D$100003,"Aug",'Training'!$G$4:$G$100003,dCrit)*100,0)</f>
        <v>0</v>
      </c>
      <c r="AD334" s="23">
        <f>IFERROR((COUNTIFS('Training'!$N$4:$N$100003,"Closed",'Training'!$D$4:$D$100003,"Sep",'Training'!$G$4:$G$100003,dCrit))/COUNTIFS('Training'!$D$4:$D$100003,"Sep",'Training'!$G$4:$G$100003,dCrit)*100,0)</f>
        <v>0</v>
      </c>
      <c r="AE334" s="23">
        <f>IFERROR((COUNTIFS('Training'!$N$4:$N$100003,"Closed",'Training'!$D$4:$D$100003,"Oct",'Training'!$G$4:$G$100003,dCrit))/COUNTIFS('Training'!$D$4:$D$100003,"Oct",'Training'!$G$4:$G$100003,dCrit)*100,0)</f>
        <v>0</v>
      </c>
      <c r="AF334" s="23">
        <f>IFERROR((COUNTIFS('Training'!$N$4:$N$100003,"Closed",'Training'!$D$4:$D$100003,"Nov",'Training'!$G$4:$G$100003,dCrit))/COUNTIFS('Training'!$D$4:$D$100003,"Nov",'Training'!$G$4:$G$100003,dCrit)*100,0)</f>
        <v>0</v>
      </c>
      <c r="AG334" s="23">
        <f>IFERROR((COUNTIFS('Training'!$N$4:$N$100003,"Closed",'Training'!$D$4:$D$100003,"Dec",'Training'!$G$4:$G$100003,dCrit))/COUNTIFS('Training'!$D$4:$D$100003,"Dec",'Training'!$G$4:$G$100003,dCrit)*100,0)</f>
        <v>0</v>
      </c>
      <c r="AH334" s="23">
        <f>IFERROR(AVERAGE(V334:AG334),0)</f>
        <v>0</v>
      </c>
    </row>
    <row r="335" spans="2:34">
      <c r="B335" s="21" t="s">
        <v>44</v>
      </c>
      <c r="C335" s="22">
        <f>COUNTIFS('Training'!$D$4:$D$100003,"Mar",'Training'!$G$4:$G$100003,dCrit)</f>
        <v>0</v>
      </c>
      <c r="E335" s="12" t="s">
        <v>230</v>
      </c>
      <c r="F335" s="22">
        <f>COUNTIFS('Training'!$F$4:$F$100003,"Advanced",'Training'!$D$4:$D$100003,mCrit,'Training'!$G$4:$G$100003,dCrit)</f>
        <v>0</v>
      </c>
      <c r="G335" s="12" t="s">
        <v>219</v>
      </c>
      <c r="H335" s="22">
        <f>COUNTIFS('Training'!$I$4:$I$100003,"Online",'Training'!$D$4:$D$100003,mCrit,'Training'!$G$4:$G$100003,dCrit)</f>
        <v>0</v>
      </c>
      <c r="J335" s="12" t="s">
        <v>238</v>
      </c>
      <c r="K335" s="22">
        <f>COUNTIFS('Training'!$N$4:$N$100003,"Overdue",'Training'!$D$4:$D$100003,mCrit,'Training'!$G$4:$G$100003,dCrit)</f>
        <v>0</v>
      </c>
      <c r="M335" s="12" t="s">
        <v>1877</v>
      </c>
      <c r="N335" s="22">
        <f>COUNTIFS('Training'!$N$4:$N$100003,"Open",'Training'!$D$4:$D$100003,mCrit,'Training'!$G$4:$G$100003,dCrit)+COUNTIFS('Training'!$N$4:$N$100003,"In Progress",'Training'!$D$4:$D$100003,mCrit,'Training'!$G$4:$G$100003,dCrit)+COUNTIFS('Training'!$N$4:$N$100003,"Overdue",'Training'!$D$4:$D$100003,mCrit,'Training'!$G$4:$G$100003,dCrit)</f>
        <v>0</v>
      </c>
      <c r="P335" s="12" t="s">
        <v>39</v>
      </c>
      <c r="Q335" s="22">
        <f>COUNTIFS('Training'!$D$4:$D$100003,mCrit,'Training'!$G$4:$G$100003,"Engineering")</f>
        <v>0</v>
      </c>
      <c r="R335" s="23">
        <f>IFERROR((COUNTIFS('Training'!$N$4:$N$100003,"Closed",'Training'!$D$4:$D$100003,mCrit,'Training'!$G$4:$G$100003,"Engineering"))/COUNTIFS('Training'!$D$4:$D$100003,mCrit,'Training'!$G$4:$G$100003,"Engineering")*100,0)</f>
        <v>0</v>
      </c>
      <c r="S335" s="23">
        <f>IFERROR(AVERAGEIFS('Training'!$L$4:$L$100003,'Training'!$D$4:$D$100003,mCrit,'Training'!$G$4:$G$100003,"Engineering"),0)</f>
        <v>0</v>
      </c>
      <c r="U335" s="12" t="s">
        <v>1869</v>
      </c>
      <c r="V335" s="23">
        <f>IFERROR(AVERAGEIFS('Training'!$L$4:$L$100003,'Training'!$D$4:$D$100003,"Jan",'Training'!$G$4:$G$100003,dCrit),0)</f>
        <v>0</v>
      </c>
      <c r="W335" s="23">
        <f>IFERROR(AVERAGEIFS('Training'!$L$4:$L$100003,'Training'!$D$4:$D$100003,"Feb",'Training'!$G$4:$G$100003,dCrit),0)</f>
        <v>0</v>
      </c>
      <c r="X335" s="23">
        <f>IFERROR(AVERAGEIFS('Training'!$L$4:$L$100003,'Training'!$D$4:$D$100003,"Mar",'Training'!$G$4:$G$100003,dCrit),0)</f>
        <v>0</v>
      </c>
      <c r="Y335" s="23">
        <f>IFERROR(AVERAGEIFS('Training'!$L$4:$L$100003,'Training'!$D$4:$D$100003,"Apr",'Training'!$G$4:$G$100003,dCrit),0)</f>
        <v>0</v>
      </c>
      <c r="Z335" s="23">
        <f>IFERROR(AVERAGEIFS('Training'!$L$4:$L$100003,'Training'!$D$4:$D$100003,"May",'Training'!$G$4:$G$100003,dCrit),0)</f>
        <v>0</v>
      </c>
      <c r="AA335" s="23">
        <f>IFERROR(AVERAGEIFS('Training'!$L$4:$L$100003,'Training'!$D$4:$D$100003,"Jun",'Training'!$G$4:$G$100003,dCrit),0)</f>
        <v>0</v>
      </c>
      <c r="AB335" s="23">
        <f>IFERROR(AVERAGEIFS('Training'!$L$4:$L$100003,'Training'!$D$4:$D$100003,"Jul",'Training'!$G$4:$G$100003,dCrit),0)</f>
        <v>0</v>
      </c>
      <c r="AC335" s="23">
        <f>IFERROR(AVERAGEIFS('Training'!$L$4:$L$100003,'Training'!$D$4:$D$100003,"Aug",'Training'!$G$4:$G$100003,dCrit),0)</f>
        <v>0</v>
      </c>
      <c r="AD335" s="23">
        <f>IFERROR(AVERAGEIFS('Training'!$L$4:$L$100003,'Training'!$D$4:$D$100003,"Sep",'Training'!$G$4:$G$100003,dCrit),0)</f>
        <v>0</v>
      </c>
      <c r="AE335" s="23">
        <f>IFERROR(AVERAGEIFS('Training'!$L$4:$L$100003,'Training'!$D$4:$D$100003,"Oct",'Training'!$G$4:$G$100003,dCrit),0)</f>
        <v>0</v>
      </c>
      <c r="AF335" s="23">
        <f>IFERROR(AVERAGEIFS('Training'!$L$4:$L$100003,'Training'!$D$4:$D$100003,"Nov",'Training'!$G$4:$G$100003,dCrit),0)</f>
        <v>0</v>
      </c>
      <c r="AG335" s="23">
        <f>IFERROR(AVERAGEIFS('Training'!$L$4:$L$100003,'Training'!$D$4:$D$100003,"Dec",'Training'!$G$4:$G$100003,dCrit),0)</f>
        <v>0</v>
      </c>
      <c r="AH335" s="23">
        <f>IFERROR(AVERAGE(V335:AG335),0)</f>
        <v>0</v>
      </c>
    </row>
    <row r="336" spans="2:34">
      <c r="B336" s="21" t="s">
        <v>53</v>
      </c>
      <c r="C336" s="22">
        <f>COUNTIFS('Training'!$D$4:$D$100003,"Apr",'Training'!$G$4:$G$100003,dCrit)</f>
        <v>0</v>
      </c>
      <c r="E336" s="12" t="s">
        <v>224</v>
      </c>
      <c r="F336" s="22">
        <f>COUNTIFS('Training'!$F$4:$F$100003,"On-the-Job",'Training'!$D$4:$D$100003,mCrit,'Training'!$G$4:$G$100003,dCrit)</f>
        <v>0</v>
      </c>
      <c r="G336" s="12" t="s">
        <v>224</v>
      </c>
      <c r="H336" s="22">
        <f>COUNTIFS('Training'!$I$4:$I$100003,"On-the-Job",'Training'!$D$4:$D$100003,mCrit,'Training'!$G$4:$G$100003,dCrit)</f>
        <v>0</v>
      </c>
      <c r="J336" s="12" t="s">
        <v>254</v>
      </c>
      <c r="K336" s="22">
        <f>COUNTIFS('Training'!$N$4:$N$100003,"In Progress",'Training'!$D$4:$D$100003,mCrit,'Training'!$G$4:$G$100003,dCrit)</f>
        <v>0</v>
      </c>
      <c r="M336" s="12" t="s">
        <v>238</v>
      </c>
      <c r="N336" s="22">
        <f>COUNTIFS('Training'!$N$4:$N$100003,"Overdue",'Training'!$D$4:$D$100003,mCrit,'Training'!$G$4:$G$100003,dCrit)</f>
        <v>0</v>
      </c>
      <c r="P336" s="12" t="s">
        <v>89</v>
      </c>
      <c r="Q336" s="22">
        <f>COUNTIFS('Training'!$D$4:$D$100003,mCrit,'Training'!$G$4:$G$100003,"Construction")</f>
        <v>0</v>
      </c>
      <c r="R336" s="23">
        <f>IFERROR((COUNTIFS('Training'!$N$4:$N$100003,"Closed",'Training'!$D$4:$D$100003,mCrit,'Training'!$G$4:$G$100003,"Construction"))/COUNTIFS('Training'!$D$4:$D$100003,mCrit,'Training'!$G$4:$G$100003,"Construction")*100,0)</f>
        <v>0</v>
      </c>
      <c r="S336" s="23">
        <f>IFERROR(AVERAGEIFS('Training'!$L$4:$L$100003,'Training'!$D$4:$D$100003,mCrit,'Training'!$G$4:$G$100003,"Construction"),0)</f>
        <v>0</v>
      </c>
    </row>
    <row r="337" spans="2:19">
      <c r="B337" s="21" t="s">
        <v>60</v>
      </c>
      <c r="C337" s="22">
        <f>COUNTIFS('Training'!$D$4:$D$100003,"May",'Training'!$G$4:$G$100003,dCrit)</f>
        <v>0</v>
      </c>
      <c r="E337" s="12" t="s">
        <v>223</v>
      </c>
      <c r="F337" s="22">
        <f>COUNTIFS('Training'!$F$4:$F$100003,"Awareness",'Training'!$D$4:$D$100003,mCrit,'Training'!$G$4:$G$100003,dCrit)</f>
        <v>0</v>
      </c>
      <c r="M337" s="12" t="s">
        <v>1869</v>
      </c>
      <c r="N337" s="23">
        <f>IFERROR(AVERAGEIFS('Training'!$L$4:$L$100003,'Training'!$D$4:$D$100003,mCrit,'Training'!$G$4:$G$100003,dCrit),0)</f>
        <v>0</v>
      </c>
      <c r="P337" s="12" t="s">
        <v>65</v>
      </c>
      <c r="Q337" s="22">
        <f>COUNTIFS('Training'!$D$4:$D$100003,mCrit,'Training'!$G$4:$G$100003,"Safety")</f>
        <v>0</v>
      </c>
      <c r="R337" s="23">
        <f>IFERROR((COUNTIFS('Training'!$N$4:$N$100003,"Closed",'Training'!$D$4:$D$100003,mCrit,'Training'!$G$4:$G$100003,"Safety"))/COUNTIFS('Training'!$D$4:$D$100003,mCrit,'Training'!$G$4:$G$100003,"Safety")*100,0)</f>
        <v>0</v>
      </c>
      <c r="S337" s="23">
        <f>IFERROR(AVERAGEIFS('Training'!$L$4:$L$100003,'Training'!$D$4:$D$100003,mCrit,'Training'!$G$4:$G$100003,"Safety"),0)</f>
        <v>0</v>
      </c>
    </row>
    <row r="338" spans="2:19">
      <c r="B338" s="21" t="s">
        <v>73</v>
      </c>
      <c r="C338" s="22">
        <f>COUNTIFS('Training'!$D$4:$D$100003,"Jun",'Training'!$G$4:$G$100003,dCrit)</f>
        <v>0</v>
      </c>
      <c r="E338" s="12" t="s">
        <v>218</v>
      </c>
      <c r="F338" s="22">
        <f>COUNTIFS('Training'!$F$4:$F$100003,"Competency",'Training'!$D$4:$D$100003,mCrit,'Training'!$G$4:$G$100003,dCrit)</f>
        <v>0</v>
      </c>
      <c r="M338" s="12" t="s">
        <v>1882</v>
      </c>
      <c r="N338" s="22">
        <f>SUMIFS('Training'!$M$4:$M$100003,'Training'!$D$4:$D$100003,mCrit,'Training'!$G$4:$G$100003,dCrit)</f>
        <v>0</v>
      </c>
      <c r="P338" s="12" t="s">
        <v>5</v>
      </c>
      <c r="Q338" s="22">
        <f>COUNTIFS('Training'!$D$4:$D$100003,mCrit,'Training'!$G$4:$G$100003,"Logistics")</f>
        <v>0</v>
      </c>
      <c r="R338" s="23">
        <f>IFERROR((COUNTIFS('Training'!$N$4:$N$100003,"Closed",'Training'!$D$4:$D$100003,mCrit,'Training'!$G$4:$G$100003,"Logistics"))/COUNTIFS('Training'!$D$4:$D$100003,mCrit,'Training'!$G$4:$G$100003,"Logistics")*100,0)</f>
        <v>0</v>
      </c>
      <c r="S338" s="23">
        <f>IFERROR(AVERAGEIFS('Training'!$L$4:$L$100003,'Training'!$D$4:$D$100003,mCrit,'Training'!$G$4:$G$100003,"Logistics"),0)</f>
        <v>0</v>
      </c>
    </row>
    <row r="339" spans="2:19">
      <c r="B339" s="21" t="s">
        <v>76</v>
      </c>
      <c r="C339" s="22">
        <f>COUNTIFS('Training'!$D$4:$D$100003,"Jul",'Training'!$G$4:$G$100003,dCrit)</f>
        <v>0</v>
      </c>
      <c r="M339" s="12" t="s">
        <v>1883</v>
      </c>
      <c r="N339" s="22">
        <f>COUNTIFS('Training'!$P$4:$P$100003,"Yes",'Training'!$D$4:$D$100003,mCrit,'Training'!$G$4:$G$100003,dCrit)</f>
        <v>0</v>
      </c>
      <c r="P339" s="12" t="s">
        <v>50</v>
      </c>
      <c r="Q339" s="22">
        <f>COUNTIFS('Training'!$D$4:$D$100003,mCrit,'Training'!$G$4:$G$100003,"Quality")</f>
        <v>0</v>
      </c>
      <c r="R339" s="23">
        <f>IFERROR((COUNTIFS('Training'!$N$4:$N$100003,"Closed",'Training'!$D$4:$D$100003,mCrit,'Training'!$G$4:$G$100003,"Quality"))/COUNTIFS('Training'!$D$4:$D$100003,mCrit,'Training'!$G$4:$G$100003,"Quality")*100,0)</f>
        <v>0</v>
      </c>
      <c r="S339" s="23">
        <f>IFERROR(AVERAGEIFS('Training'!$L$4:$L$100003,'Training'!$D$4:$D$100003,mCrit,'Training'!$G$4:$G$100003,"Quality"),0)</f>
        <v>0</v>
      </c>
    </row>
    <row r="340" spans="2:19">
      <c r="B340" s="21" t="s">
        <v>86</v>
      </c>
      <c r="C340" s="22">
        <f>COUNTIFS('Training'!$D$4:$D$100003,"Aug",'Training'!$G$4:$G$100003,dCrit)</f>
        <v>0</v>
      </c>
      <c r="M340" s="12" t="s">
        <v>1884</v>
      </c>
      <c r="N340" s="22">
        <f>COUNTIFS('Training'!$O$4:$O$100003,"Pass",'Training'!$D$4:$D$100003,mCrit,'Training'!$G$4:$G$100003,dCrit)</f>
        <v>0</v>
      </c>
      <c r="P340" s="12" t="s">
        <v>46</v>
      </c>
      <c r="Q340" s="22">
        <f>COUNTIFS('Training'!$D$4:$D$100003,mCrit,'Training'!$G$4:$G$100003,"Admin")</f>
        <v>0</v>
      </c>
      <c r="R340" s="23">
        <f>IFERROR((COUNTIFS('Training'!$N$4:$N$100003,"Closed",'Training'!$D$4:$D$100003,mCrit,'Training'!$G$4:$G$100003,"Admin"))/COUNTIFS('Training'!$D$4:$D$100003,mCrit,'Training'!$G$4:$G$100003,"Admin")*100,0)</f>
        <v>0</v>
      </c>
      <c r="S340" s="23">
        <f>IFERROR(AVERAGEIFS('Training'!$L$4:$L$100003,'Training'!$D$4:$D$100003,mCrit,'Training'!$G$4:$G$100003,"Admin"),0)</f>
        <v>0</v>
      </c>
    </row>
    <row r="341" spans="2:19">
      <c r="B341" s="21" t="s">
        <v>102</v>
      </c>
      <c r="C341" s="22">
        <f>COUNTIFS('Training'!$D$4:$D$100003,"Sep",'Training'!$G$4:$G$100003,dCrit)</f>
        <v>0</v>
      </c>
      <c r="P341" s="12" t="s">
        <v>13</v>
      </c>
      <c r="Q341" s="22">
        <f>COUNTIFS('Training'!$D$4:$D$100003,mCrit,'Training'!$G$4:$G$100003,"Projects")</f>
        <v>0</v>
      </c>
      <c r="R341" s="23">
        <f>IFERROR((COUNTIFS('Training'!$N$4:$N$100003,"Closed",'Training'!$D$4:$D$100003,mCrit,'Training'!$G$4:$G$100003,"Projects"))/COUNTIFS('Training'!$D$4:$D$100003,mCrit,'Training'!$G$4:$G$100003,"Projects")*100,0)</f>
        <v>0</v>
      </c>
      <c r="S341" s="23">
        <f>IFERROR(AVERAGEIFS('Training'!$L$4:$L$100003,'Training'!$D$4:$D$100003,mCrit,'Training'!$G$4:$G$100003,"Projects"),0)</f>
        <v>0</v>
      </c>
    </row>
    <row r="342" spans="2:19">
      <c r="B342" s="21" t="s">
        <v>106</v>
      </c>
      <c r="C342" s="22">
        <f>COUNTIFS('Training'!$D$4:$D$100003,"Oct",'Training'!$G$4:$G$100003,dCrit)</f>
        <v>0</v>
      </c>
      <c r="P342" s="12" t="s">
        <v>58</v>
      </c>
      <c r="Q342" s="22">
        <f>COUNTIFS('Training'!$D$4:$D$100003,mCrit,'Training'!$G$4:$G$100003,"Contractor")</f>
        <v>0</v>
      </c>
      <c r="R342" s="23">
        <f>IFERROR((COUNTIFS('Training'!$N$4:$N$100003,"Closed",'Training'!$D$4:$D$100003,mCrit,'Training'!$G$4:$G$100003,"Contractor"))/COUNTIFS('Training'!$D$4:$D$100003,mCrit,'Training'!$G$4:$G$100003,"Contractor")*100,0)</f>
        <v>0</v>
      </c>
      <c r="S342" s="23">
        <f>IFERROR(AVERAGEIFS('Training'!$L$4:$L$100003,'Training'!$D$4:$D$100003,mCrit,'Training'!$G$4:$G$100003,"Contractor"),0)</f>
        <v>0</v>
      </c>
    </row>
    <row r="343" spans="2:19">
      <c r="B343" s="21" t="s">
        <v>111</v>
      </c>
      <c r="C343" s="22">
        <f>COUNTIFS('Training'!$D$4:$D$100003,"Nov",'Training'!$G$4:$G$100003,dCrit)</f>
        <v>0</v>
      </c>
    </row>
    <row r="344" spans="2:19">
      <c r="B344" s="21" t="s">
        <v>122</v>
      </c>
      <c r="C344" s="22">
        <f>COUNTIFS('Training'!$D$4:$D$100003,"Dec",'Training'!$G$4:$G$100003,dCrit)</f>
        <v>0</v>
      </c>
    </row>
    <row r="357" spans="2:34">
      <c r="B357" s="16" t="s">
        <v>1885</v>
      </c>
    </row>
    <row r="358" spans="2:34">
      <c r="B358" s="11" t="s">
        <v>127</v>
      </c>
      <c r="C358" s="11" t="s">
        <v>1808</v>
      </c>
      <c r="E358" s="11" t="s">
        <v>351</v>
      </c>
      <c r="F358" s="11" t="s">
        <v>1808</v>
      </c>
      <c r="G358" s="11" t="s">
        <v>355</v>
      </c>
      <c r="H358" s="11" t="s">
        <v>1808</v>
      </c>
      <c r="J358" s="11" t="s">
        <v>287</v>
      </c>
      <c r="K358" s="11" t="s">
        <v>1808</v>
      </c>
      <c r="M358" s="11" t="s">
        <v>1752</v>
      </c>
      <c r="N358" s="11" t="s">
        <v>1867</v>
      </c>
      <c r="P358" s="11" t="s">
        <v>129</v>
      </c>
      <c r="Q358" s="11" t="s">
        <v>1808</v>
      </c>
      <c r="R358" s="11" t="s">
        <v>1879</v>
      </c>
      <c r="S358" s="11" t="s">
        <v>1872</v>
      </c>
      <c r="U358" s="11" t="s">
        <v>1873</v>
      </c>
      <c r="V358" s="11" t="s">
        <v>3</v>
      </c>
      <c r="W358" s="11" t="s">
        <v>19</v>
      </c>
      <c r="X358" s="11" t="s">
        <v>44</v>
      </c>
      <c r="Y358" s="11" t="s">
        <v>53</v>
      </c>
      <c r="Z358" s="11" t="s">
        <v>60</v>
      </c>
      <c r="AA358" s="11" t="s">
        <v>73</v>
      </c>
      <c r="AB358" s="11" t="s">
        <v>76</v>
      </c>
      <c r="AC358" s="11" t="s">
        <v>86</v>
      </c>
      <c r="AD358" s="11" t="s">
        <v>102</v>
      </c>
      <c r="AE358" s="11" t="s">
        <v>106</v>
      </c>
      <c r="AF358" s="11" t="s">
        <v>111</v>
      </c>
      <c r="AG358" s="11" t="s">
        <v>122</v>
      </c>
      <c r="AH358" s="11" t="s">
        <v>1874</v>
      </c>
    </row>
    <row r="359" spans="2:34">
      <c r="B359" s="21" t="s">
        <v>3</v>
      </c>
      <c r="C359" s="22">
        <f>COUNTIFS('HSE Observations'!$D$4:$D$100003,"Jan",'HSE Observations'!$G$4:$G$100003,dCrit)</f>
        <v>0</v>
      </c>
      <c r="E359" s="12" t="s">
        <v>292</v>
      </c>
      <c r="F359" s="22">
        <f>COUNTIFS('HSE Observations'!$E$4:$E$100003,"Safe Act",'HSE Observations'!$D$4:$D$100003,mCrit,'HSE Observations'!$G$4:$G$100003,dCrit)</f>
        <v>0</v>
      </c>
      <c r="G359" s="12" t="s">
        <v>33</v>
      </c>
      <c r="H359" s="22">
        <f>COUNTIFS('HSE Observations'!$K$4:$K$100003,"BBS",'HSE Observations'!$D$4:$D$100003,mCrit,'HSE Observations'!$G$4:$G$100003,dCrit)</f>
        <v>0</v>
      </c>
      <c r="J359" s="12" t="s">
        <v>293</v>
      </c>
      <c r="K359" s="22">
        <f>COUNTIFS('HSE Observations'!$M$4:$M$100003,"Closed",'HSE Observations'!$D$4:$D$100003,mCrit,'HSE Observations'!$G$4:$G$100003,dCrit)</f>
        <v>0</v>
      </c>
      <c r="M359" s="12" t="s">
        <v>1868</v>
      </c>
      <c r="N359" s="22">
        <f>COUNTIFS('HSE Observations'!$D$4:$D$100003,mCrit,'HSE Observations'!$G$4:$G$100003,dCrit)</f>
        <v>0</v>
      </c>
      <c r="P359" s="12" t="s">
        <v>27</v>
      </c>
      <c r="Q359" s="22">
        <f>COUNTIFS('HSE Observations'!$D$4:$D$100003,mCrit,'HSE Observations'!$G$4:$G$100003,"Operations")</f>
        <v>0</v>
      </c>
      <c r="R359" s="23">
        <f>IFERROR((COUNTIFS('HSE Observations'!$M$4:$M$100003,"Closed",'HSE Observations'!$D$4:$D$100003,mCrit,'HSE Observations'!$G$4:$G$100003,"Operations"))/COUNTIFS('HSE Observations'!$D$4:$D$100003,mCrit,'HSE Observations'!$G$4:$G$100003,"Operations")*100,0)</f>
        <v>0</v>
      </c>
      <c r="S359" s="22">
        <f>COUNTIFS('HSE Observations'!$D$4:$D$100003,mCrit,'HSE Observations'!$G$4:$G$100003,"Operations")</f>
        <v>0</v>
      </c>
      <c r="U359" s="12" t="s">
        <v>1872</v>
      </c>
      <c r="V359" s="22">
        <f>COUNTIFS('HSE Observations'!$D$4:$D$100003,"Jan",'HSE Observations'!$G$4:$G$100003,dCrit)</f>
        <v>0</v>
      </c>
      <c r="W359" s="22">
        <f>COUNTIFS('HSE Observations'!$D$4:$D$100003,"Feb",'HSE Observations'!$G$4:$G$100003,dCrit)</f>
        <v>0</v>
      </c>
      <c r="X359" s="22">
        <f>COUNTIFS('HSE Observations'!$D$4:$D$100003,"Mar",'HSE Observations'!$G$4:$G$100003,dCrit)</f>
        <v>0</v>
      </c>
      <c r="Y359" s="22">
        <f>COUNTIFS('HSE Observations'!$D$4:$D$100003,"Apr",'HSE Observations'!$G$4:$G$100003,dCrit)</f>
        <v>0</v>
      </c>
      <c r="Z359" s="22">
        <f>COUNTIFS('HSE Observations'!$D$4:$D$100003,"May",'HSE Observations'!$G$4:$G$100003,dCrit)</f>
        <v>0</v>
      </c>
      <c r="AA359" s="22">
        <f>COUNTIFS('HSE Observations'!$D$4:$D$100003,"Jun",'HSE Observations'!$G$4:$G$100003,dCrit)</f>
        <v>0</v>
      </c>
      <c r="AB359" s="22">
        <f>COUNTIFS('HSE Observations'!$D$4:$D$100003,"Jul",'HSE Observations'!$G$4:$G$100003,dCrit)</f>
        <v>0</v>
      </c>
      <c r="AC359" s="22">
        <f>COUNTIFS('HSE Observations'!$D$4:$D$100003,"Aug",'HSE Observations'!$G$4:$G$100003,dCrit)</f>
        <v>0</v>
      </c>
      <c r="AD359" s="22">
        <f>COUNTIFS('HSE Observations'!$D$4:$D$100003,"Sep",'HSE Observations'!$G$4:$G$100003,dCrit)</f>
        <v>0</v>
      </c>
      <c r="AE359" s="22">
        <f>COUNTIFS('HSE Observations'!$D$4:$D$100003,"Oct",'HSE Observations'!$G$4:$G$100003,dCrit)</f>
        <v>0</v>
      </c>
      <c r="AF359" s="22">
        <f>COUNTIFS('HSE Observations'!$D$4:$D$100003,"Nov",'HSE Observations'!$G$4:$G$100003,dCrit)</f>
        <v>0</v>
      </c>
      <c r="AG359" s="22">
        <f>COUNTIFS('HSE Observations'!$D$4:$D$100003,"Dec",'HSE Observations'!$G$4:$G$100003,dCrit)</f>
        <v>0</v>
      </c>
      <c r="AH359" s="22">
        <f>SUM(V359:AG359)</f>
        <v>0</v>
      </c>
    </row>
    <row r="360" spans="2:34">
      <c r="B360" s="21" t="s">
        <v>19</v>
      </c>
      <c r="C360" s="22">
        <f>COUNTIFS('HSE Observations'!$D$4:$D$100003,"Feb",'HSE Observations'!$G$4:$G$100003,dCrit)</f>
        <v>0</v>
      </c>
      <c r="E360" s="12" t="s">
        <v>300</v>
      </c>
      <c r="F360" s="22">
        <f>COUNTIFS('HSE Observations'!$E$4:$E$100003,"Unsafe Act",'HSE Observations'!$D$4:$D$100003,mCrit,'HSE Observations'!$G$4:$G$100003,dCrit)</f>
        <v>0</v>
      </c>
      <c r="G360" s="12" t="s">
        <v>47</v>
      </c>
      <c r="H360" s="22">
        <f>COUNTIFS('HSE Observations'!$K$4:$K$100003,"General",'HSE Observations'!$D$4:$D$100003,mCrit,'HSE Observations'!$G$4:$G$100003,dCrit)</f>
        <v>0</v>
      </c>
      <c r="J360" s="12" t="s">
        <v>297</v>
      </c>
      <c r="K360" s="22">
        <f>COUNTIFS('HSE Observations'!$M$4:$M$100003,"Open",'HSE Observations'!$D$4:$D$100003,mCrit,'HSE Observations'!$G$4:$G$100003,dCrit)</f>
        <v>0</v>
      </c>
      <c r="M360" s="12" t="s">
        <v>1876</v>
      </c>
      <c r="N360" s="23">
        <f>IFERROR((COUNTIFS('HSE Observations'!$M$4:$M$100003,"Closed",'HSE Observations'!$D$4:$D$100003,mCrit,'HSE Observations'!$G$4:$G$100003,dCrit))/COUNTIFS('HSE Observations'!$D$4:$D$100003,mCrit,'HSE Observations'!$G$4:$G$100003,dCrit)*100,0)</f>
        <v>0</v>
      </c>
      <c r="P360" s="12" t="s">
        <v>92</v>
      </c>
      <c r="Q360" s="22">
        <f>COUNTIFS('HSE Observations'!$D$4:$D$100003,mCrit,'HSE Observations'!$G$4:$G$100003,"Maintenance")</f>
        <v>0</v>
      </c>
      <c r="R360" s="23">
        <f>IFERROR((COUNTIFS('HSE Observations'!$M$4:$M$100003,"Closed",'HSE Observations'!$D$4:$D$100003,mCrit,'HSE Observations'!$G$4:$G$100003,"Maintenance"))/COUNTIFS('HSE Observations'!$D$4:$D$100003,mCrit,'HSE Observations'!$G$4:$G$100003,"Maintenance")*100,0)</f>
        <v>0</v>
      </c>
      <c r="S360" s="22">
        <f>COUNTIFS('HSE Observations'!$D$4:$D$100003,mCrit,'HSE Observations'!$G$4:$G$100003,"Maintenance")</f>
        <v>0</v>
      </c>
      <c r="U360" s="12" t="s">
        <v>1880</v>
      </c>
      <c r="V360" s="23">
        <f>IFERROR((COUNTIFS('HSE Observations'!$M$4:$M$100003,"Closed",'HSE Observations'!$D$4:$D$100003,"Jan",'HSE Observations'!$G$4:$G$100003,dCrit))/COUNTIFS('HSE Observations'!$D$4:$D$100003,"Jan",'HSE Observations'!$G$4:$G$100003,dCrit)*100,0)</f>
        <v>0</v>
      </c>
      <c r="W360" s="23">
        <f>IFERROR((COUNTIFS('HSE Observations'!$M$4:$M$100003,"Closed",'HSE Observations'!$D$4:$D$100003,"Feb",'HSE Observations'!$G$4:$G$100003,dCrit))/COUNTIFS('HSE Observations'!$D$4:$D$100003,"Feb",'HSE Observations'!$G$4:$G$100003,dCrit)*100,0)</f>
        <v>0</v>
      </c>
      <c r="X360" s="23">
        <f>IFERROR((COUNTIFS('HSE Observations'!$M$4:$M$100003,"Closed",'HSE Observations'!$D$4:$D$100003,"Mar",'HSE Observations'!$G$4:$G$100003,dCrit))/COUNTIFS('HSE Observations'!$D$4:$D$100003,"Mar",'HSE Observations'!$G$4:$G$100003,dCrit)*100,0)</f>
        <v>0</v>
      </c>
      <c r="Y360" s="23">
        <f>IFERROR((COUNTIFS('HSE Observations'!$M$4:$M$100003,"Closed",'HSE Observations'!$D$4:$D$100003,"Apr",'HSE Observations'!$G$4:$G$100003,dCrit))/COUNTIFS('HSE Observations'!$D$4:$D$100003,"Apr",'HSE Observations'!$G$4:$G$100003,dCrit)*100,0)</f>
        <v>0</v>
      </c>
      <c r="Z360" s="23">
        <f>IFERROR((COUNTIFS('HSE Observations'!$M$4:$M$100003,"Closed",'HSE Observations'!$D$4:$D$100003,"May",'HSE Observations'!$G$4:$G$100003,dCrit))/COUNTIFS('HSE Observations'!$D$4:$D$100003,"May",'HSE Observations'!$G$4:$G$100003,dCrit)*100,0)</f>
        <v>0</v>
      </c>
      <c r="AA360" s="23">
        <f>IFERROR((COUNTIFS('HSE Observations'!$M$4:$M$100003,"Closed",'HSE Observations'!$D$4:$D$100003,"Jun",'HSE Observations'!$G$4:$G$100003,dCrit))/COUNTIFS('HSE Observations'!$D$4:$D$100003,"Jun",'HSE Observations'!$G$4:$G$100003,dCrit)*100,0)</f>
        <v>0</v>
      </c>
      <c r="AB360" s="23">
        <f>IFERROR((COUNTIFS('HSE Observations'!$M$4:$M$100003,"Closed",'HSE Observations'!$D$4:$D$100003,"Jul",'HSE Observations'!$G$4:$G$100003,dCrit))/COUNTIFS('HSE Observations'!$D$4:$D$100003,"Jul",'HSE Observations'!$G$4:$G$100003,dCrit)*100,0)</f>
        <v>0</v>
      </c>
      <c r="AC360" s="23">
        <f>IFERROR((COUNTIFS('HSE Observations'!$M$4:$M$100003,"Closed",'HSE Observations'!$D$4:$D$100003,"Aug",'HSE Observations'!$G$4:$G$100003,dCrit))/COUNTIFS('HSE Observations'!$D$4:$D$100003,"Aug",'HSE Observations'!$G$4:$G$100003,dCrit)*100,0)</f>
        <v>0</v>
      </c>
      <c r="AD360" s="23">
        <f>IFERROR((COUNTIFS('HSE Observations'!$M$4:$M$100003,"Closed",'HSE Observations'!$D$4:$D$100003,"Sep",'HSE Observations'!$G$4:$G$100003,dCrit))/COUNTIFS('HSE Observations'!$D$4:$D$100003,"Sep",'HSE Observations'!$G$4:$G$100003,dCrit)*100,0)</f>
        <v>0</v>
      </c>
      <c r="AE360" s="23">
        <f>IFERROR((COUNTIFS('HSE Observations'!$M$4:$M$100003,"Closed",'HSE Observations'!$D$4:$D$100003,"Oct",'HSE Observations'!$G$4:$G$100003,dCrit))/COUNTIFS('HSE Observations'!$D$4:$D$100003,"Oct",'HSE Observations'!$G$4:$G$100003,dCrit)*100,0)</f>
        <v>0</v>
      </c>
      <c r="AF360" s="23">
        <f>IFERROR((COUNTIFS('HSE Observations'!$M$4:$M$100003,"Closed",'HSE Observations'!$D$4:$D$100003,"Nov",'HSE Observations'!$G$4:$G$100003,dCrit))/COUNTIFS('HSE Observations'!$D$4:$D$100003,"Nov",'HSE Observations'!$G$4:$G$100003,dCrit)*100,0)</f>
        <v>0</v>
      </c>
      <c r="AG360" s="23">
        <f>IFERROR((COUNTIFS('HSE Observations'!$M$4:$M$100003,"Closed",'HSE Observations'!$D$4:$D$100003,"Dec",'HSE Observations'!$G$4:$G$100003,dCrit))/COUNTIFS('HSE Observations'!$D$4:$D$100003,"Dec",'HSE Observations'!$G$4:$G$100003,dCrit)*100,0)</f>
        <v>0</v>
      </c>
      <c r="AH360" s="23">
        <f>IFERROR(AVERAGE(V360:AG360),0)</f>
        <v>0</v>
      </c>
    </row>
    <row r="361" spans="2:34">
      <c r="B361" s="21" t="s">
        <v>44</v>
      </c>
      <c r="C361" s="22">
        <f>COUNTIFS('HSE Observations'!$D$4:$D$100003,"Mar",'HSE Observations'!$G$4:$G$100003,dCrit)</f>
        <v>0</v>
      </c>
      <c r="E361" s="12" t="s">
        <v>302</v>
      </c>
      <c r="F361" s="22">
        <f>COUNTIFS('HSE Observations'!$E$4:$E$100003,"Safe Condition",'HSE Observations'!$D$4:$D$100003,mCrit,'HSE Observations'!$G$4:$G$100003,dCrit)</f>
        <v>0</v>
      </c>
      <c r="G361" s="12" t="s">
        <v>99</v>
      </c>
      <c r="H361" s="22">
        <f>COUNTIFS('HSE Observations'!$K$4:$K$100003,"PPE",'HSE Observations'!$D$4:$D$100003,mCrit,'HSE Observations'!$G$4:$G$100003,dCrit)</f>
        <v>0</v>
      </c>
      <c r="J361" s="12" t="s">
        <v>254</v>
      </c>
      <c r="K361" s="22">
        <f>COUNTIFS('HSE Observations'!$M$4:$M$100003,"In Progress",'HSE Observations'!$D$4:$D$100003,mCrit,'HSE Observations'!$G$4:$G$100003,dCrit)</f>
        <v>0</v>
      </c>
      <c r="M361" s="12" t="s">
        <v>1877</v>
      </c>
      <c r="N361" s="22">
        <f>COUNTIFS('HSE Observations'!$M$4:$M$100003,"Open",'HSE Observations'!$D$4:$D$100003,mCrit,'HSE Observations'!$G$4:$G$100003,dCrit)+COUNTIFS('HSE Observations'!$M$4:$M$100003,"In Progress",'HSE Observations'!$D$4:$D$100003,mCrit,'HSE Observations'!$G$4:$G$100003,dCrit)+COUNTIFS('HSE Observations'!$M$4:$M$100003,"Overdue",'HSE Observations'!$D$4:$D$100003,mCrit,'HSE Observations'!$G$4:$G$100003,dCrit)</f>
        <v>0</v>
      </c>
      <c r="P361" s="12" t="s">
        <v>39</v>
      </c>
      <c r="Q361" s="22">
        <f>COUNTIFS('HSE Observations'!$D$4:$D$100003,mCrit,'HSE Observations'!$G$4:$G$100003,"Engineering")</f>
        <v>0</v>
      </c>
      <c r="R361" s="23">
        <f>IFERROR((COUNTIFS('HSE Observations'!$M$4:$M$100003,"Closed",'HSE Observations'!$D$4:$D$100003,mCrit,'HSE Observations'!$G$4:$G$100003,"Engineering"))/COUNTIFS('HSE Observations'!$D$4:$D$100003,mCrit,'HSE Observations'!$G$4:$G$100003,"Engineering")*100,0)</f>
        <v>0</v>
      </c>
      <c r="S361" s="22">
        <f>COUNTIFS('HSE Observations'!$D$4:$D$100003,mCrit,'HSE Observations'!$G$4:$G$100003,"Engineering")</f>
        <v>0</v>
      </c>
    </row>
    <row r="362" spans="2:34">
      <c r="B362" s="21" t="s">
        <v>53</v>
      </c>
      <c r="C362" s="22">
        <f>COUNTIFS('HSE Observations'!$D$4:$D$100003,"Apr",'HSE Observations'!$G$4:$G$100003,dCrit)</f>
        <v>0</v>
      </c>
      <c r="E362" s="12" t="s">
        <v>296</v>
      </c>
      <c r="F362" s="22">
        <f>COUNTIFS('HSE Observations'!$E$4:$E$100003,"Unsafe Condition",'HSE Observations'!$D$4:$D$100003,mCrit,'HSE Observations'!$G$4:$G$100003,dCrit)</f>
        <v>0</v>
      </c>
      <c r="G362" s="12" t="s">
        <v>16</v>
      </c>
      <c r="H362" s="22">
        <f>COUNTIFS('HSE Observations'!$K$4:$K$100003,"Housekeeping",'HSE Observations'!$D$4:$D$100003,mCrit,'HSE Observations'!$G$4:$G$100003,dCrit)</f>
        <v>0</v>
      </c>
      <c r="J362" s="12" t="s">
        <v>238</v>
      </c>
      <c r="K362" s="22">
        <f>COUNTIFS('HSE Observations'!$M$4:$M$100003,"Overdue",'HSE Observations'!$D$4:$D$100003,mCrit,'HSE Observations'!$G$4:$G$100003,dCrit)</f>
        <v>0</v>
      </c>
      <c r="M362" s="12" t="s">
        <v>238</v>
      </c>
      <c r="N362" s="22">
        <f>COUNTIFS('HSE Observations'!$M$4:$M$100003,"Overdue",'HSE Observations'!$D$4:$D$100003,mCrit,'HSE Observations'!$G$4:$G$100003,dCrit)</f>
        <v>0</v>
      </c>
      <c r="P362" s="12" t="s">
        <v>89</v>
      </c>
      <c r="Q362" s="22">
        <f>COUNTIFS('HSE Observations'!$D$4:$D$100003,mCrit,'HSE Observations'!$G$4:$G$100003,"Construction")</f>
        <v>0</v>
      </c>
      <c r="R362" s="23">
        <f>IFERROR((COUNTIFS('HSE Observations'!$M$4:$M$100003,"Closed",'HSE Observations'!$D$4:$D$100003,mCrit,'HSE Observations'!$G$4:$G$100003,"Construction"))/COUNTIFS('HSE Observations'!$D$4:$D$100003,mCrit,'HSE Observations'!$G$4:$G$100003,"Construction")*100,0)</f>
        <v>0</v>
      </c>
      <c r="S362" s="22">
        <f>COUNTIFS('HSE Observations'!$D$4:$D$100003,mCrit,'HSE Observations'!$G$4:$G$100003,"Construction")</f>
        <v>0</v>
      </c>
    </row>
    <row r="363" spans="2:34">
      <c r="B363" s="21" t="s">
        <v>60</v>
      </c>
      <c r="C363" s="22">
        <f>COUNTIFS('HSE Observations'!$D$4:$D$100003,"May",'HSE Observations'!$G$4:$G$100003,dCrit)</f>
        <v>0</v>
      </c>
      <c r="G363" s="12" t="s">
        <v>8</v>
      </c>
      <c r="H363" s="22">
        <f>COUNTIFS('HSE Observations'!$K$4:$K$100003,"Ergonomics",'HSE Observations'!$D$4:$D$100003,mCrit,'HSE Observations'!$G$4:$G$100003,dCrit)</f>
        <v>0</v>
      </c>
      <c r="M363" s="12" t="s">
        <v>1886</v>
      </c>
      <c r="N363" s="22">
        <f>COUNTIFS('HSE Observations'!$L$4:$L$100003,"Critical",'HSE Observations'!$D$4:$D$100003,mCrit,'HSE Observations'!$G$4:$G$100003,dCrit)+COUNTIFS('HSE Observations'!$L$4:$L$100003,"High",'HSE Observations'!$D$4:$D$100003,mCrit,'HSE Observations'!$G$4:$G$100003,dCrit)</f>
        <v>0</v>
      </c>
      <c r="P363" s="12" t="s">
        <v>65</v>
      </c>
      <c r="Q363" s="22">
        <f>COUNTIFS('HSE Observations'!$D$4:$D$100003,mCrit,'HSE Observations'!$G$4:$G$100003,"Safety")</f>
        <v>0</v>
      </c>
      <c r="R363" s="23">
        <f>IFERROR((COUNTIFS('HSE Observations'!$M$4:$M$100003,"Closed",'HSE Observations'!$D$4:$D$100003,mCrit,'HSE Observations'!$G$4:$G$100003,"Safety"))/COUNTIFS('HSE Observations'!$D$4:$D$100003,mCrit,'HSE Observations'!$G$4:$G$100003,"Safety")*100,0)</f>
        <v>0</v>
      </c>
      <c r="S363" s="22">
        <f>COUNTIFS('HSE Observations'!$D$4:$D$100003,mCrit,'HSE Observations'!$G$4:$G$100003,"Safety")</f>
        <v>0</v>
      </c>
    </row>
    <row r="364" spans="2:34">
      <c r="B364" s="21" t="s">
        <v>73</v>
      </c>
      <c r="C364" s="22">
        <f>COUNTIFS('HSE Observations'!$D$4:$D$100003,"Jun",'HSE Observations'!$G$4:$G$100003,dCrit)</f>
        <v>0</v>
      </c>
      <c r="G364" s="12" t="s">
        <v>55</v>
      </c>
      <c r="H364" s="22">
        <f>COUNTIFS('HSE Observations'!$K$4:$K$100003,"Process Safety",'HSE Observations'!$D$4:$D$100003,mCrit,'HSE Observations'!$G$4:$G$100003,dCrit)</f>
        <v>0</v>
      </c>
      <c r="P364" s="12" t="s">
        <v>5</v>
      </c>
      <c r="Q364" s="22">
        <f>COUNTIFS('HSE Observations'!$D$4:$D$100003,mCrit,'HSE Observations'!$G$4:$G$100003,"Logistics")</f>
        <v>0</v>
      </c>
      <c r="R364" s="23">
        <f>IFERROR((COUNTIFS('HSE Observations'!$M$4:$M$100003,"Closed",'HSE Observations'!$D$4:$D$100003,mCrit,'HSE Observations'!$G$4:$G$100003,"Logistics"))/COUNTIFS('HSE Observations'!$D$4:$D$100003,mCrit,'HSE Observations'!$G$4:$G$100003,"Logistics")*100,0)</f>
        <v>0</v>
      </c>
      <c r="S364" s="22">
        <f>COUNTIFS('HSE Observations'!$D$4:$D$100003,mCrit,'HSE Observations'!$G$4:$G$100003,"Logistics")</f>
        <v>0</v>
      </c>
    </row>
    <row r="365" spans="2:34">
      <c r="B365" s="21" t="s">
        <v>76</v>
      </c>
      <c r="C365" s="22">
        <f>COUNTIFS('HSE Observations'!$D$4:$D$100003,"Jul",'HSE Observations'!$G$4:$G$100003,dCrit)</f>
        <v>0</v>
      </c>
      <c r="P365" s="12" t="s">
        <v>50</v>
      </c>
      <c r="Q365" s="22">
        <f>COUNTIFS('HSE Observations'!$D$4:$D$100003,mCrit,'HSE Observations'!$G$4:$G$100003,"Quality")</f>
        <v>0</v>
      </c>
      <c r="R365" s="23">
        <f>IFERROR((COUNTIFS('HSE Observations'!$M$4:$M$100003,"Closed",'HSE Observations'!$D$4:$D$100003,mCrit,'HSE Observations'!$G$4:$G$100003,"Quality"))/COUNTIFS('HSE Observations'!$D$4:$D$100003,mCrit,'HSE Observations'!$G$4:$G$100003,"Quality")*100,0)</f>
        <v>0</v>
      </c>
      <c r="S365" s="22">
        <f>COUNTIFS('HSE Observations'!$D$4:$D$100003,mCrit,'HSE Observations'!$G$4:$G$100003,"Quality")</f>
        <v>0</v>
      </c>
    </row>
    <row r="366" spans="2:34">
      <c r="B366" s="21" t="s">
        <v>86</v>
      </c>
      <c r="C366" s="22">
        <f>COUNTIFS('HSE Observations'!$D$4:$D$100003,"Aug",'HSE Observations'!$G$4:$G$100003,dCrit)</f>
        <v>0</v>
      </c>
      <c r="P366" s="12" t="s">
        <v>46</v>
      </c>
      <c r="Q366" s="22">
        <f>COUNTIFS('HSE Observations'!$D$4:$D$100003,mCrit,'HSE Observations'!$G$4:$G$100003,"Admin")</f>
        <v>0</v>
      </c>
      <c r="R366" s="23">
        <f>IFERROR((COUNTIFS('HSE Observations'!$M$4:$M$100003,"Closed",'HSE Observations'!$D$4:$D$100003,mCrit,'HSE Observations'!$G$4:$G$100003,"Admin"))/COUNTIFS('HSE Observations'!$D$4:$D$100003,mCrit,'HSE Observations'!$G$4:$G$100003,"Admin")*100,0)</f>
        <v>0</v>
      </c>
      <c r="S366" s="22">
        <f>COUNTIFS('HSE Observations'!$D$4:$D$100003,mCrit,'HSE Observations'!$G$4:$G$100003,"Admin")</f>
        <v>0</v>
      </c>
    </row>
    <row r="367" spans="2:34">
      <c r="B367" s="21" t="s">
        <v>102</v>
      </c>
      <c r="C367" s="22">
        <f>COUNTIFS('HSE Observations'!$D$4:$D$100003,"Sep",'HSE Observations'!$G$4:$G$100003,dCrit)</f>
        <v>0</v>
      </c>
      <c r="P367" s="12" t="s">
        <v>13</v>
      </c>
      <c r="Q367" s="22">
        <f>COUNTIFS('HSE Observations'!$D$4:$D$100003,mCrit,'HSE Observations'!$G$4:$G$100003,"Projects")</f>
        <v>0</v>
      </c>
      <c r="R367" s="23">
        <f>IFERROR((COUNTIFS('HSE Observations'!$M$4:$M$100003,"Closed",'HSE Observations'!$D$4:$D$100003,mCrit,'HSE Observations'!$G$4:$G$100003,"Projects"))/COUNTIFS('HSE Observations'!$D$4:$D$100003,mCrit,'HSE Observations'!$G$4:$G$100003,"Projects")*100,0)</f>
        <v>0</v>
      </c>
      <c r="S367" s="22">
        <f>COUNTIFS('HSE Observations'!$D$4:$D$100003,mCrit,'HSE Observations'!$G$4:$G$100003,"Projects")</f>
        <v>0</v>
      </c>
    </row>
    <row r="368" spans="2:34">
      <c r="B368" s="21" t="s">
        <v>106</v>
      </c>
      <c r="C368" s="22">
        <f>COUNTIFS('HSE Observations'!$D$4:$D$100003,"Oct",'HSE Observations'!$G$4:$G$100003,dCrit)</f>
        <v>0</v>
      </c>
      <c r="P368" s="12" t="s">
        <v>58</v>
      </c>
      <c r="Q368" s="22">
        <f>COUNTIFS('HSE Observations'!$D$4:$D$100003,mCrit,'HSE Observations'!$G$4:$G$100003,"Contractor")</f>
        <v>0</v>
      </c>
      <c r="R368" s="23">
        <f>IFERROR((COUNTIFS('HSE Observations'!$M$4:$M$100003,"Closed",'HSE Observations'!$D$4:$D$100003,mCrit,'HSE Observations'!$G$4:$G$100003,"Contractor"))/COUNTIFS('HSE Observations'!$D$4:$D$100003,mCrit,'HSE Observations'!$G$4:$G$100003,"Contractor")*100,0)</f>
        <v>0</v>
      </c>
      <c r="S368" s="22">
        <f>COUNTIFS('HSE Observations'!$D$4:$D$100003,mCrit,'HSE Observations'!$G$4:$G$100003,"Contractor")</f>
        <v>0</v>
      </c>
    </row>
    <row r="369" spans="2:34">
      <c r="B369" s="21" t="s">
        <v>111</v>
      </c>
      <c r="C369" s="22">
        <f>COUNTIFS('HSE Observations'!$D$4:$D$100003,"Nov",'HSE Observations'!$G$4:$G$100003,dCrit)</f>
        <v>0</v>
      </c>
    </row>
    <row r="370" spans="2:34">
      <c r="B370" s="21" t="s">
        <v>122</v>
      </c>
      <c r="C370" s="22">
        <f>COUNTIFS('HSE Observations'!$D$4:$D$100003,"Dec",'HSE Observations'!$G$4:$G$100003,dCrit)</f>
        <v>0</v>
      </c>
    </row>
    <row r="383" spans="2:34">
      <c r="B383" s="16" t="s">
        <v>1887</v>
      </c>
    </row>
    <row r="384" spans="2:34">
      <c r="B384" s="11" t="s">
        <v>127</v>
      </c>
      <c r="C384" s="11" t="s">
        <v>1808</v>
      </c>
      <c r="E384" s="11" t="s">
        <v>412</v>
      </c>
      <c r="F384" s="11" t="s">
        <v>1808</v>
      </c>
      <c r="J384" s="11" t="s">
        <v>287</v>
      </c>
      <c r="K384" s="11" t="s">
        <v>1808</v>
      </c>
      <c r="M384" s="11" t="s">
        <v>1752</v>
      </c>
      <c r="N384" s="11" t="s">
        <v>1867</v>
      </c>
      <c r="P384" s="11" t="s">
        <v>129</v>
      </c>
      <c r="Q384" s="11" t="s">
        <v>1808</v>
      </c>
      <c r="R384" s="11" t="s">
        <v>1879</v>
      </c>
      <c r="S384" s="11" t="s">
        <v>1872</v>
      </c>
      <c r="U384" s="11" t="s">
        <v>1873</v>
      </c>
      <c r="V384" s="11" t="s">
        <v>3</v>
      </c>
      <c r="W384" s="11" t="s">
        <v>19</v>
      </c>
      <c r="X384" s="11" t="s">
        <v>44</v>
      </c>
      <c r="Y384" s="11" t="s">
        <v>53</v>
      </c>
      <c r="Z384" s="11" t="s">
        <v>60</v>
      </c>
      <c r="AA384" s="11" t="s">
        <v>73</v>
      </c>
      <c r="AB384" s="11" t="s">
        <v>76</v>
      </c>
      <c r="AC384" s="11" t="s">
        <v>86</v>
      </c>
      <c r="AD384" s="11" t="s">
        <v>102</v>
      </c>
      <c r="AE384" s="11" t="s">
        <v>106</v>
      </c>
      <c r="AF384" s="11" t="s">
        <v>111</v>
      </c>
      <c r="AG384" s="11" t="s">
        <v>122</v>
      </c>
      <c r="AH384" s="11" t="s">
        <v>1874</v>
      </c>
    </row>
    <row r="385" spans="2:34">
      <c r="B385" s="21" t="s">
        <v>3</v>
      </c>
      <c r="C385" s="22">
        <f>COUNTIFS('Workplace Inspections'!$D$4:$D$100003,"Jan",'Workplace Inspections'!$F$4:$F$100003,dCrit)</f>
        <v>0</v>
      </c>
      <c r="E385" s="12" t="s">
        <v>10</v>
      </c>
      <c r="F385" s="22">
        <f>COUNTIFS('Workplace Inspections'!$L$4:$L$100003,"Excellent",'Workplace Inspections'!$D$4:$D$100003,mCrit,'Workplace Inspections'!$F$4:$F$100003,dCrit)</f>
        <v>0</v>
      </c>
      <c r="J385" s="12" t="s">
        <v>297</v>
      </c>
      <c r="K385" s="22">
        <f>COUNTIFS('Workplace Inspections'!$M$4:$M$100003,"Open",'Workplace Inspections'!$D$4:$D$100003,mCrit,'Workplace Inspections'!$F$4:$F$100003,dCrit)</f>
        <v>0</v>
      </c>
      <c r="M385" s="12" t="s">
        <v>1868</v>
      </c>
      <c r="N385" s="22">
        <f>COUNTIFS('Workplace Inspections'!$D$4:$D$100003,mCrit,'Workplace Inspections'!$F$4:$F$100003,dCrit)</f>
        <v>0</v>
      </c>
      <c r="P385" s="12" t="s">
        <v>27</v>
      </c>
      <c r="Q385" s="22">
        <f>COUNTIFS('Workplace Inspections'!$D$4:$D$100003,mCrit,'Workplace Inspections'!$F$4:$F$100003,"Operations")</f>
        <v>0</v>
      </c>
      <c r="R385" s="23">
        <f>IFERROR((COUNTIFS('Workplace Inspections'!$M$4:$M$100003,"Closed",'Workplace Inspections'!$D$4:$D$100003,mCrit,'Workplace Inspections'!$F$4:$F$100003,"Operations"))/COUNTIFS('Workplace Inspections'!$D$4:$D$100003,mCrit,'Workplace Inspections'!$F$4:$F$100003,"Operations")*100,0)</f>
        <v>0</v>
      </c>
      <c r="S385" s="22">
        <f>COUNTIFS('Workplace Inspections'!$D$4:$D$100003,mCrit,'Workplace Inspections'!$F$4:$F$100003,"Operations")</f>
        <v>0</v>
      </c>
      <c r="U385" s="12" t="s">
        <v>1872</v>
      </c>
      <c r="V385" s="22">
        <f>COUNTIFS('Workplace Inspections'!$D$4:$D$100003,"Jan",'Workplace Inspections'!$F$4:$F$100003,dCrit)</f>
        <v>0</v>
      </c>
      <c r="W385" s="22">
        <f>COUNTIFS('Workplace Inspections'!$D$4:$D$100003,"Feb",'Workplace Inspections'!$F$4:$F$100003,dCrit)</f>
        <v>0</v>
      </c>
      <c r="X385" s="22">
        <f>COUNTIFS('Workplace Inspections'!$D$4:$D$100003,"Mar",'Workplace Inspections'!$F$4:$F$100003,dCrit)</f>
        <v>0</v>
      </c>
      <c r="Y385" s="22">
        <f>COUNTIFS('Workplace Inspections'!$D$4:$D$100003,"Apr",'Workplace Inspections'!$F$4:$F$100003,dCrit)</f>
        <v>0</v>
      </c>
      <c r="Z385" s="22">
        <f>COUNTIFS('Workplace Inspections'!$D$4:$D$100003,"May",'Workplace Inspections'!$F$4:$F$100003,dCrit)</f>
        <v>0</v>
      </c>
      <c r="AA385" s="22">
        <f>COUNTIFS('Workplace Inspections'!$D$4:$D$100003,"Jun",'Workplace Inspections'!$F$4:$F$100003,dCrit)</f>
        <v>0</v>
      </c>
      <c r="AB385" s="22">
        <f>COUNTIFS('Workplace Inspections'!$D$4:$D$100003,"Jul",'Workplace Inspections'!$F$4:$F$100003,dCrit)</f>
        <v>0</v>
      </c>
      <c r="AC385" s="22">
        <f>COUNTIFS('Workplace Inspections'!$D$4:$D$100003,"Aug",'Workplace Inspections'!$F$4:$F$100003,dCrit)</f>
        <v>0</v>
      </c>
      <c r="AD385" s="22">
        <f>COUNTIFS('Workplace Inspections'!$D$4:$D$100003,"Sep",'Workplace Inspections'!$F$4:$F$100003,dCrit)</f>
        <v>0</v>
      </c>
      <c r="AE385" s="22">
        <f>COUNTIFS('Workplace Inspections'!$D$4:$D$100003,"Oct",'Workplace Inspections'!$F$4:$F$100003,dCrit)</f>
        <v>0</v>
      </c>
      <c r="AF385" s="22">
        <f>COUNTIFS('Workplace Inspections'!$D$4:$D$100003,"Nov",'Workplace Inspections'!$F$4:$F$100003,dCrit)</f>
        <v>0</v>
      </c>
      <c r="AG385" s="22">
        <f>COUNTIFS('Workplace Inspections'!$D$4:$D$100003,"Dec",'Workplace Inspections'!$F$4:$F$100003,dCrit)</f>
        <v>0</v>
      </c>
      <c r="AH385" s="22">
        <f>SUM(V385:AG385)</f>
        <v>0</v>
      </c>
    </row>
    <row r="386" spans="2:34">
      <c r="B386" s="21" t="s">
        <v>19</v>
      </c>
      <c r="C386" s="22">
        <f>COUNTIFS('Workplace Inspections'!$D$4:$D$100003,"Feb",'Workplace Inspections'!$F$4:$F$100003,dCrit)</f>
        <v>0</v>
      </c>
      <c r="E386" s="12" t="s">
        <v>42</v>
      </c>
      <c r="F386" s="22">
        <f>COUNTIFS('Workplace Inspections'!$L$4:$L$100003,"Good",'Workplace Inspections'!$D$4:$D$100003,mCrit,'Workplace Inspections'!$F$4:$F$100003,dCrit)</f>
        <v>0</v>
      </c>
      <c r="J386" s="12" t="s">
        <v>254</v>
      </c>
      <c r="K386" s="22">
        <f>COUNTIFS('Workplace Inspections'!$M$4:$M$100003,"In Progress",'Workplace Inspections'!$D$4:$D$100003,mCrit,'Workplace Inspections'!$F$4:$F$100003,dCrit)</f>
        <v>0</v>
      </c>
      <c r="M386" s="12" t="s">
        <v>1876</v>
      </c>
      <c r="N386" s="23">
        <f>IFERROR((COUNTIFS('Workplace Inspections'!$M$4:$M$100003,"Closed",'Workplace Inspections'!$D$4:$D$100003,mCrit,'Workplace Inspections'!$F$4:$F$100003,dCrit))/COUNTIFS('Workplace Inspections'!$D$4:$D$100003,mCrit,'Workplace Inspections'!$F$4:$F$100003,dCrit)*100,0)</f>
        <v>0</v>
      </c>
      <c r="P386" s="12" t="s">
        <v>92</v>
      </c>
      <c r="Q386" s="22">
        <f>COUNTIFS('Workplace Inspections'!$D$4:$D$100003,mCrit,'Workplace Inspections'!$F$4:$F$100003,"Maintenance")</f>
        <v>0</v>
      </c>
      <c r="R386" s="23">
        <f>IFERROR((COUNTIFS('Workplace Inspections'!$M$4:$M$100003,"Closed",'Workplace Inspections'!$D$4:$D$100003,mCrit,'Workplace Inspections'!$F$4:$F$100003,"Maintenance"))/COUNTIFS('Workplace Inspections'!$D$4:$D$100003,mCrit,'Workplace Inspections'!$F$4:$F$100003,"Maintenance")*100,0)</f>
        <v>0</v>
      </c>
      <c r="S386" s="22">
        <f>COUNTIFS('Workplace Inspections'!$D$4:$D$100003,mCrit,'Workplace Inspections'!$F$4:$F$100003,"Maintenance")</f>
        <v>0</v>
      </c>
      <c r="U386" s="12" t="s">
        <v>1880</v>
      </c>
      <c r="V386" s="23">
        <f>IFERROR((COUNTIFS('Workplace Inspections'!$M$4:$M$100003,"Closed",'Workplace Inspections'!$D$4:$D$100003,"Jan",'Workplace Inspections'!$F$4:$F$100003,dCrit))/COUNTIFS('Workplace Inspections'!$D$4:$D$100003,"Jan",'Workplace Inspections'!$F$4:$F$100003,dCrit)*100,0)</f>
        <v>0</v>
      </c>
      <c r="W386" s="23">
        <f>IFERROR((COUNTIFS('Workplace Inspections'!$M$4:$M$100003,"Closed",'Workplace Inspections'!$D$4:$D$100003,"Feb",'Workplace Inspections'!$F$4:$F$100003,dCrit))/COUNTIFS('Workplace Inspections'!$D$4:$D$100003,"Feb",'Workplace Inspections'!$F$4:$F$100003,dCrit)*100,0)</f>
        <v>0</v>
      </c>
      <c r="X386" s="23">
        <f>IFERROR((COUNTIFS('Workplace Inspections'!$M$4:$M$100003,"Closed",'Workplace Inspections'!$D$4:$D$100003,"Mar",'Workplace Inspections'!$F$4:$F$100003,dCrit))/COUNTIFS('Workplace Inspections'!$D$4:$D$100003,"Mar",'Workplace Inspections'!$F$4:$F$100003,dCrit)*100,0)</f>
        <v>0</v>
      </c>
      <c r="Y386" s="23">
        <f>IFERROR((COUNTIFS('Workplace Inspections'!$M$4:$M$100003,"Closed",'Workplace Inspections'!$D$4:$D$100003,"Apr",'Workplace Inspections'!$F$4:$F$100003,dCrit))/COUNTIFS('Workplace Inspections'!$D$4:$D$100003,"Apr",'Workplace Inspections'!$F$4:$F$100003,dCrit)*100,0)</f>
        <v>0</v>
      </c>
      <c r="Z386" s="23">
        <f>IFERROR((COUNTIFS('Workplace Inspections'!$M$4:$M$100003,"Closed",'Workplace Inspections'!$D$4:$D$100003,"May",'Workplace Inspections'!$F$4:$F$100003,dCrit))/COUNTIFS('Workplace Inspections'!$D$4:$D$100003,"May",'Workplace Inspections'!$F$4:$F$100003,dCrit)*100,0)</f>
        <v>0</v>
      </c>
      <c r="AA386" s="23">
        <f>IFERROR((COUNTIFS('Workplace Inspections'!$M$4:$M$100003,"Closed",'Workplace Inspections'!$D$4:$D$100003,"Jun",'Workplace Inspections'!$F$4:$F$100003,dCrit))/COUNTIFS('Workplace Inspections'!$D$4:$D$100003,"Jun",'Workplace Inspections'!$F$4:$F$100003,dCrit)*100,0)</f>
        <v>0</v>
      </c>
      <c r="AB386" s="23">
        <f>IFERROR((COUNTIFS('Workplace Inspections'!$M$4:$M$100003,"Closed",'Workplace Inspections'!$D$4:$D$100003,"Jul",'Workplace Inspections'!$F$4:$F$100003,dCrit))/COUNTIFS('Workplace Inspections'!$D$4:$D$100003,"Jul",'Workplace Inspections'!$F$4:$F$100003,dCrit)*100,0)</f>
        <v>0</v>
      </c>
      <c r="AC386" s="23">
        <f>IFERROR((COUNTIFS('Workplace Inspections'!$M$4:$M$100003,"Closed",'Workplace Inspections'!$D$4:$D$100003,"Aug",'Workplace Inspections'!$F$4:$F$100003,dCrit))/COUNTIFS('Workplace Inspections'!$D$4:$D$100003,"Aug",'Workplace Inspections'!$F$4:$F$100003,dCrit)*100,0)</f>
        <v>0</v>
      </c>
      <c r="AD386" s="23">
        <f>IFERROR((COUNTIFS('Workplace Inspections'!$M$4:$M$100003,"Closed",'Workplace Inspections'!$D$4:$D$100003,"Sep",'Workplace Inspections'!$F$4:$F$100003,dCrit))/COUNTIFS('Workplace Inspections'!$D$4:$D$100003,"Sep",'Workplace Inspections'!$F$4:$F$100003,dCrit)*100,0)</f>
        <v>0</v>
      </c>
      <c r="AE386" s="23">
        <f>IFERROR((COUNTIFS('Workplace Inspections'!$M$4:$M$100003,"Closed",'Workplace Inspections'!$D$4:$D$100003,"Oct",'Workplace Inspections'!$F$4:$F$100003,dCrit))/COUNTIFS('Workplace Inspections'!$D$4:$D$100003,"Oct",'Workplace Inspections'!$F$4:$F$100003,dCrit)*100,0)</f>
        <v>0</v>
      </c>
      <c r="AF386" s="23">
        <f>IFERROR((COUNTIFS('Workplace Inspections'!$M$4:$M$100003,"Closed",'Workplace Inspections'!$D$4:$D$100003,"Nov",'Workplace Inspections'!$F$4:$F$100003,dCrit))/COUNTIFS('Workplace Inspections'!$D$4:$D$100003,"Nov",'Workplace Inspections'!$F$4:$F$100003,dCrit)*100,0)</f>
        <v>0</v>
      </c>
      <c r="AG386" s="23">
        <f>IFERROR((COUNTIFS('Workplace Inspections'!$M$4:$M$100003,"Closed",'Workplace Inspections'!$D$4:$D$100003,"Dec",'Workplace Inspections'!$F$4:$F$100003,dCrit))/COUNTIFS('Workplace Inspections'!$D$4:$D$100003,"Dec",'Workplace Inspections'!$F$4:$F$100003,dCrit)*100,0)</f>
        <v>0</v>
      </c>
      <c r="AH386" s="23">
        <f>IFERROR(AVERAGE(V386:AG386),0)</f>
        <v>0</v>
      </c>
    </row>
    <row r="387" spans="2:34">
      <c r="B387" s="21" t="s">
        <v>44</v>
      </c>
      <c r="C387" s="22">
        <f>COUNTIFS('Workplace Inspections'!$D$4:$D$100003,"Mar",'Workplace Inspections'!$F$4:$F$100003,dCrit)</f>
        <v>0</v>
      </c>
      <c r="E387" s="12" t="s">
        <v>17</v>
      </c>
      <c r="F387" s="22">
        <f>COUNTIFS('Workplace Inspections'!$L$4:$L$100003,"Satisfactory",'Workplace Inspections'!$D$4:$D$100003,mCrit,'Workplace Inspections'!$F$4:$F$100003,dCrit)</f>
        <v>0</v>
      </c>
      <c r="J387" s="12" t="s">
        <v>293</v>
      </c>
      <c r="K387" s="22">
        <f>COUNTIFS('Workplace Inspections'!$M$4:$M$100003,"Closed",'Workplace Inspections'!$D$4:$D$100003,mCrit,'Workplace Inspections'!$F$4:$F$100003,dCrit)</f>
        <v>0</v>
      </c>
      <c r="M387" s="12" t="s">
        <v>1877</v>
      </c>
      <c r="N387" s="22">
        <f>COUNTIFS('Workplace Inspections'!$M$4:$M$100003,"Open",'Workplace Inspections'!$D$4:$D$100003,mCrit,'Workplace Inspections'!$F$4:$F$100003,dCrit)+COUNTIFS('Workplace Inspections'!$M$4:$M$100003,"In Progress",'Workplace Inspections'!$D$4:$D$100003,mCrit,'Workplace Inspections'!$F$4:$F$100003,dCrit)+COUNTIFS('Workplace Inspections'!$M$4:$M$100003,"Overdue",'Workplace Inspections'!$D$4:$D$100003,mCrit,'Workplace Inspections'!$F$4:$F$100003,dCrit)</f>
        <v>0</v>
      </c>
      <c r="P387" s="12" t="s">
        <v>39</v>
      </c>
      <c r="Q387" s="22">
        <f>COUNTIFS('Workplace Inspections'!$D$4:$D$100003,mCrit,'Workplace Inspections'!$F$4:$F$100003,"Engineering")</f>
        <v>0</v>
      </c>
      <c r="R387" s="23">
        <f>IFERROR((COUNTIFS('Workplace Inspections'!$M$4:$M$100003,"Closed",'Workplace Inspections'!$D$4:$D$100003,mCrit,'Workplace Inspections'!$F$4:$F$100003,"Engineering"))/COUNTIFS('Workplace Inspections'!$D$4:$D$100003,mCrit,'Workplace Inspections'!$F$4:$F$100003,"Engineering")*100,0)</f>
        <v>0</v>
      </c>
      <c r="S387" s="22">
        <f>COUNTIFS('Workplace Inspections'!$D$4:$D$100003,mCrit,'Workplace Inspections'!$F$4:$F$100003,"Engineering")</f>
        <v>0</v>
      </c>
    </row>
    <row r="388" spans="2:34">
      <c r="B388" s="21" t="s">
        <v>53</v>
      </c>
      <c r="C388" s="22">
        <f>COUNTIFS('Workplace Inspections'!$D$4:$D$100003,"Apr",'Workplace Inspections'!$F$4:$F$100003,dCrit)</f>
        <v>0</v>
      </c>
      <c r="E388" s="12" t="s">
        <v>96</v>
      </c>
      <c r="F388" s="22">
        <f>COUNTIFS('Workplace Inspections'!$L$4:$L$100003,"Needs Improvement",'Workplace Inspections'!$D$4:$D$100003,mCrit,'Workplace Inspections'!$F$4:$F$100003,dCrit)</f>
        <v>0</v>
      </c>
      <c r="J388" s="12" t="s">
        <v>238</v>
      </c>
      <c r="K388" s="22">
        <f>COUNTIFS('Workplace Inspections'!$M$4:$M$100003,"Overdue",'Workplace Inspections'!$D$4:$D$100003,mCrit,'Workplace Inspections'!$F$4:$F$100003,dCrit)</f>
        <v>0</v>
      </c>
      <c r="M388" s="12" t="s">
        <v>238</v>
      </c>
      <c r="N388" s="22">
        <f>COUNTIFS('Workplace Inspections'!$M$4:$M$100003,"Overdue",'Workplace Inspections'!$D$4:$D$100003,mCrit,'Workplace Inspections'!$F$4:$F$100003,dCrit)</f>
        <v>0</v>
      </c>
      <c r="P388" s="12" t="s">
        <v>89</v>
      </c>
      <c r="Q388" s="22">
        <f>COUNTIFS('Workplace Inspections'!$D$4:$D$100003,mCrit,'Workplace Inspections'!$F$4:$F$100003,"Construction")</f>
        <v>0</v>
      </c>
      <c r="R388" s="23">
        <f>IFERROR((COUNTIFS('Workplace Inspections'!$M$4:$M$100003,"Closed",'Workplace Inspections'!$D$4:$D$100003,mCrit,'Workplace Inspections'!$F$4:$F$100003,"Construction"))/COUNTIFS('Workplace Inspections'!$D$4:$D$100003,mCrit,'Workplace Inspections'!$F$4:$F$100003,"Construction")*100,0)</f>
        <v>0</v>
      </c>
      <c r="S388" s="22">
        <f>COUNTIFS('Workplace Inspections'!$D$4:$D$100003,mCrit,'Workplace Inspections'!$F$4:$F$100003,"Construction")</f>
        <v>0</v>
      </c>
    </row>
    <row r="389" spans="2:34">
      <c r="B389" s="21" t="s">
        <v>60</v>
      </c>
      <c r="C389" s="22">
        <f>COUNTIFS('Workplace Inspections'!$D$4:$D$100003,"May",'Workplace Inspections'!$F$4:$F$100003,dCrit)</f>
        <v>0</v>
      </c>
      <c r="E389" s="12" t="s">
        <v>24</v>
      </c>
      <c r="F389" s="22">
        <f>COUNTIFS('Workplace Inspections'!$L$4:$L$100003,"Unsatisfactory",'Workplace Inspections'!$D$4:$D$100003,mCrit,'Workplace Inspections'!$F$4:$F$100003,dCrit)</f>
        <v>0</v>
      </c>
      <c r="M389" s="12" t="s">
        <v>410</v>
      </c>
      <c r="N389" s="22">
        <f>SUMIFS('Workplace Inspections'!$J$4:$J$100003,'Workplace Inspections'!$D$4:$D$100003,mCrit,'Workplace Inspections'!$F$4:$F$100003,dCrit)</f>
        <v>0</v>
      </c>
      <c r="P389" s="12" t="s">
        <v>65</v>
      </c>
      <c r="Q389" s="22">
        <f>COUNTIFS('Workplace Inspections'!$D$4:$D$100003,mCrit,'Workplace Inspections'!$F$4:$F$100003,"Safety")</f>
        <v>0</v>
      </c>
      <c r="R389" s="23">
        <f>IFERROR((COUNTIFS('Workplace Inspections'!$M$4:$M$100003,"Closed",'Workplace Inspections'!$D$4:$D$100003,mCrit,'Workplace Inspections'!$F$4:$F$100003,"Safety"))/COUNTIFS('Workplace Inspections'!$D$4:$D$100003,mCrit,'Workplace Inspections'!$F$4:$F$100003,"Safety")*100,0)</f>
        <v>0</v>
      </c>
      <c r="S389" s="22">
        <f>COUNTIFS('Workplace Inspections'!$D$4:$D$100003,mCrit,'Workplace Inspections'!$F$4:$F$100003,"Safety")</f>
        <v>0</v>
      </c>
    </row>
    <row r="390" spans="2:34">
      <c r="B390" s="21" t="s">
        <v>73</v>
      </c>
      <c r="C390" s="22">
        <f>COUNTIFS('Workplace Inspections'!$D$4:$D$100003,"Jun",'Workplace Inspections'!$F$4:$F$100003,dCrit)</f>
        <v>0</v>
      </c>
      <c r="M390" s="12" t="s">
        <v>411</v>
      </c>
      <c r="N390" s="22">
        <f>SUMIFS('Workplace Inspections'!$K$4:$K$100003,'Workplace Inspections'!$D$4:$D$100003,mCrit,'Workplace Inspections'!$F$4:$F$100003,dCrit)</f>
        <v>0</v>
      </c>
      <c r="P390" s="12" t="s">
        <v>5</v>
      </c>
      <c r="Q390" s="22">
        <f>COUNTIFS('Workplace Inspections'!$D$4:$D$100003,mCrit,'Workplace Inspections'!$F$4:$F$100003,"Logistics")</f>
        <v>0</v>
      </c>
      <c r="R390" s="23">
        <f>IFERROR((COUNTIFS('Workplace Inspections'!$M$4:$M$100003,"Closed",'Workplace Inspections'!$D$4:$D$100003,mCrit,'Workplace Inspections'!$F$4:$F$100003,"Logistics"))/COUNTIFS('Workplace Inspections'!$D$4:$D$100003,mCrit,'Workplace Inspections'!$F$4:$F$100003,"Logistics")*100,0)</f>
        <v>0</v>
      </c>
      <c r="S390" s="22">
        <f>COUNTIFS('Workplace Inspections'!$D$4:$D$100003,mCrit,'Workplace Inspections'!$F$4:$F$100003,"Logistics")</f>
        <v>0</v>
      </c>
    </row>
    <row r="391" spans="2:34">
      <c r="B391" s="21" t="s">
        <v>76</v>
      </c>
      <c r="C391" s="22">
        <f>COUNTIFS('Workplace Inspections'!$D$4:$D$100003,"Jul",'Workplace Inspections'!$F$4:$F$100003,dCrit)</f>
        <v>0</v>
      </c>
      <c r="M391" s="12" t="s">
        <v>1888</v>
      </c>
      <c r="N391" s="22">
        <f>IFERROR(AVERAGEIFS('Workplace Inspections'!$I$4:$I$100003,'Workplace Inspections'!$D$4:$D$100003,mCrit,'Workplace Inspections'!$F$4:$F$100003,dCrit),0)</f>
        <v>0</v>
      </c>
      <c r="P391" s="12" t="s">
        <v>50</v>
      </c>
      <c r="Q391" s="22">
        <f>COUNTIFS('Workplace Inspections'!$D$4:$D$100003,mCrit,'Workplace Inspections'!$F$4:$F$100003,"Quality")</f>
        <v>0</v>
      </c>
      <c r="R391" s="23">
        <f>IFERROR((COUNTIFS('Workplace Inspections'!$M$4:$M$100003,"Closed",'Workplace Inspections'!$D$4:$D$100003,mCrit,'Workplace Inspections'!$F$4:$F$100003,"Quality"))/COUNTIFS('Workplace Inspections'!$D$4:$D$100003,mCrit,'Workplace Inspections'!$F$4:$F$100003,"Quality")*100,0)</f>
        <v>0</v>
      </c>
      <c r="S391" s="22">
        <f>COUNTIFS('Workplace Inspections'!$D$4:$D$100003,mCrit,'Workplace Inspections'!$F$4:$F$100003,"Quality")</f>
        <v>0</v>
      </c>
    </row>
    <row r="392" spans="2:34">
      <c r="B392" s="21" t="s">
        <v>86</v>
      </c>
      <c r="C392" s="22">
        <f>COUNTIFS('Workplace Inspections'!$D$4:$D$100003,"Aug",'Workplace Inspections'!$F$4:$F$100003,dCrit)</f>
        <v>0</v>
      </c>
      <c r="P392" s="12" t="s">
        <v>46</v>
      </c>
      <c r="Q392" s="22">
        <f>COUNTIFS('Workplace Inspections'!$D$4:$D$100003,mCrit,'Workplace Inspections'!$F$4:$F$100003,"Admin")</f>
        <v>0</v>
      </c>
      <c r="R392" s="23">
        <f>IFERROR((COUNTIFS('Workplace Inspections'!$M$4:$M$100003,"Closed",'Workplace Inspections'!$D$4:$D$100003,mCrit,'Workplace Inspections'!$F$4:$F$100003,"Admin"))/COUNTIFS('Workplace Inspections'!$D$4:$D$100003,mCrit,'Workplace Inspections'!$F$4:$F$100003,"Admin")*100,0)</f>
        <v>0</v>
      </c>
      <c r="S392" s="22">
        <f>COUNTIFS('Workplace Inspections'!$D$4:$D$100003,mCrit,'Workplace Inspections'!$F$4:$F$100003,"Admin")</f>
        <v>0</v>
      </c>
    </row>
    <row r="393" spans="2:34">
      <c r="B393" s="21" t="s">
        <v>102</v>
      </c>
      <c r="C393" s="22">
        <f>COUNTIFS('Workplace Inspections'!$D$4:$D$100003,"Sep",'Workplace Inspections'!$F$4:$F$100003,dCrit)</f>
        <v>0</v>
      </c>
      <c r="P393" s="12" t="s">
        <v>13</v>
      </c>
      <c r="Q393" s="22">
        <f>COUNTIFS('Workplace Inspections'!$D$4:$D$100003,mCrit,'Workplace Inspections'!$F$4:$F$100003,"Projects")</f>
        <v>0</v>
      </c>
      <c r="R393" s="23">
        <f>IFERROR((COUNTIFS('Workplace Inspections'!$M$4:$M$100003,"Closed",'Workplace Inspections'!$D$4:$D$100003,mCrit,'Workplace Inspections'!$F$4:$F$100003,"Projects"))/COUNTIFS('Workplace Inspections'!$D$4:$D$100003,mCrit,'Workplace Inspections'!$F$4:$F$100003,"Projects")*100,0)</f>
        <v>0</v>
      </c>
      <c r="S393" s="22">
        <f>COUNTIFS('Workplace Inspections'!$D$4:$D$100003,mCrit,'Workplace Inspections'!$F$4:$F$100003,"Projects")</f>
        <v>0</v>
      </c>
    </row>
    <row r="394" spans="2:34">
      <c r="B394" s="21" t="s">
        <v>106</v>
      </c>
      <c r="C394" s="22">
        <f>COUNTIFS('Workplace Inspections'!$D$4:$D$100003,"Oct",'Workplace Inspections'!$F$4:$F$100003,dCrit)</f>
        <v>0</v>
      </c>
      <c r="P394" s="12" t="s">
        <v>58</v>
      </c>
      <c r="Q394" s="22">
        <f>COUNTIFS('Workplace Inspections'!$D$4:$D$100003,mCrit,'Workplace Inspections'!$F$4:$F$100003,"Contractor")</f>
        <v>0</v>
      </c>
      <c r="R394" s="23">
        <f>IFERROR((COUNTIFS('Workplace Inspections'!$M$4:$M$100003,"Closed",'Workplace Inspections'!$D$4:$D$100003,mCrit,'Workplace Inspections'!$F$4:$F$100003,"Contractor"))/COUNTIFS('Workplace Inspections'!$D$4:$D$100003,mCrit,'Workplace Inspections'!$F$4:$F$100003,"Contractor")*100,0)</f>
        <v>0</v>
      </c>
      <c r="S394" s="22">
        <f>COUNTIFS('Workplace Inspections'!$D$4:$D$100003,mCrit,'Workplace Inspections'!$F$4:$F$100003,"Contractor")</f>
        <v>0</v>
      </c>
    </row>
    <row r="395" spans="2:34">
      <c r="B395" s="21" t="s">
        <v>111</v>
      </c>
      <c r="C395" s="22">
        <f>COUNTIFS('Workplace Inspections'!$D$4:$D$100003,"Nov",'Workplace Inspections'!$F$4:$F$100003,dCrit)</f>
        <v>0</v>
      </c>
    </row>
    <row r="396" spans="2:34">
      <c r="B396" s="21" t="s">
        <v>122</v>
      </c>
      <c r="C396" s="22">
        <f>COUNTIFS('Workplace Inspections'!$D$4:$D$100003,"Dec",'Workplace Inspections'!$F$4:$F$100003,dCrit)</f>
        <v>0</v>
      </c>
    </row>
    <row r="409" spans="2:34">
      <c r="B409" s="16" t="s">
        <v>1889</v>
      </c>
    </row>
    <row r="410" spans="2:34">
      <c r="B410" s="11" t="s">
        <v>127</v>
      </c>
      <c r="C410" s="11" t="s">
        <v>1808</v>
      </c>
      <c r="E410" s="11" t="s">
        <v>412</v>
      </c>
      <c r="F410" s="11" t="s">
        <v>1808</v>
      </c>
      <c r="J410" s="11" t="s">
        <v>287</v>
      </c>
      <c r="K410" s="11" t="s">
        <v>1808</v>
      </c>
      <c r="M410" s="11" t="s">
        <v>1752</v>
      </c>
      <c r="N410" s="11" t="s">
        <v>1867</v>
      </c>
      <c r="P410" s="11" t="s">
        <v>129</v>
      </c>
      <c r="Q410" s="11" t="s">
        <v>1808</v>
      </c>
      <c r="R410" s="11" t="s">
        <v>1879</v>
      </c>
      <c r="S410" s="11" t="s">
        <v>1872</v>
      </c>
      <c r="U410" s="11" t="s">
        <v>1873</v>
      </c>
      <c r="V410" s="11" t="s">
        <v>3</v>
      </c>
      <c r="W410" s="11" t="s">
        <v>19</v>
      </c>
      <c r="X410" s="11" t="s">
        <v>44</v>
      </c>
      <c r="Y410" s="11" t="s">
        <v>53</v>
      </c>
      <c r="Z410" s="11" t="s">
        <v>60</v>
      </c>
      <c r="AA410" s="11" t="s">
        <v>73</v>
      </c>
      <c r="AB410" s="11" t="s">
        <v>76</v>
      </c>
      <c r="AC410" s="11" t="s">
        <v>86</v>
      </c>
      <c r="AD410" s="11" t="s">
        <v>102</v>
      </c>
      <c r="AE410" s="11" t="s">
        <v>106</v>
      </c>
      <c r="AF410" s="11" t="s">
        <v>111</v>
      </c>
      <c r="AG410" s="11" t="s">
        <v>122</v>
      </c>
      <c r="AH410" s="11" t="s">
        <v>1874</v>
      </c>
    </row>
    <row r="411" spans="2:34">
      <c r="B411" s="21" t="s">
        <v>3</v>
      </c>
      <c r="C411" s="22">
        <f>COUNTIFS('Equipment Inspections'!$D$4:$D$100003,"Jan",'Equipment Inspections'!$F$4:$F$100003,dCrit)</f>
        <v>0</v>
      </c>
      <c r="E411" s="12" t="s">
        <v>10</v>
      </c>
      <c r="F411" s="22">
        <f>COUNTIFS('Equipment Inspections'!$L$4:$L$100003,"Excellent",'Equipment Inspections'!$D$4:$D$100003,mCrit,'Equipment Inspections'!$F$4:$F$100003,dCrit)</f>
        <v>0</v>
      </c>
      <c r="J411" s="12" t="s">
        <v>293</v>
      </c>
      <c r="K411" s="22">
        <f>COUNTIFS('Equipment Inspections'!$M$4:$M$100003,"Closed",'Equipment Inspections'!$D$4:$D$100003,mCrit,'Equipment Inspections'!$F$4:$F$100003,dCrit)</f>
        <v>0</v>
      </c>
      <c r="M411" s="12" t="s">
        <v>1868</v>
      </c>
      <c r="N411" s="22">
        <f>COUNTIFS('Equipment Inspections'!$D$4:$D$100003,mCrit,'Equipment Inspections'!$F$4:$F$100003,dCrit)</f>
        <v>0</v>
      </c>
      <c r="P411" s="12" t="s">
        <v>27</v>
      </c>
      <c r="Q411" s="22">
        <f>COUNTIFS('Equipment Inspections'!$D$4:$D$100003,mCrit,'Equipment Inspections'!$F$4:$F$100003,"Operations")</f>
        <v>0</v>
      </c>
      <c r="R411" s="23">
        <f>IFERROR((COUNTIFS('Equipment Inspections'!$M$4:$M$100003,"Closed",'Equipment Inspections'!$D$4:$D$100003,mCrit,'Equipment Inspections'!$F$4:$F$100003,"Operations"))/COUNTIFS('Equipment Inspections'!$D$4:$D$100003,mCrit,'Equipment Inspections'!$F$4:$F$100003,"Operations")*100,0)</f>
        <v>0</v>
      </c>
      <c r="S411" s="22">
        <f>COUNTIFS('Equipment Inspections'!$D$4:$D$100003,mCrit,'Equipment Inspections'!$F$4:$F$100003,"Operations")</f>
        <v>0</v>
      </c>
      <c r="U411" s="12" t="s">
        <v>1872</v>
      </c>
      <c r="V411" s="22">
        <f>COUNTIFS('Equipment Inspections'!$D$4:$D$100003,"Jan",'Equipment Inspections'!$F$4:$F$100003,dCrit)</f>
        <v>0</v>
      </c>
      <c r="W411" s="22">
        <f>COUNTIFS('Equipment Inspections'!$D$4:$D$100003,"Feb",'Equipment Inspections'!$F$4:$F$100003,dCrit)</f>
        <v>0</v>
      </c>
      <c r="X411" s="22">
        <f>COUNTIFS('Equipment Inspections'!$D$4:$D$100003,"Mar",'Equipment Inspections'!$F$4:$F$100003,dCrit)</f>
        <v>0</v>
      </c>
      <c r="Y411" s="22">
        <f>COUNTIFS('Equipment Inspections'!$D$4:$D$100003,"Apr",'Equipment Inspections'!$F$4:$F$100003,dCrit)</f>
        <v>0</v>
      </c>
      <c r="Z411" s="22">
        <f>COUNTIFS('Equipment Inspections'!$D$4:$D$100003,"May",'Equipment Inspections'!$F$4:$F$100003,dCrit)</f>
        <v>0</v>
      </c>
      <c r="AA411" s="22">
        <f>COUNTIFS('Equipment Inspections'!$D$4:$D$100003,"Jun",'Equipment Inspections'!$F$4:$F$100003,dCrit)</f>
        <v>0</v>
      </c>
      <c r="AB411" s="22">
        <f>COUNTIFS('Equipment Inspections'!$D$4:$D$100003,"Jul",'Equipment Inspections'!$F$4:$F$100003,dCrit)</f>
        <v>0</v>
      </c>
      <c r="AC411" s="22">
        <f>COUNTIFS('Equipment Inspections'!$D$4:$D$100003,"Aug",'Equipment Inspections'!$F$4:$F$100003,dCrit)</f>
        <v>0</v>
      </c>
      <c r="AD411" s="22">
        <f>COUNTIFS('Equipment Inspections'!$D$4:$D$100003,"Sep",'Equipment Inspections'!$F$4:$F$100003,dCrit)</f>
        <v>0</v>
      </c>
      <c r="AE411" s="22">
        <f>COUNTIFS('Equipment Inspections'!$D$4:$D$100003,"Oct",'Equipment Inspections'!$F$4:$F$100003,dCrit)</f>
        <v>0</v>
      </c>
      <c r="AF411" s="22">
        <f>COUNTIFS('Equipment Inspections'!$D$4:$D$100003,"Nov",'Equipment Inspections'!$F$4:$F$100003,dCrit)</f>
        <v>0</v>
      </c>
      <c r="AG411" s="22">
        <f>COUNTIFS('Equipment Inspections'!$D$4:$D$100003,"Dec",'Equipment Inspections'!$F$4:$F$100003,dCrit)</f>
        <v>0</v>
      </c>
      <c r="AH411" s="22">
        <f>SUM(V411:AG411)</f>
        <v>0</v>
      </c>
    </row>
    <row r="412" spans="2:34">
      <c r="B412" s="21" t="s">
        <v>19</v>
      </c>
      <c r="C412" s="22">
        <f>COUNTIFS('Equipment Inspections'!$D$4:$D$100003,"Feb",'Equipment Inspections'!$F$4:$F$100003,dCrit)</f>
        <v>0</v>
      </c>
      <c r="E412" s="12" t="s">
        <v>42</v>
      </c>
      <c r="F412" s="22">
        <f>COUNTIFS('Equipment Inspections'!$L$4:$L$100003,"Good",'Equipment Inspections'!$D$4:$D$100003,mCrit,'Equipment Inspections'!$F$4:$F$100003,dCrit)</f>
        <v>0</v>
      </c>
      <c r="J412" s="12" t="s">
        <v>238</v>
      </c>
      <c r="K412" s="22">
        <f>COUNTIFS('Equipment Inspections'!$M$4:$M$100003,"Overdue",'Equipment Inspections'!$D$4:$D$100003,mCrit,'Equipment Inspections'!$F$4:$F$100003,dCrit)</f>
        <v>0</v>
      </c>
      <c r="M412" s="12" t="s">
        <v>1876</v>
      </c>
      <c r="N412" s="23">
        <f>IFERROR((COUNTIFS('Equipment Inspections'!$M$4:$M$100003,"Closed",'Equipment Inspections'!$D$4:$D$100003,mCrit,'Equipment Inspections'!$F$4:$F$100003,dCrit))/COUNTIFS('Equipment Inspections'!$D$4:$D$100003,mCrit,'Equipment Inspections'!$F$4:$F$100003,dCrit)*100,0)</f>
        <v>0</v>
      </c>
      <c r="P412" s="12" t="s">
        <v>92</v>
      </c>
      <c r="Q412" s="22">
        <f>COUNTIFS('Equipment Inspections'!$D$4:$D$100003,mCrit,'Equipment Inspections'!$F$4:$F$100003,"Maintenance")</f>
        <v>0</v>
      </c>
      <c r="R412" s="23">
        <f>IFERROR((COUNTIFS('Equipment Inspections'!$M$4:$M$100003,"Closed",'Equipment Inspections'!$D$4:$D$100003,mCrit,'Equipment Inspections'!$F$4:$F$100003,"Maintenance"))/COUNTIFS('Equipment Inspections'!$D$4:$D$100003,mCrit,'Equipment Inspections'!$F$4:$F$100003,"Maintenance")*100,0)</f>
        <v>0</v>
      </c>
      <c r="S412" s="22">
        <f>COUNTIFS('Equipment Inspections'!$D$4:$D$100003,mCrit,'Equipment Inspections'!$F$4:$F$100003,"Maintenance")</f>
        <v>0</v>
      </c>
      <c r="U412" s="12" t="s">
        <v>1880</v>
      </c>
      <c r="V412" s="23">
        <f>IFERROR((COUNTIFS('Equipment Inspections'!$M$4:$M$100003,"Closed",'Equipment Inspections'!$D$4:$D$100003,"Jan",'Equipment Inspections'!$F$4:$F$100003,dCrit))/COUNTIFS('Equipment Inspections'!$D$4:$D$100003,"Jan",'Equipment Inspections'!$F$4:$F$100003,dCrit)*100,0)</f>
        <v>0</v>
      </c>
      <c r="W412" s="23">
        <f>IFERROR((COUNTIFS('Equipment Inspections'!$M$4:$M$100003,"Closed",'Equipment Inspections'!$D$4:$D$100003,"Feb",'Equipment Inspections'!$F$4:$F$100003,dCrit))/COUNTIFS('Equipment Inspections'!$D$4:$D$100003,"Feb",'Equipment Inspections'!$F$4:$F$100003,dCrit)*100,0)</f>
        <v>0</v>
      </c>
      <c r="X412" s="23">
        <f>IFERROR((COUNTIFS('Equipment Inspections'!$M$4:$M$100003,"Closed",'Equipment Inspections'!$D$4:$D$100003,"Mar",'Equipment Inspections'!$F$4:$F$100003,dCrit))/COUNTIFS('Equipment Inspections'!$D$4:$D$100003,"Mar",'Equipment Inspections'!$F$4:$F$100003,dCrit)*100,0)</f>
        <v>0</v>
      </c>
      <c r="Y412" s="23">
        <f>IFERROR((COUNTIFS('Equipment Inspections'!$M$4:$M$100003,"Closed",'Equipment Inspections'!$D$4:$D$100003,"Apr",'Equipment Inspections'!$F$4:$F$100003,dCrit))/COUNTIFS('Equipment Inspections'!$D$4:$D$100003,"Apr",'Equipment Inspections'!$F$4:$F$100003,dCrit)*100,0)</f>
        <v>0</v>
      </c>
      <c r="Z412" s="23">
        <f>IFERROR((COUNTIFS('Equipment Inspections'!$M$4:$M$100003,"Closed",'Equipment Inspections'!$D$4:$D$100003,"May",'Equipment Inspections'!$F$4:$F$100003,dCrit))/COUNTIFS('Equipment Inspections'!$D$4:$D$100003,"May",'Equipment Inspections'!$F$4:$F$100003,dCrit)*100,0)</f>
        <v>0</v>
      </c>
      <c r="AA412" s="23">
        <f>IFERROR((COUNTIFS('Equipment Inspections'!$M$4:$M$100003,"Closed",'Equipment Inspections'!$D$4:$D$100003,"Jun",'Equipment Inspections'!$F$4:$F$100003,dCrit))/COUNTIFS('Equipment Inspections'!$D$4:$D$100003,"Jun",'Equipment Inspections'!$F$4:$F$100003,dCrit)*100,0)</f>
        <v>0</v>
      </c>
      <c r="AB412" s="23">
        <f>IFERROR((COUNTIFS('Equipment Inspections'!$M$4:$M$100003,"Closed",'Equipment Inspections'!$D$4:$D$100003,"Jul",'Equipment Inspections'!$F$4:$F$100003,dCrit))/COUNTIFS('Equipment Inspections'!$D$4:$D$100003,"Jul",'Equipment Inspections'!$F$4:$F$100003,dCrit)*100,0)</f>
        <v>0</v>
      </c>
      <c r="AC412" s="23">
        <f>IFERROR((COUNTIFS('Equipment Inspections'!$M$4:$M$100003,"Closed",'Equipment Inspections'!$D$4:$D$100003,"Aug",'Equipment Inspections'!$F$4:$F$100003,dCrit))/COUNTIFS('Equipment Inspections'!$D$4:$D$100003,"Aug",'Equipment Inspections'!$F$4:$F$100003,dCrit)*100,0)</f>
        <v>0</v>
      </c>
      <c r="AD412" s="23">
        <f>IFERROR((COUNTIFS('Equipment Inspections'!$M$4:$M$100003,"Closed",'Equipment Inspections'!$D$4:$D$100003,"Sep",'Equipment Inspections'!$F$4:$F$100003,dCrit))/COUNTIFS('Equipment Inspections'!$D$4:$D$100003,"Sep",'Equipment Inspections'!$F$4:$F$100003,dCrit)*100,0)</f>
        <v>0</v>
      </c>
      <c r="AE412" s="23">
        <f>IFERROR((COUNTIFS('Equipment Inspections'!$M$4:$M$100003,"Closed",'Equipment Inspections'!$D$4:$D$100003,"Oct",'Equipment Inspections'!$F$4:$F$100003,dCrit))/COUNTIFS('Equipment Inspections'!$D$4:$D$100003,"Oct",'Equipment Inspections'!$F$4:$F$100003,dCrit)*100,0)</f>
        <v>0</v>
      </c>
      <c r="AF412" s="23">
        <f>IFERROR((COUNTIFS('Equipment Inspections'!$M$4:$M$100003,"Closed",'Equipment Inspections'!$D$4:$D$100003,"Nov",'Equipment Inspections'!$F$4:$F$100003,dCrit))/COUNTIFS('Equipment Inspections'!$D$4:$D$100003,"Nov",'Equipment Inspections'!$F$4:$F$100003,dCrit)*100,0)</f>
        <v>0</v>
      </c>
      <c r="AG412" s="23">
        <f>IFERROR((COUNTIFS('Equipment Inspections'!$M$4:$M$100003,"Closed",'Equipment Inspections'!$D$4:$D$100003,"Dec",'Equipment Inspections'!$F$4:$F$100003,dCrit))/COUNTIFS('Equipment Inspections'!$D$4:$D$100003,"Dec",'Equipment Inspections'!$F$4:$F$100003,dCrit)*100,0)</f>
        <v>0</v>
      </c>
      <c r="AH412" s="23">
        <f>IFERROR(AVERAGE(V412:AG412),0)</f>
        <v>0</v>
      </c>
    </row>
    <row r="413" spans="2:34">
      <c r="B413" s="21" t="s">
        <v>44</v>
      </c>
      <c r="C413" s="22">
        <f>COUNTIFS('Equipment Inspections'!$D$4:$D$100003,"Mar",'Equipment Inspections'!$F$4:$F$100003,dCrit)</f>
        <v>0</v>
      </c>
      <c r="E413" s="12" t="s">
        <v>17</v>
      </c>
      <c r="F413" s="22">
        <f>COUNTIFS('Equipment Inspections'!$L$4:$L$100003,"Satisfactory",'Equipment Inspections'!$D$4:$D$100003,mCrit,'Equipment Inspections'!$F$4:$F$100003,dCrit)</f>
        <v>0</v>
      </c>
      <c r="J413" s="12" t="s">
        <v>254</v>
      </c>
      <c r="K413" s="22">
        <f>COUNTIFS('Equipment Inspections'!$M$4:$M$100003,"In Progress",'Equipment Inspections'!$D$4:$D$100003,mCrit,'Equipment Inspections'!$F$4:$F$100003,dCrit)</f>
        <v>0</v>
      </c>
      <c r="M413" s="12" t="s">
        <v>1877</v>
      </c>
      <c r="N413" s="22">
        <f>COUNTIFS('Equipment Inspections'!$M$4:$M$100003,"Open",'Equipment Inspections'!$D$4:$D$100003,mCrit,'Equipment Inspections'!$F$4:$F$100003,dCrit)+COUNTIFS('Equipment Inspections'!$M$4:$M$100003,"In Progress",'Equipment Inspections'!$D$4:$D$100003,mCrit,'Equipment Inspections'!$F$4:$F$100003,dCrit)+COUNTIFS('Equipment Inspections'!$M$4:$M$100003,"Overdue",'Equipment Inspections'!$D$4:$D$100003,mCrit,'Equipment Inspections'!$F$4:$F$100003,dCrit)</f>
        <v>0</v>
      </c>
      <c r="P413" s="12" t="s">
        <v>39</v>
      </c>
      <c r="Q413" s="22">
        <f>COUNTIFS('Equipment Inspections'!$D$4:$D$100003,mCrit,'Equipment Inspections'!$F$4:$F$100003,"Engineering")</f>
        <v>0</v>
      </c>
      <c r="R413" s="23">
        <f>IFERROR((COUNTIFS('Equipment Inspections'!$M$4:$M$100003,"Closed",'Equipment Inspections'!$D$4:$D$100003,mCrit,'Equipment Inspections'!$F$4:$F$100003,"Engineering"))/COUNTIFS('Equipment Inspections'!$D$4:$D$100003,mCrit,'Equipment Inspections'!$F$4:$F$100003,"Engineering")*100,0)</f>
        <v>0</v>
      </c>
      <c r="S413" s="22">
        <f>COUNTIFS('Equipment Inspections'!$D$4:$D$100003,mCrit,'Equipment Inspections'!$F$4:$F$100003,"Engineering")</f>
        <v>0</v>
      </c>
    </row>
    <row r="414" spans="2:34">
      <c r="B414" s="21" t="s">
        <v>53</v>
      </c>
      <c r="C414" s="22">
        <f>COUNTIFS('Equipment Inspections'!$D$4:$D$100003,"Apr",'Equipment Inspections'!$F$4:$F$100003,dCrit)</f>
        <v>0</v>
      </c>
      <c r="E414" s="12" t="s">
        <v>96</v>
      </c>
      <c r="F414" s="22">
        <f>COUNTIFS('Equipment Inspections'!$L$4:$L$100003,"Needs Improvement",'Equipment Inspections'!$D$4:$D$100003,mCrit,'Equipment Inspections'!$F$4:$F$100003,dCrit)</f>
        <v>0</v>
      </c>
      <c r="J414" s="12" t="s">
        <v>297</v>
      </c>
      <c r="K414" s="22">
        <f>COUNTIFS('Equipment Inspections'!$M$4:$M$100003,"Open",'Equipment Inspections'!$D$4:$D$100003,mCrit,'Equipment Inspections'!$F$4:$F$100003,dCrit)</f>
        <v>0</v>
      </c>
      <c r="M414" s="12" t="s">
        <v>238</v>
      </c>
      <c r="N414" s="22">
        <f>COUNTIFS('Equipment Inspections'!$M$4:$M$100003,"Overdue",'Equipment Inspections'!$D$4:$D$100003,mCrit,'Equipment Inspections'!$F$4:$F$100003,dCrit)</f>
        <v>0</v>
      </c>
      <c r="P414" s="12" t="s">
        <v>89</v>
      </c>
      <c r="Q414" s="22">
        <f>COUNTIFS('Equipment Inspections'!$D$4:$D$100003,mCrit,'Equipment Inspections'!$F$4:$F$100003,"Construction")</f>
        <v>0</v>
      </c>
      <c r="R414" s="23">
        <f>IFERROR((COUNTIFS('Equipment Inspections'!$M$4:$M$100003,"Closed",'Equipment Inspections'!$D$4:$D$100003,mCrit,'Equipment Inspections'!$F$4:$F$100003,"Construction"))/COUNTIFS('Equipment Inspections'!$D$4:$D$100003,mCrit,'Equipment Inspections'!$F$4:$F$100003,"Construction")*100,0)</f>
        <v>0</v>
      </c>
      <c r="S414" s="22">
        <f>COUNTIFS('Equipment Inspections'!$D$4:$D$100003,mCrit,'Equipment Inspections'!$F$4:$F$100003,"Construction")</f>
        <v>0</v>
      </c>
    </row>
    <row r="415" spans="2:34">
      <c r="B415" s="21" t="s">
        <v>60</v>
      </c>
      <c r="C415" s="22">
        <f>COUNTIFS('Equipment Inspections'!$D$4:$D$100003,"May",'Equipment Inspections'!$F$4:$F$100003,dCrit)</f>
        <v>0</v>
      </c>
      <c r="E415" s="12" t="s">
        <v>24</v>
      </c>
      <c r="F415" s="22">
        <f>COUNTIFS('Equipment Inspections'!$L$4:$L$100003,"Unsatisfactory",'Equipment Inspections'!$D$4:$D$100003,mCrit,'Equipment Inspections'!$F$4:$F$100003,dCrit)</f>
        <v>0</v>
      </c>
      <c r="M415" s="12" t="s">
        <v>410</v>
      </c>
      <c r="N415" s="22">
        <f>SUMIFS('Equipment Inspections'!$J$4:$J$100003,'Equipment Inspections'!$D$4:$D$100003,mCrit,'Equipment Inspections'!$F$4:$F$100003,dCrit)</f>
        <v>0</v>
      </c>
      <c r="P415" s="12" t="s">
        <v>65</v>
      </c>
      <c r="Q415" s="22">
        <f>COUNTIFS('Equipment Inspections'!$D$4:$D$100003,mCrit,'Equipment Inspections'!$F$4:$F$100003,"Safety")</f>
        <v>0</v>
      </c>
      <c r="R415" s="23">
        <f>IFERROR((COUNTIFS('Equipment Inspections'!$M$4:$M$100003,"Closed",'Equipment Inspections'!$D$4:$D$100003,mCrit,'Equipment Inspections'!$F$4:$F$100003,"Safety"))/COUNTIFS('Equipment Inspections'!$D$4:$D$100003,mCrit,'Equipment Inspections'!$F$4:$F$100003,"Safety")*100,0)</f>
        <v>0</v>
      </c>
      <c r="S415" s="22">
        <f>COUNTIFS('Equipment Inspections'!$D$4:$D$100003,mCrit,'Equipment Inspections'!$F$4:$F$100003,"Safety")</f>
        <v>0</v>
      </c>
    </row>
    <row r="416" spans="2:34">
      <c r="B416" s="21" t="s">
        <v>73</v>
      </c>
      <c r="C416" s="22">
        <f>COUNTIFS('Equipment Inspections'!$D$4:$D$100003,"Jun",'Equipment Inspections'!$F$4:$F$100003,dCrit)</f>
        <v>0</v>
      </c>
      <c r="M416" s="12" t="s">
        <v>411</v>
      </c>
      <c r="N416" s="22">
        <f>SUMIFS('Equipment Inspections'!$K$4:$K$100003,'Equipment Inspections'!$D$4:$D$100003,mCrit,'Equipment Inspections'!$F$4:$F$100003,dCrit)</f>
        <v>0</v>
      </c>
      <c r="P416" s="12" t="s">
        <v>5</v>
      </c>
      <c r="Q416" s="22">
        <f>COUNTIFS('Equipment Inspections'!$D$4:$D$100003,mCrit,'Equipment Inspections'!$F$4:$F$100003,"Logistics")</f>
        <v>0</v>
      </c>
      <c r="R416" s="23">
        <f>IFERROR((COUNTIFS('Equipment Inspections'!$M$4:$M$100003,"Closed",'Equipment Inspections'!$D$4:$D$100003,mCrit,'Equipment Inspections'!$F$4:$F$100003,"Logistics"))/COUNTIFS('Equipment Inspections'!$D$4:$D$100003,mCrit,'Equipment Inspections'!$F$4:$F$100003,"Logistics")*100,0)</f>
        <v>0</v>
      </c>
      <c r="S416" s="22">
        <f>COUNTIFS('Equipment Inspections'!$D$4:$D$100003,mCrit,'Equipment Inspections'!$F$4:$F$100003,"Logistics")</f>
        <v>0</v>
      </c>
    </row>
    <row r="417" spans="2:19">
      <c r="B417" s="21" t="s">
        <v>76</v>
      </c>
      <c r="C417" s="22">
        <f>COUNTIFS('Equipment Inspections'!$D$4:$D$100003,"Jul",'Equipment Inspections'!$F$4:$F$100003,dCrit)</f>
        <v>0</v>
      </c>
      <c r="M417" s="12" t="s">
        <v>1888</v>
      </c>
      <c r="N417" s="22">
        <f>IFERROR(AVERAGEIFS('Equipment Inspections'!$I$4:$I$100003,'Equipment Inspections'!$D$4:$D$100003,mCrit,'Equipment Inspections'!$F$4:$F$100003,dCrit),0)</f>
        <v>0</v>
      </c>
      <c r="P417" s="12" t="s">
        <v>50</v>
      </c>
      <c r="Q417" s="22">
        <f>COUNTIFS('Equipment Inspections'!$D$4:$D$100003,mCrit,'Equipment Inspections'!$F$4:$F$100003,"Quality")</f>
        <v>0</v>
      </c>
      <c r="R417" s="23">
        <f>IFERROR((COUNTIFS('Equipment Inspections'!$M$4:$M$100003,"Closed",'Equipment Inspections'!$D$4:$D$100003,mCrit,'Equipment Inspections'!$F$4:$F$100003,"Quality"))/COUNTIFS('Equipment Inspections'!$D$4:$D$100003,mCrit,'Equipment Inspections'!$F$4:$F$100003,"Quality")*100,0)</f>
        <v>0</v>
      </c>
      <c r="S417" s="22">
        <f>COUNTIFS('Equipment Inspections'!$D$4:$D$100003,mCrit,'Equipment Inspections'!$F$4:$F$100003,"Quality")</f>
        <v>0</v>
      </c>
    </row>
    <row r="418" spans="2:19">
      <c r="B418" s="21" t="s">
        <v>86</v>
      </c>
      <c r="C418" s="22">
        <f>COUNTIFS('Equipment Inspections'!$D$4:$D$100003,"Aug",'Equipment Inspections'!$F$4:$F$100003,dCrit)</f>
        <v>0</v>
      </c>
      <c r="P418" s="12" t="s">
        <v>46</v>
      </c>
      <c r="Q418" s="22">
        <f>COUNTIFS('Equipment Inspections'!$D$4:$D$100003,mCrit,'Equipment Inspections'!$F$4:$F$100003,"Admin")</f>
        <v>0</v>
      </c>
      <c r="R418" s="23">
        <f>IFERROR((COUNTIFS('Equipment Inspections'!$M$4:$M$100003,"Closed",'Equipment Inspections'!$D$4:$D$100003,mCrit,'Equipment Inspections'!$F$4:$F$100003,"Admin"))/COUNTIFS('Equipment Inspections'!$D$4:$D$100003,mCrit,'Equipment Inspections'!$F$4:$F$100003,"Admin")*100,0)</f>
        <v>0</v>
      </c>
      <c r="S418" s="22">
        <f>COUNTIFS('Equipment Inspections'!$D$4:$D$100003,mCrit,'Equipment Inspections'!$F$4:$F$100003,"Admin")</f>
        <v>0</v>
      </c>
    </row>
    <row r="419" spans="2:19">
      <c r="B419" s="21" t="s">
        <v>102</v>
      </c>
      <c r="C419" s="22">
        <f>COUNTIFS('Equipment Inspections'!$D$4:$D$100003,"Sep",'Equipment Inspections'!$F$4:$F$100003,dCrit)</f>
        <v>0</v>
      </c>
      <c r="P419" s="12" t="s">
        <v>13</v>
      </c>
      <c r="Q419" s="22">
        <f>COUNTIFS('Equipment Inspections'!$D$4:$D$100003,mCrit,'Equipment Inspections'!$F$4:$F$100003,"Projects")</f>
        <v>0</v>
      </c>
      <c r="R419" s="23">
        <f>IFERROR((COUNTIFS('Equipment Inspections'!$M$4:$M$100003,"Closed",'Equipment Inspections'!$D$4:$D$100003,mCrit,'Equipment Inspections'!$F$4:$F$100003,"Projects"))/COUNTIFS('Equipment Inspections'!$D$4:$D$100003,mCrit,'Equipment Inspections'!$F$4:$F$100003,"Projects")*100,0)</f>
        <v>0</v>
      </c>
      <c r="S419" s="22">
        <f>COUNTIFS('Equipment Inspections'!$D$4:$D$100003,mCrit,'Equipment Inspections'!$F$4:$F$100003,"Projects")</f>
        <v>0</v>
      </c>
    </row>
    <row r="420" spans="2:19">
      <c r="B420" s="21" t="s">
        <v>106</v>
      </c>
      <c r="C420" s="22">
        <f>COUNTIFS('Equipment Inspections'!$D$4:$D$100003,"Oct",'Equipment Inspections'!$F$4:$F$100003,dCrit)</f>
        <v>0</v>
      </c>
      <c r="P420" s="12" t="s">
        <v>58</v>
      </c>
      <c r="Q420" s="22">
        <f>COUNTIFS('Equipment Inspections'!$D$4:$D$100003,mCrit,'Equipment Inspections'!$F$4:$F$100003,"Contractor")</f>
        <v>0</v>
      </c>
      <c r="R420" s="23">
        <f>IFERROR((COUNTIFS('Equipment Inspections'!$M$4:$M$100003,"Closed",'Equipment Inspections'!$D$4:$D$100003,mCrit,'Equipment Inspections'!$F$4:$F$100003,"Contractor"))/COUNTIFS('Equipment Inspections'!$D$4:$D$100003,mCrit,'Equipment Inspections'!$F$4:$F$100003,"Contractor")*100,0)</f>
        <v>0</v>
      </c>
      <c r="S420" s="22">
        <f>COUNTIFS('Equipment Inspections'!$D$4:$D$100003,mCrit,'Equipment Inspections'!$F$4:$F$100003,"Contractor")</f>
        <v>0</v>
      </c>
    </row>
    <row r="421" spans="2:19">
      <c r="B421" s="21" t="s">
        <v>111</v>
      </c>
      <c r="C421" s="22">
        <f>COUNTIFS('Equipment Inspections'!$D$4:$D$100003,"Nov",'Equipment Inspections'!$F$4:$F$100003,dCrit)</f>
        <v>0</v>
      </c>
    </row>
    <row r="422" spans="2:19">
      <c r="B422" s="21" t="s">
        <v>122</v>
      </c>
      <c r="C422" s="22">
        <f>COUNTIFS('Equipment Inspections'!$D$4:$D$100003,"Dec",'Equipment Inspections'!$F$4:$F$100003,dCrit)</f>
        <v>0</v>
      </c>
    </row>
    <row r="435" spans="2:34">
      <c r="B435" s="16" t="s">
        <v>1890</v>
      </c>
    </row>
    <row r="436" spans="2:34">
      <c r="B436" s="11" t="s">
        <v>127</v>
      </c>
      <c r="C436" s="11" t="s">
        <v>1808</v>
      </c>
      <c r="E436" s="11" t="s">
        <v>412</v>
      </c>
      <c r="F436" s="11" t="s">
        <v>1808</v>
      </c>
      <c r="J436" s="11" t="s">
        <v>287</v>
      </c>
      <c r="K436" s="11" t="s">
        <v>1808</v>
      </c>
      <c r="M436" s="11" t="s">
        <v>1752</v>
      </c>
      <c r="N436" s="11" t="s">
        <v>1867</v>
      </c>
      <c r="P436" s="11" t="s">
        <v>129</v>
      </c>
      <c r="Q436" s="11" t="s">
        <v>1808</v>
      </c>
      <c r="R436" s="11" t="s">
        <v>1879</v>
      </c>
      <c r="S436" s="11" t="s">
        <v>1872</v>
      </c>
      <c r="U436" s="11" t="s">
        <v>1873</v>
      </c>
      <c r="V436" s="11" t="s">
        <v>3</v>
      </c>
      <c r="W436" s="11" t="s">
        <v>19</v>
      </c>
      <c r="X436" s="11" t="s">
        <v>44</v>
      </c>
      <c r="Y436" s="11" t="s">
        <v>53</v>
      </c>
      <c r="Z436" s="11" t="s">
        <v>60</v>
      </c>
      <c r="AA436" s="11" t="s">
        <v>73</v>
      </c>
      <c r="AB436" s="11" t="s">
        <v>76</v>
      </c>
      <c r="AC436" s="11" t="s">
        <v>86</v>
      </c>
      <c r="AD436" s="11" t="s">
        <v>102</v>
      </c>
      <c r="AE436" s="11" t="s">
        <v>106</v>
      </c>
      <c r="AF436" s="11" t="s">
        <v>111</v>
      </c>
      <c r="AG436" s="11" t="s">
        <v>122</v>
      </c>
      <c r="AH436" s="11" t="s">
        <v>1874</v>
      </c>
    </row>
    <row r="437" spans="2:34">
      <c r="B437" s="21" t="s">
        <v>3</v>
      </c>
      <c r="C437" s="22">
        <f>COUNTIFS('Safety Walkthroughs'!$D$4:$D$100003,"Jan",'Safety Walkthroughs'!$F$4:$F$100003,dCrit)</f>
        <v>0</v>
      </c>
      <c r="E437" s="12" t="s">
        <v>10</v>
      </c>
      <c r="F437" s="22">
        <f>COUNTIFS('Safety Walkthroughs'!$L$4:$L$100003,"Excellent",'Safety Walkthroughs'!$D$4:$D$100003,mCrit,'Safety Walkthroughs'!$F$4:$F$100003,dCrit)</f>
        <v>0</v>
      </c>
      <c r="J437" s="12" t="s">
        <v>297</v>
      </c>
      <c r="K437" s="22">
        <f>COUNTIFS('Safety Walkthroughs'!$M$4:$M$100003,"Open",'Safety Walkthroughs'!$D$4:$D$100003,mCrit,'Safety Walkthroughs'!$F$4:$F$100003,dCrit)</f>
        <v>0</v>
      </c>
      <c r="M437" s="12" t="s">
        <v>1868</v>
      </c>
      <c r="N437" s="22">
        <f>COUNTIFS('Safety Walkthroughs'!$D$4:$D$100003,mCrit,'Safety Walkthroughs'!$F$4:$F$100003,dCrit)</f>
        <v>0</v>
      </c>
      <c r="P437" s="12" t="s">
        <v>27</v>
      </c>
      <c r="Q437" s="22">
        <f>COUNTIFS('Safety Walkthroughs'!$D$4:$D$100003,mCrit,'Safety Walkthroughs'!$F$4:$F$100003,"Operations")</f>
        <v>0</v>
      </c>
      <c r="R437" s="23">
        <f>IFERROR((COUNTIFS('Safety Walkthroughs'!$M$4:$M$100003,"Closed",'Safety Walkthroughs'!$D$4:$D$100003,mCrit,'Safety Walkthroughs'!$F$4:$F$100003,"Operations"))/COUNTIFS('Safety Walkthroughs'!$D$4:$D$100003,mCrit,'Safety Walkthroughs'!$F$4:$F$100003,"Operations")*100,0)</f>
        <v>0</v>
      </c>
      <c r="S437" s="22">
        <f>COUNTIFS('Safety Walkthroughs'!$D$4:$D$100003,mCrit,'Safety Walkthroughs'!$F$4:$F$100003,"Operations")</f>
        <v>0</v>
      </c>
      <c r="U437" s="12" t="s">
        <v>1872</v>
      </c>
      <c r="V437" s="22">
        <f>COUNTIFS('Safety Walkthroughs'!$D$4:$D$100003,"Jan",'Safety Walkthroughs'!$F$4:$F$100003,dCrit)</f>
        <v>0</v>
      </c>
      <c r="W437" s="22">
        <f>COUNTIFS('Safety Walkthroughs'!$D$4:$D$100003,"Feb",'Safety Walkthroughs'!$F$4:$F$100003,dCrit)</f>
        <v>0</v>
      </c>
      <c r="X437" s="22">
        <f>COUNTIFS('Safety Walkthroughs'!$D$4:$D$100003,"Mar",'Safety Walkthroughs'!$F$4:$F$100003,dCrit)</f>
        <v>0</v>
      </c>
      <c r="Y437" s="22">
        <f>COUNTIFS('Safety Walkthroughs'!$D$4:$D$100003,"Apr",'Safety Walkthroughs'!$F$4:$F$100003,dCrit)</f>
        <v>0</v>
      </c>
      <c r="Z437" s="22">
        <f>COUNTIFS('Safety Walkthroughs'!$D$4:$D$100003,"May",'Safety Walkthroughs'!$F$4:$F$100003,dCrit)</f>
        <v>0</v>
      </c>
      <c r="AA437" s="22">
        <f>COUNTIFS('Safety Walkthroughs'!$D$4:$D$100003,"Jun",'Safety Walkthroughs'!$F$4:$F$100003,dCrit)</f>
        <v>0</v>
      </c>
      <c r="AB437" s="22">
        <f>COUNTIFS('Safety Walkthroughs'!$D$4:$D$100003,"Jul",'Safety Walkthroughs'!$F$4:$F$100003,dCrit)</f>
        <v>0</v>
      </c>
      <c r="AC437" s="22">
        <f>COUNTIFS('Safety Walkthroughs'!$D$4:$D$100003,"Aug",'Safety Walkthroughs'!$F$4:$F$100003,dCrit)</f>
        <v>0</v>
      </c>
      <c r="AD437" s="22">
        <f>COUNTIFS('Safety Walkthroughs'!$D$4:$D$100003,"Sep",'Safety Walkthroughs'!$F$4:$F$100003,dCrit)</f>
        <v>0</v>
      </c>
      <c r="AE437" s="22">
        <f>COUNTIFS('Safety Walkthroughs'!$D$4:$D$100003,"Oct",'Safety Walkthroughs'!$F$4:$F$100003,dCrit)</f>
        <v>0</v>
      </c>
      <c r="AF437" s="22">
        <f>COUNTIFS('Safety Walkthroughs'!$D$4:$D$100003,"Nov",'Safety Walkthroughs'!$F$4:$F$100003,dCrit)</f>
        <v>0</v>
      </c>
      <c r="AG437" s="22">
        <f>COUNTIFS('Safety Walkthroughs'!$D$4:$D$100003,"Dec",'Safety Walkthroughs'!$F$4:$F$100003,dCrit)</f>
        <v>0</v>
      </c>
      <c r="AH437" s="22">
        <f>SUM(V437:AG437)</f>
        <v>0</v>
      </c>
    </row>
    <row r="438" spans="2:34">
      <c r="B438" s="21" t="s">
        <v>19</v>
      </c>
      <c r="C438" s="22">
        <f>COUNTIFS('Safety Walkthroughs'!$D$4:$D$100003,"Feb",'Safety Walkthroughs'!$F$4:$F$100003,dCrit)</f>
        <v>0</v>
      </c>
      <c r="E438" s="12" t="s">
        <v>42</v>
      </c>
      <c r="F438" s="22">
        <f>COUNTIFS('Safety Walkthroughs'!$L$4:$L$100003,"Good",'Safety Walkthroughs'!$D$4:$D$100003,mCrit,'Safety Walkthroughs'!$F$4:$F$100003,dCrit)</f>
        <v>0</v>
      </c>
      <c r="J438" s="12" t="s">
        <v>254</v>
      </c>
      <c r="K438" s="22">
        <f>COUNTIFS('Safety Walkthroughs'!$M$4:$M$100003,"In Progress",'Safety Walkthroughs'!$D$4:$D$100003,mCrit,'Safety Walkthroughs'!$F$4:$F$100003,dCrit)</f>
        <v>0</v>
      </c>
      <c r="M438" s="12" t="s">
        <v>1876</v>
      </c>
      <c r="N438" s="23">
        <f>IFERROR((COUNTIFS('Safety Walkthroughs'!$M$4:$M$100003,"Closed",'Safety Walkthroughs'!$D$4:$D$100003,mCrit,'Safety Walkthroughs'!$F$4:$F$100003,dCrit))/COUNTIFS('Safety Walkthroughs'!$D$4:$D$100003,mCrit,'Safety Walkthroughs'!$F$4:$F$100003,dCrit)*100,0)</f>
        <v>0</v>
      </c>
      <c r="P438" s="12" t="s">
        <v>92</v>
      </c>
      <c r="Q438" s="22">
        <f>COUNTIFS('Safety Walkthroughs'!$D$4:$D$100003,mCrit,'Safety Walkthroughs'!$F$4:$F$100003,"Maintenance")</f>
        <v>0</v>
      </c>
      <c r="R438" s="23">
        <f>IFERROR((COUNTIFS('Safety Walkthroughs'!$M$4:$M$100003,"Closed",'Safety Walkthroughs'!$D$4:$D$100003,mCrit,'Safety Walkthroughs'!$F$4:$F$100003,"Maintenance"))/COUNTIFS('Safety Walkthroughs'!$D$4:$D$100003,mCrit,'Safety Walkthroughs'!$F$4:$F$100003,"Maintenance")*100,0)</f>
        <v>0</v>
      </c>
      <c r="S438" s="22">
        <f>COUNTIFS('Safety Walkthroughs'!$D$4:$D$100003,mCrit,'Safety Walkthroughs'!$F$4:$F$100003,"Maintenance")</f>
        <v>0</v>
      </c>
      <c r="U438" s="12" t="s">
        <v>1880</v>
      </c>
      <c r="V438" s="23">
        <f>IFERROR((COUNTIFS('Safety Walkthroughs'!$M$4:$M$100003,"Closed",'Safety Walkthroughs'!$D$4:$D$100003,"Jan",'Safety Walkthroughs'!$F$4:$F$100003,dCrit))/COUNTIFS('Safety Walkthroughs'!$D$4:$D$100003,"Jan",'Safety Walkthroughs'!$F$4:$F$100003,dCrit)*100,0)</f>
        <v>0</v>
      </c>
      <c r="W438" s="23">
        <f>IFERROR((COUNTIFS('Safety Walkthroughs'!$M$4:$M$100003,"Closed",'Safety Walkthroughs'!$D$4:$D$100003,"Feb",'Safety Walkthroughs'!$F$4:$F$100003,dCrit))/COUNTIFS('Safety Walkthroughs'!$D$4:$D$100003,"Feb",'Safety Walkthroughs'!$F$4:$F$100003,dCrit)*100,0)</f>
        <v>0</v>
      </c>
      <c r="X438" s="23">
        <f>IFERROR((COUNTIFS('Safety Walkthroughs'!$M$4:$M$100003,"Closed",'Safety Walkthroughs'!$D$4:$D$100003,"Mar",'Safety Walkthroughs'!$F$4:$F$100003,dCrit))/COUNTIFS('Safety Walkthroughs'!$D$4:$D$100003,"Mar",'Safety Walkthroughs'!$F$4:$F$100003,dCrit)*100,0)</f>
        <v>0</v>
      </c>
      <c r="Y438" s="23">
        <f>IFERROR((COUNTIFS('Safety Walkthroughs'!$M$4:$M$100003,"Closed",'Safety Walkthroughs'!$D$4:$D$100003,"Apr",'Safety Walkthroughs'!$F$4:$F$100003,dCrit))/COUNTIFS('Safety Walkthroughs'!$D$4:$D$100003,"Apr",'Safety Walkthroughs'!$F$4:$F$100003,dCrit)*100,0)</f>
        <v>0</v>
      </c>
      <c r="Z438" s="23">
        <f>IFERROR((COUNTIFS('Safety Walkthroughs'!$M$4:$M$100003,"Closed",'Safety Walkthroughs'!$D$4:$D$100003,"May",'Safety Walkthroughs'!$F$4:$F$100003,dCrit))/COUNTIFS('Safety Walkthroughs'!$D$4:$D$100003,"May",'Safety Walkthroughs'!$F$4:$F$100003,dCrit)*100,0)</f>
        <v>0</v>
      </c>
      <c r="AA438" s="23">
        <f>IFERROR((COUNTIFS('Safety Walkthroughs'!$M$4:$M$100003,"Closed",'Safety Walkthroughs'!$D$4:$D$100003,"Jun",'Safety Walkthroughs'!$F$4:$F$100003,dCrit))/COUNTIFS('Safety Walkthroughs'!$D$4:$D$100003,"Jun",'Safety Walkthroughs'!$F$4:$F$100003,dCrit)*100,0)</f>
        <v>0</v>
      </c>
      <c r="AB438" s="23">
        <f>IFERROR((COUNTIFS('Safety Walkthroughs'!$M$4:$M$100003,"Closed",'Safety Walkthroughs'!$D$4:$D$100003,"Jul",'Safety Walkthroughs'!$F$4:$F$100003,dCrit))/COUNTIFS('Safety Walkthroughs'!$D$4:$D$100003,"Jul",'Safety Walkthroughs'!$F$4:$F$100003,dCrit)*100,0)</f>
        <v>0</v>
      </c>
      <c r="AC438" s="23">
        <f>IFERROR((COUNTIFS('Safety Walkthroughs'!$M$4:$M$100003,"Closed",'Safety Walkthroughs'!$D$4:$D$100003,"Aug",'Safety Walkthroughs'!$F$4:$F$100003,dCrit))/COUNTIFS('Safety Walkthroughs'!$D$4:$D$100003,"Aug",'Safety Walkthroughs'!$F$4:$F$100003,dCrit)*100,0)</f>
        <v>0</v>
      </c>
      <c r="AD438" s="23">
        <f>IFERROR((COUNTIFS('Safety Walkthroughs'!$M$4:$M$100003,"Closed",'Safety Walkthroughs'!$D$4:$D$100003,"Sep",'Safety Walkthroughs'!$F$4:$F$100003,dCrit))/COUNTIFS('Safety Walkthroughs'!$D$4:$D$100003,"Sep",'Safety Walkthroughs'!$F$4:$F$100003,dCrit)*100,0)</f>
        <v>0</v>
      </c>
      <c r="AE438" s="23">
        <f>IFERROR((COUNTIFS('Safety Walkthroughs'!$M$4:$M$100003,"Closed",'Safety Walkthroughs'!$D$4:$D$100003,"Oct",'Safety Walkthroughs'!$F$4:$F$100003,dCrit))/COUNTIFS('Safety Walkthroughs'!$D$4:$D$100003,"Oct",'Safety Walkthroughs'!$F$4:$F$100003,dCrit)*100,0)</f>
        <v>0</v>
      </c>
      <c r="AF438" s="23">
        <f>IFERROR((COUNTIFS('Safety Walkthroughs'!$M$4:$M$100003,"Closed",'Safety Walkthroughs'!$D$4:$D$100003,"Nov",'Safety Walkthroughs'!$F$4:$F$100003,dCrit))/COUNTIFS('Safety Walkthroughs'!$D$4:$D$100003,"Nov",'Safety Walkthroughs'!$F$4:$F$100003,dCrit)*100,0)</f>
        <v>0</v>
      </c>
      <c r="AG438" s="23">
        <f>IFERROR((COUNTIFS('Safety Walkthroughs'!$M$4:$M$100003,"Closed",'Safety Walkthroughs'!$D$4:$D$100003,"Dec",'Safety Walkthroughs'!$F$4:$F$100003,dCrit))/COUNTIFS('Safety Walkthroughs'!$D$4:$D$100003,"Dec",'Safety Walkthroughs'!$F$4:$F$100003,dCrit)*100,0)</f>
        <v>0</v>
      </c>
      <c r="AH438" s="23">
        <f>IFERROR(AVERAGE(V438:AG438),0)</f>
        <v>0</v>
      </c>
    </row>
    <row r="439" spans="2:34">
      <c r="B439" s="21" t="s">
        <v>44</v>
      </c>
      <c r="C439" s="22">
        <f>COUNTIFS('Safety Walkthroughs'!$D$4:$D$100003,"Mar",'Safety Walkthroughs'!$F$4:$F$100003,dCrit)</f>
        <v>0</v>
      </c>
      <c r="E439" s="12" t="s">
        <v>17</v>
      </c>
      <c r="F439" s="22">
        <f>COUNTIFS('Safety Walkthroughs'!$L$4:$L$100003,"Satisfactory",'Safety Walkthroughs'!$D$4:$D$100003,mCrit,'Safety Walkthroughs'!$F$4:$F$100003,dCrit)</f>
        <v>0</v>
      </c>
      <c r="J439" s="12" t="s">
        <v>293</v>
      </c>
      <c r="K439" s="22">
        <f>COUNTIFS('Safety Walkthroughs'!$M$4:$M$100003,"Closed",'Safety Walkthroughs'!$D$4:$D$100003,mCrit,'Safety Walkthroughs'!$F$4:$F$100003,dCrit)</f>
        <v>0</v>
      </c>
      <c r="M439" s="12" t="s">
        <v>1877</v>
      </c>
      <c r="N439" s="22">
        <f>COUNTIFS('Safety Walkthroughs'!$M$4:$M$100003,"Open",'Safety Walkthroughs'!$D$4:$D$100003,mCrit,'Safety Walkthroughs'!$F$4:$F$100003,dCrit)+COUNTIFS('Safety Walkthroughs'!$M$4:$M$100003,"In Progress",'Safety Walkthroughs'!$D$4:$D$100003,mCrit,'Safety Walkthroughs'!$F$4:$F$100003,dCrit)+COUNTIFS('Safety Walkthroughs'!$M$4:$M$100003,"Overdue",'Safety Walkthroughs'!$D$4:$D$100003,mCrit,'Safety Walkthroughs'!$F$4:$F$100003,dCrit)</f>
        <v>0</v>
      </c>
      <c r="P439" s="12" t="s">
        <v>39</v>
      </c>
      <c r="Q439" s="22">
        <f>COUNTIFS('Safety Walkthroughs'!$D$4:$D$100003,mCrit,'Safety Walkthroughs'!$F$4:$F$100003,"Engineering")</f>
        <v>0</v>
      </c>
      <c r="R439" s="23">
        <f>IFERROR((COUNTIFS('Safety Walkthroughs'!$M$4:$M$100003,"Closed",'Safety Walkthroughs'!$D$4:$D$100003,mCrit,'Safety Walkthroughs'!$F$4:$F$100003,"Engineering"))/COUNTIFS('Safety Walkthroughs'!$D$4:$D$100003,mCrit,'Safety Walkthroughs'!$F$4:$F$100003,"Engineering")*100,0)</f>
        <v>0</v>
      </c>
      <c r="S439" s="22">
        <f>COUNTIFS('Safety Walkthroughs'!$D$4:$D$100003,mCrit,'Safety Walkthroughs'!$F$4:$F$100003,"Engineering")</f>
        <v>0</v>
      </c>
    </row>
    <row r="440" spans="2:34">
      <c r="B440" s="21" t="s">
        <v>53</v>
      </c>
      <c r="C440" s="22">
        <f>COUNTIFS('Safety Walkthroughs'!$D$4:$D$100003,"Apr",'Safety Walkthroughs'!$F$4:$F$100003,dCrit)</f>
        <v>0</v>
      </c>
      <c r="E440" s="12" t="s">
        <v>96</v>
      </c>
      <c r="F440" s="22">
        <f>COUNTIFS('Safety Walkthroughs'!$L$4:$L$100003,"Needs Improvement",'Safety Walkthroughs'!$D$4:$D$100003,mCrit,'Safety Walkthroughs'!$F$4:$F$100003,dCrit)</f>
        <v>0</v>
      </c>
      <c r="J440" s="12" t="s">
        <v>238</v>
      </c>
      <c r="K440" s="22">
        <f>COUNTIFS('Safety Walkthroughs'!$M$4:$M$100003,"Overdue",'Safety Walkthroughs'!$D$4:$D$100003,mCrit,'Safety Walkthroughs'!$F$4:$F$100003,dCrit)</f>
        <v>0</v>
      </c>
      <c r="M440" s="12" t="s">
        <v>238</v>
      </c>
      <c r="N440" s="22">
        <f>COUNTIFS('Safety Walkthroughs'!$M$4:$M$100003,"Overdue",'Safety Walkthroughs'!$D$4:$D$100003,mCrit,'Safety Walkthroughs'!$F$4:$F$100003,dCrit)</f>
        <v>0</v>
      </c>
      <c r="P440" s="12" t="s">
        <v>89</v>
      </c>
      <c r="Q440" s="22">
        <f>COUNTIFS('Safety Walkthroughs'!$D$4:$D$100003,mCrit,'Safety Walkthroughs'!$F$4:$F$100003,"Construction")</f>
        <v>0</v>
      </c>
      <c r="R440" s="23">
        <f>IFERROR((COUNTIFS('Safety Walkthroughs'!$M$4:$M$100003,"Closed",'Safety Walkthroughs'!$D$4:$D$100003,mCrit,'Safety Walkthroughs'!$F$4:$F$100003,"Construction"))/COUNTIFS('Safety Walkthroughs'!$D$4:$D$100003,mCrit,'Safety Walkthroughs'!$F$4:$F$100003,"Construction")*100,0)</f>
        <v>0</v>
      </c>
      <c r="S440" s="22">
        <f>COUNTIFS('Safety Walkthroughs'!$D$4:$D$100003,mCrit,'Safety Walkthroughs'!$F$4:$F$100003,"Construction")</f>
        <v>0</v>
      </c>
    </row>
    <row r="441" spans="2:34">
      <c r="B441" s="21" t="s">
        <v>60</v>
      </c>
      <c r="C441" s="22">
        <f>COUNTIFS('Safety Walkthroughs'!$D$4:$D$100003,"May",'Safety Walkthroughs'!$F$4:$F$100003,dCrit)</f>
        <v>0</v>
      </c>
      <c r="E441" s="12" t="s">
        <v>24</v>
      </c>
      <c r="F441" s="22">
        <f>COUNTIFS('Safety Walkthroughs'!$L$4:$L$100003,"Unsatisfactory",'Safety Walkthroughs'!$D$4:$D$100003,mCrit,'Safety Walkthroughs'!$F$4:$F$100003,dCrit)</f>
        <v>0</v>
      </c>
      <c r="M441" s="12" t="s">
        <v>410</v>
      </c>
      <c r="N441" s="22">
        <f>SUMIFS('Safety Walkthroughs'!$J$4:$J$100003,'Safety Walkthroughs'!$D$4:$D$100003,mCrit,'Safety Walkthroughs'!$F$4:$F$100003,dCrit)</f>
        <v>0</v>
      </c>
      <c r="P441" s="12" t="s">
        <v>65</v>
      </c>
      <c r="Q441" s="22">
        <f>COUNTIFS('Safety Walkthroughs'!$D$4:$D$100003,mCrit,'Safety Walkthroughs'!$F$4:$F$100003,"Safety")</f>
        <v>0</v>
      </c>
      <c r="R441" s="23">
        <f>IFERROR((COUNTIFS('Safety Walkthroughs'!$M$4:$M$100003,"Closed",'Safety Walkthroughs'!$D$4:$D$100003,mCrit,'Safety Walkthroughs'!$F$4:$F$100003,"Safety"))/COUNTIFS('Safety Walkthroughs'!$D$4:$D$100003,mCrit,'Safety Walkthroughs'!$F$4:$F$100003,"Safety")*100,0)</f>
        <v>0</v>
      </c>
      <c r="S441" s="22">
        <f>COUNTIFS('Safety Walkthroughs'!$D$4:$D$100003,mCrit,'Safety Walkthroughs'!$F$4:$F$100003,"Safety")</f>
        <v>0</v>
      </c>
    </row>
    <row r="442" spans="2:34">
      <c r="B442" s="21" t="s">
        <v>73</v>
      </c>
      <c r="C442" s="22">
        <f>COUNTIFS('Safety Walkthroughs'!$D$4:$D$100003,"Jun",'Safety Walkthroughs'!$F$4:$F$100003,dCrit)</f>
        <v>0</v>
      </c>
      <c r="M442" s="12" t="s">
        <v>411</v>
      </c>
      <c r="N442" s="22">
        <f>SUMIFS('Safety Walkthroughs'!$K$4:$K$100003,'Safety Walkthroughs'!$D$4:$D$100003,mCrit,'Safety Walkthroughs'!$F$4:$F$100003,dCrit)</f>
        <v>0</v>
      </c>
      <c r="P442" s="12" t="s">
        <v>5</v>
      </c>
      <c r="Q442" s="22">
        <f>COUNTIFS('Safety Walkthroughs'!$D$4:$D$100003,mCrit,'Safety Walkthroughs'!$F$4:$F$100003,"Logistics")</f>
        <v>0</v>
      </c>
      <c r="R442" s="23">
        <f>IFERROR((COUNTIFS('Safety Walkthroughs'!$M$4:$M$100003,"Closed",'Safety Walkthroughs'!$D$4:$D$100003,mCrit,'Safety Walkthroughs'!$F$4:$F$100003,"Logistics"))/COUNTIFS('Safety Walkthroughs'!$D$4:$D$100003,mCrit,'Safety Walkthroughs'!$F$4:$F$100003,"Logistics")*100,0)</f>
        <v>0</v>
      </c>
      <c r="S442" s="22">
        <f>COUNTIFS('Safety Walkthroughs'!$D$4:$D$100003,mCrit,'Safety Walkthroughs'!$F$4:$F$100003,"Logistics")</f>
        <v>0</v>
      </c>
    </row>
    <row r="443" spans="2:34">
      <c r="B443" s="21" t="s">
        <v>76</v>
      </c>
      <c r="C443" s="22">
        <f>COUNTIFS('Safety Walkthroughs'!$D$4:$D$100003,"Jul",'Safety Walkthroughs'!$F$4:$F$100003,dCrit)</f>
        <v>0</v>
      </c>
      <c r="M443" s="12" t="s">
        <v>1888</v>
      </c>
      <c r="N443" s="22">
        <f>IFERROR(AVERAGEIFS('Safety Walkthroughs'!$I$4:$I$100003,'Safety Walkthroughs'!$D$4:$D$100003,mCrit,'Safety Walkthroughs'!$F$4:$F$100003,dCrit),0)</f>
        <v>0</v>
      </c>
      <c r="P443" s="12" t="s">
        <v>50</v>
      </c>
      <c r="Q443" s="22">
        <f>COUNTIFS('Safety Walkthroughs'!$D$4:$D$100003,mCrit,'Safety Walkthroughs'!$F$4:$F$100003,"Quality")</f>
        <v>0</v>
      </c>
      <c r="R443" s="23">
        <f>IFERROR((COUNTIFS('Safety Walkthroughs'!$M$4:$M$100003,"Closed",'Safety Walkthroughs'!$D$4:$D$100003,mCrit,'Safety Walkthroughs'!$F$4:$F$100003,"Quality"))/COUNTIFS('Safety Walkthroughs'!$D$4:$D$100003,mCrit,'Safety Walkthroughs'!$F$4:$F$100003,"Quality")*100,0)</f>
        <v>0</v>
      </c>
      <c r="S443" s="22">
        <f>COUNTIFS('Safety Walkthroughs'!$D$4:$D$100003,mCrit,'Safety Walkthroughs'!$F$4:$F$100003,"Quality")</f>
        <v>0</v>
      </c>
    </row>
    <row r="444" spans="2:34">
      <c r="B444" s="21" t="s">
        <v>86</v>
      </c>
      <c r="C444" s="22">
        <f>COUNTIFS('Safety Walkthroughs'!$D$4:$D$100003,"Aug",'Safety Walkthroughs'!$F$4:$F$100003,dCrit)</f>
        <v>0</v>
      </c>
      <c r="P444" s="12" t="s">
        <v>46</v>
      </c>
      <c r="Q444" s="22">
        <f>COUNTIFS('Safety Walkthroughs'!$D$4:$D$100003,mCrit,'Safety Walkthroughs'!$F$4:$F$100003,"Admin")</f>
        <v>0</v>
      </c>
      <c r="R444" s="23">
        <f>IFERROR((COUNTIFS('Safety Walkthroughs'!$M$4:$M$100003,"Closed",'Safety Walkthroughs'!$D$4:$D$100003,mCrit,'Safety Walkthroughs'!$F$4:$F$100003,"Admin"))/COUNTIFS('Safety Walkthroughs'!$D$4:$D$100003,mCrit,'Safety Walkthroughs'!$F$4:$F$100003,"Admin")*100,0)</f>
        <v>0</v>
      </c>
      <c r="S444" s="22">
        <f>COUNTIFS('Safety Walkthroughs'!$D$4:$D$100003,mCrit,'Safety Walkthroughs'!$F$4:$F$100003,"Admin")</f>
        <v>0</v>
      </c>
    </row>
    <row r="445" spans="2:34">
      <c r="B445" s="21" t="s">
        <v>102</v>
      </c>
      <c r="C445" s="22">
        <f>COUNTIFS('Safety Walkthroughs'!$D$4:$D$100003,"Sep",'Safety Walkthroughs'!$F$4:$F$100003,dCrit)</f>
        <v>0</v>
      </c>
      <c r="P445" s="12" t="s">
        <v>13</v>
      </c>
      <c r="Q445" s="22">
        <f>COUNTIFS('Safety Walkthroughs'!$D$4:$D$100003,mCrit,'Safety Walkthroughs'!$F$4:$F$100003,"Projects")</f>
        <v>0</v>
      </c>
      <c r="R445" s="23">
        <f>IFERROR((COUNTIFS('Safety Walkthroughs'!$M$4:$M$100003,"Closed",'Safety Walkthroughs'!$D$4:$D$100003,mCrit,'Safety Walkthroughs'!$F$4:$F$100003,"Projects"))/COUNTIFS('Safety Walkthroughs'!$D$4:$D$100003,mCrit,'Safety Walkthroughs'!$F$4:$F$100003,"Projects")*100,0)</f>
        <v>0</v>
      </c>
      <c r="S445" s="22">
        <f>COUNTIFS('Safety Walkthroughs'!$D$4:$D$100003,mCrit,'Safety Walkthroughs'!$F$4:$F$100003,"Projects")</f>
        <v>0</v>
      </c>
    </row>
    <row r="446" spans="2:34">
      <c r="B446" s="21" t="s">
        <v>106</v>
      </c>
      <c r="C446" s="22">
        <f>COUNTIFS('Safety Walkthroughs'!$D$4:$D$100003,"Oct",'Safety Walkthroughs'!$F$4:$F$100003,dCrit)</f>
        <v>0</v>
      </c>
      <c r="P446" s="12" t="s">
        <v>58</v>
      </c>
      <c r="Q446" s="22">
        <f>COUNTIFS('Safety Walkthroughs'!$D$4:$D$100003,mCrit,'Safety Walkthroughs'!$F$4:$F$100003,"Contractor")</f>
        <v>0</v>
      </c>
      <c r="R446" s="23">
        <f>IFERROR((COUNTIFS('Safety Walkthroughs'!$M$4:$M$100003,"Closed",'Safety Walkthroughs'!$D$4:$D$100003,mCrit,'Safety Walkthroughs'!$F$4:$F$100003,"Contractor"))/COUNTIFS('Safety Walkthroughs'!$D$4:$D$100003,mCrit,'Safety Walkthroughs'!$F$4:$F$100003,"Contractor")*100,0)</f>
        <v>0</v>
      </c>
      <c r="S446" s="22">
        <f>COUNTIFS('Safety Walkthroughs'!$D$4:$D$100003,mCrit,'Safety Walkthroughs'!$F$4:$F$100003,"Contractor")</f>
        <v>0</v>
      </c>
    </row>
    <row r="447" spans="2:34">
      <c r="B447" s="21" t="s">
        <v>111</v>
      </c>
      <c r="C447" s="22">
        <f>COUNTIFS('Safety Walkthroughs'!$D$4:$D$100003,"Nov",'Safety Walkthroughs'!$F$4:$F$100003,dCrit)</f>
        <v>0</v>
      </c>
    </row>
    <row r="448" spans="2:34">
      <c r="B448" s="21" t="s">
        <v>122</v>
      </c>
      <c r="C448" s="22">
        <f>COUNTIFS('Safety Walkthroughs'!$D$4:$D$100003,"Dec",'Safety Walkthroughs'!$F$4:$F$100003,dCrit)</f>
        <v>0</v>
      </c>
    </row>
    <row r="461" spans="2:34">
      <c r="B461" s="16" t="s">
        <v>1891</v>
      </c>
    </row>
    <row r="462" spans="2:34">
      <c r="B462" s="11" t="s">
        <v>127</v>
      </c>
      <c r="C462" s="11" t="s">
        <v>1808</v>
      </c>
      <c r="E462" s="11" t="s">
        <v>566</v>
      </c>
      <c r="F462" s="11" t="s">
        <v>1808</v>
      </c>
      <c r="G462" s="11" t="s">
        <v>574</v>
      </c>
      <c r="H462" s="11" t="s">
        <v>1808</v>
      </c>
      <c r="M462" s="11" t="s">
        <v>1752</v>
      </c>
      <c r="N462" s="11" t="s">
        <v>1867</v>
      </c>
      <c r="P462" s="11" t="s">
        <v>129</v>
      </c>
      <c r="Q462" s="11" t="s">
        <v>1808</v>
      </c>
      <c r="R462" s="11" t="s">
        <v>1872</v>
      </c>
      <c r="S462" s="11" t="s">
        <v>1869</v>
      </c>
      <c r="U462" s="11" t="s">
        <v>1873</v>
      </c>
      <c r="V462" s="11" t="s">
        <v>3</v>
      </c>
      <c r="W462" s="11" t="s">
        <v>19</v>
      </c>
      <c r="X462" s="11" t="s">
        <v>44</v>
      </c>
      <c r="Y462" s="11" t="s">
        <v>53</v>
      </c>
      <c r="Z462" s="11" t="s">
        <v>60</v>
      </c>
      <c r="AA462" s="11" t="s">
        <v>73</v>
      </c>
      <c r="AB462" s="11" t="s">
        <v>76</v>
      </c>
      <c r="AC462" s="11" t="s">
        <v>86</v>
      </c>
      <c r="AD462" s="11" t="s">
        <v>102</v>
      </c>
      <c r="AE462" s="11" t="s">
        <v>106</v>
      </c>
      <c r="AF462" s="11" t="s">
        <v>111</v>
      </c>
      <c r="AG462" s="11" t="s">
        <v>122</v>
      </c>
      <c r="AH462" s="11" t="s">
        <v>1874</v>
      </c>
    </row>
    <row r="463" spans="2:34">
      <c r="B463" s="21" t="s">
        <v>3</v>
      </c>
      <c r="C463" s="22">
        <f>COUNTIFS('Safety Meetings'!$D$4:$D$100003,"Jan",'Safety Meetings'!$G$4:$G$100003,dCrit)</f>
        <v>0</v>
      </c>
      <c r="E463" s="12" t="s">
        <v>514</v>
      </c>
      <c r="F463" s="22">
        <f>COUNTIFS('Safety Meetings'!$E$4:$E$100003,"Weekly",'Safety Meetings'!$D$4:$D$100003,mCrit,'Safety Meetings'!$G$4:$G$100003,dCrit)</f>
        <v>0</v>
      </c>
      <c r="G463" s="12" t="s">
        <v>9</v>
      </c>
      <c r="H463" s="22">
        <f>COUNTIFS('Safety Meetings'!$P$4:$P$100003,"Yes",'Safety Meetings'!$D$4:$D$100003,mCrit,'Safety Meetings'!$G$4:$G$100003,dCrit)</f>
        <v>0</v>
      </c>
      <c r="M463" s="12" t="s">
        <v>1868</v>
      </c>
      <c r="N463" s="22">
        <f>COUNTIFS('Safety Meetings'!$D$4:$D$100003,mCrit,'Safety Meetings'!$G$4:$G$100003,dCrit)</f>
        <v>0</v>
      </c>
      <c r="P463" s="12" t="s">
        <v>27</v>
      </c>
      <c r="Q463" s="22">
        <f>COUNTIFS('Safety Meetings'!$D$4:$D$100003,mCrit,'Safety Meetings'!$G$4:$G$100003,"Operations")</f>
        <v>0</v>
      </c>
      <c r="R463" s="22">
        <f>COUNTIFS('Safety Meetings'!$D$4:$D$100003,mCrit,'Safety Meetings'!$G$4:$G$100003,"Operations")</f>
        <v>0</v>
      </c>
      <c r="S463" s="23">
        <f>IFERROR(AVERAGEIFS('Safety Meetings'!$K$4:$K$100003,'Safety Meetings'!$D$4:$D$100003,mCrit,'Safety Meetings'!$G$4:$G$100003,"Operations"),0)</f>
        <v>0</v>
      </c>
      <c r="U463" s="12" t="s">
        <v>1872</v>
      </c>
      <c r="V463" s="22">
        <f>COUNTIFS('Safety Meetings'!$D$4:$D$100003,"Jan",'Safety Meetings'!$G$4:$G$100003,dCrit)</f>
        <v>0</v>
      </c>
      <c r="W463" s="22">
        <f>COUNTIFS('Safety Meetings'!$D$4:$D$100003,"Feb",'Safety Meetings'!$G$4:$G$100003,dCrit)</f>
        <v>0</v>
      </c>
      <c r="X463" s="22">
        <f>COUNTIFS('Safety Meetings'!$D$4:$D$100003,"Mar",'Safety Meetings'!$G$4:$G$100003,dCrit)</f>
        <v>0</v>
      </c>
      <c r="Y463" s="22">
        <f>COUNTIFS('Safety Meetings'!$D$4:$D$100003,"Apr",'Safety Meetings'!$G$4:$G$100003,dCrit)</f>
        <v>0</v>
      </c>
      <c r="Z463" s="22">
        <f>COUNTIFS('Safety Meetings'!$D$4:$D$100003,"May",'Safety Meetings'!$G$4:$G$100003,dCrit)</f>
        <v>0</v>
      </c>
      <c r="AA463" s="22">
        <f>COUNTIFS('Safety Meetings'!$D$4:$D$100003,"Jun",'Safety Meetings'!$G$4:$G$100003,dCrit)</f>
        <v>0</v>
      </c>
      <c r="AB463" s="22">
        <f>COUNTIFS('Safety Meetings'!$D$4:$D$100003,"Jul",'Safety Meetings'!$G$4:$G$100003,dCrit)</f>
        <v>0</v>
      </c>
      <c r="AC463" s="22">
        <f>COUNTIFS('Safety Meetings'!$D$4:$D$100003,"Aug",'Safety Meetings'!$G$4:$G$100003,dCrit)</f>
        <v>0</v>
      </c>
      <c r="AD463" s="22">
        <f>COUNTIFS('Safety Meetings'!$D$4:$D$100003,"Sep",'Safety Meetings'!$G$4:$G$100003,dCrit)</f>
        <v>0</v>
      </c>
      <c r="AE463" s="22">
        <f>COUNTIFS('Safety Meetings'!$D$4:$D$100003,"Oct",'Safety Meetings'!$G$4:$G$100003,dCrit)</f>
        <v>0</v>
      </c>
      <c r="AF463" s="22">
        <f>COUNTIFS('Safety Meetings'!$D$4:$D$100003,"Nov",'Safety Meetings'!$G$4:$G$100003,dCrit)</f>
        <v>0</v>
      </c>
      <c r="AG463" s="22">
        <f>COUNTIFS('Safety Meetings'!$D$4:$D$100003,"Dec",'Safety Meetings'!$G$4:$G$100003,dCrit)</f>
        <v>0</v>
      </c>
      <c r="AH463" s="22">
        <f>SUM(V463:AG463)</f>
        <v>0</v>
      </c>
    </row>
    <row r="464" spans="2:34">
      <c r="B464" s="21" t="s">
        <v>19</v>
      </c>
      <c r="C464" s="22">
        <f>COUNTIFS('Safety Meetings'!$D$4:$D$100003,"Feb",'Safety Meetings'!$G$4:$G$100003,dCrit)</f>
        <v>0</v>
      </c>
      <c r="E464" s="12" t="s">
        <v>523</v>
      </c>
      <c r="F464" s="22">
        <f>COUNTIFS('Safety Meetings'!$E$4:$E$100003,"Monthly",'Safety Meetings'!$D$4:$D$100003,mCrit,'Safety Meetings'!$G$4:$G$100003,dCrit)</f>
        <v>0</v>
      </c>
      <c r="G464" s="12" t="s">
        <v>23</v>
      </c>
      <c r="H464" s="22">
        <f>COUNTIFS('Safety Meetings'!$P$4:$P$100003,"No",'Safety Meetings'!$D$4:$D$100003,mCrit,'Safety Meetings'!$G$4:$G$100003,dCrit)</f>
        <v>0</v>
      </c>
      <c r="M464" s="12" t="s">
        <v>1869</v>
      </c>
      <c r="N464" s="23">
        <f>IFERROR(AVERAGEIFS('Safety Meetings'!$K$4:$K$100003,'Safety Meetings'!$D$4:$D$100003,mCrit,'Safety Meetings'!$G$4:$G$100003,dCrit),0)</f>
        <v>0</v>
      </c>
      <c r="P464" s="12" t="s">
        <v>92</v>
      </c>
      <c r="Q464" s="22">
        <f>COUNTIFS('Safety Meetings'!$D$4:$D$100003,mCrit,'Safety Meetings'!$G$4:$G$100003,"Maintenance")</f>
        <v>0</v>
      </c>
      <c r="R464" s="22">
        <f>COUNTIFS('Safety Meetings'!$D$4:$D$100003,mCrit,'Safety Meetings'!$G$4:$G$100003,"Maintenance")</f>
        <v>0</v>
      </c>
      <c r="S464" s="23">
        <f>IFERROR(AVERAGEIFS('Safety Meetings'!$K$4:$K$100003,'Safety Meetings'!$D$4:$D$100003,mCrit,'Safety Meetings'!$G$4:$G$100003,"Maintenance"),0)</f>
        <v>0</v>
      </c>
      <c r="U464" s="12" t="s">
        <v>1869</v>
      </c>
      <c r="V464" s="23">
        <f>IFERROR(AVERAGEIFS('Safety Meetings'!$K$4:$K$100003,'Safety Meetings'!$D$4:$D$100003,"Jan",'Safety Meetings'!$G$4:$G$100003,dCrit),0)</f>
        <v>0</v>
      </c>
      <c r="W464" s="23">
        <f>IFERROR(AVERAGEIFS('Safety Meetings'!$K$4:$K$100003,'Safety Meetings'!$D$4:$D$100003,"Feb",'Safety Meetings'!$G$4:$G$100003,dCrit),0)</f>
        <v>0</v>
      </c>
      <c r="X464" s="23">
        <f>IFERROR(AVERAGEIFS('Safety Meetings'!$K$4:$K$100003,'Safety Meetings'!$D$4:$D$100003,"Mar",'Safety Meetings'!$G$4:$G$100003,dCrit),0)</f>
        <v>0</v>
      </c>
      <c r="Y464" s="23">
        <f>IFERROR(AVERAGEIFS('Safety Meetings'!$K$4:$K$100003,'Safety Meetings'!$D$4:$D$100003,"Apr",'Safety Meetings'!$G$4:$G$100003,dCrit),0)</f>
        <v>0</v>
      </c>
      <c r="Z464" s="23">
        <f>IFERROR(AVERAGEIFS('Safety Meetings'!$K$4:$K$100003,'Safety Meetings'!$D$4:$D$100003,"May",'Safety Meetings'!$G$4:$G$100003,dCrit),0)</f>
        <v>0</v>
      </c>
      <c r="AA464" s="23">
        <f>IFERROR(AVERAGEIFS('Safety Meetings'!$K$4:$K$100003,'Safety Meetings'!$D$4:$D$100003,"Jun",'Safety Meetings'!$G$4:$G$100003,dCrit),0)</f>
        <v>0</v>
      </c>
      <c r="AB464" s="23">
        <f>IFERROR(AVERAGEIFS('Safety Meetings'!$K$4:$K$100003,'Safety Meetings'!$D$4:$D$100003,"Jul",'Safety Meetings'!$G$4:$G$100003,dCrit),0)</f>
        <v>0</v>
      </c>
      <c r="AC464" s="23">
        <f>IFERROR(AVERAGEIFS('Safety Meetings'!$K$4:$K$100003,'Safety Meetings'!$D$4:$D$100003,"Aug",'Safety Meetings'!$G$4:$G$100003,dCrit),0)</f>
        <v>0</v>
      </c>
      <c r="AD464" s="23">
        <f>IFERROR(AVERAGEIFS('Safety Meetings'!$K$4:$K$100003,'Safety Meetings'!$D$4:$D$100003,"Sep",'Safety Meetings'!$G$4:$G$100003,dCrit),0)</f>
        <v>0</v>
      </c>
      <c r="AE464" s="23">
        <f>IFERROR(AVERAGEIFS('Safety Meetings'!$K$4:$K$100003,'Safety Meetings'!$D$4:$D$100003,"Oct",'Safety Meetings'!$G$4:$G$100003,dCrit),0)</f>
        <v>0</v>
      </c>
      <c r="AF464" s="23">
        <f>IFERROR(AVERAGEIFS('Safety Meetings'!$K$4:$K$100003,'Safety Meetings'!$D$4:$D$100003,"Nov",'Safety Meetings'!$G$4:$G$100003,dCrit),0)</f>
        <v>0</v>
      </c>
      <c r="AG464" s="23">
        <f>IFERROR(AVERAGEIFS('Safety Meetings'!$K$4:$K$100003,'Safety Meetings'!$D$4:$D$100003,"Dec",'Safety Meetings'!$G$4:$G$100003,dCrit),0)</f>
        <v>0</v>
      </c>
      <c r="AH464" s="23">
        <f>IFERROR(AVERAGE(V464:AG464),0)</f>
        <v>0</v>
      </c>
    </row>
    <row r="465" spans="2:19">
      <c r="B465" s="21" t="s">
        <v>44</v>
      </c>
      <c r="C465" s="22">
        <f>COUNTIFS('Safety Meetings'!$D$4:$D$100003,"Mar",'Safety Meetings'!$G$4:$G$100003,dCrit)</f>
        <v>0</v>
      </c>
      <c r="E465" s="12" t="s">
        <v>516</v>
      </c>
      <c r="F465" s="22">
        <f>COUNTIFS('Safety Meetings'!$E$4:$E$100003,"Quarterly",'Safety Meetings'!$D$4:$D$100003,mCrit,'Safety Meetings'!$G$4:$G$100003,dCrit)</f>
        <v>0</v>
      </c>
      <c r="M465" s="12" t="s">
        <v>1892</v>
      </c>
      <c r="N465" s="23">
        <f>IFERROR(AVERAGEIFS('Safety Meetings'!$O$4:$O$100003,'Safety Meetings'!$D$4:$D$100003,mCrit,'Safety Meetings'!$G$4:$G$100003,dCrit),0)</f>
        <v>0</v>
      </c>
      <c r="P465" s="12" t="s">
        <v>39</v>
      </c>
      <c r="Q465" s="22">
        <f>COUNTIFS('Safety Meetings'!$D$4:$D$100003,mCrit,'Safety Meetings'!$G$4:$G$100003,"Engineering")</f>
        <v>0</v>
      </c>
      <c r="R465" s="22">
        <f>COUNTIFS('Safety Meetings'!$D$4:$D$100003,mCrit,'Safety Meetings'!$G$4:$G$100003,"Engineering")</f>
        <v>0</v>
      </c>
      <c r="S465" s="23">
        <f>IFERROR(AVERAGEIFS('Safety Meetings'!$K$4:$K$100003,'Safety Meetings'!$D$4:$D$100003,mCrit,'Safety Meetings'!$G$4:$G$100003,"Engineering"),0)</f>
        <v>0</v>
      </c>
    </row>
    <row r="466" spans="2:19">
      <c r="B466" s="21" t="s">
        <v>53</v>
      </c>
      <c r="C466" s="22">
        <f>COUNTIFS('Safety Meetings'!$D$4:$D$100003,"Apr",'Safety Meetings'!$G$4:$G$100003,dCrit)</f>
        <v>0</v>
      </c>
      <c r="E466" s="12" t="s">
        <v>518</v>
      </c>
      <c r="F466" s="22">
        <f>COUNTIFS('Safety Meetings'!$E$4:$E$100003,"Annual",'Safety Meetings'!$D$4:$D$100003,mCrit,'Safety Meetings'!$G$4:$G$100003,dCrit)</f>
        <v>0</v>
      </c>
      <c r="M466" s="12" t="s">
        <v>879</v>
      </c>
      <c r="N466" s="22">
        <f>SUMIFS('Safety Meetings'!$M$4:$M$100003,'Safety Meetings'!$D$4:$D$100003,mCrit,'Safety Meetings'!$G$4:$G$100003,dCrit)</f>
        <v>0</v>
      </c>
      <c r="P466" s="12" t="s">
        <v>89</v>
      </c>
      <c r="Q466" s="22">
        <f>COUNTIFS('Safety Meetings'!$D$4:$D$100003,mCrit,'Safety Meetings'!$G$4:$G$100003,"Construction")</f>
        <v>0</v>
      </c>
      <c r="R466" s="22">
        <f>COUNTIFS('Safety Meetings'!$D$4:$D$100003,mCrit,'Safety Meetings'!$G$4:$G$100003,"Construction")</f>
        <v>0</v>
      </c>
      <c r="S466" s="23">
        <f>IFERROR(AVERAGEIFS('Safety Meetings'!$K$4:$K$100003,'Safety Meetings'!$D$4:$D$100003,mCrit,'Safety Meetings'!$G$4:$G$100003,"Construction"),0)</f>
        <v>0</v>
      </c>
    </row>
    <row r="467" spans="2:19">
      <c r="B467" s="21" t="s">
        <v>60</v>
      </c>
      <c r="C467" s="22">
        <f>COUNTIFS('Safety Meetings'!$D$4:$D$100003,"May",'Safety Meetings'!$G$4:$G$100003,dCrit)</f>
        <v>0</v>
      </c>
      <c r="P467" s="12" t="s">
        <v>65</v>
      </c>
      <c r="Q467" s="22">
        <f>COUNTIFS('Safety Meetings'!$D$4:$D$100003,mCrit,'Safety Meetings'!$G$4:$G$100003,"Safety")</f>
        <v>0</v>
      </c>
      <c r="R467" s="22">
        <f>COUNTIFS('Safety Meetings'!$D$4:$D$100003,mCrit,'Safety Meetings'!$G$4:$G$100003,"Safety")</f>
        <v>0</v>
      </c>
      <c r="S467" s="23">
        <f>IFERROR(AVERAGEIFS('Safety Meetings'!$K$4:$K$100003,'Safety Meetings'!$D$4:$D$100003,mCrit,'Safety Meetings'!$G$4:$G$100003,"Safety"),0)</f>
        <v>0</v>
      </c>
    </row>
    <row r="468" spans="2:19">
      <c r="B468" s="21" t="s">
        <v>73</v>
      </c>
      <c r="C468" s="22">
        <f>COUNTIFS('Safety Meetings'!$D$4:$D$100003,"Jun",'Safety Meetings'!$G$4:$G$100003,dCrit)</f>
        <v>0</v>
      </c>
      <c r="P468" s="12" t="s">
        <v>5</v>
      </c>
      <c r="Q468" s="22">
        <f>COUNTIFS('Safety Meetings'!$D$4:$D$100003,mCrit,'Safety Meetings'!$G$4:$G$100003,"Logistics")</f>
        <v>0</v>
      </c>
      <c r="R468" s="22">
        <f>COUNTIFS('Safety Meetings'!$D$4:$D$100003,mCrit,'Safety Meetings'!$G$4:$G$100003,"Logistics")</f>
        <v>0</v>
      </c>
      <c r="S468" s="23">
        <f>IFERROR(AVERAGEIFS('Safety Meetings'!$K$4:$K$100003,'Safety Meetings'!$D$4:$D$100003,mCrit,'Safety Meetings'!$G$4:$G$100003,"Logistics"),0)</f>
        <v>0</v>
      </c>
    </row>
    <row r="469" spans="2:19">
      <c r="B469" s="21" t="s">
        <v>76</v>
      </c>
      <c r="C469" s="22">
        <f>COUNTIFS('Safety Meetings'!$D$4:$D$100003,"Jul",'Safety Meetings'!$G$4:$G$100003,dCrit)</f>
        <v>0</v>
      </c>
      <c r="P469" s="12" t="s">
        <v>50</v>
      </c>
      <c r="Q469" s="22">
        <f>COUNTIFS('Safety Meetings'!$D$4:$D$100003,mCrit,'Safety Meetings'!$G$4:$G$100003,"Quality")</f>
        <v>0</v>
      </c>
      <c r="R469" s="22">
        <f>COUNTIFS('Safety Meetings'!$D$4:$D$100003,mCrit,'Safety Meetings'!$G$4:$G$100003,"Quality")</f>
        <v>0</v>
      </c>
      <c r="S469" s="23">
        <f>IFERROR(AVERAGEIFS('Safety Meetings'!$K$4:$K$100003,'Safety Meetings'!$D$4:$D$100003,mCrit,'Safety Meetings'!$G$4:$G$100003,"Quality"),0)</f>
        <v>0</v>
      </c>
    </row>
    <row r="470" spans="2:19">
      <c r="B470" s="21" t="s">
        <v>86</v>
      </c>
      <c r="C470" s="22">
        <f>COUNTIFS('Safety Meetings'!$D$4:$D$100003,"Aug",'Safety Meetings'!$G$4:$G$100003,dCrit)</f>
        <v>0</v>
      </c>
      <c r="P470" s="12" t="s">
        <v>46</v>
      </c>
      <c r="Q470" s="22">
        <f>COUNTIFS('Safety Meetings'!$D$4:$D$100003,mCrit,'Safety Meetings'!$G$4:$G$100003,"Admin")</f>
        <v>0</v>
      </c>
      <c r="R470" s="22">
        <f>COUNTIFS('Safety Meetings'!$D$4:$D$100003,mCrit,'Safety Meetings'!$G$4:$G$100003,"Admin")</f>
        <v>0</v>
      </c>
      <c r="S470" s="23">
        <f>IFERROR(AVERAGEIFS('Safety Meetings'!$K$4:$K$100003,'Safety Meetings'!$D$4:$D$100003,mCrit,'Safety Meetings'!$G$4:$G$100003,"Admin"),0)</f>
        <v>0</v>
      </c>
    </row>
    <row r="471" spans="2:19">
      <c r="B471" s="21" t="s">
        <v>102</v>
      </c>
      <c r="C471" s="22">
        <f>COUNTIFS('Safety Meetings'!$D$4:$D$100003,"Sep",'Safety Meetings'!$G$4:$G$100003,dCrit)</f>
        <v>0</v>
      </c>
      <c r="P471" s="12" t="s">
        <v>13</v>
      </c>
      <c r="Q471" s="22">
        <f>COUNTIFS('Safety Meetings'!$D$4:$D$100003,mCrit,'Safety Meetings'!$G$4:$G$100003,"Projects")</f>
        <v>0</v>
      </c>
      <c r="R471" s="22">
        <f>COUNTIFS('Safety Meetings'!$D$4:$D$100003,mCrit,'Safety Meetings'!$G$4:$G$100003,"Projects")</f>
        <v>0</v>
      </c>
      <c r="S471" s="23">
        <f>IFERROR(AVERAGEIFS('Safety Meetings'!$K$4:$K$100003,'Safety Meetings'!$D$4:$D$100003,mCrit,'Safety Meetings'!$G$4:$G$100003,"Projects"),0)</f>
        <v>0</v>
      </c>
    </row>
    <row r="472" spans="2:19">
      <c r="B472" s="21" t="s">
        <v>106</v>
      </c>
      <c r="C472" s="22">
        <f>COUNTIFS('Safety Meetings'!$D$4:$D$100003,"Oct",'Safety Meetings'!$G$4:$G$100003,dCrit)</f>
        <v>0</v>
      </c>
      <c r="P472" s="12" t="s">
        <v>58</v>
      </c>
      <c r="Q472" s="22">
        <f>COUNTIFS('Safety Meetings'!$D$4:$D$100003,mCrit,'Safety Meetings'!$G$4:$G$100003,"Contractor")</f>
        <v>0</v>
      </c>
      <c r="R472" s="22">
        <f>COUNTIFS('Safety Meetings'!$D$4:$D$100003,mCrit,'Safety Meetings'!$G$4:$G$100003,"Contractor")</f>
        <v>0</v>
      </c>
      <c r="S472" s="23">
        <f>IFERROR(AVERAGEIFS('Safety Meetings'!$K$4:$K$100003,'Safety Meetings'!$D$4:$D$100003,mCrit,'Safety Meetings'!$G$4:$G$100003,"Contractor"),0)</f>
        <v>0</v>
      </c>
    </row>
    <row r="473" spans="2:19">
      <c r="B473" s="21" t="s">
        <v>111</v>
      </c>
      <c r="C473" s="22">
        <f>COUNTIFS('Safety Meetings'!$D$4:$D$100003,"Nov",'Safety Meetings'!$G$4:$G$100003,dCrit)</f>
        <v>0</v>
      </c>
    </row>
    <row r="474" spans="2:19">
      <c r="B474" s="21" t="s">
        <v>122</v>
      </c>
      <c r="C474" s="22">
        <f>COUNTIFS('Safety Meetings'!$D$4:$D$100003,"Dec",'Safety Meetings'!$G$4:$G$100003,dCrit)</f>
        <v>0</v>
      </c>
    </row>
    <row r="487" spans="2:34">
      <c r="B487" s="16" t="s">
        <v>1893</v>
      </c>
    </row>
    <row r="488" spans="2:34">
      <c r="B488" s="11" t="s">
        <v>127</v>
      </c>
      <c r="C488" s="11" t="s">
        <v>1808</v>
      </c>
      <c r="E488" s="11" t="s">
        <v>636</v>
      </c>
      <c r="F488" s="11" t="s">
        <v>1808</v>
      </c>
      <c r="G488" s="11" t="s">
        <v>640</v>
      </c>
      <c r="H488" s="11" t="s">
        <v>1808</v>
      </c>
      <c r="J488" s="11" t="s">
        <v>287</v>
      </c>
      <c r="K488" s="11" t="s">
        <v>1808</v>
      </c>
      <c r="M488" s="11" t="s">
        <v>1752</v>
      </c>
      <c r="N488" s="11" t="s">
        <v>1867</v>
      </c>
      <c r="U488" s="11" t="s">
        <v>1873</v>
      </c>
      <c r="V488" s="11" t="s">
        <v>3</v>
      </c>
      <c r="W488" s="11" t="s">
        <v>19</v>
      </c>
      <c r="X488" s="11" t="s">
        <v>44</v>
      </c>
      <c r="Y488" s="11" t="s">
        <v>53</v>
      </c>
      <c r="Z488" s="11" t="s">
        <v>60</v>
      </c>
      <c r="AA488" s="11" t="s">
        <v>73</v>
      </c>
      <c r="AB488" s="11" t="s">
        <v>76</v>
      </c>
      <c r="AC488" s="11" t="s">
        <v>86</v>
      </c>
      <c r="AD488" s="11" t="s">
        <v>102</v>
      </c>
      <c r="AE488" s="11" t="s">
        <v>106</v>
      </c>
      <c r="AF488" s="11" t="s">
        <v>111</v>
      </c>
      <c r="AG488" s="11" t="s">
        <v>122</v>
      </c>
      <c r="AH488" s="11" t="s">
        <v>1874</v>
      </c>
    </row>
    <row r="489" spans="2:34">
      <c r="B489" s="21" t="s">
        <v>3</v>
      </c>
      <c r="C489" s="22">
        <f>COUNTIFS('Safety Bulletins'!$D$4:$D$100003,"Jan")</f>
        <v>0</v>
      </c>
      <c r="E489" s="12" t="s">
        <v>588</v>
      </c>
      <c r="F489" s="22">
        <f>COUNTIFS('Safety Bulletins'!$E$4:$E$100003,"Safety Alert",'Safety Bulletins'!$D$4:$D$100003,mCrit)</f>
        <v>0</v>
      </c>
      <c r="G489" s="12" t="s">
        <v>601</v>
      </c>
      <c r="H489" s="22">
        <f>COUNTIFS('Safety Bulletins'!$I$4:$I$100003,"Email",'Safety Bulletins'!$D$4:$D$100003,mCrit)</f>
        <v>0</v>
      </c>
      <c r="J489" s="12" t="s">
        <v>293</v>
      </c>
      <c r="K489" s="22">
        <f>COUNTIFS('Safety Bulletins'!$K$4:$K$100003,"Closed",'Safety Bulletins'!$D$4:$D$100003,mCrit)</f>
        <v>0</v>
      </c>
      <c r="M489" s="12" t="s">
        <v>1868</v>
      </c>
      <c r="N489" s="22">
        <f>COUNTIFS('Safety Bulletins'!$D$4:$D$100003,mCrit)</f>
        <v>0</v>
      </c>
      <c r="U489" s="12" t="s">
        <v>1872</v>
      </c>
      <c r="V489" s="22">
        <f>COUNTIFS('Safety Bulletins'!$D$4:$D$100003,"Jan")</f>
        <v>0</v>
      </c>
      <c r="W489" s="22">
        <f>COUNTIFS('Safety Bulletins'!$D$4:$D$100003,"Feb")</f>
        <v>0</v>
      </c>
      <c r="X489" s="22">
        <f>COUNTIFS('Safety Bulletins'!$D$4:$D$100003,"Mar")</f>
        <v>0</v>
      </c>
      <c r="Y489" s="22">
        <f>COUNTIFS('Safety Bulletins'!$D$4:$D$100003,"Apr")</f>
        <v>0</v>
      </c>
      <c r="Z489" s="22">
        <f>COUNTIFS('Safety Bulletins'!$D$4:$D$100003,"May")</f>
        <v>0</v>
      </c>
      <c r="AA489" s="22">
        <f>COUNTIFS('Safety Bulletins'!$D$4:$D$100003,"Jun")</f>
        <v>0</v>
      </c>
      <c r="AB489" s="22">
        <f>COUNTIFS('Safety Bulletins'!$D$4:$D$100003,"Jul")</f>
        <v>0</v>
      </c>
      <c r="AC489" s="22">
        <f>COUNTIFS('Safety Bulletins'!$D$4:$D$100003,"Aug")</f>
        <v>0</v>
      </c>
      <c r="AD489" s="22">
        <f>COUNTIFS('Safety Bulletins'!$D$4:$D$100003,"Sep")</f>
        <v>0</v>
      </c>
      <c r="AE489" s="22">
        <f>COUNTIFS('Safety Bulletins'!$D$4:$D$100003,"Oct")</f>
        <v>0</v>
      </c>
      <c r="AF489" s="22">
        <f>COUNTIFS('Safety Bulletins'!$D$4:$D$100003,"Nov")</f>
        <v>0</v>
      </c>
      <c r="AG489" s="22">
        <f>COUNTIFS('Safety Bulletins'!$D$4:$D$100003,"Dec")</f>
        <v>0</v>
      </c>
      <c r="AH489" s="22">
        <f>SUM(V489:AG489)</f>
        <v>0</v>
      </c>
    </row>
    <row r="490" spans="2:34">
      <c r="B490" s="21" t="s">
        <v>19</v>
      </c>
      <c r="C490" s="22">
        <f>COUNTIFS('Safety Bulletins'!$D$4:$D$100003,"Feb")</f>
        <v>0</v>
      </c>
      <c r="E490" s="12" t="s">
        <v>594</v>
      </c>
      <c r="F490" s="22">
        <f>COUNTIFS('Safety Bulletins'!$E$4:$E$100003,"Bulletin",'Safety Bulletins'!$D$4:$D$100003,mCrit)</f>
        <v>0</v>
      </c>
      <c r="G490" s="12" t="s">
        <v>578</v>
      </c>
      <c r="H490" s="22">
        <f>COUNTIFS('Safety Bulletins'!$I$4:$I$100003,"Notice Board",'Safety Bulletins'!$D$4:$D$100003,mCrit)</f>
        <v>0</v>
      </c>
      <c r="J490" s="12" t="s">
        <v>254</v>
      </c>
      <c r="K490" s="22">
        <f>COUNTIFS('Safety Bulletins'!$K$4:$K$100003,"In Progress",'Safety Bulletins'!$D$4:$D$100003,mCrit)</f>
        <v>0</v>
      </c>
      <c r="M490" s="12" t="s">
        <v>1876</v>
      </c>
      <c r="N490" s="23">
        <f>IFERROR((COUNTIFS('Safety Bulletins'!$K$4:$K$100003,"Closed",'Safety Bulletins'!$D$4:$D$100003,mCrit))/COUNTIFS('Safety Bulletins'!$D$4:$D$100003,mCrit)*100,0)</f>
        <v>0</v>
      </c>
      <c r="U490" s="12" t="s">
        <v>1880</v>
      </c>
      <c r="V490" s="23">
        <f>IFERROR((COUNTIFS('Safety Bulletins'!$K$4:$K$100003,"Closed",'Safety Bulletins'!$D$4:$D$100003,"Jan"))/COUNTIFS('Safety Bulletins'!$D$4:$D$100003,"Jan")*100,0)</f>
        <v>0</v>
      </c>
      <c r="W490" s="23">
        <f>IFERROR((COUNTIFS('Safety Bulletins'!$K$4:$K$100003,"Closed",'Safety Bulletins'!$D$4:$D$100003,"Feb"))/COUNTIFS('Safety Bulletins'!$D$4:$D$100003,"Feb")*100,0)</f>
        <v>0</v>
      </c>
      <c r="X490" s="23">
        <f>IFERROR((COUNTIFS('Safety Bulletins'!$K$4:$K$100003,"Closed",'Safety Bulletins'!$D$4:$D$100003,"Mar"))/COUNTIFS('Safety Bulletins'!$D$4:$D$100003,"Mar")*100,0)</f>
        <v>0</v>
      </c>
      <c r="Y490" s="23">
        <f>IFERROR((COUNTIFS('Safety Bulletins'!$K$4:$K$100003,"Closed",'Safety Bulletins'!$D$4:$D$100003,"Apr"))/COUNTIFS('Safety Bulletins'!$D$4:$D$100003,"Apr")*100,0)</f>
        <v>0</v>
      </c>
      <c r="Z490" s="23">
        <f>IFERROR((COUNTIFS('Safety Bulletins'!$K$4:$K$100003,"Closed",'Safety Bulletins'!$D$4:$D$100003,"May"))/COUNTIFS('Safety Bulletins'!$D$4:$D$100003,"May")*100,0)</f>
        <v>0</v>
      </c>
      <c r="AA490" s="23">
        <f>IFERROR((COUNTIFS('Safety Bulletins'!$K$4:$K$100003,"Closed",'Safety Bulletins'!$D$4:$D$100003,"Jun"))/COUNTIFS('Safety Bulletins'!$D$4:$D$100003,"Jun")*100,0)</f>
        <v>0</v>
      </c>
      <c r="AB490" s="23">
        <f>IFERROR((COUNTIFS('Safety Bulletins'!$K$4:$K$100003,"Closed",'Safety Bulletins'!$D$4:$D$100003,"Jul"))/COUNTIFS('Safety Bulletins'!$D$4:$D$100003,"Jul")*100,0)</f>
        <v>0</v>
      </c>
      <c r="AC490" s="23">
        <f>IFERROR((COUNTIFS('Safety Bulletins'!$K$4:$K$100003,"Closed",'Safety Bulletins'!$D$4:$D$100003,"Aug"))/COUNTIFS('Safety Bulletins'!$D$4:$D$100003,"Aug")*100,0)</f>
        <v>0</v>
      </c>
      <c r="AD490" s="23">
        <f>IFERROR((COUNTIFS('Safety Bulletins'!$K$4:$K$100003,"Closed",'Safety Bulletins'!$D$4:$D$100003,"Sep"))/COUNTIFS('Safety Bulletins'!$D$4:$D$100003,"Sep")*100,0)</f>
        <v>0</v>
      </c>
      <c r="AE490" s="23">
        <f>IFERROR((COUNTIFS('Safety Bulletins'!$K$4:$K$100003,"Closed",'Safety Bulletins'!$D$4:$D$100003,"Oct"))/COUNTIFS('Safety Bulletins'!$D$4:$D$100003,"Oct")*100,0)</f>
        <v>0</v>
      </c>
      <c r="AF490" s="23">
        <f>IFERROR((COUNTIFS('Safety Bulletins'!$K$4:$K$100003,"Closed",'Safety Bulletins'!$D$4:$D$100003,"Nov"))/COUNTIFS('Safety Bulletins'!$D$4:$D$100003,"Nov")*100,0)</f>
        <v>0</v>
      </c>
      <c r="AG490" s="23">
        <f>IFERROR((COUNTIFS('Safety Bulletins'!$K$4:$K$100003,"Closed",'Safety Bulletins'!$D$4:$D$100003,"Dec"))/COUNTIFS('Safety Bulletins'!$D$4:$D$100003,"Dec")*100,0)</f>
        <v>0</v>
      </c>
      <c r="AH490" s="23">
        <f>IFERROR(AVERAGE(V490:AG490),0)</f>
        <v>0</v>
      </c>
    </row>
    <row r="491" spans="2:34">
      <c r="B491" s="21" t="s">
        <v>44</v>
      </c>
      <c r="C491" s="22">
        <f>COUNTIFS('Safety Bulletins'!$D$4:$D$100003,"Mar")</f>
        <v>0</v>
      </c>
      <c r="E491" s="12" t="s">
        <v>584</v>
      </c>
      <c r="F491" s="22">
        <f>COUNTIFS('Safety Bulletins'!$E$4:$E$100003,"Toolbox Topic",'Safety Bulletins'!$D$4:$D$100003,mCrit)</f>
        <v>0</v>
      </c>
      <c r="G491" s="12" t="s">
        <v>581</v>
      </c>
      <c r="H491" s="22">
        <f>COUNTIFS('Safety Bulletins'!$I$4:$I$100003,"App Notification",'Safety Bulletins'!$D$4:$D$100003,mCrit)</f>
        <v>0</v>
      </c>
      <c r="J491" s="12" t="s">
        <v>238</v>
      </c>
      <c r="K491" s="22">
        <f>COUNTIFS('Safety Bulletins'!$K$4:$K$100003,"Overdue",'Safety Bulletins'!$D$4:$D$100003,mCrit)</f>
        <v>0</v>
      </c>
      <c r="M491" s="12" t="s">
        <v>1877</v>
      </c>
      <c r="N491" s="22">
        <f>COUNTIFS('Safety Bulletins'!$K$4:$K$100003,"Open",'Safety Bulletins'!$D$4:$D$100003,mCrit)+COUNTIFS('Safety Bulletins'!$K$4:$K$100003,"In Progress",'Safety Bulletins'!$D$4:$D$100003,mCrit)+COUNTIFS('Safety Bulletins'!$K$4:$K$100003,"Overdue",'Safety Bulletins'!$D$4:$D$100003,mCrit)</f>
        <v>0</v>
      </c>
      <c r="U491" s="12" t="s">
        <v>1851</v>
      </c>
      <c r="V491" s="23">
        <f>IFERROR(AVERAGEIFS('Safety Bulletins'!$N$4:$N$100003,'Safety Bulletins'!$D$4:$D$100003,"Jan"),0)</f>
        <v>0</v>
      </c>
      <c r="W491" s="23">
        <f>IFERROR(AVERAGEIFS('Safety Bulletins'!$N$4:$N$100003,'Safety Bulletins'!$D$4:$D$100003,"Feb"),0)</f>
        <v>0</v>
      </c>
      <c r="X491" s="23">
        <f>IFERROR(AVERAGEIFS('Safety Bulletins'!$N$4:$N$100003,'Safety Bulletins'!$D$4:$D$100003,"Mar"),0)</f>
        <v>0</v>
      </c>
      <c r="Y491" s="23">
        <f>IFERROR(AVERAGEIFS('Safety Bulletins'!$N$4:$N$100003,'Safety Bulletins'!$D$4:$D$100003,"Apr"),0)</f>
        <v>0</v>
      </c>
      <c r="Z491" s="23">
        <f>IFERROR(AVERAGEIFS('Safety Bulletins'!$N$4:$N$100003,'Safety Bulletins'!$D$4:$D$100003,"May"),0)</f>
        <v>0</v>
      </c>
      <c r="AA491" s="23">
        <f>IFERROR(AVERAGEIFS('Safety Bulletins'!$N$4:$N$100003,'Safety Bulletins'!$D$4:$D$100003,"Jun"),0)</f>
        <v>0</v>
      </c>
      <c r="AB491" s="23">
        <f>IFERROR(AVERAGEIFS('Safety Bulletins'!$N$4:$N$100003,'Safety Bulletins'!$D$4:$D$100003,"Jul"),0)</f>
        <v>0</v>
      </c>
      <c r="AC491" s="23">
        <f>IFERROR(AVERAGEIFS('Safety Bulletins'!$N$4:$N$100003,'Safety Bulletins'!$D$4:$D$100003,"Aug"),0)</f>
        <v>0</v>
      </c>
      <c r="AD491" s="23">
        <f>IFERROR(AVERAGEIFS('Safety Bulletins'!$N$4:$N$100003,'Safety Bulletins'!$D$4:$D$100003,"Sep"),0)</f>
        <v>0</v>
      </c>
      <c r="AE491" s="23">
        <f>IFERROR(AVERAGEIFS('Safety Bulletins'!$N$4:$N$100003,'Safety Bulletins'!$D$4:$D$100003,"Oct"),0)</f>
        <v>0</v>
      </c>
      <c r="AF491" s="23">
        <f>IFERROR(AVERAGEIFS('Safety Bulletins'!$N$4:$N$100003,'Safety Bulletins'!$D$4:$D$100003,"Nov"),0)</f>
        <v>0</v>
      </c>
      <c r="AG491" s="23">
        <f>IFERROR(AVERAGEIFS('Safety Bulletins'!$N$4:$N$100003,'Safety Bulletins'!$D$4:$D$100003,"Dec"),0)</f>
        <v>0</v>
      </c>
      <c r="AH491" s="23">
        <f>IFERROR(AVERAGE(V491:AG491),0)</f>
        <v>0</v>
      </c>
    </row>
    <row r="492" spans="2:34">
      <c r="B492" s="21" t="s">
        <v>53</v>
      </c>
      <c r="C492" s="22">
        <f>COUNTIFS('Safety Bulletins'!$D$4:$D$100003,"Apr")</f>
        <v>0</v>
      </c>
      <c r="E492" s="12" t="s">
        <v>577</v>
      </c>
      <c r="F492" s="22">
        <f>COUNTIFS('Safety Bulletins'!$E$4:$E$100003,"Lesson Learned",'Safety Bulletins'!$D$4:$D$100003,mCrit)</f>
        <v>0</v>
      </c>
      <c r="G492" s="12" t="s">
        <v>585</v>
      </c>
      <c r="H492" s="22">
        <f>COUNTIFS('Safety Bulletins'!$I$4:$I$100003,"All Channels",'Safety Bulletins'!$D$4:$D$100003,mCrit)</f>
        <v>0</v>
      </c>
      <c r="J492" s="12" t="s">
        <v>297</v>
      </c>
      <c r="K492" s="22">
        <f>COUNTIFS('Safety Bulletins'!$K$4:$K$100003,"Open",'Safety Bulletins'!$D$4:$D$100003,mCrit)</f>
        <v>0</v>
      </c>
      <c r="M492" s="12" t="s">
        <v>238</v>
      </c>
      <c r="N492" s="22">
        <f>COUNTIFS('Safety Bulletins'!$K$4:$K$100003,"Overdue",'Safety Bulletins'!$D$4:$D$100003,mCrit)</f>
        <v>0</v>
      </c>
    </row>
    <row r="493" spans="2:34">
      <c r="B493" s="21" t="s">
        <v>60</v>
      </c>
      <c r="C493" s="22">
        <f>COUNTIFS('Safety Bulletins'!$D$4:$D$100003,"May")</f>
        <v>0</v>
      </c>
      <c r="E493" s="12" t="s">
        <v>580</v>
      </c>
      <c r="F493" s="22">
        <f>COUNTIFS('Safety Bulletins'!$E$4:$E$100003,"Best Practice",'Safety Bulletins'!$D$4:$D$100003,mCrit)</f>
        <v>0</v>
      </c>
      <c r="M493" s="12" t="s">
        <v>1851</v>
      </c>
      <c r="N493" s="23">
        <f>IFERROR(AVERAGEIFS('Safety Bulletins'!$N$4:$N$100003,'Safety Bulletins'!$D$4:$D$100003,mCrit),0)</f>
        <v>0</v>
      </c>
    </row>
    <row r="494" spans="2:34">
      <c r="B494" s="21" t="s">
        <v>73</v>
      </c>
      <c r="C494" s="22">
        <f>COUNTIFS('Safety Bulletins'!$D$4:$D$100003,"Jun")</f>
        <v>0</v>
      </c>
      <c r="E494" s="12" t="s">
        <v>590</v>
      </c>
      <c r="F494" s="22">
        <f>COUNTIFS('Safety Bulletins'!$E$4:$E$100003,"Advisory",'Safety Bulletins'!$D$4:$D$100003,mCrit)</f>
        <v>0</v>
      </c>
      <c r="M494" s="12" t="s">
        <v>1894</v>
      </c>
      <c r="N494" s="22">
        <f>COUNTIFS('Safety Bulletins'!$J$4:$J$100003,"Critical",'Safety Bulletins'!$D$4:$D$100003,mCrit)+COUNTIFS('Safety Bulletins'!$J$4:$J$100003,"High",'Safety Bulletins'!$D$4:$D$100003,mCrit)</f>
        <v>0</v>
      </c>
    </row>
    <row r="495" spans="2:34">
      <c r="B495" s="21" t="s">
        <v>76</v>
      </c>
      <c r="C495" s="22">
        <f>COUNTIFS('Safety Bulletins'!$D$4:$D$100003,"Jul")</f>
        <v>0</v>
      </c>
    </row>
    <row r="496" spans="2:34">
      <c r="B496" s="21" t="s">
        <v>86</v>
      </c>
      <c r="C496" s="22">
        <f>COUNTIFS('Safety Bulletins'!$D$4:$D$100003,"Aug")</f>
        <v>0</v>
      </c>
    </row>
    <row r="497" spans="2:3">
      <c r="B497" s="21" t="s">
        <v>102</v>
      </c>
      <c r="C497" s="22">
        <f>COUNTIFS('Safety Bulletins'!$D$4:$D$100003,"Sep")</f>
        <v>0</v>
      </c>
    </row>
    <row r="498" spans="2:3">
      <c r="B498" s="21" t="s">
        <v>106</v>
      </c>
      <c r="C498" s="22">
        <f>COUNTIFS('Safety Bulletins'!$D$4:$D$100003,"Oct")</f>
        <v>0</v>
      </c>
    </row>
    <row r="499" spans="2:3">
      <c r="B499" s="21" t="s">
        <v>111</v>
      </c>
      <c r="C499" s="22">
        <f>COUNTIFS('Safety Bulletins'!$D$4:$D$100003,"Nov")</f>
        <v>0</v>
      </c>
    </row>
    <row r="500" spans="2:3">
      <c r="B500" s="21" t="s">
        <v>122</v>
      </c>
      <c r="C500" s="22">
        <f>COUNTIFS('Safety Bulletins'!$D$4:$D$100003,"Dec")</f>
        <v>0</v>
      </c>
    </row>
    <row r="513" spans="2:34">
      <c r="B513" s="16" t="s">
        <v>1895</v>
      </c>
    </row>
    <row r="514" spans="2:34">
      <c r="B514" s="11" t="s">
        <v>127</v>
      </c>
      <c r="C514" s="11" t="s">
        <v>1808</v>
      </c>
      <c r="E514" s="11" t="s">
        <v>701</v>
      </c>
      <c r="F514" s="11" t="s">
        <v>1808</v>
      </c>
      <c r="G514" s="11" t="s">
        <v>412</v>
      </c>
      <c r="H514" s="11" t="s">
        <v>1808</v>
      </c>
      <c r="J514" s="11" t="s">
        <v>287</v>
      </c>
      <c r="K514" s="11" t="s">
        <v>1808</v>
      </c>
      <c r="M514" s="11" t="s">
        <v>1752</v>
      </c>
      <c r="N514" s="11" t="s">
        <v>1867</v>
      </c>
      <c r="U514" s="11" t="s">
        <v>1873</v>
      </c>
      <c r="V514" s="11" t="s">
        <v>3</v>
      </c>
      <c r="W514" s="11" t="s">
        <v>19</v>
      </c>
      <c r="X514" s="11" t="s">
        <v>44</v>
      </c>
      <c r="Y514" s="11" t="s">
        <v>53</v>
      </c>
      <c r="Z514" s="11" t="s">
        <v>60</v>
      </c>
      <c r="AA514" s="11" t="s">
        <v>73</v>
      </c>
      <c r="AB514" s="11" t="s">
        <v>76</v>
      </c>
      <c r="AC514" s="11" t="s">
        <v>86</v>
      </c>
      <c r="AD514" s="11" t="s">
        <v>102</v>
      </c>
      <c r="AE514" s="11" t="s">
        <v>106</v>
      </c>
      <c r="AF514" s="11" t="s">
        <v>111</v>
      </c>
      <c r="AG514" s="11" t="s">
        <v>122</v>
      </c>
      <c r="AH514" s="11" t="s">
        <v>1874</v>
      </c>
    </row>
    <row r="515" spans="2:34">
      <c r="B515" s="21" t="s">
        <v>3</v>
      </c>
      <c r="C515" s="22">
        <f>COUNTIFS('Emergency Drills'!$D$4:$D$100003,"Jan")</f>
        <v>0</v>
      </c>
      <c r="E515" s="12" t="s">
        <v>649</v>
      </c>
      <c r="F515" s="22">
        <f>COUNTIFS('Emergency Drills'!$E$4:$E$100003,"Fire Evacuation",'Emergency Drills'!$D$4:$D$100003,mCrit)</f>
        <v>0</v>
      </c>
      <c r="G515" s="12" t="s">
        <v>10</v>
      </c>
      <c r="H515" s="22">
        <f>COUNTIFS('Emergency Drills'!$M$4:$M$100003,"Excellent",'Emergency Drills'!$D$4:$D$100003,mCrit)</f>
        <v>0</v>
      </c>
      <c r="J515" s="12" t="s">
        <v>254</v>
      </c>
      <c r="K515" s="22">
        <f>COUNTIFS('Emergency Drills'!$O$4:$O$100003,"In Progress",'Emergency Drills'!$D$4:$D$100003,mCrit)</f>
        <v>0</v>
      </c>
      <c r="M515" s="12" t="s">
        <v>1868</v>
      </c>
      <c r="N515" s="22">
        <f>COUNTIFS('Emergency Drills'!$D$4:$D$100003,mCrit)</f>
        <v>0</v>
      </c>
      <c r="U515" s="12" t="s">
        <v>1872</v>
      </c>
      <c r="V515" s="22">
        <f>COUNTIFS('Emergency Drills'!$D$4:$D$100003,"Jan")</f>
        <v>0</v>
      </c>
      <c r="W515" s="22">
        <f>COUNTIFS('Emergency Drills'!$D$4:$D$100003,"Feb")</f>
        <v>0</v>
      </c>
      <c r="X515" s="22">
        <f>COUNTIFS('Emergency Drills'!$D$4:$D$100003,"Mar")</f>
        <v>0</v>
      </c>
      <c r="Y515" s="22">
        <f>COUNTIFS('Emergency Drills'!$D$4:$D$100003,"Apr")</f>
        <v>0</v>
      </c>
      <c r="Z515" s="22">
        <f>COUNTIFS('Emergency Drills'!$D$4:$D$100003,"May")</f>
        <v>0</v>
      </c>
      <c r="AA515" s="22">
        <f>COUNTIFS('Emergency Drills'!$D$4:$D$100003,"Jun")</f>
        <v>0</v>
      </c>
      <c r="AB515" s="22">
        <f>COUNTIFS('Emergency Drills'!$D$4:$D$100003,"Jul")</f>
        <v>0</v>
      </c>
      <c r="AC515" s="22">
        <f>COUNTIFS('Emergency Drills'!$D$4:$D$100003,"Aug")</f>
        <v>0</v>
      </c>
      <c r="AD515" s="22">
        <f>COUNTIFS('Emergency Drills'!$D$4:$D$100003,"Sep")</f>
        <v>0</v>
      </c>
      <c r="AE515" s="22">
        <f>COUNTIFS('Emergency Drills'!$D$4:$D$100003,"Oct")</f>
        <v>0</v>
      </c>
      <c r="AF515" s="22">
        <f>COUNTIFS('Emergency Drills'!$D$4:$D$100003,"Nov")</f>
        <v>0</v>
      </c>
      <c r="AG515" s="22">
        <f>COUNTIFS('Emergency Drills'!$D$4:$D$100003,"Dec")</f>
        <v>0</v>
      </c>
      <c r="AH515" s="22">
        <f>SUM(V515:AG515)</f>
        <v>0</v>
      </c>
    </row>
    <row r="516" spans="2:34">
      <c r="B516" s="21" t="s">
        <v>19</v>
      </c>
      <c r="C516" s="22">
        <f>COUNTIFS('Emergency Drills'!$D$4:$D$100003,"Feb")</f>
        <v>0</v>
      </c>
      <c r="E516" s="12" t="s">
        <v>657</v>
      </c>
      <c r="F516" s="22">
        <f>COUNTIFS('Emergency Drills'!$E$4:$E$100003,"Chemical Spill",'Emergency Drills'!$D$4:$D$100003,mCrit)</f>
        <v>0</v>
      </c>
      <c r="G516" s="12" t="s">
        <v>42</v>
      </c>
      <c r="H516" s="22">
        <f>COUNTIFS('Emergency Drills'!$M$4:$M$100003,"Good",'Emergency Drills'!$D$4:$D$100003,mCrit)</f>
        <v>0</v>
      </c>
      <c r="J516" s="12" t="s">
        <v>293</v>
      </c>
      <c r="K516" s="22">
        <f>COUNTIFS('Emergency Drills'!$O$4:$O$100003,"Closed",'Emergency Drills'!$D$4:$D$100003,mCrit)</f>
        <v>0</v>
      </c>
      <c r="M516" s="12" t="s">
        <v>1876</v>
      </c>
      <c r="N516" s="23">
        <f>IFERROR((COUNTIFS('Emergency Drills'!$O$4:$O$100003,"Closed",'Emergency Drills'!$D$4:$D$100003,mCrit))/COUNTIFS('Emergency Drills'!$D$4:$D$100003,mCrit)*100,0)</f>
        <v>0</v>
      </c>
      <c r="U516" s="12" t="s">
        <v>1880</v>
      </c>
      <c r="V516" s="23">
        <f>IFERROR((COUNTIFS('Emergency Drills'!$O$4:$O$100003,"Closed",'Emergency Drills'!$D$4:$D$100003,"Jan"))/COUNTIFS('Emergency Drills'!$D$4:$D$100003,"Jan")*100,0)</f>
        <v>0</v>
      </c>
      <c r="W516" s="23">
        <f>IFERROR((COUNTIFS('Emergency Drills'!$O$4:$O$100003,"Closed",'Emergency Drills'!$D$4:$D$100003,"Feb"))/COUNTIFS('Emergency Drills'!$D$4:$D$100003,"Feb")*100,0)</f>
        <v>0</v>
      </c>
      <c r="X516" s="23">
        <f>IFERROR((COUNTIFS('Emergency Drills'!$O$4:$O$100003,"Closed",'Emergency Drills'!$D$4:$D$100003,"Mar"))/COUNTIFS('Emergency Drills'!$D$4:$D$100003,"Mar")*100,0)</f>
        <v>0</v>
      </c>
      <c r="Y516" s="23">
        <f>IFERROR((COUNTIFS('Emergency Drills'!$O$4:$O$100003,"Closed",'Emergency Drills'!$D$4:$D$100003,"Apr"))/COUNTIFS('Emergency Drills'!$D$4:$D$100003,"Apr")*100,0)</f>
        <v>0</v>
      </c>
      <c r="Z516" s="23">
        <f>IFERROR((COUNTIFS('Emergency Drills'!$O$4:$O$100003,"Closed",'Emergency Drills'!$D$4:$D$100003,"May"))/COUNTIFS('Emergency Drills'!$D$4:$D$100003,"May")*100,0)</f>
        <v>0</v>
      </c>
      <c r="AA516" s="23">
        <f>IFERROR((COUNTIFS('Emergency Drills'!$O$4:$O$100003,"Closed",'Emergency Drills'!$D$4:$D$100003,"Jun"))/COUNTIFS('Emergency Drills'!$D$4:$D$100003,"Jun")*100,0)</f>
        <v>0</v>
      </c>
      <c r="AB516" s="23">
        <f>IFERROR((COUNTIFS('Emergency Drills'!$O$4:$O$100003,"Closed",'Emergency Drills'!$D$4:$D$100003,"Jul"))/COUNTIFS('Emergency Drills'!$D$4:$D$100003,"Jul")*100,0)</f>
        <v>0</v>
      </c>
      <c r="AC516" s="23">
        <f>IFERROR((COUNTIFS('Emergency Drills'!$O$4:$O$100003,"Closed",'Emergency Drills'!$D$4:$D$100003,"Aug"))/COUNTIFS('Emergency Drills'!$D$4:$D$100003,"Aug")*100,0)</f>
        <v>0</v>
      </c>
      <c r="AD516" s="23">
        <f>IFERROR((COUNTIFS('Emergency Drills'!$O$4:$O$100003,"Closed",'Emergency Drills'!$D$4:$D$100003,"Sep"))/COUNTIFS('Emergency Drills'!$D$4:$D$100003,"Sep")*100,0)</f>
        <v>0</v>
      </c>
      <c r="AE516" s="23">
        <f>IFERROR((COUNTIFS('Emergency Drills'!$O$4:$O$100003,"Closed",'Emergency Drills'!$D$4:$D$100003,"Oct"))/COUNTIFS('Emergency Drills'!$D$4:$D$100003,"Oct")*100,0)</f>
        <v>0</v>
      </c>
      <c r="AF516" s="23">
        <f>IFERROR((COUNTIFS('Emergency Drills'!$O$4:$O$100003,"Closed",'Emergency Drills'!$D$4:$D$100003,"Nov"))/COUNTIFS('Emergency Drills'!$D$4:$D$100003,"Nov")*100,0)</f>
        <v>0</v>
      </c>
      <c r="AG516" s="23">
        <f>IFERROR((COUNTIFS('Emergency Drills'!$O$4:$O$100003,"Closed",'Emergency Drills'!$D$4:$D$100003,"Dec"))/COUNTIFS('Emergency Drills'!$D$4:$D$100003,"Dec")*100,0)</f>
        <v>0</v>
      </c>
      <c r="AH516" s="23">
        <f>IFERROR(AVERAGE(V516:AG516),0)</f>
        <v>0</v>
      </c>
    </row>
    <row r="517" spans="2:34">
      <c r="B517" s="21" t="s">
        <v>44</v>
      </c>
      <c r="C517" s="22">
        <f>COUNTIFS('Emergency Drills'!$D$4:$D$100003,"Mar")</f>
        <v>0</v>
      </c>
      <c r="E517" s="12" t="s">
        <v>654</v>
      </c>
      <c r="F517" s="22">
        <f>COUNTIFS('Emergency Drills'!$E$4:$E$100003,"Medical Emergency",'Emergency Drills'!$D$4:$D$100003,mCrit)</f>
        <v>0</v>
      </c>
      <c r="G517" s="12" t="s">
        <v>17</v>
      </c>
      <c r="H517" s="22">
        <f>COUNTIFS('Emergency Drills'!$M$4:$M$100003,"Satisfactory",'Emergency Drills'!$D$4:$D$100003,mCrit)</f>
        <v>0</v>
      </c>
      <c r="J517" s="12" t="s">
        <v>297</v>
      </c>
      <c r="K517" s="22">
        <f>COUNTIFS('Emergency Drills'!$O$4:$O$100003,"Open",'Emergency Drills'!$D$4:$D$100003,mCrit)</f>
        <v>0</v>
      </c>
      <c r="M517" s="12" t="s">
        <v>1877</v>
      </c>
      <c r="N517" s="22">
        <f>COUNTIFS('Emergency Drills'!$O$4:$O$100003,"Open",'Emergency Drills'!$D$4:$D$100003,mCrit)+COUNTIFS('Emergency Drills'!$O$4:$O$100003,"In Progress",'Emergency Drills'!$D$4:$D$100003,mCrit)+COUNTIFS('Emergency Drills'!$O$4:$O$100003,"Overdue",'Emergency Drills'!$D$4:$D$100003,mCrit)</f>
        <v>0</v>
      </c>
      <c r="U517" s="12" t="s">
        <v>1896</v>
      </c>
      <c r="V517" s="23">
        <f>IFERROR(AVERAGEIFS('Emergency Drills'!$J$4:$J$100003,'Emergency Drills'!$D$4:$D$100003,"Jan"),0)</f>
        <v>0</v>
      </c>
      <c r="W517" s="23">
        <f>IFERROR(AVERAGEIFS('Emergency Drills'!$J$4:$J$100003,'Emergency Drills'!$D$4:$D$100003,"Feb"),0)</f>
        <v>0</v>
      </c>
      <c r="X517" s="23">
        <f>IFERROR(AVERAGEIFS('Emergency Drills'!$J$4:$J$100003,'Emergency Drills'!$D$4:$D$100003,"Mar"),0)</f>
        <v>0</v>
      </c>
      <c r="Y517" s="23">
        <f>IFERROR(AVERAGEIFS('Emergency Drills'!$J$4:$J$100003,'Emergency Drills'!$D$4:$D$100003,"Apr"),0)</f>
        <v>0</v>
      </c>
      <c r="Z517" s="23">
        <f>IFERROR(AVERAGEIFS('Emergency Drills'!$J$4:$J$100003,'Emergency Drills'!$D$4:$D$100003,"May"),0)</f>
        <v>0</v>
      </c>
      <c r="AA517" s="23">
        <f>IFERROR(AVERAGEIFS('Emergency Drills'!$J$4:$J$100003,'Emergency Drills'!$D$4:$D$100003,"Jun"),0)</f>
        <v>0</v>
      </c>
      <c r="AB517" s="23">
        <f>IFERROR(AVERAGEIFS('Emergency Drills'!$J$4:$J$100003,'Emergency Drills'!$D$4:$D$100003,"Jul"),0)</f>
        <v>0</v>
      </c>
      <c r="AC517" s="23">
        <f>IFERROR(AVERAGEIFS('Emergency Drills'!$J$4:$J$100003,'Emergency Drills'!$D$4:$D$100003,"Aug"),0)</f>
        <v>0</v>
      </c>
      <c r="AD517" s="23">
        <f>IFERROR(AVERAGEIFS('Emergency Drills'!$J$4:$J$100003,'Emergency Drills'!$D$4:$D$100003,"Sep"),0)</f>
        <v>0</v>
      </c>
      <c r="AE517" s="23">
        <f>IFERROR(AVERAGEIFS('Emergency Drills'!$J$4:$J$100003,'Emergency Drills'!$D$4:$D$100003,"Oct"),0)</f>
        <v>0</v>
      </c>
      <c r="AF517" s="23">
        <f>IFERROR(AVERAGEIFS('Emergency Drills'!$J$4:$J$100003,'Emergency Drills'!$D$4:$D$100003,"Nov"),0)</f>
        <v>0</v>
      </c>
      <c r="AG517" s="23">
        <f>IFERROR(AVERAGEIFS('Emergency Drills'!$J$4:$J$100003,'Emergency Drills'!$D$4:$D$100003,"Dec"),0)</f>
        <v>0</v>
      </c>
      <c r="AH517" s="23">
        <f>IFERROR(AVERAGE(V517:AG517),0)</f>
        <v>0</v>
      </c>
    </row>
    <row r="518" spans="2:34">
      <c r="B518" s="21" t="s">
        <v>53</v>
      </c>
      <c r="C518" s="22">
        <f>COUNTIFS('Emergency Drills'!$D$4:$D$100003,"Apr")</f>
        <v>0</v>
      </c>
      <c r="E518" s="12" t="s">
        <v>651</v>
      </c>
      <c r="F518" s="22">
        <f>COUNTIFS('Emergency Drills'!$E$4:$E$100003,"Gas Leak",'Emergency Drills'!$D$4:$D$100003,mCrit)</f>
        <v>0</v>
      </c>
      <c r="G518" s="12" t="s">
        <v>96</v>
      </c>
      <c r="H518" s="22">
        <f>COUNTIFS('Emergency Drills'!$M$4:$M$100003,"Needs Improvement",'Emergency Drills'!$D$4:$D$100003,mCrit)</f>
        <v>0</v>
      </c>
      <c r="J518" s="12" t="s">
        <v>238</v>
      </c>
      <c r="K518" s="22">
        <f>COUNTIFS('Emergency Drills'!$O$4:$O$100003,"Overdue",'Emergency Drills'!$D$4:$D$100003,mCrit)</f>
        <v>0</v>
      </c>
      <c r="M518" s="12" t="s">
        <v>238</v>
      </c>
      <c r="N518" s="22">
        <f>COUNTIFS('Emergency Drills'!$O$4:$O$100003,"Overdue",'Emergency Drills'!$D$4:$D$100003,mCrit)</f>
        <v>0</v>
      </c>
    </row>
    <row r="519" spans="2:34">
      <c r="B519" s="21" t="s">
        <v>60</v>
      </c>
      <c r="C519" s="22">
        <f>COUNTIFS('Emergency Drills'!$D$4:$D$100003,"May")</f>
        <v>0</v>
      </c>
      <c r="E519" s="12" t="s">
        <v>647</v>
      </c>
      <c r="F519" s="22">
        <f>COUNTIFS('Emergency Drills'!$E$4:$E$100003,"Confined Space Rescue",'Emergency Drills'!$D$4:$D$100003,mCrit)</f>
        <v>0</v>
      </c>
      <c r="G519" s="12" t="s">
        <v>24</v>
      </c>
      <c r="H519" s="22">
        <f>COUNTIFS('Emergency Drills'!$M$4:$M$100003,"Unsatisfactory",'Emergency Drills'!$D$4:$D$100003,mCrit)</f>
        <v>0</v>
      </c>
      <c r="M519" s="12" t="s">
        <v>1896</v>
      </c>
      <c r="N519" s="23">
        <f>IFERROR(AVERAGEIFS('Emergency Drills'!$J$4:$J$100003,'Emergency Drills'!$D$4:$D$100003,mCrit),0)</f>
        <v>0</v>
      </c>
    </row>
    <row r="520" spans="2:34">
      <c r="B520" s="21" t="s">
        <v>73</v>
      </c>
      <c r="C520" s="22">
        <f>COUNTIFS('Emergency Drills'!$D$4:$D$100003,"Jun")</f>
        <v>0</v>
      </c>
      <c r="E520" s="12" t="s">
        <v>659</v>
      </c>
      <c r="F520" s="22">
        <f>COUNTIFS('Emergency Drills'!$E$4:$E$100003,"Earthquake",'Emergency Drills'!$D$4:$D$100003,mCrit)</f>
        <v>0</v>
      </c>
      <c r="M520" s="12" t="s">
        <v>1897</v>
      </c>
      <c r="N520" s="22">
        <f>IFERROR(AVERAGEIFS('Emergency Drills'!$L$4:$L$100003,'Emergency Drills'!$D$4:$D$100003,mCrit),0)</f>
        <v>0</v>
      </c>
    </row>
    <row r="521" spans="2:34">
      <c r="B521" s="21" t="s">
        <v>76</v>
      </c>
      <c r="C521" s="22">
        <f>COUNTIFS('Emergency Drills'!$D$4:$D$100003,"Jul")</f>
        <v>0</v>
      </c>
      <c r="M521" s="12" t="s">
        <v>1898</v>
      </c>
      <c r="N521" s="22">
        <f>COUNTIFS('Emergency Drills'!$M$4:$M$100003,"Excellent",'Emergency Drills'!$D$4:$D$100003,mCrit)+COUNTIFS('Emergency Drills'!$M$4:$M$100003,"Good",'Emergency Drills'!$D$4:$D$100003,mCrit)</f>
        <v>0</v>
      </c>
    </row>
    <row r="522" spans="2:34">
      <c r="B522" s="21" t="s">
        <v>86</v>
      </c>
      <c r="C522" s="22">
        <f>COUNTIFS('Emergency Drills'!$D$4:$D$100003,"Aug")</f>
        <v>0</v>
      </c>
    </row>
    <row r="523" spans="2:34">
      <c r="B523" s="21" t="s">
        <v>102</v>
      </c>
      <c r="C523" s="22">
        <f>COUNTIFS('Emergency Drills'!$D$4:$D$100003,"Sep")</f>
        <v>0</v>
      </c>
    </row>
    <row r="524" spans="2:34">
      <c r="B524" s="21" t="s">
        <v>106</v>
      </c>
      <c r="C524" s="22">
        <f>COUNTIFS('Emergency Drills'!$D$4:$D$100003,"Oct")</f>
        <v>0</v>
      </c>
    </row>
    <row r="525" spans="2:34">
      <c r="B525" s="21" t="s">
        <v>111</v>
      </c>
      <c r="C525" s="22">
        <f>COUNTIFS('Emergency Drills'!$D$4:$D$100003,"Nov")</f>
        <v>0</v>
      </c>
    </row>
    <row r="526" spans="2:34">
      <c r="B526" s="21" t="s">
        <v>122</v>
      </c>
      <c r="C526" s="22">
        <f>COUNTIFS('Emergency Drills'!$D$4:$D$100003,"Dec")</f>
        <v>0</v>
      </c>
    </row>
    <row r="539" spans="2:34">
      <c r="B539" s="16" t="s">
        <v>1899</v>
      </c>
    </row>
    <row r="540" spans="2:34">
      <c r="B540" s="11" t="s">
        <v>127</v>
      </c>
      <c r="C540" s="11" t="s">
        <v>1808</v>
      </c>
      <c r="E540" s="11" t="s">
        <v>766</v>
      </c>
      <c r="F540" s="11" t="s">
        <v>1808</v>
      </c>
      <c r="J540" s="11" t="s">
        <v>287</v>
      </c>
      <c r="K540" s="11" t="s">
        <v>1808</v>
      </c>
      <c r="M540" s="11" t="s">
        <v>1752</v>
      </c>
      <c r="N540" s="11" t="s">
        <v>1867</v>
      </c>
      <c r="P540" s="11" t="s">
        <v>129</v>
      </c>
      <c r="Q540" s="11" t="s">
        <v>1808</v>
      </c>
      <c r="R540" s="11" t="s">
        <v>1879</v>
      </c>
      <c r="S540" s="11" t="s">
        <v>1872</v>
      </c>
      <c r="U540" s="11" t="s">
        <v>1873</v>
      </c>
      <c r="V540" s="11" t="s">
        <v>3</v>
      </c>
      <c r="W540" s="11" t="s">
        <v>19</v>
      </c>
      <c r="X540" s="11" t="s">
        <v>44</v>
      </c>
      <c r="Y540" s="11" t="s">
        <v>53</v>
      </c>
      <c r="Z540" s="11" t="s">
        <v>60</v>
      </c>
      <c r="AA540" s="11" t="s">
        <v>73</v>
      </c>
      <c r="AB540" s="11" t="s">
        <v>76</v>
      </c>
      <c r="AC540" s="11" t="s">
        <v>86</v>
      </c>
      <c r="AD540" s="11" t="s">
        <v>102</v>
      </c>
      <c r="AE540" s="11" t="s">
        <v>106</v>
      </c>
      <c r="AF540" s="11" t="s">
        <v>111</v>
      </c>
      <c r="AG540" s="11" t="s">
        <v>122</v>
      </c>
      <c r="AH540" s="11" t="s">
        <v>1874</v>
      </c>
    </row>
    <row r="541" spans="2:34">
      <c r="B541" s="21" t="s">
        <v>3</v>
      </c>
      <c r="C541" s="22">
        <f>COUNTIFS('Internal Audits'!$D$4:$D$100003,"Jan",'Internal Audits'!$G$4:$G$100003,dCrit)</f>
        <v>0</v>
      </c>
      <c r="E541" s="12" t="s">
        <v>715</v>
      </c>
      <c r="F541" s="22">
        <f>COUNTIFS('Internal Audits'!$F$4:$F$100003,"System Audit",'Internal Audits'!$D$4:$D$100003,mCrit,'Internal Audits'!$G$4:$G$100003,dCrit)</f>
        <v>0</v>
      </c>
      <c r="J541" s="12" t="s">
        <v>238</v>
      </c>
      <c r="K541" s="22">
        <f>COUNTIFS('Internal Audits'!$P$4:$P$100003,"Overdue",'Internal Audits'!$D$4:$D$100003,mCrit,'Internal Audits'!$G$4:$G$100003,dCrit)</f>
        <v>0</v>
      </c>
      <c r="M541" s="12" t="s">
        <v>1868</v>
      </c>
      <c r="N541" s="22">
        <f>COUNTIFS('Internal Audits'!$D$4:$D$100003,mCrit,'Internal Audits'!$G$4:$G$100003,dCrit)</f>
        <v>0</v>
      </c>
      <c r="P541" s="12" t="s">
        <v>27</v>
      </c>
      <c r="Q541" s="22">
        <f>COUNTIFS('Internal Audits'!$D$4:$D$100003,mCrit,'Internal Audits'!$G$4:$G$100003,"Operations")</f>
        <v>0</v>
      </c>
      <c r="R541" s="23">
        <f>IFERROR((COUNTIFS('Internal Audits'!$P$4:$P$100003,"Closed",'Internal Audits'!$D$4:$D$100003,mCrit,'Internal Audits'!$G$4:$G$100003,"Operations"))/COUNTIFS('Internal Audits'!$D$4:$D$100003,mCrit,'Internal Audits'!$G$4:$G$100003,"Operations")*100,0)</f>
        <v>0</v>
      </c>
      <c r="S541" s="22">
        <f>COUNTIFS('Internal Audits'!$D$4:$D$100003,mCrit,'Internal Audits'!$G$4:$G$100003,"Operations")</f>
        <v>0</v>
      </c>
      <c r="U541" s="12" t="s">
        <v>1872</v>
      </c>
      <c r="V541" s="22">
        <f>COUNTIFS('Internal Audits'!$D$4:$D$100003,"Jan",'Internal Audits'!$G$4:$G$100003,dCrit)</f>
        <v>0</v>
      </c>
      <c r="W541" s="22">
        <f>COUNTIFS('Internal Audits'!$D$4:$D$100003,"Feb",'Internal Audits'!$G$4:$G$100003,dCrit)</f>
        <v>0</v>
      </c>
      <c r="X541" s="22">
        <f>COUNTIFS('Internal Audits'!$D$4:$D$100003,"Mar",'Internal Audits'!$G$4:$G$100003,dCrit)</f>
        <v>0</v>
      </c>
      <c r="Y541" s="22">
        <f>COUNTIFS('Internal Audits'!$D$4:$D$100003,"Apr",'Internal Audits'!$G$4:$G$100003,dCrit)</f>
        <v>0</v>
      </c>
      <c r="Z541" s="22">
        <f>COUNTIFS('Internal Audits'!$D$4:$D$100003,"May",'Internal Audits'!$G$4:$G$100003,dCrit)</f>
        <v>0</v>
      </c>
      <c r="AA541" s="22">
        <f>COUNTIFS('Internal Audits'!$D$4:$D$100003,"Jun",'Internal Audits'!$G$4:$G$100003,dCrit)</f>
        <v>0</v>
      </c>
      <c r="AB541" s="22">
        <f>COUNTIFS('Internal Audits'!$D$4:$D$100003,"Jul",'Internal Audits'!$G$4:$G$100003,dCrit)</f>
        <v>0</v>
      </c>
      <c r="AC541" s="22">
        <f>COUNTIFS('Internal Audits'!$D$4:$D$100003,"Aug",'Internal Audits'!$G$4:$G$100003,dCrit)</f>
        <v>0</v>
      </c>
      <c r="AD541" s="22">
        <f>COUNTIFS('Internal Audits'!$D$4:$D$100003,"Sep",'Internal Audits'!$G$4:$G$100003,dCrit)</f>
        <v>0</v>
      </c>
      <c r="AE541" s="22">
        <f>COUNTIFS('Internal Audits'!$D$4:$D$100003,"Oct",'Internal Audits'!$G$4:$G$100003,dCrit)</f>
        <v>0</v>
      </c>
      <c r="AF541" s="22">
        <f>COUNTIFS('Internal Audits'!$D$4:$D$100003,"Nov",'Internal Audits'!$G$4:$G$100003,dCrit)</f>
        <v>0</v>
      </c>
      <c r="AG541" s="22">
        <f>COUNTIFS('Internal Audits'!$D$4:$D$100003,"Dec",'Internal Audits'!$G$4:$G$100003,dCrit)</f>
        <v>0</v>
      </c>
      <c r="AH541" s="22">
        <f>SUM(V541:AG541)</f>
        <v>0</v>
      </c>
    </row>
    <row r="542" spans="2:34">
      <c r="B542" s="21" t="s">
        <v>19</v>
      </c>
      <c r="C542" s="22">
        <f>COUNTIFS('Internal Audits'!$D$4:$D$100003,"Feb",'Internal Audits'!$G$4:$G$100003,dCrit)</f>
        <v>0</v>
      </c>
      <c r="E542" s="12" t="s">
        <v>740</v>
      </c>
      <c r="F542" s="22">
        <f>COUNTIFS('Internal Audits'!$F$4:$F$100003,"Compliance Audit",'Internal Audits'!$D$4:$D$100003,mCrit,'Internal Audits'!$G$4:$G$100003,dCrit)</f>
        <v>0</v>
      </c>
      <c r="J542" s="12" t="s">
        <v>293</v>
      </c>
      <c r="K542" s="22">
        <f>COUNTIFS('Internal Audits'!$P$4:$P$100003,"Closed",'Internal Audits'!$D$4:$D$100003,mCrit,'Internal Audits'!$G$4:$G$100003,dCrit)</f>
        <v>0</v>
      </c>
      <c r="M542" s="12" t="s">
        <v>1876</v>
      </c>
      <c r="N542" s="23">
        <f>IFERROR((COUNTIFS('Internal Audits'!$P$4:$P$100003,"Closed",'Internal Audits'!$D$4:$D$100003,mCrit,'Internal Audits'!$G$4:$G$100003,dCrit))/COUNTIFS('Internal Audits'!$D$4:$D$100003,mCrit,'Internal Audits'!$G$4:$G$100003,dCrit)*100,0)</f>
        <v>0</v>
      </c>
      <c r="P542" s="12" t="s">
        <v>92</v>
      </c>
      <c r="Q542" s="22">
        <f>COUNTIFS('Internal Audits'!$D$4:$D$100003,mCrit,'Internal Audits'!$G$4:$G$100003,"Maintenance")</f>
        <v>0</v>
      </c>
      <c r="R542" s="23">
        <f>IFERROR((COUNTIFS('Internal Audits'!$P$4:$P$100003,"Closed",'Internal Audits'!$D$4:$D$100003,mCrit,'Internal Audits'!$G$4:$G$100003,"Maintenance"))/COUNTIFS('Internal Audits'!$D$4:$D$100003,mCrit,'Internal Audits'!$G$4:$G$100003,"Maintenance")*100,0)</f>
        <v>0</v>
      </c>
      <c r="S542" s="22">
        <f>COUNTIFS('Internal Audits'!$D$4:$D$100003,mCrit,'Internal Audits'!$G$4:$G$100003,"Maintenance")</f>
        <v>0</v>
      </c>
      <c r="U542" s="12" t="s">
        <v>1880</v>
      </c>
      <c r="V542" s="23">
        <f>IFERROR((COUNTIFS('Internal Audits'!$P$4:$P$100003,"Closed",'Internal Audits'!$D$4:$D$100003,"Jan",'Internal Audits'!$G$4:$G$100003,dCrit))/COUNTIFS('Internal Audits'!$D$4:$D$100003,"Jan",'Internal Audits'!$G$4:$G$100003,dCrit)*100,0)</f>
        <v>0</v>
      </c>
      <c r="W542" s="23">
        <f>IFERROR((COUNTIFS('Internal Audits'!$P$4:$P$100003,"Closed",'Internal Audits'!$D$4:$D$100003,"Feb",'Internal Audits'!$G$4:$G$100003,dCrit))/COUNTIFS('Internal Audits'!$D$4:$D$100003,"Feb",'Internal Audits'!$G$4:$G$100003,dCrit)*100,0)</f>
        <v>0</v>
      </c>
      <c r="X542" s="23">
        <f>IFERROR((COUNTIFS('Internal Audits'!$P$4:$P$100003,"Closed",'Internal Audits'!$D$4:$D$100003,"Mar",'Internal Audits'!$G$4:$G$100003,dCrit))/COUNTIFS('Internal Audits'!$D$4:$D$100003,"Mar",'Internal Audits'!$G$4:$G$100003,dCrit)*100,0)</f>
        <v>0</v>
      </c>
      <c r="Y542" s="23">
        <f>IFERROR((COUNTIFS('Internal Audits'!$P$4:$P$100003,"Closed",'Internal Audits'!$D$4:$D$100003,"Apr",'Internal Audits'!$G$4:$G$100003,dCrit))/COUNTIFS('Internal Audits'!$D$4:$D$100003,"Apr",'Internal Audits'!$G$4:$G$100003,dCrit)*100,0)</f>
        <v>0</v>
      </c>
      <c r="Z542" s="23">
        <f>IFERROR((COUNTIFS('Internal Audits'!$P$4:$P$100003,"Closed",'Internal Audits'!$D$4:$D$100003,"May",'Internal Audits'!$G$4:$G$100003,dCrit))/COUNTIFS('Internal Audits'!$D$4:$D$100003,"May",'Internal Audits'!$G$4:$G$100003,dCrit)*100,0)</f>
        <v>0</v>
      </c>
      <c r="AA542" s="23">
        <f>IFERROR((COUNTIFS('Internal Audits'!$P$4:$P$100003,"Closed",'Internal Audits'!$D$4:$D$100003,"Jun",'Internal Audits'!$G$4:$G$100003,dCrit))/COUNTIFS('Internal Audits'!$D$4:$D$100003,"Jun",'Internal Audits'!$G$4:$G$100003,dCrit)*100,0)</f>
        <v>0</v>
      </c>
      <c r="AB542" s="23">
        <f>IFERROR((COUNTIFS('Internal Audits'!$P$4:$P$100003,"Closed",'Internal Audits'!$D$4:$D$100003,"Jul",'Internal Audits'!$G$4:$G$100003,dCrit))/COUNTIFS('Internal Audits'!$D$4:$D$100003,"Jul",'Internal Audits'!$G$4:$G$100003,dCrit)*100,0)</f>
        <v>0</v>
      </c>
      <c r="AC542" s="23">
        <f>IFERROR((COUNTIFS('Internal Audits'!$P$4:$P$100003,"Closed",'Internal Audits'!$D$4:$D$100003,"Aug",'Internal Audits'!$G$4:$G$100003,dCrit))/COUNTIFS('Internal Audits'!$D$4:$D$100003,"Aug",'Internal Audits'!$G$4:$G$100003,dCrit)*100,0)</f>
        <v>0</v>
      </c>
      <c r="AD542" s="23">
        <f>IFERROR((COUNTIFS('Internal Audits'!$P$4:$P$100003,"Closed",'Internal Audits'!$D$4:$D$100003,"Sep",'Internal Audits'!$G$4:$G$100003,dCrit))/COUNTIFS('Internal Audits'!$D$4:$D$100003,"Sep",'Internal Audits'!$G$4:$G$100003,dCrit)*100,0)</f>
        <v>0</v>
      </c>
      <c r="AE542" s="23">
        <f>IFERROR((COUNTIFS('Internal Audits'!$P$4:$P$100003,"Closed",'Internal Audits'!$D$4:$D$100003,"Oct",'Internal Audits'!$G$4:$G$100003,dCrit))/COUNTIFS('Internal Audits'!$D$4:$D$100003,"Oct",'Internal Audits'!$G$4:$G$100003,dCrit)*100,0)</f>
        <v>0</v>
      </c>
      <c r="AF542" s="23">
        <f>IFERROR((COUNTIFS('Internal Audits'!$P$4:$P$100003,"Closed",'Internal Audits'!$D$4:$D$100003,"Nov",'Internal Audits'!$G$4:$G$100003,dCrit))/COUNTIFS('Internal Audits'!$D$4:$D$100003,"Nov",'Internal Audits'!$G$4:$G$100003,dCrit)*100,0)</f>
        <v>0</v>
      </c>
      <c r="AG542" s="23">
        <f>IFERROR((COUNTIFS('Internal Audits'!$P$4:$P$100003,"Closed",'Internal Audits'!$D$4:$D$100003,"Dec",'Internal Audits'!$G$4:$G$100003,dCrit))/COUNTIFS('Internal Audits'!$D$4:$D$100003,"Dec",'Internal Audits'!$G$4:$G$100003,dCrit)*100,0)</f>
        <v>0</v>
      </c>
      <c r="AH542" s="23">
        <f>IFERROR(AVERAGE(V542:AG542),0)</f>
        <v>0</v>
      </c>
    </row>
    <row r="543" spans="2:34">
      <c r="B543" s="21" t="s">
        <v>44</v>
      </c>
      <c r="C543" s="22">
        <f>COUNTIFS('Internal Audits'!$D$4:$D$100003,"Mar",'Internal Audits'!$G$4:$G$100003,dCrit)</f>
        <v>0</v>
      </c>
      <c r="E543" s="12" t="s">
        <v>717</v>
      </c>
      <c r="F543" s="22">
        <f>COUNTIFS('Internal Audits'!$F$4:$F$100003,"Process Audit",'Internal Audits'!$D$4:$D$100003,mCrit,'Internal Audits'!$G$4:$G$100003,dCrit)</f>
        <v>0</v>
      </c>
      <c r="J543" s="12" t="s">
        <v>254</v>
      </c>
      <c r="K543" s="22">
        <f>COUNTIFS('Internal Audits'!$P$4:$P$100003,"In Progress",'Internal Audits'!$D$4:$D$100003,mCrit,'Internal Audits'!$G$4:$G$100003,dCrit)</f>
        <v>0</v>
      </c>
      <c r="M543" s="12" t="s">
        <v>1877</v>
      </c>
      <c r="N543" s="22">
        <f>COUNTIFS('Internal Audits'!$P$4:$P$100003,"Open",'Internal Audits'!$D$4:$D$100003,mCrit,'Internal Audits'!$G$4:$G$100003,dCrit)+COUNTIFS('Internal Audits'!$P$4:$P$100003,"In Progress",'Internal Audits'!$D$4:$D$100003,mCrit,'Internal Audits'!$G$4:$G$100003,dCrit)+COUNTIFS('Internal Audits'!$P$4:$P$100003,"Overdue",'Internal Audits'!$D$4:$D$100003,mCrit,'Internal Audits'!$G$4:$G$100003,dCrit)</f>
        <v>0</v>
      </c>
      <c r="P543" s="12" t="s">
        <v>39</v>
      </c>
      <c r="Q543" s="22">
        <f>COUNTIFS('Internal Audits'!$D$4:$D$100003,mCrit,'Internal Audits'!$G$4:$G$100003,"Engineering")</f>
        <v>0</v>
      </c>
      <c r="R543" s="23">
        <f>IFERROR((COUNTIFS('Internal Audits'!$P$4:$P$100003,"Closed",'Internal Audits'!$D$4:$D$100003,mCrit,'Internal Audits'!$G$4:$G$100003,"Engineering"))/COUNTIFS('Internal Audits'!$D$4:$D$100003,mCrit,'Internal Audits'!$G$4:$G$100003,"Engineering")*100,0)</f>
        <v>0</v>
      </c>
      <c r="S543" s="22">
        <f>COUNTIFS('Internal Audits'!$D$4:$D$100003,mCrit,'Internal Audits'!$G$4:$G$100003,"Engineering")</f>
        <v>0</v>
      </c>
    </row>
    <row r="544" spans="2:34">
      <c r="B544" s="21" t="s">
        <v>53</v>
      </c>
      <c r="C544" s="22">
        <f>COUNTIFS('Internal Audits'!$D$4:$D$100003,"Apr",'Internal Audits'!$G$4:$G$100003,dCrit)</f>
        <v>0</v>
      </c>
      <c r="E544" s="12" t="s">
        <v>722</v>
      </c>
      <c r="F544" s="22">
        <f>COUNTIFS('Internal Audits'!$F$4:$F$100003,"Surveillance",'Internal Audits'!$D$4:$D$100003,mCrit,'Internal Audits'!$G$4:$G$100003,dCrit)</f>
        <v>0</v>
      </c>
      <c r="J544" s="12" t="s">
        <v>297</v>
      </c>
      <c r="K544" s="22">
        <f>COUNTIFS('Internal Audits'!$P$4:$P$100003,"Open",'Internal Audits'!$D$4:$D$100003,mCrit,'Internal Audits'!$G$4:$G$100003,dCrit)</f>
        <v>0</v>
      </c>
      <c r="M544" s="12" t="s">
        <v>238</v>
      </c>
      <c r="N544" s="22">
        <f>COUNTIFS('Internal Audits'!$P$4:$P$100003,"Overdue",'Internal Audits'!$D$4:$D$100003,mCrit,'Internal Audits'!$G$4:$G$100003,dCrit)</f>
        <v>0</v>
      </c>
      <c r="P544" s="12" t="s">
        <v>89</v>
      </c>
      <c r="Q544" s="22">
        <f>COUNTIFS('Internal Audits'!$D$4:$D$100003,mCrit,'Internal Audits'!$G$4:$G$100003,"Construction")</f>
        <v>0</v>
      </c>
      <c r="R544" s="23">
        <f>IFERROR((COUNTIFS('Internal Audits'!$P$4:$P$100003,"Closed",'Internal Audits'!$D$4:$D$100003,mCrit,'Internal Audits'!$G$4:$G$100003,"Construction"))/COUNTIFS('Internal Audits'!$D$4:$D$100003,mCrit,'Internal Audits'!$G$4:$G$100003,"Construction")*100,0)</f>
        <v>0</v>
      </c>
      <c r="S544" s="22">
        <f>COUNTIFS('Internal Audits'!$D$4:$D$100003,mCrit,'Internal Audits'!$G$4:$G$100003,"Construction")</f>
        <v>0</v>
      </c>
    </row>
    <row r="545" spans="2:19">
      <c r="B545" s="21" t="s">
        <v>60</v>
      </c>
      <c r="C545" s="22">
        <f>COUNTIFS('Internal Audits'!$D$4:$D$100003,"May",'Internal Audits'!$G$4:$G$100003,dCrit)</f>
        <v>0</v>
      </c>
      <c r="E545" s="12" t="s">
        <v>711</v>
      </c>
      <c r="F545" s="22">
        <f>COUNTIFS('Internal Audits'!$F$4:$F$100003,"Customer Audit",'Internal Audits'!$D$4:$D$100003,mCrit,'Internal Audits'!$G$4:$G$100003,dCrit)</f>
        <v>0</v>
      </c>
      <c r="M545" s="12" t="s">
        <v>769</v>
      </c>
      <c r="N545" s="22">
        <f>SUMIFS('Internal Audits'!$L$4:$L$100003,'Internal Audits'!$D$4:$D$100003,mCrit,'Internal Audits'!$G$4:$G$100003,dCrit)</f>
        <v>0</v>
      </c>
      <c r="P545" s="12" t="s">
        <v>65</v>
      </c>
      <c r="Q545" s="22">
        <f>COUNTIFS('Internal Audits'!$D$4:$D$100003,mCrit,'Internal Audits'!$G$4:$G$100003,"Safety")</f>
        <v>0</v>
      </c>
      <c r="R545" s="23">
        <f>IFERROR((COUNTIFS('Internal Audits'!$P$4:$P$100003,"Closed",'Internal Audits'!$D$4:$D$100003,mCrit,'Internal Audits'!$G$4:$G$100003,"Safety"))/COUNTIFS('Internal Audits'!$D$4:$D$100003,mCrit,'Internal Audits'!$G$4:$G$100003,"Safety")*100,0)</f>
        <v>0</v>
      </c>
      <c r="S545" s="22">
        <f>COUNTIFS('Internal Audits'!$D$4:$D$100003,mCrit,'Internal Audits'!$G$4:$G$100003,"Safety")</f>
        <v>0</v>
      </c>
    </row>
    <row r="546" spans="2:19">
      <c r="B546" s="21" t="s">
        <v>73</v>
      </c>
      <c r="C546" s="22">
        <f>COUNTIFS('Internal Audits'!$D$4:$D$100003,"Jun",'Internal Audits'!$G$4:$G$100003,dCrit)</f>
        <v>0</v>
      </c>
      <c r="E546" s="12" t="s">
        <v>713</v>
      </c>
      <c r="F546" s="22">
        <f>COUNTIFS('Internal Audits'!$F$4:$F$100003,"Regulatory Inspection",'Internal Audits'!$D$4:$D$100003,mCrit,'Internal Audits'!$G$4:$G$100003,dCrit)</f>
        <v>0</v>
      </c>
      <c r="M546" s="12" t="s">
        <v>770</v>
      </c>
      <c r="N546" s="22">
        <f>SUMIFS('Internal Audits'!$M$4:$M$100003,'Internal Audits'!$D$4:$D$100003,mCrit,'Internal Audits'!$G$4:$G$100003,dCrit)</f>
        <v>0</v>
      </c>
      <c r="P546" s="12" t="s">
        <v>5</v>
      </c>
      <c r="Q546" s="22">
        <f>COUNTIFS('Internal Audits'!$D$4:$D$100003,mCrit,'Internal Audits'!$G$4:$G$100003,"Logistics")</f>
        <v>0</v>
      </c>
      <c r="R546" s="23">
        <f>IFERROR((COUNTIFS('Internal Audits'!$P$4:$P$100003,"Closed",'Internal Audits'!$D$4:$D$100003,mCrit,'Internal Audits'!$G$4:$G$100003,"Logistics"))/COUNTIFS('Internal Audits'!$D$4:$D$100003,mCrit,'Internal Audits'!$G$4:$G$100003,"Logistics")*100,0)</f>
        <v>0</v>
      </c>
      <c r="S546" s="22">
        <f>COUNTIFS('Internal Audits'!$D$4:$D$100003,mCrit,'Internal Audits'!$G$4:$G$100003,"Logistics")</f>
        <v>0</v>
      </c>
    </row>
    <row r="547" spans="2:19">
      <c r="B547" s="21" t="s">
        <v>76</v>
      </c>
      <c r="C547" s="22">
        <f>COUNTIFS('Internal Audits'!$D$4:$D$100003,"Jul",'Internal Audits'!$G$4:$G$100003,dCrit)</f>
        <v>0</v>
      </c>
      <c r="M547" s="12" t="s">
        <v>1900</v>
      </c>
      <c r="N547" s="22">
        <f>IFERROR(AVERAGEIFS('Internal Audits'!$K$4:$K$100003,'Internal Audits'!$D$4:$D$100003,mCrit,'Internal Audits'!$G$4:$G$100003,dCrit),0)</f>
        <v>0</v>
      </c>
      <c r="P547" s="12" t="s">
        <v>50</v>
      </c>
      <c r="Q547" s="22">
        <f>COUNTIFS('Internal Audits'!$D$4:$D$100003,mCrit,'Internal Audits'!$G$4:$G$100003,"Quality")</f>
        <v>0</v>
      </c>
      <c r="R547" s="23">
        <f>IFERROR((COUNTIFS('Internal Audits'!$P$4:$P$100003,"Closed",'Internal Audits'!$D$4:$D$100003,mCrit,'Internal Audits'!$G$4:$G$100003,"Quality"))/COUNTIFS('Internal Audits'!$D$4:$D$100003,mCrit,'Internal Audits'!$G$4:$G$100003,"Quality")*100,0)</f>
        <v>0</v>
      </c>
      <c r="S547" s="22">
        <f>COUNTIFS('Internal Audits'!$D$4:$D$100003,mCrit,'Internal Audits'!$G$4:$G$100003,"Quality")</f>
        <v>0</v>
      </c>
    </row>
    <row r="548" spans="2:19">
      <c r="B548" s="21" t="s">
        <v>86</v>
      </c>
      <c r="C548" s="22">
        <f>COUNTIFS('Internal Audits'!$D$4:$D$100003,"Aug",'Internal Audits'!$G$4:$G$100003,dCrit)</f>
        <v>0</v>
      </c>
      <c r="P548" s="12" t="s">
        <v>46</v>
      </c>
      <c r="Q548" s="22">
        <f>COUNTIFS('Internal Audits'!$D$4:$D$100003,mCrit,'Internal Audits'!$G$4:$G$100003,"Admin")</f>
        <v>0</v>
      </c>
      <c r="R548" s="23">
        <f>IFERROR((COUNTIFS('Internal Audits'!$P$4:$P$100003,"Closed",'Internal Audits'!$D$4:$D$100003,mCrit,'Internal Audits'!$G$4:$G$100003,"Admin"))/COUNTIFS('Internal Audits'!$D$4:$D$100003,mCrit,'Internal Audits'!$G$4:$G$100003,"Admin")*100,0)</f>
        <v>0</v>
      </c>
      <c r="S548" s="22">
        <f>COUNTIFS('Internal Audits'!$D$4:$D$100003,mCrit,'Internal Audits'!$G$4:$G$100003,"Admin")</f>
        <v>0</v>
      </c>
    </row>
    <row r="549" spans="2:19">
      <c r="B549" s="21" t="s">
        <v>102</v>
      </c>
      <c r="C549" s="22">
        <f>COUNTIFS('Internal Audits'!$D$4:$D$100003,"Sep",'Internal Audits'!$G$4:$G$100003,dCrit)</f>
        <v>0</v>
      </c>
      <c r="P549" s="12" t="s">
        <v>13</v>
      </c>
      <c r="Q549" s="22">
        <f>COUNTIFS('Internal Audits'!$D$4:$D$100003,mCrit,'Internal Audits'!$G$4:$G$100003,"Projects")</f>
        <v>0</v>
      </c>
      <c r="R549" s="23">
        <f>IFERROR((COUNTIFS('Internal Audits'!$P$4:$P$100003,"Closed",'Internal Audits'!$D$4:$D$100003,mCrit,'Internal Audits'!$G$4:$G$100003,"Projects"))/COUNTIFS('Internal Audits'!$D$4:$D$100003,mCrit,'Internal Audits'!$G$4:$G$100003,"Projects")*100,0)</f>
        <v>0</v>
      </c>
      <c r="S549" s="22">
        <f>COUNTIFS('Internal Audits'!$D$4:$D$100003,mCrit,'Internal Audits'!$G$4:$G$100003,"Projects")</f>
        <v>0</v>
      </c>
    </row>
    <row r="550" spans="2:19">
      <c r="B550" s="21" t="s">
        <v>106</v>
      </c>
      <c r="C550" s="22">
        <f>COUNTIFS('Internal Audits'!$D$4:$D$100003,"Oct",'Internal Audits'!$G$4:$G$100003,dCrit)</f>
        <v>0</v>
      </c>
      <c r="P550" s="12" t="s">
        <v>58</v>
      </c>
      <c r="Q550" s="22">
        <f>COUNTIFS('Internal Audits'!$D$4:$D$100003,mCrit,'Internal Audits'!$G$4:$G$100003,"Contractor")</f>
        <v>0</v>
      </c>
      <c r="R550" s="23">
        <f>IFERROR((COUNTIFS('Internal Audits'!$P$4:$P$100003,"Closed",'Internal Audits'!$D$4:$D$100003,mCrit,'Internal Audits'!$G$4:$G$100003,"Contractor"))/COUNTIFS('Internal Audits'!$D$4:$D$100003,mCrit,'Internal Audits'!$G$4:$G$100003,"Contractor")*100,0)</f>
        <v>0</v>
      </c>
      <c r="S550" s="22">
        <f>COUNTIFS('Internal Audits'!$D$4:$D$100003,mCrit,'Internal Audits'!$G$4:$G$100003,"Contractor")</f>
        <v>0</v>
      </c>
    </row>
    <row r="551" spans="2:19">
      <c r="B551" s="21" t="s">
        <v>111</v>
      </c>
      <c r="C551" s="22">
        <f>COUNTIFS('Internal Audits'!$D$4:$D$100003,"Nov",'Internal Audits'!$G$4:$G$100003,dCrit)</f>
        <v>0</v>
      </c>
    </row>
    <row r="552" spans="2:19">
      <c r="B552" s="21" t="s">
        <v>122</v>
      </c>
      <c r="C552" s="22">
        <f>COUNTIFS('Internal Audits'!$D$4:$D$100003,"Dec",'Internal Audits'!$G$4:$G$100003,dCrit)</f>
        <v>0</v>
      </c>
    </row>
    <row r="565" spans="2:34">
      <c r="B565" s="16" t="s">
        <v>1901</v>
      </c>
    </row>
    <row r="566" spans="2:34">
      <c r="B566" s="11" t="s">
        <v>127</v>
      </c>
      <c r="C566" s="11" t="s">
        <v>1808</v>
      </c>
      <c r="E566" s="11" t="s">
        <v>766</v>
      </c>
      <c r="F566" s="11" t="s">
        <v>1808</v>
      </c>
      <c r="J566" s="11" t="s">
        <v>287</v>
      </c>
      <c r="K566" s="11" t="s">
        <v>1808</v>
      </c>
      <c r="M566" s="11" t="s">
        <v>1752</v>
      </c>
      <c r="N566" s="11" t="s">
        <v>1867</v>
      </c>
      <c r="P566" s="11" t="s">
        <v>129</v>
      </c>
      <c r="Q566" s="11" t="s">
        <v>1808</v>
      </c>
      <c r="R566" s="11" t="s">
        <v>1879</v>
      </c>
      <c r="S566" s="11" t="s">
        <v>1872</v>
      </c>
      <c r="U566" s="11" t="s">
        <v>1873</v>
      </c>
      <c r="V566" s="11" t="s">
        <v>3</v>
      </c>
      <c r="W566" s="11" t="s">
        <v>19</v>
      </c>
      <c r="X566" s="11" t="s">
        <v>44</v>
      </c>
      <c r="Y566" s="11" t="s">
        <v>53</v>
      </c>
      <c r="Z566" s="11" t="s">
        <v>60</v>
      </c>
      <c r="AA566" s="11" t="s">
        <v>73</v>
      </c>
      <c r="AB566" s="11" t="s">
        <v>76</v>
      </c>
      <c r="AC566" s="11" t="s">
        <v>86</v>
      </c>
      <c r="AD566" s="11" t="s">
        <v>102</v>
      </c>
      <c r="AE566" s="11" t="s">
        <v>106</v>
      </c>
      <c r="AF566" s="11" t="s">
        <v>111</v>
      </c>
      <c r="AG566" s="11" t="s">
        <v>122</v>
      </c>
      <c r="AH566" s="11" t="s">
        <v>1874</v>
      </c>
    </row>
    <row r="567" spans="2:34">
      <c r="B567" s="21" t="s">
        <v>3</v>
      </c>
      <c r="C567" s="22">
        <f>COUNTIFS('External Audits'!$D$4:$D$100003,"Jan",'External Audits'!$G$4:$G$100003,dCrit)</f>
        <v>0</v>
      </c>
      <c r="E567" s="12" t="s">
        <v>715</v>
      </c>
      <c r="F567" s="22">
        <f>COUNTIFS('External Audits'!$F$4:$F$100003,"System Audit",'External Audits'!$D$4:$D$100003,mCrit,'External Audits'!$G$4:$G$100003,dCrit)</f>
        <v>0</v>
      </c>
      <c r="J567" s="12" t="s">
        <v>293</v>
      </c>
      <c r="K567" s="22">
        <f>COUNTIFS('External Audits'!$P$4:$P$100003,"Closed",'External Audits'!$D$4:$D$100003,mCrit,'External Audits'!$G$4:$G$100003,dCrit)</f>
        <v>0</v>
      </c>
      <c r="M567" s="12" t="s">
        <v>1868</v>
      </c>
      <c r="N567" s="22">
        <f>COUNTIFS('External Audits'!$D$4:$D$100003,mCrit,'External Audits'!$G$4:$G$100003,dCrit)</f>
        <v>0</v>
      </c>
      <c r="P567" s="12" t="s">
        <v>27</v>
      </c>
      <c r="Q567" s="22">
        <f>COUNTIFS('External Audits'!$D$4:$D$100003,mCrit,'External Audits'!$G$4:$G$100003,"Operations")</f>
        <v>0</v>
      </c>
      <c r="R567" s="23">
        <f>IFERROR((COUNTIFS('External Audits'!$P$4:$P$100003,"Closed",'External Audits'!$D$4:$D$100003,mCrit,'External Audits'!$G$4:$G$100003,"Operations"))/COUNTIFS('External Audits'!$D$4:$D$100003,mCrit,'External Audits'!$G$4:$G$100003,"Operations")*100,0)</f>
        <v>0</v>
      </c>
      <c r="S567" s="22">
        <f>COUNTIFS('External Audits'!$D$4:$D$100003,mCrit,'External Audits'!$G$4:$G$100003,"Operations")</f>
        <v>0</v>
      </c>
      <c r="U567" s="12" t="s">
        <v>1872</v>
      </c>
      <c r="V567" s="22">
        <f>COUNTIFS('External Audits'!$D$4:$D$100003,"Jan",'External Audits'!$G$4:$G$100003,dCrit)</f>
        <v>0</v>
      </c>
      <c r="W567" s="22">
        <f>COUNTIFS('External Audits'!$D$4:$D$100003,"Feb",'External Audits'!$G$4:$G$100003,dCrit)</f>
        <v>0</v>
      </c>
      <c r="X567" s="22">
        <f>COUNTIFS('External Audits'!$D$4:$D$100003,"Mar",'External Audits'!$G$4:$G$100003,dCrit)</f>
        <v>0</v>
      </c>
      <c r="Y567" s="22">
        <f>COUNTIFS('External Audits'!$D$4:$D$100003,"Apr",'External Audits'!$G$4:$G$100003,dCrit)</f>
        <v>0</v>
      </c>
      <c r="Z567" s="22">
        <f>COUNTIFS('External Audits'!$D$4:$D$100003,"May",'External Audits'!$G$4:$G$100003,dCrit)</f>
        <v>0</v>
      </c>
      <c r="AA567" s="22">
        <f>COUNTIFS('External Audits'!$D$4:$D$100003,"Jun",'External Audits'!$G$4:$G$100003,dCrit)</f>
        <v>0</v>
      </c>
      <c r="AB567" s="22">
        <f>COUNTIFS('External Audits'!$D$4:$D$100003,"Jul",'External Audits'!$G$4:$G$100003,dCrit)</f>
        <v>0</v>
      </c>
      <c r="AC567" s="22">
        <f>COUNTIFS('External Audits'!$D$4:$D$100003,"Aug",'External Audits'!$G$4:$G$100003,dCrit)</f>
        <v>0</v>
      </c>
      <c r="AD567" s="22">
        <f>COUNTIFS('External Audits'!$D$4:$D$100003,"Sep",'External Audits'!$G$4:$G$100003,dCrit)</f>
        <v>0</v>
      </c>
      <c r="AE567" s="22">
        <f>COUNTIFS('External Audits'!$D$4:$D$100003,"Oct",'External Audits'!$G$4:$G$100003,dCrit)</f>
        <v>0</v>
      </c>
      <c r="AF567" s="22">
        <f>COUNTIFS('External Audits'!$D$4:$D$100003,"Nov",'External Audits'!$G$4:$G$100003,dCrit)</f>
        <v>0</v>
      </c>
      <c r="AG567" s="22">
        <f>COUNTIFS('External Audits'!$D$4:$D$100003,"Dec",'External Audits'!$G$4:$G$100003,dCrit)</f>
        <v>0</v>
      </c>
      <c r="AH567" s="22">
        <f>SUM(V567:AG567)</f>
        <v>0</v>
      </c>
    </row>
    <row r="568" spans="2:34">
      <c r="B568" s="21" t="s">
        <v>19</v>
      </c>
      <c r="C568" s="22">
        <f>COUNTIFS('External Audits'!$D$4:$D$100003,"Feb",'External Audits'!$G$4:$G$100003,dCrit)</f>
        <v>0</v>
      </c>
      <c r="E568" s="12" t="s">
        <v>740</v>
      </c>
      <c r="F568" s="22">
        <f>COUNTIFS('External Audits'!$F$4:$F$100003,"Compliance Audit",'External Audits'!$D$4:$D$100003,mCrit,'External Audits'!$G$4:$G$100003,dCrit)</f>
        <v>0</v>
      </c>
      <c r="J568" s="12" t="s">
        <v>254</v>
      </c>
      <c r="K568" s="22">
        <f>COUNTIFS('External Audits'!$P$4:$P$100003,"In Progress",'External Audits'!$D$4:$D$100003,mCrit,'External Audits'!$G$4:$G$100003,dCrit)</f>
        <v>0</v>
      </c>
      <c r="M568" s="12" t="s">
        <v>1876</v>
      </c>
      <c r="N568" s="23">
        <f>IFERROR((COUNTIFS('External Audits'!$P$4:$P$100003,"Closed",'External Audits'!$D$4:$D$100003,mCrit,'External Audits'!$G$4:$G$100003,dCrit))/COUNTIFS('External Audits'!$D$4:$D$100003,mCrit,'External Audits'!$G$4:$G$100003,dCrit)*100,0)</f>
        <v>0</v>
      </c>
      <c r="P568" s="12" t="s">
        <v>92</v>
      </c>
      <c r="Q568" s="22">
        <f>COUNTIFS('External Audits'!$D$4:$D$100003,mCrit,'External Audits'!$G$4:$G$100003,"Maintenance")</f>
        <v>0</v>
      </c>
      <c r="R568" s="23">
        <f>IFERROR((COUNTIFS('External Audits'!$P$4:$P$100003,"Closed",'External Audits'!$D$4:$D$100003,mCrit,'External Audits'!$G$4:$G$100003,"Maintenance"))/COUNTIFS('External Audits'!$D$4:$D$100003,mCrit,'External Audits'!$G$4:$G$100003,"Maintenance")*100,0)</f>
        <v>0</v>
      </c>
      <c r="S568" s="22">
        <f>COUNTIFS('External Audits'!$D$4:$D$100003,mCrit,'External Audits'!$G$4:$G$100003,"Maintenance")</f>
        <v>0</v>
      </c>
      <c r="U568" s="12" t="s">
        <v>1880</v>
      </c>
      <c r="V568" s="23">
        <f>IFERROR((COUNTIFS('External Audits'!$P$4:$P$100003,"Closed",'External Audits'!$D$4:$D$100003,"Jan",'External Audits'!$G$4:$G$100003,dCrit))/COUNTIFS('External Audits'!$D$4:$D$100003,"Jan",'External Audits'!$G$4:$G$100003,dCrit)*100,0)</f>
        <v>0</v>
      </c>
      <c r="W568" s="23">
        <f>IFERROR((COUNTIFS('External Audits'!$P$4:$P$100003,"Closed",'External Audits'!$D$4:$D$100003,"Feb",'External Audits'!$G$4:$G$100003,dCrit))/COUNTIFS('External Audits'!$D$4:$D$100003,"Feb",'External Audits'!$G$4:$G$100003,dCrit)*100,0)</f>
        <v>0</v>
      </c>
      <c r="X568" s="23">
        <f>IFERROR((COUNTIFS('External Audits'!$P$4:$P$100003,"Closed",'External Audits'!$D$4:$D$100003,"Mar",'External Audits'!$G$4:$G$100003,dCrit))/COUNTIFS('External Audits'!$D$4:$D$100003,"Mar",'External Audits'!$G$4:$G$100003,dCrit)*100,0)</f>
        <v>0</v>
      </c>
      <c r="Y568" s="23">
        <f>IFERROR((COUNTIFS('External Audits'!$P$4:$P$100003,"Closed",'External Audits'!$D$4:$D$100003,"Apr",'External Audits'!$G$4:$G$100003,dCrit))/COUNTIFS('External Audits'!$D$4:$D$100003,"Apr",'External Audits'!$G$4:$G$100003,dCrit)*100,0)</f>
        <v>0</v>
      </c>
      <c r="Z568" s="23">
        <f>IFERROR((COUNTIFS('External Audits'!$P$4:$P$100003,"Closed",'External Audits'!$D$4:$D$100003,"May",'External Audits'!$G$4:$G$100003,dCrit))/COUNTIFS('External Audits'!$D$4:$D$100003,"May",'External Audits'!$G$4:$G$100003,dCrit)*100,0)</f>
        <v>0</v>
      </c>
      <c r="AA568" s="23">
        <f>IFERROR((COUNTIFS('External Audits'!$P$4:$P$100003,"Closed",'External Audits'!$D$4:$D$100003,"Jun",'External Audits'!$G$4:$G$100003,dCrit))/COUNTIFS('External Audits'!$D$4:$D$100003,"Jun",'External Audits'!$G$4:$G$100003,dCrit)*100,0)</f>
        <v>0</v>
      </c>
      <c r="AB568" s="23">
        <f>IFERROR((COUNTIFS('External Audits'!$P$4:$P$100003,"Closed",'External Audits'!$D$4:$D$100003,"Jul",'External Audits'!$G$4:$G$100003,dCrit))/COUNTIFS('External Audits'!$D$4:$D$100003,"Jul",'External Audits'!$G$4:$G$100003,dCrit)*100,0)</f>
        <v>0</v>
      </c>
      <c r="AC568" s="23">
        <f>IFERROR((COUNTIFS('External Audits'!$P$4:$P$100003,"Closed",'External Audits'!$D$4:$D$100003,"Aug",'External Audits'!$G$4:$G$100003,dCrit))/COUNTIFS('External Audits'!$D$4:$D$100003,"Aug",'External Audits'!$G$4:$G$100003,dCrit)*100,0)</f>
        <v>0</v>
      </c>
      <c r="AD568" s="23">
        <f>IFERROR((COUNTIFS('External Audits'!$P$4:$P$100003,"Closed",'External Audits'!$D$4:$D$100003,"Sep",'External Audits'!$G$4:$G$100003,dCrit))/COUNTIFS('External Audits'!$D$4:$D$100003,"Sep",'External Audits'!$G$4:$G$100003,dCrit)*100,0)</f>
        <v>0</v>
      </c>
      <c r="AE568" s="23">
        <f>IFERROR((COUNTIFS('External Audits'!$P$4:$P$100003,"Closed",'External Audits'!$D$4:$D$100003,"Oct",'External Audits'!$G$4:$G$100003,dCrit))/COUNTIFS('External Audits'!$D$4:$D$100003,"Oct",'External Audits'!$G$4:$G$100003,dCrit)*100,0)</f>
        <v>0</v>
      </c>
      <c r="AF568" s="23">
        <f>IFERROR((COUNTIFS('External Audits'!$P$4:$P$100003,"Closed",'External Audits'!$D$4:$D$100003,"Nov",'External Audits'!$G$4:$G$100003,dCrit))/COUNTIFS('External Audits'!$D$4:$D$100003,"Nov",'External Audits'!$G$4:$G$100003,dCrit)*100,0)</f>
        <v>0</v>
      </c>
      <c r="AG568" s="23">
        <f>IFERROR((COUNTIFS('External Audits'!$P$4:$P$100003,"Closed",'External Audits'!$D$4:$D$100003,"Dec",'External Audits'!$G$4:$G$100003,dCrit))/COUNTIFS('External Audits'!$D$4:$D$100003,"Dec",'External Audits'!$G$4:$G$100003,dCrit)*100,0)</f>
        <v>0</v>
      </c>
      <c r="AH568" s="23">
        <f>IFERROR(AVERAGE(V568:AG568),0)</f>
        <v>0</v>
      </c>
    </row>
    <row r="569" spans="2:34">
      <c r="B569" s="21" t="s">
        <v>44</v>
      </c>
      <c r="C569" s="22">
        <f>COUNTIFS('External Audits'!$D$4:$D$100003,"Mar",'External Audits'!$G$4:$G$100003,dCrit)</f>
        <v>0</v>
      </c>
      <c r="E569" s="12" t="s">
        <v>717</v>
      </c>
      <c r="F569" s="22">
        <f>COUNTIFS('External Audits'!$F$4:$F$100003,"Process Audit",'External Audits'!$D$4:$D$100003,mCrit,'External Audits'!$G$4:$G$100003,dCrit)</f>
        <v>0</v>
      </c>
      <c r="J569" s="12" t="s">
        <v>297</v>
      </c>
      <c r="K569" s="22">
        <f>COUNTIFS('External Audits'!$P$4:$P$100003,"Open",'External Audits'!$D$4:$D$100003,mCrit,'External Audits'!$G$4:$G$100003,dCrit)</f>
        <v>0</v>
      </c>
      <c r="M569" s="12" t="s">
        <v>1877</v>
      </c>
      <c r="N569" s="22">
        <f>COUNTIFS('External Audits'!$P$4:$P$100003,"Open",'External Audits'!$D$4:$D$100003,mCrit,'External Audits'!$G$4:$G$100003,dCrit)+COUNTIFS('External Audits'!$P$4:$P$100003,"In Progress",'External Audits'!$D$4:$D$100003,mCrit,'External Audits'!$G$4:$G$100003,dCrit)+COUNTIFS('External Audits'!$P$4:$P$100003,"Overdue",'External Audits'!$D$4:$D$100003,mCrit,'External Audits'!$G$4:$G$100003,dCrit)</f>
        <v>0</v>
      </c>
      <c r="P569" s="12" t="s">
        <v>39</v>
      </c>
      <c r="Q569" s="22">
        <f>COUNTIFS('External Audits'!$D$4:$D$100003,mCrit,'External Audits'!$G$4:$G$100003,"Engineering")</f>
        <v>0</v>
      </c>
      <c r="R569" s="23">
        <f>IFERROR((COUNTIFS('External Audits'!$P$4:$P$100003,"Closed",'External Audits'!$D$4:$D$100003,mCrit,'External Audits'!$G$4:$G$100003,"Engineering"))/COUNTIFS('External Audits'!$D$4:$D$100003,mCrit,'External Audits'!$G$4:$G$100003,"Engineering")*100,0)</f>
        <v>0</v>
      </c>
      <c r="S569" s="22">
        <f>COUNTIFS('External Audits'!$D$4:$D$100003,mCrit,'External Audits'!$G$4:$G$100003,"Engineering")</f>
        <v>0</v>
      </c>
    </row>
    <row r="570" spans="2:34">
      <c r="B570" s="21" t="s">
        <v>53</v>
      </c>
      <c r="C570" s="22">
        <f>COUNTIFS('External Audits'!$D$4:$D$100003,"Apr",'External Audits'!$G$4:$G$100003,dCrit)</f>
        <v>0</v>
      </c>
      <c r="E570" s="12" t="s">
        <v>722</v>
      </c>
      <c r="F570" s="22">
        <f>COUNTIFS('External Audits'!$F$4:$F$100003,"Surveillance",'External Audits'!$D$4:$D$100003,mCrit,'External Audits'!$G$4:$G$100003,dCrit)</f>
        <v>0</v>
      </c>
      <c r="J570" s="12" t="s">
        <v>238</v>
      </c>
      <c r="K570" s="22">
        <f>COUNTIFS('External Audits'!$P$4:$P$100003,"Overdue",'External Audits'!$D$4:$D$100003,mCrit,'External Audits'!$G$4:$G$100003,dCrit)</f>
        <v>0</v>
      </c>
      <c r="M570" s="12" t="s">
        <v>238</v>
      </c>
      <c r="N570" s="22">
        <f>COUNTIFS('External Audits'!$P$4:$P$100003,"Overdue",'External Audits'!$D$4:$D$100003,mCrit,'External Audits'!$G$4:$G$100003,dCrit)</f>
        <v>0</v>
      </c>
      <c r="P570" s="12" t="s">
        <v>89</v>
      </c>
      <c r="Q570" s="22">
        <f>COUNTIFS('External Audits'!$D$4:$D$100003,mCrit,'External Audits'!$G$4:$G$100003,"Construction")</f>
        <v>0</v>
      </c>
      <c r="R570" s="23">
        <f>IFERROR((COUNTIFS('External Audits'!$P$4:$P$100003,"Closed",'External Audits'!$D$4:$D$100003,mCrit,'External Audits'!$G$4:$G$100003,"Construction"))/COUNTIFS('External Audits'!$D$4:$D$100003,mCrit,'External Audits'!$G$4:$G$100003,"Construction")*100,0)</f>
        <v>0</v>
      </c>
      <c r="S570" s="22">
        <f>COUNTIFS('External Audits'!$D$4:$D$100003,mCrit,'External Audits'!$G$4:$G$100003,"Construction")</f>
        <v>0</v>
      </c>
    </row>
    <row r="571" spans="2:34">
      <c r="B571" s="21" t="s">
        <v>60</v>
      </c>
      <c r="C571" s="22">
        <f>COUNTIFS('External Audits'!$D$4:$D$100003,"May",'External Audits'!$G$4:$G$100003,dCrit)</f>
        <v>0</v>
      </c>
      <c r="E571" s="12" t="s">
        <v>711</v>
      </c>
      <c r="F571" s="22">
        <f>COUNTIFS('External Audits'!$F$4:$F$100003,"Customer Audit",'External Audits'!$D$4:$D$100003,mCrit,'External Audits'!$G$4:$G$100003,dCrit)</f>
        <v>0</v>
      </c>
      <c r="M571" s="12" t="s">
        <v>769</v>
      </c>
      <c r="N571" s="22">
        <f>SUMIFS('External Audits'!$L$4:$L$100003,'External Audits'!$D$4:$D$100003,mCrit,'External Audits'!$G$4:$G$100003,dCrit)</f>
        <v>0</v>
      </c>
      <c r="P571" s="12" t="s">
        <v>65</v>
      </c>
      <c r="Q571" s="22">
        <f>COUNTIFS('External Audits'!$D$4:$D$100003,mCrit,'External Audits'!$G$4:$G$100003,"Safety")</f>
        <v>0</v>
      </c>
      <c r="R571" s="23">
        <f>IFERROR((COUNTIFS('External Audits'!$P$4:$P$100003,"Closed",'External Audits'!$D$4:$D$100003,mCrit,'External Audits'!$G$4:$G$100003,"Safety"))/COUNTIFS('External Audits'!$D$4:$D$100003,mCrit,'External Audits'!$G$4:$G$100003,"Safety")*100,0)</f>
        <v>0</v>
      </c>
      <c r="S571" s="22">
        <f>COUNTIFS('External Audits'!$D$4:$D$100003,mCrit,'External Audits'!$G$4:$G$100003,"Safety")</f>
        <v>0</v>
      </c>
    </row>
    <row r="572" spans="2:34">
      <c r="B572" s="21" t="s">
        <v>73</v>
      </c>
      <c r="C572" s="22">
        <f>COUNTIFS('External Audits'!$D$4:$D$100003,"Jun",'External Audits'!$G$4:$G$100003,dCrit)</f>
        <v>0</v>
      </c>
      <c r="E572" s="12" t="s">
        <v>713</v>
      </c>
      <c r="F572" s="22">
        <f>COUNTIFS('External Audits'!$F$4:$F$100003,"Regulatory Inspection",'External Audits'!$D$4:$D$100003,mCrit,'External Audits'!$G$4:$G$100003,dCrit)</f>
        <v>0</v>
      </c>
      <c r="M572" s="12" t="s">
        <v>770</v>
      </c>
      <c r="N572" s="22">
        <f>SUMIFS('External Audits'!$M$4:$M$100003,'External Audits'!$D$4:$D$100003,mCrit,'External Audits'!$G$4:$G$100003,dCrit)</f>
        <v>0</v>
      </c>
      <c r="P572" s="12" t="s">
        <v>5</v>
      </c>
      <c r="Q572" s="22">
        <f>COUNTIFS('External Audits'!$D$4:$D$100003,mCrit,'External Audits'!$G$4:$G$100003,"Logistics")</f>
        <v>0</v>
      </c>
      <c r="R572" s="23">
        <f>IFERROR((COUNTIFS('External Audits'!$P$4:$P$100003,"Closed",'External Audits'!$D$4:$D$100003,mCrit,'External Audits'!$G$4:$G$100003,"Logistics"))/COUNTIFS('External Audits'!$D$4:$D$100003,mCrit,'External Audits'!$G$4:$G$100003,"Logistics")*100,0)</f>
        <v>0</v>
      </c>
      <c r="S572" s="22">
        <f>COUNTIFS('External Audits'!$D$4:$D$100003,mCrit,'External Audits'!$G$4:$G$100003,"Logistics")</f>
        <v>0</v>
      </c>
    </row>
    <row r="573" spans="2:34">
      <c r="B573" s="21" t="s">
        <v>76</v>
      </c>
      <c r="C573" s="22">
        <f>COUNTIFS('External Audits'!$D$4:$D$100003,"Jul",'External Audits'!$G$4:$G$100003,dCrit)</f>
        <v>0</v>
      </c>
      <c r="M573" s="12" t="s">
        <v>1900</v>
      </c>
      <c r="N573" s="22">
        <f>IFERROR(AVERAGEIFS('External Audits'!$K$4:$K$100003,'External Audits'!$D$4:$D$100003,mCrit,'External Audits'!$G$4:$G$100003,dCrit),0)</f>
        <v>0</v>
      </c>
      <c r="P573" s="12" t="s">
        <v>50</v>
      </c>
      <c r="Q573" s="22">
        <f>COUNTIFS('External Audits'!$D$4:$D$100003,mCrit,'External Audits'!$G$4:$G$100003,"Quality")</f>
        <v>0</v>
      </c>
      <c r="R573" s="23">
        <f>IFERROR((COUNTIFS('External Audits'!$P$4:$P$100003,"Closed",'External Audits'!$D$4:$D$100003,mCrit,'External Audits'!$G$4:$G$100003,"Quality"))/COUNTIFS('External Audits'!$D$4:$D$100003,mCrit,'External Audits'!$G$4:$G$100003,"Quality")*100,0)</f>
        <v>0</v>
      </c>
      <c r="S573" s="22">
        <f>COUNTIFS('External Audits'!$D$4:$D$100003,mCrit,'External Audits'!$G$4:$G$100003,"Quality")</f>
        <v>0</v>
      </c>
    </row>
    <row r="574" spans="2:34">
      <c r="B574" s="21" t="s">
        <v>86</v>
      </c>
      <c r="C574" s="22">
        <f>COUNTIFS('External Audits'!$D$4:$D$100003,"Aug",'External Audits'!$G$4:$G$100003,dCrit)</f>
        <v>0</v>
      </c>
      <c r="P574" s="12" t="s">
        <v>46</v>
      </c>
      <c r="Q574" s="22">
        <f>COUNTIFS('External Audits'!$D$4:$D$100003,mCrit,'External Audits'!$G$4:$G$100003,"Admin")</f>
        <v>0</v>
      </c>
      <c r="R574" s="23">
        <f>IFERROR((COUNTIFS('External Audits'!$P$4:$P$100003,"Closed",'External Audits'!$D$4:$D$100003,mCrit,'External Audits'!$G$4:$G$100003,"Admin"))/COUNTIFS('External Audits'!$D$4:$D$100003,mCrit,'External Audits'!$G$4:$G$100003,"Admin")*100,0)</f>
        <v>0</v>
      </c>
      <c r="S574" s="22">
        <f>COUNTIFS('External Audits'!$D$4:$D$100003,mCrit,'External Audits'!$G$4:$G$100003,"Admin")</f>
        <v>0</v>
      </c>
    </row>
    <row r="575" spans="2:34">
      <c r="B575" s="21" t="s">
        <v>102</v>
      </c>
      <c r="C575" s="22">
        <f>COUNTIFS('External Audits'!$D$4:$D$100003,"Sep",'External Audits'!$G$4:$G$100003,dCrit)</f>
        <v>0</v>
      </c>
      <c r="P575" s="12" t="s">
        <v>13</v>
      </c>
      <c r="Q575" s="22">
        <f>COUNTIFS('External Audits'!$D$4:$D$100003,mCrit,'External Audits'!$G$4:$G$100003,"Projects")</f>
        <v>0</v>
      </c>
      <c r="R575" s="23">
        <f>IFERROR((COUNTIFS('External Audits'!$P$4:$P$100003,"Closed",'External Audits'!$D$4:$D$100003,mCrit,'External Audits'!$G$4:$G$100003,"Projects"))/COUNTIFS('External Audits'!$D$4:$D$100003,mCrit,'External Audits'!$G$4:$G$100003,"Projects")*100,0)</f>
        <v>0</v>
      </c>
      <c r="S575" s="22">
        <f>COUNTIFS('External Audits'!$D$4:$D$100003,mCrit,'External Audits'!$G$4:$G$100003,"Projects")</f>
        <v>0</v>
      </c>
    </row>
    <row r="576" spans="2:34">
      <c r="B576" s="21" t="s">
        <v>106</v>
      </c>
      <c r="C576" s="22">
        <f>COUNTIFS('External Audits'!$D$4:$D$100003,"Oct",'External Audits'!$G$4:$G$100003,dCrit)</f>
        <v>0</v>
      </c>
      <c r="P576" s="12" t="s">
        <v>58</v>
      </c>
      <c r="Q576" s="22">
        <f>COUNTIFS('External Audits'!$D$4:$D$100003,mCrit,'External Audits'!$G$4:$G$100003,"Contractor")</f>
        <v>0</v>
      </c>
      <c r="R576" s="23">
        <f>IFERROR((COUNTIFS('External Audits'!$P$4:$P$100003,"Closed",'External Audits'!$D$4:$D$100003,mCrit,'External Audits'!$G$4:$G$100003,"Contractor"))/COUNTIFS('External Audits'!$D$4:$D$100003,mCrit,'External Audits'!$G$4:$G$100003,"Contractor")*100,0)</f>
        <v>0</v>
      </c>
      <c r="S576" s="22">
        <f>COUNTIFS('External Audits'!$D$4:$D$100003,mCrit,'External Audits'!$G$4:$G$100003,"Contractor")</f>
        <v>0</v>
      </c>
    </row>
    <row r="577" spans="2:34">
      <c r="B577" s="21" t="s">
        <v>111</v>
      </c>
      <c r="C577" s="22">
        <f>COUNTIFS('External Audits'!$D$4:$D$100003,"Nov",'External Audits'!$G$4:$G$100003,dCrit)</f>
        <v>0</v>
      </c>
    </row>
    <row r="578" spans="2:34">
      <c r="B578" s="21" t="s">
        <v>122</v>
      </c>
      <c r="C578" s="22">
        <f>COUNTIFS('External Audits'!$D$4:$D$100003,"Dec",'External Audits'!$G$4:$G$100003,dCrit)</f>
        <v>0</v>
      </c>
    </row>
    <row r="591" spans="2:34">
      <c r="B591" s="16" t="s">
        <v>1902</v>
      </c>
    </row>
    <row r="592" spans="2:34">
      <c r="B592" s="11" t="s">
        <v>127</v>
      </c>
      <c r="C592" s="11" t="s">
        <v>1808</v>
      </c>
      <c r="E592" s="11" t="s">
        <v>876</v>
      </c>
      <c r="F592" s="11" t="s">
        <v>1808</v>
      </c>
      <c r="J592" s="11" t="s">
        <v>287</v>
      </c>
      <c r="K592" s="11" t="s">
        <v>1808</v>
      </c>
      <c r="M592" s="11" t="s">
        <v>1752</v>
      </c>
      <c r="N592" s="11" t="s">
        <v>1867</v>
      </c>
      <c r="P592" s="11" t="s">
        <v>129</v>
      </c>
      <c r="Q592" s="11" t="s">
        <v>1808</v>
      </c>
      <c r="R592" s="11" t="s">
        <v>1879</v>
      </c>
      <c r="S592" s="11" t="s">
        <v>1892</v>
      </c>
      <c r="U592" s="11" t="s">
        <v>1873</v>
      </c>
      <c r="V592" s="11" t="s">
        <v>3</v>
      </c>
      <c r="W592" s="11" t="s">
        <v>19</v>
      </c>
      <c r="X592" s="11" t="s">
        <v>44</v>
      </c>
      <c r="Y592" s="11" t="s">
        <v>53</v>
      </c>
      <c r="Z592" s="11" t="s">
        <v>60</v>
      </c>
      <c r="AA592" s="11" t="s">
        <v>73</v>
      </c>
      <c r="AB592" s="11" t="s">
        <v>76</v>
      </c>
      <c r="AC592" s="11" t="s">
        <v>86</v>
      </c>
      <c r="AD592" s="11" t="s">
        <v>102</v>
      </c>
      <c r="AE592" s="11" t="s">
        <v>106</v>
      </c>
      <c r="AF592" s="11" t="s">
        <v>111</v>
      </c>
      <c r="AG592" s="11" t="s">
        <v>122</v>
      </c>
      <c r="AH592" s="11" t="s">
        <v>1874</v>
      </c>
    </row>
    <row r="593" spans="2:34">
      <c r="B593" s="21" t="s">
        <v>3</v>
      </c>
      <c r="C593" s="22">
        <f>COUNTIFS('Management Visits'!$D$4:$D$100003,"Jan",'Management Visits'!$F$4:$F$100003,dCrit)</f>
        <v>0</v>
      </c>
      <c r="E593" s="12" t="s">
        <v>824</v>
      </c>
      <c r="F593" s="22">
        <f>COUNTIFS('Management Visits'!$E$4:$E$100003,"Site Walk",'Management Visits'!$D$4:$D$100003,mCrit,'Management Visits'!$F$4:$F$100003,dCrit)</f>
        <v>0</v>
      </c>
      <c r="J593" s="12" t="s">
        <v>254</v>
      </c>
      <c r="K593" s="22">
        <f>COUNTIFS('Management Visits'!$N$4:$N$100003,"In Progress",'Management Visits'!$D$4:$D$100003,mCrit,'Management Visits'!$F$4:$F$100003,dCrit)</f>
        <v>0</v>
      </c>
      <c r="M593" s="12" t="s">
        <v>1868</v>
      </c>
      <c r="N593" s="22">
        <f>COUNTIFS('Management Visits'!$D$4:$D$100003,mCrit,'Management Visits'!$F$4:$F$100003,dCrit)</f>
        <v>0</v>
      </c>
      <c r="P593" s="12" t="s">
        <v>27</v>
      </c>
      <c r="Q593" s="22">
        <f>COUNTIFS('Management Visits'!$D$4:$D$100003,mCrit,'Management Visits'!$F$4:$F$100003,"Operations")</f>
        <v>0</v>
      </c>
      <c r="R593" s="23">
        <f>IFERROR((COUNTIFS('Management Visits'!$N$4:$N$100003,"Closed",'Management Visits'!$D$4:$D$100003,mCrit,'Management Visits'!$F$4:$F$100003,"Operations"))/COUNTIFS('Management Visits'!$D$4:$D$100003,mCrit,'Management Visits'!$F$4:$F$100003,"Operations")*100,0)</f>
        <v>0</v>
      </c>
      <c r="S593" s="23">
        <f>IFERROR(AVERAGEIFS('Management Visits'!$M$4:$M$100003,'Management Visits'!$D$4:$D$100003,mCrit,'Management Visits'!$F$4:$F$100003,"Operations"),0)</f>
        <v>0</v>
      </c>
      <c r="U593" s="12" t="s">
        <v>1872</v>
      </c>
      <c r="V593" s="22">
        <f>COUNTIFS('Management Visits'!$D$4:$D$100003,"Jan",'Management Visits'!$F$4:$F$100003,dCrit)</f>
        <v>0</v>
      </c>
      <c r="W593" s="22">
        <f>COUNTIFS('Management Visits'!$D$4:$D$100003,"Feb",'Management Visits'!$F$4:$F$100003,dCrit)</f>
        <v>0</v>
      </c>
      <c r="X593" s="22">
        <f>COUNTIFS('Management Visits'!$D$4:$D$100003,"Mar",'Management Visits'!$F$4:$F$100003,dCrit)</f>
        <v>0</v>
      </c>
      <c r="Y593" s="22">
        <f>COUNTIFS('Management Visits'!$D$4:$D$100003,"Apr",'Management Visits'!$F$4:$F$100003,dCrit)</f>
        <v>0</v>
      </c>
      <c r="Z593" s="22">
        <f>COUNTIFS('Management Visits'!$D$4:$D$100003,"May",'Management Visits'!$F$4:$F$100003,dCrit)</f>
        <v>0</v>
      </c>
      <c r="AA593" s="22">
        <f>COUNTIFS('Management Visits'!$D$4:$D$100003,"Jun",'Management Visits'!$F$4:$F$100003,dCrit)</f>
        <v>0</v>
      </c>
      <c r="AB593" s="22">
        <f>COUNTIFS('Management Visits'!$D$4:$D$100003,"Jul",'Management Visits'!$F$4:$F$100003,dCrit)</f>
        <v>0</v>
      </c>
      <c r="AC593" s="22">
        <f>COUNTIFS('Management Visits'!$D$4:$D$100003,"Aug",'Management Visits'!$F$4:$F$100003,dCrit)</f>
        <v>0</v>
      </c>
      <c r="AD593" s="22">
        <f>COUNTIFS('Management Visits'!$D$4:$D$100003,"Sep",'Management Visits'!$F$4:$F$100003,dCrit)</f>
        <v>0</v>
      </c>
      <c r="AE593" s="22">
        <f>COUNTIFS('Management Visits'!$D$4:$D$100003,"Oct",'Management Visits'!$F$4:$F$100003,dCrit)</f>
        <v>0</v>
      </c>
      <c r="AF593" s="22">
        <f>COUNTIFS('Management Visits'!$D$4:$D$100003,"Nov",'Management Visits'!$F$4:$F$100003,dCrit)</f>
        <v>0</v>
      </c>
      <c r="AG593" s="22">
        <f>COUNTIFS('Management Visits'!$D$4:$D$100003,"Dec",'Management Visits'!$F$4:$F$100003,dCrit)</f>
        <v>0</v>
      </c>
      <c r="AH593" s="22">
        <f>SUM(V593:AG593)</f>
        <v>0</v>
      </c>
    </row>
    <row r="594" spans="2:34">
      <c r="B594" s="21" t="s">
        <v>19</v>
      </c>
      <c r="C594" s="22">
        <f>COUNTIFS('Management Visits'!$D$4:$D$100003,"Feb",'Management Visits'!$F$4:$F$100003,dCrit)</f>
        <v>0</v>
      </c>
      <c r="E594" s="12" t="s">
        <v>831</v>
      </c>
      <c r="F594" s="22">
        <f>COUNTIFS('Management Visits'!$E$4:$E$100003,"Plant Visit",'Management Visits'!$D$4:$D$100003,mCrit,'Management Visits'!$F$4:$F$100003,dCrit)</f>
        <v>0</v>
      </c>
      <c r="J594" s="12" t="s">
        <v>293</v>
      </c>
      <c r="K594" s="22">
        <f>COUNTIFS('Management Visits'!$N$4:$N$100003,"Closed",'Management Visits'!$D$4:$D$100003,mCrit,'Management Visits'!$F$4:$F$100003,dCrit)</f>
        <v>0</v>
      </c>
      <c r="M594" s="12" t="s">
        <v>1876</v>
      </c>
      <c r="N594" s="23">
        <f>IFERROR((COUNTIFS('Management Visits'!$N$4:$N$100003,"Closed",'Management Visits'!$D$4:$D$100003,mCrit,'Management Visits'!$F$4:$F$100003,dCrit))/COUNTIFS('Management Visits'!$D$4:$D$100003,mCrit,'Management Visits'!$F$4:$F$100003,dCrit)*100,0)</f>
        <v>0</v>
      </c>
      <c r="P594" s="12" t="s">
        <v>92</v>
      </c>
      <c r="Q594" s="22">
        <f>COUNTIFS('Management Visits'!$D$4:$D$100003,mCrit,'Management Visits'!$F$4:$F$100003,"Maintenance")</f>
        <v>0</v>
      </c>
      <c r="R594" s="23">
        <f>IFERROR((COUNTIFS('Management Visits'!$N$4:$N$100003,"Closed",'Management Visits'!$D$4:$D$100003,mCrit,'Management Visits'!$F$4:$F$100003,"Maintenance"))/COUNTIFS('Management Visits'!$D$4:$D$100003,mCrit,'Management Visits'!$F$4:$F$100003,"Maintenance")*100,0)</f>
        <v>0</v>
      </c>
      <c r="S594" s="23">
        <f>IFERROR(AVERAGEIFS('Management Visits'!$M$4:$M$100003,'Management Visits'!$D$4:$D$100003,mCrit,'Management Visits'!$F$4:$F$100003,"Maintenance"),0)</f>
        <v>0</v>
      </c>
      <c r="U594" s="12" t="s">
        <v>1880</v>
      </c>
      <c r="V594" s="23">
        <f>IFERROR((COUNTIFS('Management Visits'!$N$4:$N$100003,"Closed",'Management Visits'!$D$4:$D$100003,"Jan",'Management Visits'!$F$4:$F$100003,dCrit))/COUNTIFS('Management Visits'!$D$4:$D$100003,"Jan",'Management Visits'!$F$4:$F$100003,dCrit)*100,0)</f>
        <v>0</v>
      </c>
      <c r="W594" s="23">
        <f>IFERROR((COUNTIFS('Management Visits'!$N$4:$N$100003,"Closed",'Management Visits'!$D$4:$D$100003,"Feb",'Management Visits'!$F$4:$F$100003,dCrit))/COUNTIFS('Management Visits'!$D$4:$D$100003,"Feb",'Management Visits'!$F$4:$F$100003,dCrit)*100,0)</f>
        <v>0</v>
      </c>
      <c r="X594" s="23">
        <f>IFERROR((COUNTIFS('Management Visits'!$N$4:$N$100003,"Closed",'Management Visits'!$D$4:$D$100003,"Mar",'Management Visits'!$F$4:$F$100003,dCrit))/COUNTIFS('Management Visits'!$D$4:$D$100003,"Mar",'Management Visits'!$F$4:$F$100003,dCrit)*100,0)</f>
        <v>0</v>
      </c>
      <c r="Y594" s="23">
        <f>IFERROR((COUNTIFS('Management Visits'!$N$4:$N$100003,"Closed",'Management Visits'!$D$4:$D$100003,"Apr",'Management Visits'!$F$4:$F$100003,dCrit))/COUNTIFS('Management Visits'!$D$4:$D$100003,"Apr",'Management Visits'!$F$4:$F$100003,dCrit)*100,0)</f>
        <v>0</v>
      </c>
      <c r="Z594" s="23">
        <f>IFERROR((COUNTIFS('Management Visits'!$N$4:$N$100003,"Closed",'Management Visits'!$D$4:$D$100003,"May",'Management Visits'!$F$4:$F$100003,dCrit))/COUNTIFS('Management Visits'!$D$4:$D$100003,"May",'Management Visits'!$F$4:$F$100003,dCrit)*100,0)</f>
        <v>0</v>
      </c>
      <c r="AA594" s="23">
        <f>IFERROR((COUNTIFS('Management Visits'!$N$4:$N$100003,"Closed",'Management Visits'!$D$4:$D$100003,"Jun",'Management Visits'!$F$4:$F$100003,dCrit))/COUNTIFS('Management Visits'!$D$4:$D$100003,"Jun",'Management Visits'!$F$4:$F$100003,dCrit)*100,0)</f>
        <v>0</v>
      </c>
      <c r="AB594" s="23">
        <f>IFERROR((COUNTIFS('Management Visits'!$N$4:$N$100003,"Closed",'Management Visits'!$D$4:$D$100003,"Jul",'Management Visits'!$F$4:$F$100003,dCrit))/COUNTIFS('Management Visits'!$D$4:$D$100003,"Jul",'Management Visits'!$F$4:$F$100003,dCrit)*100,0)</f>
        <v>0</v>
      </c>
      <c r="AC594" s="23">
        <f>IFERROR((COUNTIFS('Management Visits'!$N$4:$N$100003,"Closed",'Management Visits'!$D$4:$D$100003,"Aug",'Management Visits'!$F$4:$F$100003,dCrit))/COUNTIFS('Management Visits'!$D$4:$D$100003,"Aug",'Management Visits'!$F$4:$F$100003,dCrit)*100,0)</f>
        <v>0</v>
      </c>
      <c r="AD594" s="23">
        <f>IFERROR((COUNTIFS('Management Visits'!$N$4:$N$100003,"Closed",'Management Visits'!$D$4:$D$100003,"Sep",'Management Visits'!$F$4:$F$100003,dCrit))/COUNTIFS('Management Visits'!$D$4:$D$100003,"Sep",'Management Visits'!$F$4:$F$100003,dCrit)*100,0)</f>
        <v>0</v>
      </c>
      <c r="AE594" s="23">
        <f>IFERROR((COUNTIFS('Management Visits'!$N$4:$N$100003,"Closed",'Management Visits'!$D$4:$D$100003,"Oct",'Management Visits'!$F$4:$F$100003,dCrit))/COUNTIFS('Management Visits'!$D$4:$D$100003,"Oct",'Management Visits'!$F$4:$F$100003,dCrit)*100,0)</f>
        <v>0</v>
      </c>
      <c r="AF594" s="23">
        <f>IFERROR((COUNTIFS('Management Visits'!$N$4:$N$100003,"Closed",'Management Visits'!$D$4:$D$100003,"Nov",'Management Visits'!$F$4:$F$100003,dCrit))/COUNTIFS('Management Visits'!$D$4:$D$100003,"Nov",'Management Visits'!$F$4:$F$100003,dCrit)*100,0)</f>
        <v>0</v>
      </c>
      <c r="AG594" s="23">
        <f>IFERROR((COUNTIFS('Management Visits'!$N$4:$N$100003,"Closed",'Management Visits'!$D$4:$D$100003,"Dec",'Management Visits'!$F$4:$F$100003,dCrit))/COUNTIFS('Management Visits'!$D$4:$D$100003,"Dec",'Management Visits'!$F$4:$F$100003,dCrit)*100,0)</f>
        <v>0</v>
      </c>
      <c r="AH594" s="23">
        <f>IFERROR(AVERAGE(V594:AG594),0)</f>
        <v>0</v>
      </c>
    </row>
    <row r="595" spans="2:34">
      <c r="B595" s="21" t="s">
        <v>44</v>
      </c>
      <c r="C595" s="22">
        <f>COUNTIFS('Management Visits'!$D$4:$D$100003,"Mar",'Management Visits'!$F$4:$F$100003,dCrit)</f>
        <v>0</v>
      </c>
      <c r="E595" s="12" t="s">
        <v>826</v>
      </c>
      <c r="F595" s="22">
        <f>COUNTIFS('Management Visits'!$E$4:$E$100003,"Safety Observation",'Management Visits'!$D$4:$D$100003,mCrit,'Management Visits'!$F$4:$F$100003,dCrit)</f>
        <v>0</v>
      </c>
      <c r="J595" s="12" t="s">
        <v>238</v>
      </c>
      <c r="K595" s="22">
        <f>COUNTIFS('Management Visits'!$N$4:$N$100003,"Overdue",'Management Visits'!$D$4:$D$100003,mCrit,'Management Visits'!$F$4:$F$100003,dCrit)</f>
        <v>0</v>
      </c>
      <c r="M595" s="12" t="s">
        <v>1877</v>
      </c>
      <c r="N595" s="22">
        <f>COUNTIFS('Management Visits'!$N$4:$N$100003,"Open",'Management Visits'!$D$4:$D$100003,mCrit,'Management Visits'!$F$4:$F$100003,dCrit)+COUNTIFS('Management Visits'!$N$4:$N$100003,"In Progress",'Management Visits'!$D$4:$D$100003,mCrit,'Management Visits'!$F$4:$F$100003,dCrit)+COUNTIFS('Management Visits'!$N$4:$N$100003,"Overdue",'Management Visits'!$D$4:$D$100003,mCrit,'Management Visits'!$F$4:$F$100003,dCrit)</f>
        <v>0</v>
      </c>
      <c r="P595" s="12" t="s">
        <v>39</v>
      </c>
      <c r="Q595" s="22">
        <f>COUNTIFS('Management Visits'!$D$4:$D$100003,mCrit,'Management Visits'!$F$4:$F$100003,"Engineering")</f>
        <v>0</v>
      </c>
      <c r="R595" s="23">
        <f>IFERROR((COUNTIFS('Management Visits'!$N$4:$N$100003,"Closed",'Management Visits'!$D$4:$D$100003,mCrit,'Management Visits'!$F$4:$F$100003,"Engineering"))/COUNTIFS('Management Visits'!$D$4:$D$100003,mCrit,'Management Visits'!$F$4:$F$100003,"Engineering")*100,0)</f>
        <v>0</v>
      </c>
      <c r="S595" s="23">
        <f>IFERROR(AVERAGEIFS('Management Visits'!$M$4:$M$100003,'Management Visits'!$D$4:$D$100003,mCrit,'Management Visits'!$F$4:$F$100003,"Engineering"),0)</f>
        <v>0</v>
      </c>
      <c r="U595" s="12" t="s">
        <v>1892</v>
      </c>
      <c r="V595" s="23">
        <f>IFERROR(AVERAGEIFS('Management Visits'!$M$4:$M$100003,'Management Visits'!$D$4:$D$100003,"Jan",'Management Visits'!$F$4:$F$100003,dCrit),0)</f>
        <v>0</v>
      </c>
      <c r="W595" s="23">
        <f>IFERROR(AVERAGEIFS('Management Visits'!$M$4:$M$100003,'Management Visits'!$D$4:$D$100003,"Feb",'Management Visits'!$F$4:$F$100003,dCrit),0)</f>
        <v>0</v>
      </c>
      <c r="X595" s="23">
        <f>IFERROR(AVERAGEIFS('Management Visits'!$M$4:$M$100003,'Management Visits'!$D$4:$D$100003,"Mar",'Management Visits'!$F$4:$F$100003,dCrit),0)</f>
        <v>0</v>
      </c>
      <c r="Y595" s="23">
        <f>IFERROR(AVERAGEIFS('Management Visits'!$M$4:$M$100003,'Management Visits'!$D$4:$D$100003,"Apr",'Management Visits'!$F$4:$F$100003,dCrit),0)</f>
        <v>0</v>
      </c>
      <c r="Z595" s="23">
        <f>IFERROR(AVERAGEIFS('Management Visits'!$M$4:$M$100003,'Management Visits'!$D$4:$D$100003,"May",'Management Visits'!$F$4:$F$100003,dCrit),0)</f>
        <v>0</v>
      </c>
      <c r="AA595" s="23">
        <f>IFERROR(AVERAGEIFS('Management Visits'!$M$4:$M$100003,'Management Visits'!$D$4:$D$100003,"Jun",'Management Visits'!$F$4:$F$100003,dCrit),0)</f>
        <v>0</v>
      </c>
      <c r="AB595" s="23">
        <f>IFERROR(AVERAGEIFS('Management Visits'!$M$4:$M$100003,'Management Visits'!$D$4:$D$100003,"Jul",'Management Visits'!$F$4:$F$100003,dCrit),0)</f>
        <v>0</v>
      </c>
      <c r="AC595" s="23">
        <f>IFERROR(AVERAGEIFS('Management Visits'!$M$4:$M$100003,'Management Visits'!$D$4:$D$100003,"Aug",'Management Visits'!$F$4:$F$100003,dCrit),0)</f>
        <v>0</v>
      </c>
      <c r="AD595" s="23">
        <f>IFERROR(AVERAGEIFS('Management Visits'!$M$4:$M$100003,'Management Visits'!$D$4:$D$100003,"Sep",'Management Visits'!$F$4:$F$100003,dCrit),0)</f>
        <v>0</v>
      </c>
      <c r="AE595" s="23">
        <f>IFERROR(AVERAGEIFS('Management Visits'!$M$4:$M$100003,'Management Visits'!$D$4:$D$100003,"Oct",'Management Visits'!$F$4:$F$100003,dCrit),0)</f>
        <v>0</v>
      </c>
      <c r="AF595" s="23">
        <f>IFERROR(AVERAGEIFS('Management Visits'!$M$4:$M$100003,'Management Visits'!$D$4:$D$100003,"Nov",'Management Visits'!$F$4:$F$100003,dCrit),0)</f>
        <v>0</v>
      </c>
      <c r="AG595" s="23">
        <f>IFERROR(AVERAGEIFS('Management Visits'!$M$4:$M$100003,'Management Visits'!$D$4:$D$100003,"Dec",'Management Visits'!$F$4:$F$100003,dCrit),0)</f>
        <v>0</v>
      </c>
      <c r="AH595" s="23">
        <f>IFERROR(AVERAGE(V595:AG595),0)</f>
        <v>0</v>
      </c>
    </row>
    <row r="596" spans="2:34">
      <c r="B596" s="21" t="s">
        <v>53</v>
      </c>
      <c r="C596" s="22">
        <f>COUNTIFS('Management Visits'!$D$4:$D$100003,"Apr",'Management Visits'!$F$4:$F$100003,dCrit)</f>
        <v>0</v>
      </c>
      <c r="E596" s="12" t="s">
        <v>836</v>
      </c>
      <c r="F596" s="22">
        <f>COUNTIFS('Management Visits'!$E$4:$E$100003,"Project Visit",'Management Visits'!$D$4:$D$100003,mCrit,'Management Visits'!$F$4:$F$100003,dCrit)</f>
        <v>0</v>
      </c>
      <c r="J596" s="12" t="s">
        <v>297</v>
      </c>
      <c r="K596" s="22">
        <f>COUNTIFS('Management Visits'!$N$4:$N$100003,"Open",'Management Visits'!$D$4:$D$100003,mCrit,'Management Visits'!$F$4:$F$100003,dCrit)</f>
        <v>0</v>
      </c>
      <c r="M596" s="12" t="s">
        <v>238</v>
      </c>
      <c r="N596" s="22">
        <f>COUNTIFS('Management Visits'!$N$4:$N$100003,"Overdue",'Management Visits'!$D$4:$D$100003,mCrit,'Management Visits'!$F$4:$F$100003,dCrit)</f>
        <v>0</v>
      </c>
      <c r="P596" s="12" t="s">
        <v>89</v>
      </c>
      <c r="Q596" s="22">
        <f>COUNTIFS('Management Visits'!$D$4:$D$100003,mCrit,'Management Visits'!$F$4:$F$100003,"Construction")</f>
        <v>0</v>
      </c>
      <c r="R596" s="23">
        <f>IFERROR((COUNTIFS('Management Visits'!$N$4:$N$100003,"Closed",'Management Visits'!$D$4:$D$100003,mCrit,'Management Visits'!$F$4:$F$100003,"Construction"))/COUNTIFS('Management Visits'!$D$4:$D$100003,mCrit,'Management Visits'!$F$4:$F$100003,"Construction")*100,0)</f>
        <v>0</v>
      </c>
      <c r="S596" s="23">
        <f>IFERROR(AVERAGEIFS('Management Visits'!$M$4:$M$100003,'Management Visits'!$D$4:$D$100003,mCrit,'Management Visits'!$F$4:$F$100003,"Construction"),0)</f>
        <v>0</v>
      </c>
    </row>
    <row r="597" spans="2:34">
      <c r="B597" s="21" t="s">
        <v>60</v>
      </c>
      <c r="C597" s="22">
        <f>COUNTIFS('Management Visits'!$D$4:$D$100003,"May",'Management Visits'!$F$4:$F$100003,dCrit)</f>
        <v>0</v>
      </c>
      <c r="M597" s="12" t="s">
        <v>1892</v>
      </c>
      <c r="N597" s="23">
        <f>IFERROR(AVERAGEIFS('Management Visits'!$M$4:$M$100003,'Management Visits'!$D$4:$D$100003,mCrit,'Management Visits'!$F$4:$F$100003,dCrit),0)</f>
        <v>0</v>
      </c>
      <c r="P597" s="12" t="s">
        <v>65</v>
      </c>
      <c r="Q597" s="22">
        <f>COUNTIFS('Management Visits'!$D$4:$D$100003,mCrit,'Management Visits'!$F$4:$F$100003,"Safety")</f>
        <v>0</v>
      </c>
      <c r="R597" s="23">
        <f>IFERROR((COUNTIFS('Management Visits'!$N$4:$N$100003,"Closed",'Management Visits'!$D$4:$D$100003,mCrit,'Management Visits'!$F$4:$F$100003,"Safety"))/COUNTIFS('Management Visits'!$D$4:$D$100003,mCrit,'Management Visits'!$F$4:$F$100003,"Safety")*100,0)</f>
        <v>0</v>
      </c>
      <c r="S597" s="23">
        <f>IFERROR(AVERAGEIFS('Management Visits'!$M$4:$M$100003,'Management Visits'!$D$4:$D$100003,mCrit,'Management Visits'!$F$4:$F$100003,"Safety"),0)</f>
        <v>0</v>
      </c>
    </row>
    <row r="598" spans="2:34">
      <c r="B598" s="21" t="s">
        <v>73</v>
      </c>
      <c r="C598" s="22">
        <f>COUNTIFS('Management Visits'!$D$4:$D$100003,"Jun",'Management Visits'!$F$4:$F$100003,dCrit)</f>
        <v>0</v>
      </c>
      <c r="M598" s="12" t="s">
        <v>879</v>
      </c>
      <c r="N598" s="22">
        <f>SUMIFS('Management Visits'!$K$4:$K$100003,'Management Visits'!$D$4:$D$100003,mCrit,'Management Visits'!$F$4:$F$100003,dCrit)</f>
        <v>0</v>
      </c>
      <c r="P598" s="12" t="s">
        <v>5</v>
      </c>
      <c r="Q598" s="22">
        <f>COUNTIFS('Management Visits'!$D$4:$D$100003,mCrit,'Management Visits'!$F$4:$F$100003,"Logistics")</f>
        <v>0</v>
      </c>
      <c r="R598" s="23">
        <f>IFERROR((COUNTIFS('Management Visits'!$N$4:$N$100003,"Closed",'Management Visits'!$D$4:$D$100003,mCrit,'Management Visits'!$F$4:$F$100003,"Logistics"))/COUNTIFS('Management Visits'!$D$4:$D$100003,mCrit,'Management Visits'!$F$4:$F$100003,"Logistics")*100,0)</f>
        <v>0</v>
      </c>
      <c r="S598" s="23">
        <f>IFERROR(AVERAGEIFS('Management Visits'!$M$4:$M$100003,'Management Visits'!$D$4:$D$100003,mCrit,'Management Visits'!$F$4:$F$100003,"Logistics"),0)</f>
        <v>0</v>
      </c>
    </row>
    <row r="599" spans="2:34">
      <c r="B599" s="21" t="s">
        <v>76</v>
      </c>
      <c r="C599" s="22">
        <f>COUNTIFS('Management Visits'!$D$4:$D$100003,"Jul",'Management Visits'!$F$4:$F$100003,dCrit)</f>
        <v>0</v>
      </c>
      <c r="P599" s="12" t="s">
        <v>50</v>
      </c>
      <c r="Q599" s="22">
        <f>COUNTIFS('Management Visits'!$D$4:$D$100003,mCrit,'Management Visits'!$F$4:$F$100003,"Quality")</f>
        <v>0</v>
      </c>
      <c r="R599" s="23">
        <f>IFERROR((COUNTIFS('Management Visits'!$N$4:$N$100003,"Closed",'Management Visits'!$D$4:$D$100003,mCrit,'Management Visits'!$F$4:$F$100003,"Quality"))/COUNTIFS('Management Visits'!$D$4:$D$100003,mCrit,'Management Visits'!$F$4:$F$100003,"Quality")*100,0)</f>
        <v>0</v>
      </c>
      <c r="S599" s="23">
        <f>IFERROR(AVERAGEIFS('Management Visits'!$M$4:$M$100003,'Management Visits'!$D$4:$D$100003,mCrit,'Management Visits'!$F$4:$F$100003,"Quality"),0)</f>
        <v>0</v>
      </c>
    </row>
    <row r="600" spans="2:34">
      <c r="B600" s="21" t="s">
        <v>86</v>
      </c>
      <c r="C600" s="22">
        <f>COUNTIFS('Management Visits'!$D$4:$D$100003,"Aug",'Management Visits'!$F$4:$F$100003,dCrit)</f>
        <v>0</v>
      </c>
      <c r="P600" s="12" t="s">
        <v>46</v>
      </c>
      <c r="Q600" s="22">
        <f>COUNTIFS('Management Visits'!$D$4:$D$100003,mCrit,'Management Visits'!$F$4:$F$100003,"Admin")</f>
        <v>0</v>
      </c>
      <c r="R600" s="23">
        <f>IFERROR((COUNTIFS('Management Visits'!$N$4:$N$100003,"Closed",'Management Visits'!$D$4:$D$100003,mCrit,'Management Visits'!$F$4:$F$100003,"Admin"))/COUNTIFS('Management Visits'!$D$4:$D$100003,mCrit,'Management Visits'!$F$4:$F$100003,"Admin")*100,0)</f>
        <v>0</v>
      </c>
      <c r="S600" s="23">
        <f>IFERROR(AVERAGEIFS('Management Visits'!$M$4:$M$100003,'Management Visits'!$D$4:$D$100003,mCrit,'Management Visits'!$F$4:$F$100003,"Admin"),0)</f>
        <v>0</v>
      </c>
    </row>
    <row r="601" spans="2:34">
      <c r="B601" s="21" t="s">
        <v>102</v>
      </c>
      <c r="C601" s="22">
        <f>COUNTIFS('Management Visits'!$D$4:$D$100003,"Sep",'Management Visits'!$F$4:$F$100003,dCrit)</f>
        <v>0</v>
      </c>
      <c r="P601" s="12" t="s">
        <v>13</v>
      </c>
      <c r="Q601" s="22">
        <f>COUNTIFS('Management Visits'!$D$4:$D$100003,mCrit,'Management Visits'!$F$4:$F$100003,"Projects")</f>
        <v>0</v>
      </c>
      <c r="R601" s="23">
        <f>IFERROR((COUNTIFS('Management Visits'!$N$4:$N$100003,"Closed",'Management Visits'!$D$4:$D$100003,mCrit,'Management Visits'!$F$4:$F$100003,"Projects"))/COUNTIFS('Management Visits'!$D$4:$D$100003,mCrit,'Management Visits'!$F$4:$F$100003,"Projects")*100,0)</f>
        <v>0</v>
      </c>
      <c r="S601" s="23">
        <f>IFERROR(AVERAGEIFS('Management Visits'!$M$4:$M$100003,'Management Visits'!$D$4:$D$100003,mCrit,'Management Visits'!$F$4:$F$100003,"Projects"),0)</f>
        <v>0</v>
      </c>
    </row>
    <row r="602" spans="2:34">
      <c r="B602" s="21" t="s">
        <v>106</v>
      </c>
      <c r="C602" s="22">
        <f>COUNTIFS('Management Visits'!$D$4:$D$100003,"Oct",'Management Visits'!$F$4:$F$100003,dCrit)</f>
        <v>0</v>
      </c>
      <c r="P602" s="12" t="s">
        <v>58</v>
      </c>
      <c r="Q602" s="22">
        <f>COUNTIFS('Management Visits'!$D$4:$D$100003,mCrit,'Management Visits'!$F$4:$F$100003,"Contractor")</f>
        <v>0</v>
      </c>
      <c r="R602" s="23">
        <f>IFERROR((COUNTIFS('Management Visits'!$N$4:$N$100003,"Closed",'Management Visits'!$D$4:$D$100003,mCrit,'Management Visits'!$F$4:$F$100003,"Contractor"))/COUNTIFS('Management Visits'!$D$4:$D$100003,mCrit,'Management Visits'!$F$4:$F$100003,"Contractor")*100,0)</f>
        <v>0</v>
      </c>
      <c r="S602" s="23">
        <f>IFERROR(AVERAGEIFS('Management Visits'!$M$4:$M$100003,'Management Visits'!$D$4:$D$100003,mCrit,'Management Visits'!$F$4:$F$100003,"Contractor"),0)</f>
        <v>0</v>
      </c>
    </row>
    <row r="603" spans="2:34">
      <c r="B603" s="21" t="s">
        <v>111</v>
      </c>
      <c r="C603" s="22">
        <f>COUNTIFS('Management Visits'!$D$4:$D$100003,"Nov",'Management Visits'!$F$4:$F$100003,dCrit)</f>
        <v>0</v>
      </c>
    </row>
    <row r="604" spans="2:34">
      <c r="B604" s="21" t="s">
        <v>122</v>
      </c>
      <c r="C604" s="22">
        <f>COUNTIFS('Management Visits'!$D$4:$D$100003,"Dec",'Management Visits'!$F$4:$F$100003,dCrit)</f>
        <v>0</v>
      </c>
    </row>
    <row r="617" spans="2:34">
      <c r="B617" s="16" t="s">
        <v>1903</v>
      </c>
    </row>
    <row r="618" spans="2:34">
      <c r="B618" s="11" t="s">
        <v>127</v>
      </c>
      <c r="C618" s="11" t="s">
        <v>1808</v>
      </c>
      <c r="G618" s="11" t="s">
        <v>935</v>
      </c>
      <c r="H618" s="11" t="s">
        <v>1808</v>
      </c>
      <c r="J618" s="11" t="s">
        <v>287</v>
      </c>
      <c r="K618" s="11" t="s">
        <v>1808</v>
      </c>
      <c r="M618" s="11" t="s">
        <v>1752</v>
      </c>
      <c r="N618" s="11" t="s">
        <v>1867</v>
      </c>
      <c r="U618" s="11" t="s">
        <v>1873</v>
      </c>
      <c r="V618" s="11" t="s">
        <v>3</v>
      </c>
      <c r="W618" s="11" t="s">
        <v>19</v>
      </c>
      <c r="X618" s="11" t="s">
        <v>44</v>
      </c>
      <c r="Y618" s="11" t="s">
        <v>53</v>
      </c>
      <c r="Z618" s="11" t="s">
        <v>60</v>
      </c>
      <c r="AA618" s="11" t="s">
        <v>73</v>
      </c>
      <c r="AB618" s="11" t="s">
        <v>76</v>
      </c>
      <c r="AC618" s="11" t="s">
        <v>86</v>
      </c>
      <c r="AD618" s="11" t="s">
        <v>102</v>
      </c>
      <c r="AE618" s="11" t="s">
        <v>106</v>
      </c>
      <c r="AF618" s="11" t="s">
        <v>111</v>
      </c>
      <c r="AG618" s="11" t="s">
        <v>122</v>
      </c>
      <c r="AH618" s="11" t="s">
        <v>1874</v>
      </c>
    </row>
    <row r="619" spans="2:34">
      <c r="B619" s="21" t="s">
        <v>3</v>
      </c>
      <c r="C619" s="22">
        <f>COUNTIFS('Management Reviews'!$D$4:$D$100003,"Jan")</f>
        <v>0</v>
      </c>
      <c r="G619" s="12" t="s">
        <v>9</v>
      </c>
      <c r="H619" s="22">
        <f>COUNTIFS('Management Reviews'!$N$4:$N$100003,"Yes",'Management Reviews'!$D$4:$D$100003,mCrit)</f>
        <v>0</v>
      </c>
      <c r="J619" s="12" t="s">
        <v>238</v>
      </c>
      <c r="K619" s="22">
        <f>COUNTIFS('Management Reviews'!$O$4:$O$100003,"Overdue",'Management Reviews'!$D$4:$D$100003,mCrit)</f>
        <v>0</v>
      </c>
      <c r="M619" s="12" t="s">
        <v>1868</v>
      </c>
      <c r="N619" s="22">
        <f>COUNTIFS('Management Reviews'!$D$4:$D$100003,mCrit)</f>
        <v>0</v>
      </c>
      <c r="U619" s="12" t="s">
        <v>1872</v>
      </c>
      <c r="V619" s="22">
        <f>COUNTIFS('Management Reviews'!$D$4:$D$100003,"Jan")</f>
        <v>0</v>
      </c>
      <c r="W619" s="22">
        <f>COUNTIFS('Management Reviews'!$D$4:$D$100003,"Feb")</f>
        <v>0</v>
      </c>
      <c r="X619" s="22">
        <f>COUNTIFS('Management Reviews'!$D$4:$D$100003,"Mar")</f>
        <v>0</v>
      </c>
      <c r="Y619" s="22">
        <f>COUNTIFS('Management Reviews'!$D$4:$D$100003,"Apr")</f>
        <v>0</v>
      </c>
      <c r="Z619" s="22">
        <f>COUNTIFS('Management Reviews'!$D$4:$D$100003,"May")</f>
        <v>0</v>
      </c>
      <c r="AA619" s="22">
        <f>COUNTIFS('Management Reviews'!$D$4:$D$100003,"Jun")</f>
        <v>0</v>
      </c>
      <c r="AB619" s="22">
        <f>COUNTIFS('Management Reviews'!$D$4:$D$100003,"Jul")</f>
        <v>0</v>
      </c>
      <c r="AC619" s="22">
        <f>COUNTIFS('Management Reviews'!$D$4:$D$100003,"Aug")</f>
        <v>0</v>
      </c>
      <c r="AD619" s="22">
        <f>COUNTIFS('Management Reviews'!$D$4:$D$100003,"Sep")</f>
        <v>0</v>
      </c>
      <c r="AE619" s="22">
        <f>COUNTIFS('Management Reviews'!$D$4:$D$100003,"Oct")</f>
        <v>0</v>
      </c>
      <c r="AF619" s="22">
        <f>COUNTIFS('Management Reviews'!$D$4:$D$100003,"Nov")</f>
        <v>0</v>
      </c>
      <c r="AG619" s="22">
        <f>COUNTIFS('Management Reviews'!$D$4:$D$100003,"Dec")</f>
        <v>0</v>
      </c>
      <c r="AH619" s="22">
        <f>SUM(V619:AG619)</f>
        <v>0</v>
      </c>
    </row>
    <row r="620" spans="2:34">
      <c r="B620" s="21" t="s">
        <v>19</v>
      </c>
      <c r="C620" s="22">
        <f>COUNTIFS('Management Reviews'!$D$4:$D$100003,"Feb")</f>
        <v>0</v>
      </c>
      <c r="G620" s="12" t="s">
        <v>23</v>
      </c>
      <c r="H620" s="22">
        <f>COUNTIFS('Management Reviews'!$N$4:$N$100003,"No",'Management Reviews'!$D$4:$D$100003,mCrit)</f>
        <v>0</v>
      </c>
      <c r="J620" s="12" t="s">
        <v>254</v>
      </c>
      <c r="K620" s="22">
        <f>COUNTIFS('Management Reviews'!$O$4:$O$100003,"In Progress",'Management Reviews'!$D$4:$D$100003,mCrit)</f>
        <v>0</v>
      </c>
      <c r="M620" s="12" t="s">
        <v>1876</v>
      </c>
      <c r="N620" s="23">
        <f>IFERROR((COUNTIFS('Management Reviews'!$O$4:$O$100003,"Closed",'Management Reviews'!$D$4:$D$100003,mCrit))/COUNTIFS('Management Reviews'!$D$4:$D$100003,mCrit)*100,0)</f>
        <v>0</v>
      </c>
      <c r="U620" s="12" t="s">
        <v>1880</v>
      </c>
      <c r="V620" s="23">
        <f>IFERROR((COUNTIFS('Management Reviews'!$O$4:$O$100003,"Closed",'Management Reviews'!$D$4:$D$100003,"Jan"))/COUNTIFS('Management Reviews'!$D$4:$D$100003,"Jan")*100,0)</f>
        <v>0</v>
      </c>
      <c r="W620" s="23">
        <f>IFERROR((COUNTIFS('Management Reviews'!$O$4:$O$100003,"Closed",'Management Reviews'!$D$4:$D$100003,"Feb"))/COUNTIFS('Management Reviews'!$D$4:$D$100003,"Feb")*100,0)</f>
        <v>0</v>
      </c>
      <c r="X620" s="23">
        <f>IFERROR((COUNTIFS('Management Reviews'!$O$4:$O$100003,"Closed",'Management Reviews'!$D$4:$D$100003,"Mar"))/COUNTIFS('Management Reviews'!$D$4:$D$100003,"Mar")*100,0)</f>
        <v>0</v>
      </c>
      <c r="Y620" s="23">
        <f>IFERROR((COUNTIFS('Management Reviews'!$O$4:$O$100003,"Closed",'Management Reviews'!$D$4:$D$100003,"Apr"))/COUNTIFS('Management Reviews'!$D$4:$D$100003,"Apr")*100,0)</f>
        <v>0</v>
      </c>
      <c r="Z620" s="23">
        <f>IFERROR((COUNTIFS('Management Reviews'!$O$4:$O$100003,"Closed",'Management Reviews'!$D$4:$D$100003,"May"))/COUNTIFS('Management Reviews'!$D$4:$D$100003,"May")*100,0)</f>
        <v>0</v>
      </c>
      <c r="AA620" s="23">
        <f>IFERROR((COUNTIFS('Management Reviews'!$O$4:$O$100003,"Closed",'Management Reviews'!$D$4:$D$100003,"Jun"))/COUNTIFS('Management Reviews'!$D$4:$D$100003,"Jun")*100,0)</f>
        <v>0</v>
      </c>
      <c r="AB620" s="23">
        <f>IFERROR((COUNTIFS('Management Reviews'!$O$4:$O$100003,"Closed",'Management Reviews'!$D$4:$D$100003,"Jul"))/COUNTIFS('Management Reviews'!$D$4:$D$100003,"Jul")*100,0)</f>
        <v>0</v>
      </c>
      <c r="AC620" s="23">
        <f>IFERROR((COUNTIFS('Management Reviews'!$O$4:$O$100003,"Closed",'Management Reviews'!$D$4:$D$100003,"Aug"))/COUNTIFS('Management Reviews'!$D$4:$D$100003,"Aug")*100,0)</f>
        <v>0</v>
      </c>
      <c r="AD620" s="23">
        <f>IFERROR((COUNTIFS('Management Reviews'!$O$4:$O$100003,"Closed",'Management Reviews'!$D$4:$D$100003,"Sep"))/COUNTIFS('Management Reviews'!$D$4:$D$100003,"Sep")*100,0)</f>
        <v>0</v>
      </c>
      <c r="AE620" s="23">
        <f>IFERROR((COUNTIFS('Management Reviews'!$O$4:$O$100003,"Closed",'Management Reviews'!$D$4:$D$100003,"Oct"))/COUNTIFS('Management Reviews'!$D$4:$D$100003,"Oct")*100,0)</f>
        <v>0</v>
      </c>
      <c r="AF620" s="23">
        <f>IFERROR((COUNTIFS('Management Reviews'!$O$4:$O$100003,"Closed",'Management Reviews'!$D$4:$D$100003,"Nov"))/COUNTIFS('Management Reviews'!$D$4:$D$100003,"Nov")*100,0)</f>
        <v>0</v>
      </c>
      <c r="AG620" s="23">
        <f>IFERROR((COUNTIFS('Management Reviews'!$O$4:$O$100003,"Closed",'Management Reviews'!$D$4:$D$100003,"Dec"))/COUNTIFS('Management Reviews'!$D$4:$D$100003,"Dec")*100,0)</f>
        <v>0</v>
      </c>
      <c r="AH620" s="23">
        <f>IFERROR(AVERAGE(V620:AG620),0)</f>
        <v>0</v>
      </c>
    </row>
    <row r="621" spans="2:34">
      <c r="B621" s="21" t="s">
        <v>44</v>
      </c>
      <c r="C621" s="22">
        <f>COUNTIFS('Management Reviews'!$D$4:$D$100003,"Mar")</f>
        <v>0</v>
      </c>
      <c r="J621" s="12" t="s">
        <v>293</v>
      </c>
      <c r="K621" s="22">
        <f>COUNTIFS('Management Reviews'!$O$4:$O$100003,"Closed",'Management Reviews'!$D$4:$D$100003,mCrit)</f>
        <v>0</v>
      </c>
      <c r="M621" s="12" t="s">
        <v>1877</v>
      </c>
      <c r="N621" s="22">
        <f>COUNTIFS('Management Reviews'!$O$4:$O$100003,"Open",'Management Reviews'!$D$4:$D$100003,mCrit)+COUNTIFS('Management Reviews'!$O$4:$O$100003,"In Progress",'Management Reviews'!$D$4:$D$100003,mCrit)+COUNTIFS('Management Reviews'!$O$4:$O$100003,"Overdue",'Management Reviews'!$D$4:$D$100003,mCrit)</f>
        <v>0</v>
      </c>
      <c r="U621" s="12" t="s">
        <v>1869</v>
      </c>
      <c r="V621" s="23">
        <f>IFERROR(AVERAGEIFS('Management Reviews'!$I$4:$I$100003,'Management Reviews'!$D$4:$D$100003,"Jan"),0)</f>
        <v>0</v>
      </c>
      <c r="W621" s="23">
        <f>IFERROR(AVERAGEIFS('Management Reviews'!$I$4:$I$100003,'Management Reviews'!$D$4:$D$100003,"Feb"),0)</f>
        <v>0</v>
      </c>
      <c r="X621" s="23">
        <f>IFERROR(AVERAGEIFS('Management Reviews'!$I$4:$I$100003,'Management Reviews'!$D$4:$D$100003,"Mar"),0)</f>
        <v>0</v>
      </c>
      <c r="Y621" s="23">
        <f>IFERROR(AVERAGEIFS('Management Reviews'!$I$4:$I$100003,'Management Reviews'!$D$4:$D$100003,"Apr"),0)</f>
        <v>0</v>
      </c>
      <c r="Z621" s="23">
        <f>IFERROR(AVERAGEIFS('Management Reviews'!$I$4:$I$100003,'Management Reviews'!$D$4:$D$100003,"May"),0)</f>
        <v>0</v>
      </c>
      <c r="AA621" s="23">
        <f>IFERROR(AVERAGEIFS('Management Reviews'!$I$4:$I$100003,'Management Reviews'!$D$4:$D$100003,"Jun"),0)</f>
        <v>0</v>
      </c>
      <c r="AB621" s="23">
        <f>IFERROR(AVERAGEIFS('Management Reviews'!$I$4:$I$100003,'Management Reviews'!$D$4:$D$100003,"Jul"),0)</f>
        <v>0</v>
      </c>
      <c r="AC621" s="23">
        <f>IFERROR(AVERAGEIFS('Management Reviews'!$I$4:$I$100003,'Management Reviews'!$D$4:$D$100003,"Aug"),0)</f>
        <v>0</v>
      </c>
      <c r="AD621" s="23">
        <f>IFERROR(AVERAGEIFS('Management Reviews'!$I$4:$I$100003,'Management Reviews'!$D$4:$D$100003,"Sep"),0)</f>
        <v>0</v>
      </c>
      <c r="AE621" s="23">
        <f>IFERROR(AVERAGEIFS('Management Reviews'!$I$4:$I$100003,'Management Reviews'!$D$4:$D$100003,"Oct"),0)</f>
        <v>0</v>
      </c>
      <c r="AF621" s="23">
        <f>IFERROR(AVERAGEIFS('Management Reviews'!$I$4:$I$100003,'Management Reviews'!$D$4:$D$100003,"Nov"),0)</f>
        <v>0</v>
      </c>
      <c r="AG621" s="23">
        <f>IFERROR(AVERAGEIFS('Management Reviews'!$I$4:$I$100003,'Management Reviews'!$D$4:$D$100003,"Dec"),0)</f>
        <v>0</v>
      </c>
      <c r="AH621" s="23">
        <f>IFERROR(AVERAGE(V621:AG621),0)</f>
        <v>0</v>
      </c>
    </row>
    <row r="622" spans="2:34">
      <c r="B622" s="21" t="s">
        <v>53</v>
      </c>
      <c r="C622" s="22">
        <f>COUNTIFS('Management Reviews'!$D$4:$D$100003,"Apr")</f>
        <v>0</v>
      </c>
      <c r="J622" s="12" t="s">
        <v>297</v>
      </c>
      <c r="K622" s="22">
        <f>COUNTIFS('Management Reviews'!$O$4:$O$100003,"Open",'Management Reviews'!$D$4:$D$100003,mCrit)</f>
        <v>0</v>
      </c>
      <c r="M622" s="12" t="s">
        <v>238</v>
      </c>
      <c r="N622" s="22">
        <f>COUNTIFS('Management Reviews'!$O$4:$O$100003,"Overdue",'Management Reviews'!$D$4:$D$100003,mCrit)</f>
        <v>0</v>
      </c>
    </row>
    <row r="623" spans="2:34">
      <c r="B623" s="21" t="s">
        <v>60</v>
      </c>
      <c r="C623" s="22">
        <f>COUNTIFS('Management Reviews'!$D$4:$D$100003,"May")</f>
        <v>0</v>
      </c>
      <c r="M623" s="12" t="s">
        <v>1869</v>
      </c>
      <c r="N623" s="23">
        <f>IFERROR(AVERAGEIFS('Management Reviews'!$I$4:$I$100003,'Management Reviews'!$D$4:$D$100003,mCrit),0)</f>
        <v>0</v>
      </c>
    </row>
    <row r="624" spans="2:34">
      <c r="B624" s="21" t="s">
        <v>73</v>
      </c>
      <c r="C624" s="22">
        <f>COUNTIFS('Management Reviews'!$D$4:$D$100003,"Jun")</f>
        <v>0</v>
      </c>
      <c r="M624" s="12" t="s">
        <v>933</v>
      </c>
      <c r="N624" s="22">
        <f>SUMIFS('Management Reviews'!$K$4:$K$100003,'Management Reviews'!$D$4:$D$100003,mCrit)</f>
        <v>0</v>
      </c>
    </row>
    <row r="625" spans="2:14">
      <c r="B625" s="21" t="s">
        <v>76</v>
      </c>
      <c r="C625" s="22">
        <f>COUNTIFS('Management Reviews'!$D$4:$D$100003,"Jul")</f>
        <v>0</v>
      </c>
      <c r="M625" s="12" t="s">
        <v>934</v>
      </c>
      <c r="N625" s="22">
        <f>SUMIFS('Management Reviews'!$L$4:$L$100003,'Management Reviews'!$D$4:$D$100003,mCrit)</f>
        <v>0</v>
      </c>
    </row>
    <row r="626" spans="2:14">
      <c r="B626" s="21" t="s">
        <v>86</v>
      </c>
      <c r="C626" s="22">
        <f>COUNTIFS('Management Reviews'!$D$4:$D$100003,"Aug")</f>
        <v>0</v>
      </c>
    </row>
    <row r="627" spans="2:14">
      <c r="B627" s="21" t="s">
        <v>102</v>
      </c>
      <c r="C627" s="22">
        <f>COUNTIFS('Management Reviews'!$D$4:$D$100003,"Sep")</f>
        <v>0</v>
      </c>
    </row>
    <row r="628" spans="2:14">
      <c r="B628" s="21" t="s">
        <v>106</v>
      </c>
      <c r="C628" s="22">
        <f>COUNTIFS('Management Reviews'!$D$4:$D$100003,"Oct")</f>
        <v>0</v>
      </c>
    </row>
    <row r="629" spans="2:14">
      <c r="B629" s="21" t="s">
        <v>111</v>
      </c>
      <c r="C629" s="22">
        <f>COUNTIFS('Management Reviews'!$D$4:$D$100003,"Nov")</f>
        <v>0</v>
      </c>
    </row>
    <row r="630" spans="2:14">
      <c r="B630" s="21" t="s">
        <v>122</v>
      </c>
      <c r="C630" s="22">
        <f>COUNTIFS('Management Reviews'!$D$4:$D$100003,"Dec")</f>
        <v>0</v>
      </c>
    </row>
    <row r="643" spans="2:34">
      <c r="B643" s="16" t="s">
        <v>1904</v>
      </c>
    </row>
    <row r="644" spans="2:34">
      <c r="B644" s="11" t="s">
        <v>127</v>
      </c>
      <c r="C644" s="11" t="s">
        <v>1808</v>
      </c>
      <c r="E644" s="11" t="s">
        <v>995</v>
      </c>
      <c r="F644" s="11" t="s">
        <v>1808</v>
      </c>
      <c r="G644" s="11" t="s">
        <v>997</v>
      </c>
      <c r="H644" s="11" t="s">
        <v>1808</v>
      </c>
      <c r="J644" s="11" t="s">
        <v>287</v>
      </c>
      <c r="K644" s="11" t="s">
        <v>1808</v>
      </c>
      <c r="M644" s="11" t="s">
        <v>1752</v>
      </c>
      <c r="N644" s="11" t="s">
        <v>1867</v>
      </c>
      <c r="P644" s="11" t="s">
        <v>129</v>
      </c>
      <c r="Q644" s="11" t="s">
        <v>1808</v>
      </c>
      <c r="R644" s="11" t="s">
        <v>1879</v>
      </c>
      <c r="S644" s="11" t="s">
        <v>1872</v>
      </c>
      <c r="U644" s="11" t="s">
        <v>1873</v>
      </c>
      <c r="V644" s="11" t="s">
        <v>3</v>
      </c>
      <c r="W644" s="11" t="s">
        <v>19</v>
      </c>
      <c r="X644" s="11" t="s">
        <v>44</v>
      </c>
      <c r="Y644" s="11" t="s">
        <v>53</v>
      </c>
      <c r="Z644" s="11" t="s">
        <v>60</v>
      </c>
      <c r="AA644" s="11" t="s">
        <v>73</v>
      </c>
      <c r="AB644" s="11" t="s">
        <v>76</v>
      </c>
      <c r="AC644" s="11" t="s">
        <v>86</v>
      </c>
      <c r="AD644" s="11" t="s">
        <v>102</v>
      </c>
      <c r="AE644" s="11" t="s">
        <v>106</v>
      </c>
      <c r="AF644" s="11" t="s">
        <v>111</v>
      </c>
      <c r="AG644" s="11" t="s">
        <v>122</v>
      </c>
      <c r="AH644" s="11" t="s">
        <v>1874</v>
      </c>
    </row>
    <row r="645" spans="2:34">
      <c r="B645" s="21" t="s">
        <v>3</v>
      </c>
      <c r="C645" s="22">
        <f>COUNTIFS('Disciplinary Actions'!$D$4:$D$100003,"Jan",'Disciplinary Actions'!$F$4:$F$100003,dCrit)</f>
        <v>0</v>
      </c>
      <c r="E645" s="12" t="s">
        <v>942</v>
      </c>
      <c r="F645" s="22">
        <f>COUNTIFS('Disciplinary Actions'!$E$4:$E$100003,"PPE Violation",'Disciplinary Actions'!$D$4:$D$100003,mCrit,'Disciplinary Actions'!$F$4:$F$100003,dCrit)</f>
        <v>0</v>
      </c>
      <c r="G645" s="12" t="s">
        <v>939</v>
      </c>
      <c r="H645" s="22">
        <f>COUNTIFS('Disciplinary Actions'!$I$4:$I$100003,"1st Offense",'Disciplinary Actions'!$D$4:$D$100003,mCrit,'Disciplinary Actions'!$F$4:$F$100003,dCrit)</f>
        <v>0</v>
      </c>
      <c r="J645" s="12" t="s">
        <v>297</v>
      </c>
      <c r="K645" s="22">
        <f>COUNTIFS('Disciplinary Actions'!$K$4:$K$100003,"Open",'Disciplinary Actions'!$D$4:$D$100003,mCrit,'Disciplinary Actions'!$F$4:$F$100003,dCrit)</f>
        <v>0</v>
      </c>
      <c r="M645" s="12" t="s">
        <v>1868</v>
      </c>
      <c r="N645" s="22">
        <f>COUNTIFS('Disciplinary Actions'!$D$4:$D$100003,mCrit,'Disciplinary Actions'!$F$4:$F$100003,dCrit)</f>
        <v>0</v>
      </c>
      <c r="P645" s="12" t="s">
        <v>27</v>
      </c>
      <c r="Q645" s="22">
        <f>COUNTIFS('Disciplinary Actions'!$D$4:$D$100003,mCrit,'Disciplinary Actions'!$F$4:$F$100003,"Operations")</f>
        <v>0</v>
      </c>
      <c r="R645" s="23">
        <f>IFERROR((COUNTIFS('Disciplinary Actions'!$K$4:$K$100003,"Closed",'Disciplinary Actions'!$D$4:$D$100003,mCrit,'Disciplinary Actions'!$F$4:$F$100003,"Operations"))/COUNTIFS('Disciplinary Actions'!$D$4:$D$100003,mCrit,'Disciplinary Actions'!$F$4:$F$100003,"Operations")*100,0)</f>
        <v>0</v>
      </c>
      <c r="S645" s="22">
        <f>COUNTIFS('Disciplinary Actions'!$D$4:$D$100003,mCrit,'Disciplinary Actions'!$F$4:$F$100003,"Operations")</f>
        <v>0</v>
      </c>
      <c r="U645" s="12" t="s">
        <v>1872</v>
      </c>
      <c r="V645" s="22">
        <f>COUNTIFS('Disciplinary Actions'!$D$4:$D$100003,"Jan",'Disciplinary Actions'!$F$4:$F$100003,dCrit)</f>
        <v>0</v>
      </c>
      <c r="W645" s="22">
        <f>COUNTIFS('Disciplinary Actions'!$D$4:$D$100003,"Feb",'Disciplinary Actions'!$F$4:$F$100003,dCrit)</f>
        <v>0</v>
      </c>
      <c r="X645" s="22">
        <f>COUNTIFS('Disciplinary Actions'!$D$4:$D$100003,"Mar",'Disciplinary Actions'!$F$4:$F$100003,dCrit)</f>
        <v>0</v>
      </c>
      <c r="Y645" s="22">
        <f>COUNTIFS('Disciplinary Actions'!$D$4:$D$100003,"Apr",'Disciplinary Actions'!$F$4:$F$100003,dCrit)</f>
        <v>0</v>
      </c>
      <c r="Z645" s="22">
        <f>COUNTIFS('Disciplinary Actions'!$D$4:$D$100003,"May",'Disciplinary Actions'!$F$4:$F$100003,dCrit)</f>
        <v>0</v>
      </c>
      <c r="AA645" s="22">
        <f>COUNTIFS('Disciplinary Actions'!$D$4:$D$100003,"Jun",'Disciplinary Actions'!$F$4:$F$100003,dCrit)</f>
        <v>0</v>
      </c>
      <c r="AB645" s="22">
        <f>COUNTIFS('Disciplinary Actions'!$D$4:$D$100003,"Jul",'Disciplinary Actions'!$F$4:$F$100003,dCrit)</f>
        <v>0</v>
      </c>
      <c r="AC645" s="22">
        <f>COUNTIFS('Disciplinary Actions'!$D$4:$D$100003,"Aug",'Disciplinary Actions'!$F$4:$F$100003,dCrit)</f>
        <v>0</v>
      </c>
      <c r="AD645" s="22">
        <f>COUNTIFS('Disciplinary Actions'!$D$4:$D$100003,"Sep",'Disciplinary Actions'!$F$4:$F$100003,dCrit)</f>
        <v>0</v>
      </c>
      <c r="AE645" s="22">
        <f>COUNTIFS('Disciplinary Actions'!$D$4:$D$100003,"Oct",'Disciplinary Actions'!$F$4:$F$100003,dCrit)</f>
        <v>0</v>
      </c>
      <c r="AF645" s="22">
        <f>COUNTIFS('Disciplinary Actions'!$D$4:$D$100003,"Nov",'Disciplinary Actions'!$F$4:$F$100003,dCrit)</f>
        <v>0</v>
      </c>
      <c r="AG645" s="22">
        <f>COUNTIFS('Disciplinary Actions'!$D$4:$D$100003,"Dec",'Disciplinary Actions'!$F$4:$F$100003,dCrit)</f>
        <v>0</v>
      </c>
      <c r="AH645" s="22">
        <f>SUM(V645:AG645)</f>
        <v>0</v>
      </c>
    </row>
    <row r="646" spans="2:34">
      <c r="B646" s="21" t="s">
        <v>19</v>
      </c>
      <c r="C646" s="22">
        <f>COUNTIFS('Disciplinary Actions'!$D$4:$D$100003,"Feb",'Disciplinary Actions'!$F$4:$F$100003,dCrit)</f>
        <v>0</v>
      </c>
      <c r="E646" s="12" t="s">
        <v>951</v>
      </c>
      <c r="F646" s="22">
        <f>COUNTIFS('Disciplinary Actions'!$E$4:$E$100003,"Safety Rule Breach",'Disciplinary Actions'!$D$4:$D$100003,mCrit,'Disciplinary Actions'!$F$4:$F$100003,dCrit)</f>
        <v>0</v>
      </c>
      <c r="G646" s="12" t="s">
        <v>944</v>
      </c>
      <c r="H646" s="22">
        <f>COUNTIFS('Disciplinary Actions'!$I$4:$I$100003,"2nd Offense",'Disciplinary Actions'!$D$4:$D$100003,mCrit,'Disciplinary Actions'!$F$4:$F$100003,dCrit)</f>
        <v>0</v>
      </c>
      <c r="J646" s="12" t="s">
        <v>293</v>
      </c>
      <c r="K646" s="22">
        <f>COUNTIFS('Disciplinary Actions'!$K$4:$K$100003,"Closed",'Disciplinary Actions'!$D$4:$D$100003,mCrit,'Disciplinary Actions'!$F$4:$F$100003,dCrit)</f>
        <v>0</v>
      </c>
      <c r="M646" s="12" t="s">
        <v>1876</v>
      </c>
      <c r="N646" s="23">
        <f>IFERROR((COUNTIFS('Disciplinary Actions'!$K$4:$K$100003,"Closed",'Disciplinary Actions'!$D$4:$D$100003,mCrit,'Disciplinary Actions'!$F$4:$F$100003,dCrit))/COUNTIFS('Disciplinary Actions'!$D$4:$D$100003,mCrit,'Disciplinary Actions'!$F$4:$F$100003,dCrit)*100,0)</f>
        <v>0</v>
      </c>
      <c r="P646" s="12" t="s">
        <v>92</v>
      </c>
      <c r="Q646" s="22">
        <f>COUNTIFS('Disciplinary Actions'!$D$4:$D$100003,mCrit,'Disciplinary Actions'!$F$4:$F$100003,"Maintenance")</f>
        <v>0</v>
      </c>
      <c r="R646" s="23">
        <f>IFERROR((COUNTIFS('Disciplinary Actions'!$K$4:$K$100003,"Closed",'Disciplinary Actions'!$D$4:$D$100003,mCrit,'Disciplinary Actions'!$F$4:$F$100003,"Maintenance"))/COUNTIFS('Disciplinary Actions'!$D$4:$D$100003,mCrit,'Disciplinary Actions'!$F$4:$F$100003,"Maintenance")*100,0)</f>
        <v>0</v>
      </c>
      <c r="S646" s="22">
        <f>COUNTIFS('Disciplinary Actions'!$D$4:$D$100003,mCrit,'Disciplinary Actions'!$F$4:$F$100003,"Maintenance")</f>
        <v>0</v>
      </c>
      <c r="U646" s="12" t="s">
        <v>1880</v>
      </c>
      <c r="V646" s="23">
        <f>IFERROR((COUNTIFS('Disciplinary Actions'!$K$4:$K$100003,"Closed",'Disciplinary Actions'!$D$4:$D$100003,"Jan",'Disciplinary Actions'!$F$4:$F$100003,dCrit))/COUNTIFS('Disciplinary Actions'!$D$4:$D$100003,"Jan",'Disciplinary Actions'!$F$4:$F$100003,dCrit)*100,0)</f>
        <v>0</v>
      </c>
      <c r="W646" s="23">
        <f>IFERROR((COUNTIFS('Disciplinary Actions'!$K$4:$K$100003,"Closed",'Disciplinary Actions'!$D$4:$D$100003,"Feb",'Disciplinary Actions'!$F$4:$F$100003,dCrit))/COUNTIFS('Disciplinary Actions'!$D$4:$D$100003,"Feb",'Disciplinary Actions'!$F$4:$F$100003,dCrit)*100,0)</f>
        <v>0</v>
      </c>
      <c r="X646" s="23">
        <f>IFERROR((COUNTIFS('Disciplinary Actions'!$K$4:$K$100003,"Closed",'Disciplinary Actions'!$D$4:$D$100003,"Mar",'Disciplinary Actions'!$F$4:$F$100003,dCrit))/COUNTIFS('Disciplinary Actions'!$D$4:$D$100003,"Mar",'Disciplinary Actions'!$F$4:$F$100003,dCrit)*100,0)</f>
        <v>0</v>
      </c>
      <c r="Y646" s="23">
        <f>IFERROR((COUNTIFS('Disciplinary Actions'!$K$4:$K$100003,"Closed",'Disciplinary Actions'!$D$4:$D$100003,"Apr",'Disciplinary Actions'!$F$4:$F$100003,dCrit))/COUNTIFS('Disciplinary Actions'!$D$4:$D$100003,"Apr",'Disciplinary Actions'!$F$4:$F$100003,dCrit)*100,0)</f>
        <v>0</v>
      </c>
      <c r="Z646" s="23">
        <f>IFERROR((COUNTIFS('Disciplinary Actions'!$K$4:$K$100003,"Closed",'Disciplinary Actions'!$D$4:$D$100003,"May",'Disciplinary Actions'!$F$4:$F$100003,dCrit))/COUNTIFS('Disciplinary Actions'!$D$4:$D$100003,"May",'Disciplinary Actions'!$F$4:$F$100003,dCrit)*100,0)</f>
        <v>0</v>
      </c>
      <c r="AA646" s="23">
        <f>IFERROR((COUNTIFS('Disciplinary Actions'!$K$4:$K$100003,"Closed",'Disciplinary Actions'!$D$4:$D$100003,"Jun",'Disciplinary Actions'!$F$4:$F$100003,dCrit))/COUNTIFS('Disciplinary Actions'!$D$4:$D$100003,"Jun",'Disciplinary Actions'!$F$4:$F$100003,dCrit)*100,0)</f>
        <v>0</v>
      </c>
      <c r="AB646" s="23">
        <f>IFERROR((COUNTIFS('Disciplinary Actions'!$K$4:$K$100003,"Closed",'Disciplinary Actions'!$D$4:$D$100003,"Jul",'Disciplinary Actions'!$F$4:$F$100003,dCrit))/COUNTIFS('Disciplinary Actions'!$D$4:$D$100003,"Jul",'Disciplinary Actions'!$F$4:$F$100003,dCrit)*100,0)</f>
        <v>0</v>
      </c>
      <c r="AC646" s="23">
        <f>IFERROR((COUNTIFS('Disciplinary Actions'!$K$4:$K$100003,"Closed",'Disciplinary Actions'!$D$4:$D$100003,"Aug",'Disciplinary Actions'!$F$4:$F$100003,dCrit))/COUNTIFS('Disciplinary Actions'!$D$4:$D$100003,"Aug",'Disciplinary Actions'!$F$4:$F$100003,dCrit)*100,0)</f>
        <v>0</v>
      </c>
      <c r="AD646" s="23">
        <f>IFERROR((COUNTIFS('Disciplinary Actions'!$K$4:$K$100003,"Closed",'Disciplinary Actions'!$D$4:$D$100003,"Sep",'Disciplinary Actions'!$F$4:$F$100003,dCrit))/COUNTIFS('Disciplinary Actions'!$D$4:$D$100003,"Sep",'Disciplinary Actions'!$F$4:$F$100003,dCrit)*100,0)</f>
        <v>0</v>
      </c>
      <c r="AE646" s="23">
        <f>IFERROR((COUNTIFS('Disciplinary Actions'!$K$4:$K$100003,"Closed",'Disciplinary Actions'!$D$4:$D$100003,"Oct",'Disciplinary Actions'!$F$4:$F$100003,dCrit))/COUNTIFS('Disciplinary Actions'!$D$4:$D$100003,"Oct",'Disciplinary Actions'!$F$4:$F$100003,dCrit)*100,0)</f>
        <v>0</v>
      </c>
      <c r="AF646" s="23">
        <f>IFERROR((COUNTIFS('Disciplinary Actions'!$K$4:$K$100003,"Closed",'Disciplinary Actions'!$D$4:$D$100003,"Nov",'Disciplinary Actions'!$F$4:$F$100003,dCrit))/COUNTIFS('Disciplinary Actions'!$D$4:$D$100003,"Nov",'Disciplinary Actions'!$F$4:$F$100003,dCrit)*100,0)</f>
        <v>0</v>
      </c>
      <c r="AG646" s="23">
        <f>IFERROR((COUNTIFS('Disciplinary Actions'!$K$4:$K$100003,"Closed",'Disciplinary Actions'!$D$4:$D$100003,"Dec",'Disciplinary Actions'!$F$4:$F$100003,dCrit))/COUNTIFS('Disciplinary Actions'!$D$4:$D$100003,"Dec",'Disciplinary Actions'!$F$4:$F$100003,dCrit)*100,0)</f>
        <v>0</v>
      </c>
      <c r="AH646" s="23">
        <f>IFERROR(AVERAGE(V646:AG646),0)</f>
        <v>0</v>
      </c>
    </row>
    <row r="647" spans="2:34">
      <c r="B647" s="21" t="s">
        <v>44</v>
      </c>
      <c r="C647" s="22">
        <f>COUNTIFS('Disciplinary Actions'!$D$4:$D$100003,"Mar",'Disciplinary Actions'!$F$4:$F$100003,dCrit)</f>
        <v>0</v>
      </c>
      <c r="E647" s="12" t="s">
        <v>938</v>
      </c>
      <c r="F647" s="22">
        <f>COUNTIFS('Disciplinary Actions'!$E$4:$E$100003,"Permit Violation",'Disciplinary Actions'!$D$4:$D$100003,mCrit,'Disciplinary Actions'!$F$4:$F$100003,dCrit)</f>
        <v>0</v>
      </c>
      <c r="G647" s="12" t="s">
        <v>947</v>
      </c>
      <c r="H647" s="22">
        <f>COUNTIFS('Disciplinary Actions'!$I$4:$I$100003,"3rd Offense",'Disciplinary Actions'!$D$4:$D$100003,mCrit,'Disciplinary Actions'!$F$4:$F$100003,dCrit)</f>
        <v>0</v>
      </c>
      <c r="J647" s="12" t="s">
        <v>254</v>
      </c>
      <c r="K647" s="22">
        <f>COUNTIFS('Disciplinary Actions'!$K$4:$K$100003,"In Progress",'Disciplinary Actions'!$D$4:$D$100003,mCrit,'Disciplinary Actions'!$F$4:$F$100003,dCrit)</f>
        <v>0</v>
      </c>
      <c r="M647" s="12" t="s">
        <v>1877</v>
      </c>
      <c r="N647" s="22">
        <f>COUNTIFS('Disciplinary Actions'!$K$4:$K$100003,"Open",'Disciplinary Actions'!$D$4:$D$100003,mCrit,'Disciplinary Actions'!$F$4:$F$100003,dCrit)+COUNTIFS('Disciplinary Actions'!$K$4:$K$100003,"In Progress",'Disciplinary Actions'!$D$4:$D$100003,mCrit,'Disciplinary Actions'!$F$4:$F$100003,dCrit)+COUNTIFS('Disciplinary Actions'!$K$4:$K$100003,"Overdue",'Disciplinary Actions'!$D$4:$D$100003,mCrit,'Disciplinary Actions'!$F$4:$F$100003,dCrit)</f>
        <v>0</v>
      </c>
      <c r="P647" s="12" t="s">
        <v>39</v>
      </c>
      <c r="Q647" s="22">
        <f>COUNTIFS('Disciplinary Actions'!$D$4:$D$100003,mCrit,'Disciplinary Actions'!$F$4:$F$100003,"Engineering")</f>
        <v>0</v>
      </c>
      <c r="R647" s="23">
        <f>IFERROR((COUNTIFS('Disciplinary Actions'!$K$4:$K$100003,"Closed",'Disciplinary Actions'!$D$4:$D$100003,mCrit,'Disciplinary Actions'!$F$4:$F$100003,"Engineering"))/COUNTIFS('Disciplinary Actions'!$D$4:$D$100003,mCrit,'Disciplinary Actions'!$F$4:$F$100003,"Engineering")*100,0)</f>
        <v>0</v>
      </c>
      <c r="S647" s="22">
        <f>COUNTIFS('Disciplinary Actions'!$D$4:$D$100003,mCrit,'Disciplinary Actions'!$F$4:$F$100003,"Engineering")</f>
        <v>0</v>
      </c>
    </row>
    <row r="648" spans="2:34">
      <c r="B648" s="21" t="s">
        <v>53</v>
      </c>
      <c r="C648" s="22">
        <f>COUNTIFS('Disciplinary Actions'!$D$4:$D$100003,"Apr",'Disciplinary Actions'!$F$4:$F$100003,dCrit)</f>
        <v>0</v>
      </c>
      <c r="E648" s="12" t="s">
        <v>958</v>
      </c>
      <c r="F648" s="22">
        <f>COUNTIFS('Disciplinary Actions'!$E$4:$E$100003,"Unauthorized Work",'Disciplinary Actions'!$D$4:$D$100003,mCrit,'Disciplinary Actions'!$F$4:$F$100003,dCrit)</f>
        <v>0</v>
      </c>
      <c r="J648" s="12" t="s">
        <v>238</v>
      </c>
      <c r="K648" s="22">
        <f>COUNTIFS('Disciplinary Actions'!$K$4:$K$100003,"Overdue",'Disciplinary Actions'!$D$4:$D$100003,mCrit,'Disciplinary Actions'!$F$4:$F$100003,dCrit)</f>
        <v>0</v>
      </c>
      <c r="M648" s="12" t="s">
        <v>238</v>
      </c>
      <c r="N648" s="22">
        <f>COUNTIFS('Disciplinary Actions'!$K$4:$K$100003,"Overdue",'Disciplinary Actions'!$D$4:$D$100003,mCrit,'Disciplinary Actions'!$F$4:$F$100003,dCrit)</f>
        <v>0</v>
      </c>
      <c r="P648" s="12" t="s">
        <v>89</v>
      </c>
      <c r="Q648" s="22">
        <f>COUNTIFS('Disciplinary Actions'!$D$4:$D$100003,mCrit,'Disciplinary Actions'!$F$4:$F$100003,"Construction")</f>
        <v>0</v>
      </c>
      <c r="R648" s="23">
        <f>IFERROR((COUNTIFS('Disciplinary Actions'!$K$4:$K$100003,"Closed",'Disciplinary Actions'!$D$4:$D$100003,mCrit,'Disciplinary Actions'!$F$4:$F$100003,"Construction"))/COUNTIFS('Disciplinary Actions'!$D$4:$D$100003,mCrit,'Disciplinary Actions'!$F$4:$F$100003,"Construction")*100,0)</f>
        <v>0</v>
      </c>
      <c r="S648" s="22">
        <f>COUNTIFS('Disciplinary Actions'!$D$4:$D$100003,mCrit,'Disciplinary Actions'!$F$4:$F$100003,"Construction")</f>
        <v>0</v>
      </c>
    </row>
    <row r="649" spans="2:34">
      <c r="B649" s="21" t="s">
        <v>60</v>
      </c>
      <c r="C649" s="22">
        <f>COUNTIFS('Disciplinary Actions'!$D$4:$D$100003,"May",'Disciplinary Actions'!$F$4:$F$100003,dCrit)</f>
        <v>0</v>
      </c>
      <c r="E649" s="12" t="s">
        <v>946</v>
      </c>
      <c r="F649" s="22">
        <f>COUNTIFS('Disciplinary Actions'!$E$4:$E$100003,"Reckless Behavior",'Disciplinary Actions'!$D$4:$D$100003,mCrit,'Disciplinary Actions'!$F$4:$F$100003,dCrit)</f>
        <v>0</v>
      </c>
      <c r="M649" s="12" t="s">
        <v>947</v>
      </c>
      <c r="N649" s="22">
        <f>COUNTIFS('Disciplinary Actions'!$I$4:$I$100003,"3rd Offense",'Disciplinary Actions'!$D$4:$D$100003,mCrit,'Disciplinary Actions'!$F$4:$F$100003,dCrit)</f>
        <v>0</v>
      </c>
      <c r="P649" s="12" t="s">
        <v>65</v>
      </c>
      <c r="Q649" s="22">
        <f>COUNTIFS('Disciplinary Actions'!$D$4:$D$100003,mCrit,'Disciplinary Actions'!$F$4:$F$100003,"Safety")</f>
        <v>0</v>
      </c>
      <c r="R649" s="23">
        <f>IFERROR((COUNTIFS('Disciplinary Actions'!$K$4:$K$100003,"Closed",'Disciplinary Actions'!$D$4:$D$100003,mCrit,'Disciplinary Actions'!$F$4:$F$100003,"Safety"))/COUNTIFS('Disciplinary Actions'!$D$4:$D$100003,mCrit,'Disciplinary Actions'!$F$4:$F$100003,"Safety")*100,0)</f>
        <v>0</v>
      </c>
      <c r="S649" s="22">
        <f>COUNTIFS('Disciplinary Actions'!$D$4:$D$100003,mCrit,'Disciplinary Actions'!$F$4:$F$100003,"Safety")</f>
        <v>0</v>
      </c>
    </row>
    <row r="650" spans="2:34">
      <c r="B650" s="21" t="s">
        <v>73</v>
      </c>
      <c r="C650" s="22">
        <f>COUNTIFS('Disciplinary Actions'!$D$4:$D$100003,"Jun",'Disciplinary Actions'!$F$4:$F$100003,dCrit)</f>
        <v>0</v>
      </c>
      <c r="E650" s="12" t="s">
        <v>954</v>
      </c>
      <c r="F650" s="22">
        <f>COUNTIFS('Disciplinary Actions'!$E$4:$E$100003,"Substance Abuse",'Disciplinary Actions'!$D$4:$D$100003,mCrit,'Disciplinary Actions'!$F$4:$F$100003,dCrit)</f>
        <v>0</v>
      </c>
      <c r="M650" s="12" t="s">
        <v>1905</v>
      </c>
      <c r="N650" s="22">
        <f>COUNTIFS('Disciplinary Actions'!$H$4:$H$100003,"Suspension",'Disciplinary Actions'!$D$4:$D$100003,mCrit,'Disciplinary Actions'!$F$4:$F$100003,dCrit)+COUNTIFS('Disciplinary Actions'!$H$4:$H$100003,"Termination",'Disciplinary Actions'!$D$4:$D$100003,mCrit,'Disciplinary Actions'!$F$4:$F$100003,dCrit)</f>
        <v>0</v>
      </c>
      <c r="P650" s="12" t="s">
        <v>5</v>
      </c>
      <c r="Q650" s="22">
        <f>COUNTIFS('Disciplinary Actions'!$D$4:$D$100003,mCrit,'Disciplinary Actions'!$F$4:$F$100003,"Logistics")</f>
        <v>0</v>
      </c>
      <c r="R650" s="23">
        <f>IFERROR((COUNTIFS('Disciplinary Actions'!$K$4:$K$100003,"Closed",'Disciplinary Actions'!$D$4:$D$100003,mCrit,'Disciplinary Actions'!$F$4:$F$100003,"Logistics"))/COUNTIFS('Disciplinary Actions'!$D$4:$D$100003,mCrit,'Disciplinary Actions'!$F$4:$F$100003,"Logistics")*100,0)</f>
        <v>0</v>
      </c>
      <c r="S650" s="22">
        <f>COUNTIFS('Disciplinary Actions'!$D$4:$D$100003,mCrit,'Disciplinary Actions'!$F$4:$F$100003,"Logistics")</f>
        <v>0</v>
      </c>
    </row>
    <row r="651" spans="2:34">
      <c r="B651" s="21" t="s">
        <v>76</v>
      </c>
      <c r="C651" s="22">
        <f>COUNTIFS('Disciplinary Actions'!$D$4:$D$100003,"Jul",'Disciplinary Actions'!$F$4:$F$100003,dCrit)</f>
        <v>0</v>
      </c>
      <c r="P651" s="12" t="s">
        <v>50</v>
      </c>
      <c r="Q651" s="22">
        <f>COUNTIFS('Disciplinary Actions'!$D$4:$D$100003,mCrit,'Disciplinary Actions'!$F$4:$F$100003,"Quality")</f>
        <v>0</v>
      </c>
      <c r="R651" s="23">
        <f>IFERROR((COUNTIFS('Disciplinary Actions'!$K$4:$K$100003,"Closed",'Disciplinary Actions'!$D$4:$D$100003,mCrit,'Disciplinary Actions'!$F$4:$F$100003,"Quality"))/COUNTIFS('Disciplinary Actions'!$D$4:$D$100003,mCrit,'Disciplinary Actions'!$F$4:$F$100003,"Quality")*100,0)</f>
        <v>0</v>
      </c>
      <c r="S651" s="22">
        <f>COUNTIFS('Disciplinary Actions'!$D$4:$D$100003,mCrit,'Disciplinary Actions'!$F$4:$F$100003,"Quality")</f>
        <v>0</v>
      </c>
    </row>
    <row r="652" spans="2:34">
      <c r="B652" s="21" t="s">
        <v>86</v>
      </c>
      <c r="C652" s="22">
        <f>COUNTIFS('Disciplinary Actions'!$D$4:$D$100003,"Aug",'Disciplinary Actions'!$F$4:$F$100003,dCrit)</f>
        <v>0</v>
      </c>
      <c r="P652" s="12" t="s">
        <v>46</v>
      </c>
      <c r="Q652" s="22">
        <f>COUNTIFS('Disciplinary Actions'!$D$4:$D$100003,mCrit,'Disciplinary Actions'!$F$4:$F$100003,"Admin")</f>
        <v>0</v>
      </c>
      <c r="R652" s="23">
        <f>IFERROR((COUNTIFS('Disciplinary Actions'!$K$4:$K$100003,"Closed",'Disciplinary Actions'!$D$4:$D$100003,mCrit,'Disciplinary Actions'!$F$4:$F$100003,"Admin"))/COUNTIFS('Disciplinary Actions'!$D$4:$D$100003,mCrit,'Disciplinary Actions'!$F$4:$F$100003,"Admin")*100,0)</f>
        <v>0</v>
      </c>
      <c r="S652" s="22">
        <f>COUNTIFS('Disciplinary Actions'!$D$4:$D$100003,mCrit,'Disciplinary Actions'!$F$4:$F$100003,"Admin")</f>
        <v>0</v>
      </c>
    </row>
    <row r="653" spans="2:34">
      <c r="B653" s="21" t="s">
        <v>102</v>
      </c>
      <c r="C653" s="22">
        <f>COUNTIFS('Disciplinary Actions'!$D$4:$D$100003,"Sep",'Disciplinary Actions'!$F$4:$F$100003,dCrit)</f>
        <v>0</v>
      </c>
      <c r="P653" s="12" t="s">
        <v>13</v>
      </c>
      <c r="Q653" s="22">
        <f>COUNTIFS('Disciplinary Actions'!$D$4:$D$100003,mCrit,'Disciplinary Actions'!$F$4:$F$100003,"Projects")</f>
        <v>0</v>
      </c>
      <c r="R653" s="23">
        <f>IFERROR((COUNTIFS('Disciplinary Actions'!$K$4:$K$100003,"Closed",'Disciplinary Actions'!$D$4:$D$100003,mCrit,'Disciplinary Actions'!$F$4:$F$100003,"Projects"))/COUNTIFS('Disciplinary Actions'!$D$4:$D$100003,mCrit,'Disciplinary Actions'!$F$4:$F$100003,"Projects")*100,0)</f>
        <v>0</v>
      </c>
      <c r="S653" s="22">
        <f>COUNTIFS('Disciplinary Actions'!$D$4:$D$100003,mCrit,'Disciplinary Actions'!$F$4:$F$100003,"Projects")</f>
        <v>0</v>
      </c>
    </row>
    <row r="654" spans="2:34">
      <c r="B654" s="21" t="s">
        <v>106</v>
      </c>
      <c r="C654" s="22">
        <f>COUNTIFS('Disciplinary Actions'!$D$4:$D$100003,"Oct",'Disciplinary Actions'!$F$4:$F$100003,dCrit)</f>
        <v>0</v>
      </c>
      <c r="P654" s="12" t="s">
        <v>58</v>
      </c>
      <c r="Q654" s="22">
        <f>COUNTIFS('Disciplinary Actions'!$D$4:$D$100003,mCrit,'Disciplinary Actions'!$F$4:$F$100003,"Contractor")</f>
        <v>0</v>
      </c>
      <c r="R654" s="23">
        <f>IFERROR((COUNTIFS('Disciplinary Actions'!$K$4:$K$100003,"Closed",'Disciplinary Actions'!$D$4:$D$100003,mCrit,'Disciplinary Actions'!$F$4:$F$100003,"Contractor"))/COUNTIFS('Disciplinary Actions'!$D$4:$D$100003,mCrit,'Disciplinary Actions'!$F$4:$F$100003,"Contractor")*100,0)</f>
        <v>0</v>
      </c>
      <c r="S654" s="22">
        <f>COUNTIFS('Disciplinary Actions'!$D$4:$D$100003,mCrit,'Disciplinary Actions'!$F$4:$F$100003,"Contractor")</f>
        <v>0</v>
      </c>
    </row>
    <row r="655" spans="2:34">
      <c r="B655" s="21" t="s">
        <v>111</v>
      </c>
      <c r="C655" s="22">
        <f>COUNTIFS('Disciplinary Actions'!$D$4:$D$100003,"Nov",'Disciplinary Actions'!$F$4:$F$100003,dCrit)</f>
        <v>0</v>
      </c>
    </row>
    <row r="656" spans="2:34">
      <c r="B656" s="21" t="s">
        <v>122</v>
      </c>
      <c r="C656" s="22">
        <f>COUNTIFS('Disciplinary Actions'!$D$4:$D$100003,"Dec",'Disciplinary Actions'!$F$4:$F$100003,dCrit)</f>
        <v>0</v>
      </c>
    </row>
    <row r="669" spans="2:34">
      <c r="B669" s="16" t="s">
        <v>1906</v>
      </c>
    </row>
    <row r="670" spans="2:34">
      <c r="B670" s="11" t="s">
        <v>127</v>
      </c>
      <c r="C670" s="11" t="s">
        <v>1808</v>
      </c>
      <c r="E670" s="11" t="s">
        <v>1059</v>
      </c>
      <c r="F670" s="11" t="s">
        <v>1808</v>
      </c>
      <c r="G670" s="11" t="s">
        <v>1061</v>
      </c>
      <c r="H670" s="11" t="s">
        <v>1808</v>
      </c>
      <c r="J670" s="11" t="s">
        <v>287</v>
      </c>
      <c r="K670" s="11" t="s">
        <v>1808</v>
      </c>
      <c r="M670" s="11" t="s">
        <v>1752</v>
      </c>
      <c r="N670" s="11" t="s">
        <v>1867</v>
      </c>
      <c r="P670" s="11" t="s">
        <v>129</v>
      </c>
      <c r="Q670" s="11" t="s">
        <v>1808</v>
      </c>
      <c r="R670" s="11" t="s">
        <v>1879</v>
      </c>
      <c r="S670" s="11" t="s">
        <v>1872</v>
      </c>
      <c r="U670" s="11" t="s">
        <v>1873</v>
      </c>
      <c r="V670" s="11" t="s">
        <v>3</v>
      </c>
      <c r="W670" s="11" t="s">
        <v>19</v>
      </c>
      <c r="X670" s="11" t="s">
        <v>44</v>
      </c>
      <c r="Y670" s="11" t="s">
        <v>53</v>
      </c>
      <c r="Z670" s="11" t="s">
        <v>60</v>
      </c>
      <c r="AA670" s="11" t="s">
        <v>73</v>
      </c>
      <c r="AB670" s="11" t="s">
        <v>76</v>
      </c>
      <c r="AC670" s="11" t="s">
        <v>86</v>
      </c>
      <c r="AD670" s="11" t="s">
        <v>102</v>
      </c>
      <c r="AE670" s="11" t="s">
        <v>106</v>
      </c>
      <c r="AF670" s="11" t="s">
        <v>111</v>
      </c>
      <c r="AG670" s="11" t="s">
        <v>122</v>
      </c>
      <c r="AH670" s="11" t="s">
        <v>1874</v>
      </c>
    </row>
    <row r="671" spans="2:34">
      <c r="B671" s="21" t="s">
        <v>3</v>
      </c>
      <c r="C671" s="22">
        <f>COUNTIFS('Safety Awards'!$D$4:$D$100003,"Jan",'Safety Awards'!$F$4:$F$100003,dCrit)</f>
        <v>0</v>
      </c>
      <c r="E671" s="12" t="s">
        <v>1006</v>
      </c>
      <c r="F671" s="22">
        <f>COUNTIFS('Safety Awards'!$E$4:$E$100003,"Safe Worker of Month",'Safety Awards'!$D$4:$D$100003,mCrit,'Safety Awards'!$F$4:$F$100003,dCrit)</f>
        <v>0</v>
      </c>
      <c r="G671" s="12" t="s">
        <v>1022</v>
      </c>
      <c r="H671" s="22">
        <f>COUNTIFS('Safety Awards'!$H$4:$H$100003,"Certificate",'Safety Awards'!$D$4:$D$100003,mCrit,'Safety Awards'!$F$4:$F$100003,dCrit)</f>
        <v>0</v>
      </c>
      <c r="J671" s="12" t="s">
        <v>254</v>
      </c>
      <c r="K671" s="22">
        <f>COUNTIFS('Safety Awards'!$J$4:$J$100003,"In Progress",'Safety Awards'!$D$4:$D$100003,mCrit,'Safety Awards'!$F$4:$F$100003,dCrit)</f>
        <v>0</v>
      </c>
      <c r="M671" s="12" t="s">
        <v>1868</v>
      </c>
      <c r="N671" s="22">
        <f>COUNTIFS('Safety Awards'!$D$4:$D$100003,mCrit,'Safety Awards'!$F$4:$F$100003,dCrit)</f>
        <v>0</v>
      </c>
      <c r="P671" s="12" t="s">
        <v>27</v>
      </c>
      <c r="Q671" s="22">
        <f>COUNTIFS('Safety Awards'!$D$4:$D$100003,mCrit,'Safety Awards'!$F$4:$F$100003,"Operations")</f>
        <v>0</v>
      </c>
      <c r="R671" s="23">
        <f>IFERROR((COUNTIFS('Safety Awards'!$J$4:$J$100003,"Closed",'Safety Awards'!$D$4:$D$100003,mCrit,'Safety Awards'!$F$4:$F$100003,"Operations"))/COUNTIFS('Safety Awards'!$D$4:$D$100003,mCrit,'Safety Awards'!$F$4:$F$100003,"Operations")*100,0)</f>
        <v>0</v>
      </c>
      <c r="S671" s="22">
        <f>COUNTIFS('Safety Awards'!$D$4:$D$100003,mCrit,'Safety Awards'!$F$4:$F$100003,"Operations")</f>
        <v>0</v>
      </c>
      <c r="U671" s="12" t="s">
        <v>1872</v>
      </c>
      <c r="V671" s="22">
        <f>COUNTIFS('Safety Awards'!$D$4:$D$100003,"Jan",'Safety Awards'!$F$4:$F$100003,dCrit)</f>
        <v>0</v>
      </c>
      <c r="W671" s="22">
        <f>COUNTIFS('Safety Awards'!$D$4:$D$100003,"Feb",'Safety Awards'!$F$4:$F$100003,dCrit)</f>
        <v>0</v>
      </c>
      <c r="X671" s="22">
        <f>COUNTIFS('Safety Awards'!$D$4:$D$100003,"Mar",'Safety Awards'!$F$4:$F$100003,dCrit)</f>
        <v>0</v>
      </c>
      <c r="Y671" s="22">
        <f>COUNTIFS('Safety Awards'!$D$4:$D$100003,"Apr",'Safety Awards'!$F$4:$F$100003,dCrit)</f>
        <v>0</v>
      </c>
      <c r="Z671" s="22">
        <f>COUNTIFS('Safety Awards'!$D$4:$D$100003,"May",'Safety Awards'!$F$4:$F$100003,dCrit)</f>
        <v>0</v>
      </c>
      <c r="AA671" s="22">
        <f>COUNTIFS('Safety Awards'!$D$4:$D$100003,"Jun",'Safety Awards'!$F$4:$F$100003,dCrit)</f>
        <v>0</v>
      </c>
      <c r="AB671" s="22">
        <f>COUNTIFS('Safety Awards'!$D$4:$D$100003,"Jul",'Safety Awards'!$F$4:$F$100003,dCrit)</f>
        <v>0</v>
      </c>
      <c r="AC671" s="22">
        <f>COUNTIFS('Safety Awards'!$D$4:$D$100003,"Aug",'Safety Awards'!$F$4:$F$100003,dCrit)</f>
        <v>0</v>
      </c>
      <c r="AD671" s="22">
        <f>COUNTIFS('Safety Awards'!$D$4:$D$100003,"Sep",'Safety Awards'!$F$4:$F$100003,dCrit)</f>
        <v>0</v>
      </c>
      <c r="AE671" s="22">
        <f>COUNTIFS('Safety Awards'!$D$4:$D$100003,"Oct",'Safety Awards'!$F$4:$F$100003,dCrit)</f>
        <v>0</v>
      </c>
      <c r="AF671" s="22">
        <f>COUNTIFS('Safety Awards'!$D$4:$D$100003,"Nov",'Safety Awards'!$F$4:$F$100003,dCrit)</f>
        <v>0</v>
      </c>
      <c r="AG671" s="22">
        <f>COUNTIFS('Safety Awards'!$D$4:$D$100003,"Dec",'Safety Awards'!$F$4:$F$100003,dCrit)</f>
        <v>0</v>
      </c>
      <c r="AH671" s="22">
        <f>SUM(V671:AG671)</f>
        <v>0</v>
      </c>
    </row>
    <row r="672" spans="2:34">
      <c r="B672" s="21" t="s">
        <v>19</v>
      </c>
      <c r="C672" s="22">
        <f>COUNTIFS('Safety Awards'!$D$4:$D$100003,"Feb",'Safety Awards'!$F$4:$F$100003,dCrit)</f>
        <v>0</v>
      </c>
      <c r="E672" s="12" t="s">
        <v>1019</v>
      </c>
      <c r="F672" s="22">
        <f>COUNTIFS('Safety Awards'!$E$4:$E$100003,"Best Safety Suggestion",'Safety Awards'!$D$4:$D$100003,mCrit,'Safety Awards'!$F$4:$F$100003,dCrit)</f>
        <v>0</v>
      </c>
      <c r="G672" s="12" t="s">
        <v>1004</v>
      </c>
      <c r="H672" s="22">
        <f>COUNTIFS('Safety Awards'!$H$4:$H$100003,"Trophy",'Safety Awards'!$D$4:$D$100003,mCrit,'Safety Awards'!$F$4:$F$100003,dCrit)</f>
        <v>0</v>
      </c>
      <c r="J672" s="12" t="s">
        <v>293</v>
      </c>
      <c r="K672" s="22">
        <f>COUNTIFS('Safety Awards'!$J$4:$J$100003,"Closed",'Safety Awards'!$D$4:$D$100003,mCrit,'Safety Awards'!$F$4:$F$100003,dCrit)</f>
        <v>0</v>
      </c>
      <c r="M672" s="12" t="s">
        <v>1876</v>
      </c>
      <c r="N672" s="23">
        <f>IFERROR((COUNTIFS('Safety Awards'!$J$4:$J$100003,"Closed",'Safety Awards'!$D$4:$D$100003,mCrit,'Safety Awards'!$F$4:$F$100003,dCrit))/COUNTIFS('Safety Awards'!$D$4:$D$100003,mCrit,'Safety Awards'!$F$4:$F$100003,dCrit)*100,0)</f>
        <v>0</v>
      </c>
      <c r="P672" s="12" t="s">
        <v>92</v>
      </c>
      <c r="Q672" s="22">
        <f>COUNTIFS('Safety Awards'!$D$4:$D$100003,mCrit,'Safety Awards'!$F$4:$F$100003,"Maintenance")</f>
        <v>0</v>
      </c>
      <c r="R672" s="23">
        <f>IFERROR((COUNTIFS('Safety Awards'!$J$4:$J$100003,"Closed",'Safety Awards'!$D$4:$D$100003,mCrit,'Safety Awards'!$F$4:$F$100003,"Maintenance"))/COUNTIFS('Safety Awards'!$D$4:$D$100003,mCrit,'Safety Awards'!$F$4:$F$100003,"Maintenance")*100,0)</f>
        <v>0</v>
      </c>
      <c r="S672" s="22">
        <f>COUNTIFS('Safety Awards'!$D$4:$D$100003,mCrit,'Safety Awards'!$F$4:$F$100003,"Maintenance")</f>
        <v>0</v>
      </c>
      <c r="U672" s="12" t="s">
        <v>1880</v>
      </c>
      <c r="V672" s="23">
        <f>IFERROR((COUNTIFS('Safety Awards'!$J$4:$J$100003,"Closed",'Safety Awards'!$D$4:$D$100003,"Jan",'Safety Awards'!$F$4:$F$100003,dCrit))/COUNTIFS('Safety Awards'!$D$4:$D$100003,"Jan",'Safety Awards'!$F$4:$F$100003,dCrit)*100,0)</f>
        <v>0</v>
      </c>
      <c r="W672" s="23">
        <f>IFERROR((COUNTIFS('Safety Awards'!$J$4:$J$100003,"Closed",'Safety Awards'!$D$4:$D$100003,"Feb",'Safety Awards'!$F$4:$F$100003,dCrit))/COUNTIFS('Safety Awards'!$D$4:$D$100003,"Feb",'Safety Awards'!$F$4:$F$100003,dCrit)*100,0)</f>
        <v>0</v>
      </c>
      <c r="X672" s="23">
        <f>IFERROR((COUNTIFS('Safety Awards'!$J$4:$J$100003,"Closed",'Safety Awards'!$D$4:$D$100003,"Mar",'Safety Awards'!$F$4:$F$100003,dCrit))/COUNTIFS('Safety Awards'!$D$4:$D$100003,"Mar",'Safety Awards'!$F$4:$F$100003,dCrit)*100,0)</f>
        <v>0</v>
      </c>
      <c r="Y672" s="23">
        <f>IFERROR((COUNTIFS('Safety Awards'!$J$4:$J$100003,"Closed",'Safety Awards'!$D$4:$D$100003,"Apr",'Safety Awards'!$F$4:$F$100003,dCrit))/COUNTIFS('Safety Awards'!$D$4:$D$100003,"Apr",'Safety Awards'!$F$4:$F$100003,dCrit)*100,0)</f>
        <v>0</v>
      </c>
      <c r="Z672" s="23">
        <f>IFERROR((COUNTIFS('Safety Awards'!$J$4:$J$100003,"Closed",'Safety Awards'!$D$4:$D$100003,"May",'Safety Awards'!$F$4:$F$100003,dCrit))/COUNTIFS('Safety Awards'!$D$4:$D$100003,"May",'Safety Awards'!$F$4:$F$100003,dCrit)*100,0)</f>
        <v>0</v>
      </c>
      <c r="AA672" s="23">
        <f>IFERROR((COUNTIFS('Safety Awards'!$J$4:$J$100003,"Closed",'Safety Awards'!$D$4:$D$100003,"Jun",'Safety Awards'!$F$4:$F$100003,dCrit))/COUNTIFS('Safety Awards'!$D$4:$D$100003,"Jun",'Safety Awards'!$F$4:$F$100003,dCrit)*100,0)</f>
        <v>0</v>
      </c>
      <c r="AB672" s="23">
        <f>IFERROR((COUNTIFS('Safety Awards'!$J$4:$J$100003,"Closed",'Safety Awards'!$D$4:$D$100003,"Jul",'Safety Awards'!$F$4:$F$100003,dCrit))/COUNTIFS('Safety Awards'!$D$4:$D$100003,"Jul",'Safety Awards'!$F$4:$F$100003,dCrit)*100,0)</f>
        <v>0</v>
      </c>
      <c r="AC672" s="23">
        <f>IFERROR((COUNTIFS('Safety Awards'!$J$4:$J$100003,"Closed",'Safety Awards'!$D$4:$D$100003,"Aug",'Safety Awards'!$F$4:$F$100003,dCrit))/COUNTIFS('Safety Awards'!$D$4:$D$100003,"Aug",'Safety Awards'!$F$4:$F$100003,dCrit)*100,0)</f>
        <v>0</v>
      </c>
      <c r="AD672" s="23">
        <f>IFERROR((COUNTIFS('Safety Awards'!$J$4:$J$100003,"Closed",'Safety Awards'!$D$4:$D$100003,"Sep",'Safety Awards'!$F$4:$F$100003,dCrit))/COUNTIFS('Safety Awards'!$D$4:$D$100003,"Sep",'Safety Awards'!$F$4:$F$100003,dCrit)*100,0)</f>
        <v>0</v>
      </c>
      <c r="AE672" s="23">
        <f>IFERROR((COUNTIFS('Safety Awards'!$J$4:$J$100003,"Closed",'Safety Awards'!$D$4:$D$100003,"Oct",'Safety Awards'!$F$4:$F$100003,dCrit))/COUNTIFS('Safety Awards'!$D$4:$D$100003,"Oct",'Safety Awards'!$F$4:$F$100003,dCrit)*100,0)</f>
        <v>0</v>
      </c>
      <c r="AF672" s="23">
        <f>IFERROR((COUNTIFS('Safety Awards'!$J$4:$J$100003,"Closed",'Safety Awards'!$D$4:$D$100003,"Nov",'Safety Awards'!$F$4:$F$100003,dCrit))/COUNTIFS('Safety Awards'!$D$4:$D$100003,"Nov",'Safety Awards'!$F$4:$F$100003,dCrit)*100,0)</f>
        <v>0</v>
      </c>
      <c r="AG672" s="23">
        <f>IFERROR((COUNTIFS('Safety Awards'!$J$4:$J$100003,"Closed",'Safety Awards'!$D$4:$D$100003,"Dec",'Safety Awards'!$F$4:$F$100003,dCrit))/COUNTIFS('Safety Awards'!$D$4:$D$100003,"Dec",'Safety Awards'!$F$4:$F$100003,dCrit)*100,0)</f>
        <v>0</v>
      </c>
      <c r="AH672" s="23">
        <f>IFERROR(AVERAGE(V672:AG672),0)</f>
        <v>0</v>
      </c>
    </row>
    <row r="673" spans="2:19">
      <c r="B673" s="21" t="s">
        <v>44</v>
      </c>
      <c r="C673" s="22">
        <f>COUNTIFS('Safety Awards'!$D$4:$D$100003,"Mar",'Safety Awards'!$F$4:$F$100003,dCrit)</f>
        <v>0</v>
      </c>
      <c r="E673" s="12" t="s">
        <v>1003</v>
      </c>
      <c r="F673" s="22">
        <f>COUNTIFS('Safety Awards'!$E$4:$E$100003,"Zero Incident Award",'Safety Awards'!$D$4:$D$100003,mCrit,'Safety Awards'!$F$4:$F$100003,dCrit)</f>
        <v>0</v>
      </c>
      <c r="G673" s="12" t="s">
        <v>1007</v>
      </c>
      <c r="H673" s="22">
        <f>COUNTIFS('Safety Awards'!$H$4:$H$100003,"Cash Bonus",'Safety Awards'!$D$4:$D$100003,mCrit,'Safety Awards'!$F$4:$F$100003,dCrit)</f>
        <v>0</v>
      </c>
      <c r="J673" s="12" t="s">
        <v>238</v>
      </c>
      <c r="K673" s="22">
        <f>COUNTIFS('Safety Awards'!$J$4:$J$100003,"Overdue",'Safety Awards'!$D$4:$D$100003,mCrit,'Safety Awards'!$F$4:$F$100003,dCrit)</f>
        <v>0</v>
      </c>
      <c r="M673" s="12" t="s">
        <v>1877</v>
      </c>
      <c r="N673" s="22">
        <f>COUNTIFS('Safety Awards'!$J$4:$J$100003,"Open",'Safety Awards'!$D$4:$D$100003,mCrit,'Safety Awards'!$F$4:$F$100003,dCrit)+COUNTIFS('Safety Awards'!$J$4:$J$100003,"In Progress",'Safety Awards'!$D$4:$D$100003,mCrit,'Safety Awards'!$F$4:$F$100003,dCrit)+COUNTIFS('Safety Awards'!$J$4:$J$100003,"Overdue",'Safety Awards'!$D$4:$D$100003,mCrit,'Safety Awards'!$F$4:$F$100003,dCrit)</f>
        <v>0</v>
      </c>
      <c r="P673" s="12" t="s">
        <v>39</v>
      </c>
      <c r="Q673" s="22">
        <f>COUNTIFS('Safety Awards'!$D$4:$D$100003,mCrit,'Safety Awards'!$F$4:$F$100003,"Engineering")</f>
        <v>0</v>
      </c>
      <c r="R673" s="23">
        <f>IFERROR((COUNTIFS('Safety Awards'!$J$4:$J$100003,"Closed",'Safety Awards'!$D$4:$D$100003,mCrit,'Safety Awards'!$F$4:$F$100003,"Engineering"))/COUNTIFS('Safety Awards'!$D$4:$D$100003,mCrit,'Safety Awards'!$F$4:$F$100003,"Engineering")*100,0)</f>
        <v>0</v>
      </c>
      <c r="S673" s="22">
        <f>COUNTIFS('Safety Awards'!$D$4:$D$100003,mCrit,'Safety Awards'!$F$4:$F$100003,"Engineering")</f>
        <v>0</v>
      </c>
    </row>
    <row r="674" spans="2:19">
      <c r="B674" s="21" t="s">
        <v>53</v>
      </c>
      <c r="C674" s="22">
        <f>COUNTIFS('Safety Awards'!$D$4:$D$100003,"Apr",'Safety Awards'!$F$4:$F$100003,dCrit)</f>
        <v>0</v>
      </c>
      <c r="E674" s="12" t="s">
        <v>1009</v>
      </c>
      <c r="F674" s="22">
        <f>COUNTIFS('Safety Awards'!$E$4:$E$100003,"HSE Champion",'Safety Awards'!$D$4:$D$100003,mCrit,'Safety Awards'!$F$4:$F$100003,dCrit)</f>
        <v>0</v>
      </c>
      <c r="G674" s="12" t="s">
        <v>1001</v>
      </c>
      <c r="H674" s="22">
        <f>COUNTIFS('Safety Awards'!$H$4:$H$100003,"Gift Voucher",'Safety Awards'!$D$4:$D$100003,mCrit,'Safety Awards'!$F$4:$F$100003,dCrit)</f>
        <v>0</v>
      </c>
      <c r="J674" s="12" t="s">
        <v>297</v>
      </c>
      <c r="K674" s="22">
        <f>COUNTIFS('Safety Awards'!$J$4:$J$100003,"Open",'Safety Awards'!$D$4:$D$100003,mCrit,'Safety Awards'!$F$4:$F$100003,dCrit)</f>
        <v>0</v>
      </c>
      <c r="M674" s="12" t="s">
        <v>238</v>
      </c>
      <c r="N674" s="22">
        <f>COUNTIFS('Safety Awards'!$J$4:$J$100003,"Overdue",'Safety Awards'!$D$4:$D$100003,mCrit,'Safety Awards'!$F$4:$F$100003,dCrit)</f>
        <v>0</v>
      </c>
      <c r="P674" s="12" t="s">
        <v>89</v>
      </c>
      <c r="Q674" s="22">
        <f>COUNTIFS('Safety Awards'!$D$4:$D$100003,mCrit,'Safety Awards'!$F$4:$F$100003,"Construction")</f>
        <v>0</v>
      </c>
      <c r="R674" s="23">
        <f>IFERROR((COUNTIFS('Safety Awards'!$J$4:$J$100003,"Closed",'Safety Awards'!$D$4:$D$100003,mCrit,'Safety Awards'!$F$4:$F$100003,"Construction"))/COUNTIFS('Safety Awards'!$D$4:$D$100003,mCrit,'Safety Awards'!$F$4:$F$100003,"Construction")*100,0)</f>
        <v>0</v>
      </c>
      <c r="S674" s="22">
        <f>COUNTIFS('Safety Awards'!$D$4:$D$100003,mCrit,'Safety Awards'!$F$4:$F$100003,"Construction")</f>
        <v>0</v>
      </c>
    </row>
    <row r="675" spans="2:19">
      <c r="B675" s="21" t="s">
        <v>60</v>
      </c>
      <c r="C675" s="22">
        <f>COUNTIFS('Safety Awards'!$D$4:$D$100003,"May",'Safety Awards'!$F$4:$F$100003,dCrit)</f>
        <v>0</v>
      </c>
      <c r="E675" s="12" t="s">
        <v>1000</v>
      </c>
      <c r="F675" s="22">
        <f>COUNTIFS('Safety Awards'!$E$4:$E$100003,"Safety Innovation",'Safety Awards'!$D$4:$D$100003,mCrit,'Safety Awards'!$F$4:$F$100003,dCrit)</f>
        <v>0</v>
      </c>
      <c r="G675" s="12" t="s">
        <v>1010</v>
      </c>
      <c r="H675" s="22">
        <f>COUNTIFS('Safety Awards'!$H$4:$H$100003,"Recognition Letter",'Safety Awards'!$D$4:$D$100003,mCrit,'Safety Awards'!$F$4:$F$100003,dCrit)</f>
        <v>0</v>
      </c>
      <c r="M675" s="12" t="s">
        <v>1907</v>
      </c>
      <c r="N675" s="22">
        <f>COUNTIFS('Safety Awards'!$J$4:$J$100003,"Presented",'Safety Awards'!$D$4:$D$100003,mCrit,'Safety Awards'!$F$4:$F$100003,dCrit)</f>
        <v>0</v>
      </c>
      <c r="P675" s="12" t="s">
        <v>65</v>
      </c>
      <c r="Q675" s="22">
        <f>COUNTIFS('Safety Awards'!$D$4:$D$100003,mCrit,'Safety Awards'!$F$4:$F$100003,"Safety")</f>
        <v>0</v>
      </c>
      <c r="R675" s="23">
        <f>IFERROR((COUNTIFS('Safety Awards'!$J$4:$J$100003,"Closed",'Safety Awards'!$D$4:$D$100003,mCrit,'Safety Awards'!$F$4:$F$100003,"Safety"))/COUNTIFS('Safety Awards'!$D$4:$D$100003,mCrit,'Safety Awards'!$F$4:$F$100003,"Safety")*100,0)</f>
        <v>0</v>
      </c>
      <c r="S675" s="22">
        <f>COUNTIFS('Safety Awards'!$D$4:$D$100003,mCrit,'Safety Awards'!$F$4:$F$100003,"Safety")</f>
        <v>0</v>
      </c>
    </row>
    <row r="676" spans="2:19">
      <c r="B676" s="21" t="s">
        <v>73</v>
      </c>
      <c r="C676" s="22">
        <f>COUNTIFS('Safety Awards'!$D$4:$D$100003,"Jun",'Safety Awards'!$F$4:$F$100003,dCrit)</f>
        <v>0</v>
      </c>
      <c r="E676" s="12" t="s">
        <v>1015</v>
      </c>
      <c r="F676" s="22">
        <f>COUNTIFS('Safety Awards'!$E$4:$E$100003,"Best Department",'Safety Awards'!$D$4:$D$100003,mCrit,'Safety Awards'!$F$4:$F$100003,dCrit)</f>
        <v>0</v>
      </c>
      <c r="P676" s="12" t="s">
        <v>5</v>
      </c>
      <c r="Q676" s="22">
        <f>COUNTIFS('Safety Awards'!$D$4:$D$100003,mCrit,'Safety Awards'!$F$4:$F$100003,"Logistics")</f>
        <v>0</v>
      </c>
      <c r="R676" s="23">
        <f>IFERROR((COUNTIFS('Safety Awards'!$J$4:$J$100003,"Closed",'Safety Awards'!$D$4:$D$100003,mCrit,'Safety Awards'!$F$4:$F$100003,"Logistics"))/COUNTIFS('Safety Awards'!$D$4:$D$100003,mCrit,'Safety Awards'!$F$4:$F$100003,"Logistics")*100,0)</f>
        <v>0</v>
      </c>
      <c r="S676" s="22">
        <f>COUNTIFS('Safety Awards'!$D$4:$D$100003,mCrit,'Safety Awards'!$F$4:$F$100003,"Logistics")</f>
        <v>0</v>
      </c>
    </row>
    <row r="677" spans="2:19">
      <c r="B677" s="21" t="s">
        <v>76</v>
      </c>
      <c r="C677" s="22">
        <f>COUNTIFS('Safety Awards'!$D$4:$D$100003,"Jul",'Safety Awards'!$F$4:$F$100003,dCrit)</f>
        <v>0</v>
      </c>
      <c r="P677" s="12" t="s">
        <v>50</v>
      </c>
      <c r="Q677" s="22">
        <f>COUNTIFS('Safety Awards'!$D$4:$D$100003,mCrit,'Safety Awards'!$F$4:$F$100003,"Quality")</f>
        <v>0</v>
      </c>
      <c r="R677" s="23">
        <f>IFERROR((COUNTIFS('Safety Awards'!$J$4:$J$100003,"Closed",'Safety Awards'!$D$4:$D$100003,mCrit,'Safety Awards'!$F$4:$F$100003,"Quality"))/COUNTIFS('Safety Awards'!$D$4:$D$100003,mCrit,'Safety Awards'!$F$4:$F$100003,"Quality")*100,0)</f>
        <v>0</v>
      </c>
      <c r="S677" s="22">
        <f>COUNTIFS('Safety Awards'!$D$4:$D$100003,mCrit,'Safety Awards'!$F$4:$F$100003,"Quality")</f>
        <v>0</v>
      </c>
    </row>
    <row r="678" spans="2:19">
      <c r="B678" s="21" t="s">
        <v>86</v>
      </c>
      <c r="C678" s="22">
        <f>COUNTIFS('Safety Awards'!$D$4:$D$100003,"Aug",'Safety Awards'!$F$4:$F$100003,dCrit)</f>
        <v>0</v>
      </c>
      <c r="P678" s="12" t="s">
        <v>46</v>
      </c>
      <c r="Q678" s="22">
        <f>COUNTIFS('Safety Awards'!$D$4:$D$100003,mCrit,'Safety Awards'!$F$4:$F$100003,"Admin")</f>
        <v>0</v>
      </c>
      <c r="R678" s="23">
        <f>IFERROR((COUNTIFS('Safety Awards'!$J$4:$J$100003,"Closed",'Safety Awards'!$D$4:$D$100003,mCrit,'Safety Awards'!$F$4:$F$100003,"Admin"))/COUNTIFS('Safety Awards'!$D$4:$D$100003,mCrit,'Safety Awards'!$F$4:$F$100003,"Admin")*100,0)</f>
        <v>0</v>
      </c>
      <c r="S678" s="22">
        <f>COUNTIFS('Safety Awards'!$D$4:$D$100003,mCrit,'Safety Awards'!$F$4:$F$100003,"Admin")</f>
        <v>0</v>
      </c>
    </row>
    <row r="679" spans="2:19">
      <c r="B679" s="21" t="s">
        <v>102</v>
      </c>
      <c r="C679" s="22">
        <f>COUNTIFS('Safety Awards'!$D$4:$D$100003,"Sep",'Safety Awards'!$F$4:$F$100003,dCrit)</f>
        <v>0</v>
      </c>
      <c r="P679" s="12" t="s">
        <v>13</v>
      </c>
      <c r="Q679" s="22">
        <f>COUNTIFS('Safety Awards'!$D$4:$D$100003,mCrit,'Safety Awards'!$F$4:$F$100003,"Projects")</f>
        <v>0</v>
      </c>
      <c r="R679" s="23">
        <f>IFERROR((COUNTIFS('Safety Awards'!$J$4:$J$100003,"Closed",'Safety Awards'!$D$4:$D$100003,mCrit,'Safety Awards'!$F$4:$F$100003,"Projects"))/COUNTIFS('Safety Awards'!$D$4:$D$100003,mCrit,'Safety Awards'!$F$4:$F$100003,"Projects")*100,0)</f>
        <v>0</v>
      </c>
      <c r="S679" s="22">
        <f>COUNTIFS('Safety Awards'!$D$4:$D$100003,mCrit,'Safety Awards'!$F$4:$F$100003,"Projects")</f>
        <v>0</v>
      </c>
    </row>
    <row r="680" spans="2:19">
      <c r="B680" s="21" t="s">
        <v>106</v>
      </c>
      <c r="C680" s="22">
        <f>COUNTIFS('Safety Awards'!$D$4:$D$100003,"Oct",'Safety Awards'!$F$4:$F$100003,dCrit)</f>
        <v>0</v>
      </c>
      <c r="P680" s="12" t="s">
        <v>58</v>
      </c>
      <c r="Q680" s="22">
        <f>COUNTIFS('Safety Awards'!$D$4:$D$100003,mCrit,'Safety Awards'!$F$4:$F$100003,"Contractor")</f>
        <v>0</v>
      </c>
      <c r="R680" s="23">
        <f>IFERROR((COUNTIFS('Safety Awards'!$J$4:$J$100003,"Closed",'Safety Awards'!$D$4:$D$100003,mCrit,'Safety Awards'!$F$4:$F$100003,"Contractor"))/COUNTIFS('Safety Awards'!$D$4:$D$100003,mCrit,'Safety Awards'!$F$4:$F$100003,"Contractor")*100,0)</f>
        <v>0</v>
      </c>
      <c r="S680" s="22">
        <f>COUNTIFS('Safety Awards'!$D$4:$D$100003,mCrit,'Safety Awards'!$F$4:$F$100003,"Contractor")</f>
        <v>0</v>
      </c>
    </row>
    <row r="681" spans="2:19">
      <c r="B681" s="21" t="s">
        <v>111</v>
      </c>
      <c r="C681" s="22">
        <f>COUNTIFS('Safety Awards'!$D$4:$D$100003,"Nov",'Safety Awards'!$F$4:$F$100003,dCrit)</f>
        <v>0</v>
      </c>
    </row>
    <row r="682" spans="2:19">
      <c r="B682" s="21" t="s">
        <v>122</v>
      </c>
      <c r="C682" s="22">
        <f>COUNTIFS('Safety Awards'!$D$4:$D$100003,"Dec",'Safety Awards'!$F$4:$F$100003,dCrit)</f>
        <v>0</v>
      </c>
    </row>
    <row r="695" spans="2:34">
      <c r="B695" s="16" t="s">
        <v>1908</v>
      </c>
    </row>
    <row r="696" spans="2:34">
      <c r="B696" s="11" t="s">
        <v>127</v>
      </c>
      <c r="C696" s="11" t="s">
        <v>1808</v>
      </c>
      <c r="E696" s="11" t="s">
        <v>1120</v>
      </c>
      <c r="F696" s="11" t="s">
        <v>1808</v>
      </c>
      <c r="G696" s="11" t="s">
        <v>1121</v>
      </c>
      <c r="H696" s="11" t="s">
        <v>1808</v>
      </c>
      <c r="M696" s="11" t="s">
        <v>1752</v>
      </c>
      <c r="N696" s="11" t="s">
        <v>1867</v>
      </c>
      <c r="P696" s="11" t="s">
        <v>129</v>
      </c>
      <c r="Q696" s="11" t="s">
        <v>1808</v>
      </c>
      <c r="R696" s="11" t="s">
        <v>1872</v>
      </c>
      <c r="S696" s="11" t="s">
        <v>1872</v>
      </c>
      <c r="U696" s="11" t="s">
        <v>1873</v>
      </c>
      <c r="V696" s="11" t="s">
        <v>3</v>
      </c>
      <c r="W696" s="11" t="s">
        <v>19</v>
      </c>
      <c r="X696" s="11" t="s">
        <v>44</v>
      </c>
      <c r="Y696" s="11" t="s">
        <v>53</v>
      </c>
      <c r="Z696" s="11" t="s">
        <v>60</v>
      </c>
      <c r="AA696" s="11" t="s">
        <v>73</v>
      </c>
      <c r="AB696" s="11" t="s">
        <v>76</v>
      </c>
      <c r="AC696" s="11" t="s">
        <v>86</v>
      </c>
      <c r="AD696" s="11" t="s">
        <v>102</v>
      </c>
      <c r="AE696" s="11" t="s">
        <v>106</v>
      </c>
      <c r="AF696" s="11" t="s">
        <v>111</v>
      </c>
      <c r="AG696" s="11" t="s">
        <v>122</v>
      </c>
      <c r="AH696" s="11" t="s">
        <v>1874</v>
      </c>
    </row>
    <row r="697" spans="2:34">
      <c r="B697" s="21" t="s">
        <v>3</v>
      </c>
      <c r="C697" s="22">
        <f>COUNTIFS('Stop Work Authority'!$D$4:$D$100003,"Jan",'Stop Work Authority'!$F$4:$F$100003,dCrit)</f>
        <v>0</v>
      </c>
      <c r="E697" s="12" t="s">
        <v>162</v>
      </c>
      <c r="F697" s="22">
        <f>COUNTIFS('Stop Work Authority'!$K$4:$K$100003,"Critical",'Stop Work Authority'!$D$4:$D$100003,mCrit,'Stop Work Authority'!$F$4:$F$100003,dCrit)</f>
        <v>0</v>
      </c>
      <c r="G697" s="12" t="s">
        <v>1070</v>
      </c>
      <c r="H697" s="22">
        <f>COUNTIFS('Stop Work Authority'!$L$4:$L$100003,"Resolved",'Stop Work Authority'!$D$4:$D$100003,mCrit,'Stop Work Authority'!$F$4:$F$100003,dCrit)</f>
        <v>0</v>
      </c>
      <c r="M697" s="12" t="s">
        <v>1868</v>
      </c>
      <c r="N697" s="22">
        <f>COUNTIFS('Stop Work Authority'!$D$4:$D$100003,mCrit,'Stop Work Authority'!$F$4:$F$100003,dCrit)</f>
        <v>0</v>
      </c>
      <c r="P697" s="12" t="s">
        <v>27</v>
      </c>
      <c r="Q697" s="22">
        <f>COUNTIFS('Stop Work Authority'!$D$4:$D$100003,mCrit,'Stop Work Authority'!$F$4:$F$100003,"Operations")</f>
        <v>0</v>
      </c>
      <c r="R697" s="22">
        <f>COUNTIFS('Stop Work Authority'!$D$4:$D$100003,mCrit,'Stop Work Authority'!$F$4:$F$100003,"Operations")</f>
        <v>0</v>
      </c>
      <c r="S697" s="22">
        <f>COUNTIFS('Stop Work Authority'!$D$4:$D$100003,mCrit,'Stop Work Authority'!$F$4:$F$100003,"Operations")</f>
        <v>0</v>
      </c>
      <c r="U697" s="12" t="s">
        <v>1872</v>
      </c>
      <c r="V697" s="22">
        <f>COUNTIFS('Stop Work Authority'!$D$4:$D$100003,"Jan",'Stop Work Authority'!$F$4:$F$100003,dCrit)</f>
        <v>0</v>
      </c>
      <c r="W697" s="22">
        <f>COUNTIFS('Stop Work Authority'!$D$4:$D$100003,"Feb",'Stop Work Authority'!$F$4:$F$100003,dCrit)</f>
        <v>0</v>
      </c>
      <c r="X697" s="22">
        <f>COUNTIFS('Stop Work Authority'!$D$4:$D$100003,"Mar",'Stop Work Authority'!$F$4:$F$100003,dCrit)</f>
        <v>0</v>
      </c>
      <c r="Y697" s="22">
        <f>COUNTIFS('Stop Work Authority'!$D$4:$D$100003,"Apr",'Stop Work Authority'!$F$4:$F$100003,dCrit)</f>
        <v>0</v>
      </c>
      <c r="Z697" s="22">
        <f>COUNTIFS('Stop Work Authority'!$D$4:$D$100003,"May",'Stop Work Authority'!$F$4:$F$100003,dCrit)</f>
        <v>0</v>
      </c>
      <c r="AA697" s="22">
        <f>COUNTIFS('Stop Work Authority'!$D$4:$D$100003,"Jun",'Stop Work Authority'!$F$4:$F$100003,dCrit)</f>
        <v>0</v>
      </c>
      <c r="AB697" s="22">
        <f>COUNTIFS('Stop Work Authority'!$D$4:$D$100003,"Jul",'Stop Work Authority'!$F$4:$F$100003,dCrit)</f>
        <v>0</v>
      </c>
      <c r="AC697" s="22">
        <f>COUNTIFS('Stop Work Authority'!$D$4:$D$100003,"Aug",'Stop Work Authority'!$F$4:$F$100003,dCrit)</f>
        <v>0</v>
      </c>
      <c r="AD697" s="22">
        <f>COUNTIFS('Stop Work Authority'!$D$4:$D$100003,"Sep",'Stop Work Authority'!$F$4:$F$100003,dCrit)</f>
        <v>0</v>
      </c>
      <c r="AE697" s="22">
        <f>COUNTIFS('Stop Work Authority'!$D$4:$D$100003,"Oct",'Stop Work Authority'!$F$4:$F$100003,dCrit)</f>
        <v>0</v>
      </c>
      <c r="AF697" s="22">
        <f>COUNTIFS('Stop Work Authority'!$D$4:$D$100003,"Nov",'Stop Work Authority'!$F$4:$F$100003,dCrit)</f>
        <v>0</v>
      </c>
      <c r="AG697" s="22">
        <f>COUNTIFS('Stop Work Authority'!$D$4:$D$100003,"Dec",'Stop Work Authority'!$F$4:$F$100003,dCrit)</f>
        <v>0</v>
      </c>
      <c r="AH697" s="22">
        <f>SUM(V697:AG697)</f>
        <v>0</v>
      </c>
    </row>
    <row r="698" spans="2:34">
      <c r="B698" s="21" t="s">
        <v>19</v>
      </c>
      <c r="C698" s="22">
        <f>COUNTIFS('Stop Work Authority'!$D$4:$D$100003,"Feb",'Stop Work Authority'!$F$4:$F$100003,dCrit)</f>
        <v>0</v>
      </c>
      <c r="E698" s="12" t="s">
        <v>159</v>
      </c>
      <c r="F698" s="22">
        <f>COUNTIFS('Stop Work Authority'!$K$4:$K$100003,"High",'Stop Work Authority'!$D$4:$D$100003,mCrit,'Stop Work Authority'!$F$4:$F$100003,dCrit)</f>
        <v>0</v>
      </c>
      <c r="G698" s="12" t="s">
        <v>1065</v>
      </c>
      <c r="H698" s="22">
        <f>COUNTIFS('Stop Work Authority'!$L$4:$L$100003,"Under Investigation",'Stop Work Authority'!$D$4:$D$100003,mCrit,'Stop Work Authority'!$F$4:$F$100003,dCrit)</f>
        <v>0</v>
      </c>
      <c r="M698" s="12" t="s">
        <v>1855</v>
      </c>
      <c r="N698" s="22">
        <f>IFERROR(AVERAGEIFS('Stop Work Authority'!$J$4:$J$100003,'Stop Work Authority'!$D$4:$D$100003,mCrit,'Stop Work Authority'!$F$4:$F$100003,dCrit),0)</f>
        <v>0</v>
      </c>
      <c r="P698" s="12" t="s">
        <v>92</v>
      </c>
      <c r="Q698" s="22">
        <f>COUNTIFS('Stop Work Authority'!$D$4:$D$100003,mCrit,'Stop Work Authority'!$F$4:$F$100003,"Maintenance")</f>
        <v>0</v>
      </c>
      <c r="R698" s="22">
        <f>COUNTIFS('Stop Work Authority'!$D$4:$D$100003,mCrit,'Stop Work Authority'!$F$4:$F$100003,"Maintenance")</f>
        <v>0</v>
      </c>
      <c r="S698" s="22">
        <f>COUNTIFS('Stop Work Authority'!$D$4:$D$100003,mCrit,'Stop Work Authority'!$F$4:$F$100003,"Maintenance")</f>
        <v>0</v>
      </c>
    </row>
    <row r="699" spans="2:34">
      <c r="B699" s="21" t="s">
        <v>44</v>
      </c>
      <c r="C699" s="22">
        <f>COUNTIFS('Stop Work Authority'!$D$4:$D$100003,"Mar",'Stop Work Authority'!$F$4:$F$100003,dCrit)</f>
        <v>0</v>
      </c>
      <c r="E699" s="12" t="s">
        <v>142</v>
      </c>
      <c r="F699" s="22">
        <f>COUNTIFS('Stop Work Authority'!$K$4:$K$100003,"Medium",'Stop Work Authority'!$D$4:$D$100003,mCrit,'Stop Work Authority'!$F$4:$F$100003,dCrit)</f>
        <v>0</v>
      </c>
      <c r="G699" s="12" t="s">
        <v>1067</v>
      </c>
      <c r="H699" s="22">
        <f>COUNTIFS('Stop Work Authority'!$L$4:$L$100003,"Permanent Fix Applied",'Stop Work Authority'!$D$4:$D$100003,mCrit,'Stop Work Authority'!$F$4:$F$100003,dCrit)</f>
        <v>0</v>
      </c>
      <c r="M699" s="12" t="s">
        <v>1909</v>
      </c>
      <c r="N699" s="22">
        <f>COUNTIFS('Stop Work Authority'!$K$4:$K$100003,"Critical",'Stop Work Authority'!$D$4:$D$100003,mCrit,'Stop Work Authority'!$F$4:$F$100003,dCrit)+COUNTIFS('Stop Work Authority'!$K$4:$K$100003,"High",'Stop Work Authority'!$D$4:$D$100003,mCrit,'Stop Work Authority'!$F$4:$F$100003,dCrit)</f>
        <v>0</v>
      </c>
      <c r="P699" s="12" t="s">
        <v>39</v>
      </c>
      <c r="Q699" s="22">
        <f>COUNTIFS('Stop Work Authority'!$D$4:$D$100003,mCrit,'Stop Work Authority'!$F$4:$F$100003,"Engineering")</f>
        <v>0</v>
      </c>
      <c r="R699" s="22">
        <f>COUNTIFS('Stop Work Authority'!$D$4:$D$100003,mCrit,'Stop Work Authority'!$F$4:$F$100003,"Engineering")</f>
        <v>0</v>
      </c>
      <c r="S699" s="22">
        <f>COUNTIFS('Stop Work Authority'!$D$4:$D$100003,mCrit,'Stop Work Authority'!$F$4:$F$100003,"Engineering")</f>
        <v>0</v>
      </c>
    </row>
    <row r="700" spans="2:34">
      <c r="B700" s="21" t="s">
        <v>53</v>
      </c>
      <c r="C700" s="22">
        <f>COUNTIFS('Stop Work Authority'!$D$4:$D$100003,"Apr",'Stop Work Authority'!$F$4:$F$100003,dCrit)</f>
        <v>0</v>
      </c>
      <c r="E700" s="12" t="s">
        <v>154</v>
      </c>
      <c r="F700" s="22">
        <f>COUNTIFS('Stop Work Authority'!$K$4:$K$100003,"Low",'Stop Work Authority'!$D$4:$D$100003,mCrit,'Stop Work Authority'!$F$4:$F$100003,dCrit)</f>
        <v>0</v>
      </c>
      <c r="M700" s="12" t="s">
        <v>1910</v>
      </c>
      <c r="N700" s="22">
        <f>COUNTIFS('Stop Work Authority'!$M$4:$M$100003,"Yes",'Stop Work Authority'!$D$4:$D$100003,mCrit,'Stop Work Authority'!$F$4:$F$100003,dCrit)</f>
        <v>0</v>
      </c>
      <c r="P700" s="12" t="s">
        <v>89</v>
      </c>
      <c r="Q700" s="22">
        <f>COUNTIFS('Stop Work Authority'!$D$4:$D$100003,mCrit,'Stop Work Authority'!$F$4:$F$100003,"Construction")</f>
        <v>0</v>
      </c>
      <c r="R700" s="22">
        <f>COUNTIFS('Stop Work Authority'!$D$4:$D$100003,mCrit,'Stop Work Authority'!$F$4:$F$100003,"Construction")</f>
        <v>0</v>
      </c>
      <c r="S700" s="22">
        <f>COUNTIFS('Stop Work Authority'!$D$4:$D$100003,mCrit,'Stop Work Authority'!$F$4:$F$100003,"Construction")</f>
        <v>0</v>
      </c>
    </row>
    <row r="701" spans="2:34">
      <c r="B701" s="21" t="s">
        <v>60</v>
      </c>
      <c r="C701" s="22">
        <f>COUNTIFS('Stop Work Authority'!$D$4:$D$100003,"May",'Stop Work Authority'!$F$4:$F$100003,dCrit)</f>
        <v>0</v>
      </c>
      <c r="P701" s="12" t="s">
        <v>65</v>
      </c>
      <c r="Q701" s="22">
        <f>COUNTIFS('Stop Work Authority'!$D$4:$D$100003,mCrit,'Stop Work Authority'!$F$4:$F$100003,"Safety")</f>
        <v>0</v>
      </c>
      <c r="R701" s="22">
        <f>COUNTIFS('Stop Work Authority'!$D$4:$D$100003,mCrit,'Stop Work Authority'!$F$4:$F$100003,"Safety")</f>
        <v>0</v>
      </c>
      <c r="S701" s="22">
        <f>COUNTIFS('Stop Work Authority'!$D$4:$D$100003,mCrit,'Stop Work Authority'!$F$4:$F$100003,"Safety")</f>
        <v>0</v>
      </c>
    </row>
    <row r="702" spans="2:34">
      <c r="B702" s="21" t="s">
        <v>73</v>
      </c>
      <c r="C702" s="22">
        <f>COUNTIFS('Stop Work Authority'!$D$4:$D$100003,"Jun",'Stop Work Authority'!$F$4:$F$100003,dCrit)</f>
        <v>0</v>
      </c>
      <c r="P702" s="12" t="s">
        <v>5</v>
      </c>
      <c r="Q702" s="22">
        <f>COUNTIFS('Stop Work Authority'!$D$4:$D$100003,mCrit,'Stop Work Authority'!$F$4:$F$100003,"Logistics")</f>
        <v>0</v>
      </c>
      <c r="R702" s="22">
        <f>COUNTIFS('Stop Work Authority'!$D$4:$D$100003,mCrit,'Stop Work Authority'!$F$4:$F$100003,"Logistics")</f>
        <v>0</v>
      </c>
      <c r="S702" s="22">
        <f>COUNTIFS('Stop Work Authority'!$D$4:$D$100003,mCrit,'Stop Work Authority'!$F$4:$F$100003,"Logistics")</f>
        <v>0</v>
      </c>
    </row>
    <row r="703" spans="2:34">
      <c r="B703" s="21" t="s">
        <v>76</v>
      </c>
      <c r="C703" s="22">
        <f>COUNTIFS('Stop Work Authority'!$D$4:$D$100003,"Jul",'Stop Work Authority'!$F$4:$F$100003,dCrit)</f>
        <v>0</v>
      </c>
      <c r="P703" s="12" t="s">
        <v>50</v>
      </c>
      <c r="Q703" s="22">
        <f>COUNTIFS('Stop Work Authority'!$D$4:$D$100003,mCrit,'Stop Work Authority'!$F$4:$F$100003,"Quality")</f>
        <v>0</v>
      </c>
      <c r="R703" s="22">
        <f>COUNTIFS('Stop Work Authority'!$D$4:$D$100003,mCrit,'Stop Work Authority'!$F$4:$F$100003,"Quality")</f>
        <v>0</v>
      </c>
      <c r="S703" s="22">
        <f>COUNTIFS('Stop Work Authority'!$D$4:$D$100003,mCrit,'Stop Work Authority'!$F$4:$F$100003,"Quality")</f>
        <v>0</v>
      </c>
    </row>
    <row r="704" spans="2:34">
      <c r="B704" s="21" t="s">
        <v>86</v>
      </c>
      <c r="C704" s="22">
        <f>COUNTIFS('Stop Work Authority'!$D$4:$D$100003,"Aug",'Stop Work Authority'!$F$4:$F$100003,dCrit)</f>
        <v>0</v>
      </c>
      <c r="P704" s="12" t="s">
        <v>46</v>
      </c>
      <c r="Q704" s="22">
        <f>COUNTIFS('Stop Work Authority'!$D$4:$D$100003,mCrit,'Stop Work Authority'!$F$4:$F$100003,"Admin")</f>
        <v>0</v>
      </c>
      <c r="R704" s="22">
        <f>COUNTIFS('Stop Work Authority'!$D$4:$D$100003,mCrit,'Stop Work Authority'!$F$4:$F$100003,"Admin")</f>
        <v>0</v>
      </c>
      <c r="S704" s="22">
        <f>COUNTIFS('Stop Work Authority'!$D$4:$D$100003,mCrit,'Stop Work Authority'!$F$4:$F$100003,"Admin")</f>
        <v>0</v>
      </c>
    </row>
    <row r="705" spans="2:19">
      <c r="B705" s="21" t="s">
        <v>102</v>
      </c>
      <c r="C705" s="22">
        <f>COUNTIFS('Stop Work Authority'!$D$4:$D$100003,"Sep",'Stop Work Authority'!$F$4:$F$100003,dCrit)</f>
        <v>0</v>
      </c>
      <c r="P705" s="12" t="s">
        <v>13</v>
      </c>
      <c r="Q705" s="22">
        <f>COUNTIFS('Stop Work Authority'!$D$4:$D$100003,mCrit,'Stop Work Authority'!$F$4:$F$100003,"Projects")</f>
        <v>0</v>
      </c>
      <c r="R705" s="22">
        <f>COUNTIFS('Stop Work Authority'!$D$4:$D$100003,mCrit,'Stop Work Authority'!$F$4:$F$100003,"Projects")</f>
        <v>0</v>
      </c>
      <c r="S705" s="22">
        <f>COUNTIFS('Stop Work Authority'!$D$4:$D$100003,mCrit,'Stop Work Authority'!$F$4:$F$100003,"Projects")</f>
        <v>0</v>
      </c>
    </row>
    <row r="706" spans="2:19">
      <c r="B706" s="21" t="s">
        <v>106</v>
      </c>
      <c r="C706" s="22">
        <f>COUNTIFS('Stop Work Authority'!$D$4:$D$100003,"Oct",'Stop Work Authority'!$F$4:$F$100003,dCrit)</f>
        <v>0</v>
      </c>
      <c r="P706" s="12" t="s">
        <v>58</v>
      </c>
      <c r="Q706" s="22">
        <f>COUNTIFS('Stop Work Authority'!$D$4:$D$100003,mCrit,'Stop Work Authority'!$F$4:$F$100003,"Contractor")</f>
        <v>0</v>
      </c>
      <c r="R706" s="22">
        <f>COUNTIFS('Stop Work Authority'!$D$4:$D$100003,mCrit,'Stop Work Authority'!$F$4:$F$100003,"Contractor")</f>
        <v>0</v>
      </c>
      <c r="S706" s="22">
        <f>COUNTIFS('Stop Work Authority'!$D$4:$D$100003,mCrit,'Stop Work Authority'!$F$4:$F$100003,"Contractor")</f>
        <v>0</v>
      </c>
    </row>
    <row r="707" spans="2:19">
      <c r="B707" s="21" t="s">
        <v>111</v>
      </c>
      <c r="C707" s="22">
        <f>COUNTIFS('Stop Work Authority'!$D$4:$D$100003,"Nov",'Stop Work Authority'!$F$4:$F$100003,dCrit)</f>
        <v>0</v>
      </c>
    </row>
    <row r="708" spans="2:19">
      <c r="B708" s="21" t="s">
        <v>122</v>
      </c>
      <c r="C708" s="22">
        <f>COUNTIFS('Stop Work Authority'!$D$4:$D$100003,"Dec",'Stop Work Authority'!$F$4:$F$100003,dCrit)</f>
        <v>0</v>
      </c>
    </row>
    <row r="721" spans="2:34">
      <c r="B721" s="16" t="s">
        <v>1911</v>
      </c>
    </row>
    <row r="722" spans="2:34">
      <c r="B722" s="11" t="s">
        <v>127</v>
      </c>
      <c r="C722" s="11" t="s">
        <v>1808</v>
      </c>
      <c r="E722" s="11" t="s">
        <v>1180</v>
      </c>
      <c r="F722" s="11" t="s">
        <v>1808</v>
      </c>
      <c r="G722" s="11" t="s">
        <v>1181</v>
      </c>
      <c r="H722" s="11" t="s">
        <v>1808</v>
      </c>
      <c r="J722" s="11" t="s">
        <v>287</v>
      </c>
      <c r="K722" s="11" t="s">
        <v>1808</v>
      </c>
      <c r="M722" s="11" t="s">
        <v>1752</v>
      </c>
      <c r="N722" s="11" t="s">
        <v>1867</v>
      </c>
      <c r="P722" s="11" t="s">
        <v>129</v>
      </c>
      <c r="Q722" s="11" t="s">
        <v>1808</v>
      </c>
      <c r="R722" s="11" t="s">
        <v>1879</v>
      </c>
      <c r="S722" s="11" t="s">
        <v>1872</v>
      </c>
      <c r="U722" s="11" t="s">
        <v>1873</v>
      </c>
      <c r="V722" s="11" t="s">
        <v>3</v>
      </c>
      <c r="W722" s="11" t="s">
        <v>19</v>
      </c>
      <c r="X722" s="11" t="s">
        <v>44</v>
      </c>
      <c r="Y722" s="11" t="s">
        <v>53</v>
      </c>
      <c r="Z722" s="11" t="s">
        <v>60</v>
      </c>
      <c r="AA722" s="11" t="s">
        <v>73</v>
      </c>
      <c r="AB722" s="11" t="s">
        <v>76</v>
      </c>
      <c r="AC722" s="11" t="s">
        <v>86</v>
      </c>
      <c r="AD722" s="11" t="s">
        <v>102</v>
      </c>
      <c r="AE722" s="11" t="s">
        <v>106</v>
      </c>
      <c r="AF722" s="11" t="s">
        <v>111</v>
      </c>
      <c r="AG722" s="11" t="s">
        <v>122</v>
      </c>
      <c r="AH722" s="11" t="s">
        <v>1874</v>
      </c>
    </row>
    <row r="723" spans="2:34">
      <c r="B723" s="21" t="s">
        <v>3</v>
      </c>
      <c r="C723" s="22">
        <f>COUNTIFS('Alcohol Tests'!$D$4:$D$100003,"Jan",'Alcohol Tests'!$E$4:$E$100003,dCrit)</f>
        <v>0</v>
      </c>
      <c r="E723" s="12" t="s">
        <v>1135</v>
      </c>
      <c r="F723" s="22">
        <f>COUNTIFS('Alcohol Tests'!$G$4:$G$100003,"Pre-Shift",'Alcohol Tests'!$D$4:$D$100003,mCrit,'Alcohol Tests'!$E$4:$E$100003,dCrit)</f>
        <v>0</v>
      </c>
      <c r="G723" s="12" t="s">
        <v>1126</v>
      </c>
      <c r="H723" s="22">
        <f>COUNTIFS('Alcohol Tests'!$H$4:$H$100003,"Negative",'Alcohol Tests'!$D$4:$D$100003,mCrit,'Alcohol Tests'!$E$4:$E$100003,dCrit)</f>
        <v>0</v>
      </c>
      <c r="J723" s="12" t="s">
        <v>254</v>
      </c>
      <c r="K723" s="22">
        <f>COUNTIFS('Alcohol Tests'!$J$4:$J$100003,"In Progress",'Alcohol Tests'!$D$4:$D$100003,mCrit,'Alcohol Tests'!$E$4:$E$100003,dCrit)</f>
        <v>0</v>
      </c>
      <c r="M723" s="12" t="s">
        <v>1868</v>
      </c>
      <c r="N723" s="22">
        <f>COUNTIFS('Alcohol Tests'!$D$4:$D$100003,mCrit,'Alcohol Tests'!$E$4:$E$100003,dCrit)</f>
        <v>0</v>
      </c>
      <c r="P723" s="12" t="s">
        <v>27</v>
      </c>
      <c r="Q723" s="22">
        <f>COUNTIFS('Alcohol Tests'!$D$4:$D$100003,mCrit,'Alcohol Tests'!$E$4:$E$100003,"Operations")</f>
        <v>0</v>
      </c>
      <c r="R723" s="23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723" s="22">
        <f>COUNTIFS('Alcohol Tests'!$D$4:$D$100003,mCrit,'Alcohol Tests'!$E$4:$E$100003,"Operations")</f>
        <v>0</v>
      </c>
      <c r="U723" s="12" t="s">
        <v>1872</v>
      </c>
      <c r="V723" s="22">
        <f>COUNTIFS('Alcohol Tests'!$D$4:$D$100003,"Jan",'Alcohol Tests'!$E$4:$E$100003,dCrit)</f>
        <v>0</v>
      </c>
      <c r="W723" s="22">
        <f>COUNTIFS('Alcohol Tests'!$D$4:$D$100003,"Feb",'Alcohol Tests'!$E$4:$E$100003,dCrit)</f>
        <v>0</v>
      </c>
      <c r="X723" s="22">
        <f>COUNTIFS('Alcohol Tests'!$D$4:$D$100003,"Mar",'Alcohol Tests'!$E$4:$E$100003,dCrit)</f>
        <v>0</v>
      </c>
      <c r="Y723" s="22">
        <f>COUNTIFS('Alcohol Tests'!$D$4:$D$100003,"Apr",'Alcohol Tests'!$E$4:$E$100003,dCrit)</f>
        <v>0</v>
      </c>
      <c r="Z723" s="22">
        <f>COUNTIFS('Alcohol Tests'!$D$4:$D$100003,"May",'Alcohol Tests'!$E$4:$E$100003,dCrit)</f>
        <v>0</v>
      </c>
      <c r="AA723" s="22">
        <f>COUNTIFS('Alcohol Tests'!$D$4:$D$100003,"Jun",'Alcohol Tests'!$E$4:$E$100003,dCrit)</f>
        <v>0</v>
      </c>
      <c r="AB723" s="22">
        <f>COUNTIFS('Alcohol Tests'!$D$4:$D$100003,"Jul",'Alcohol Tests'!$E$4:$E$100003,dCrit)</f>
        <v>0</v>
      </c>
      <c r="AC723" s="22">
        <f>COUNTIFS('Alcohol Tests'!$D$4:$D$100003,"Aug",'Alcohol Tests'!$E$4:$E$100003,dCrit)</f>
        <v>0</v>
      </c>
      <c r="AD723" s="22">
        <f>COUNTIFS('Alcohol Tests'!$D$4:$D$100003,"Sep",'Alcohol Tests'!$E$4:$E$100003,dCrit)</f>
        <v>0</v>
      </c>
      <c r="AE723" s="22">
        <f>COUNTIFS('Alcohol Tests'!$D$4:$D$100003,"Oct",'Alcohol Tests'!$E$4:$E$100003,dCrit)</f>
        <v>0</v>
      </c>
      <c r="AF723" s="22">
        <f>COUNTIFS('Alcohol Tests'!$D$4:$D$100003,"Nov",'Alcohol Tests'!$E$4:$E$100003,dCrit)</f>
        <v>0</v>
      </c>
      <c r="AG723" s="22">
        <f>COUNTIFS('Alcohol Tests'!$D$4:$D$100003,"Dec",'Alcohol Tests'!$E$4:$E$100003,dCrit)</f>
        <v>0</v>
      </c>
      <c r="AH723" s="22">
        <f>SUM(V723:AG723)</f>
        <v>0</v>
      </c>
    </row>
    <row r="724" spans="2:34">
      <c r="B724" s="21" t="s">
        <v>19</v>
      </c>
      <c r="C724" s="22">
        <f>COUNTIFS('Alcohol Tests'!$D$4:$D$100003,"Feb",'Alcohol Tests'!$E$4:$E$100003,dCrit)</f>
        <v>0</v>
      </c>
      <c r="E724" s="12" t="s">
        <v>1130</v>
      </c>
      <c r="F724" s="22">
        <f>COUNTIFS('Alcohol Tests'!$G$4:$G$100003,"Random",'Alcohol Tests'!$D$4:$D$100003,mCrit,'Alcohol Tests'!$E$4:$E$100003,dCrit)</f>
        <v>0</v>
      </c>
      <c r="G724" s="12" t="s">
        <v>1128</v>
      </c>
      <c r="H724" s="22">
        <f>COUNTIFS('Alcohol Tests'!$H$4:$H$100003,"Positive",'Alcohol Tests'!$D$4:$D$100003,mCrit,'Alcohol Tests'!$E$4:$E$100003,dCrit)</f>
        <v>0</v>
      </c>
      <c r="J724" s="12" t="s">
        <v>293</v>
      </c>
      <c r="K724" s="22">
        <f>COUNTIFS('Alcohol Tests'!$J$4:$J$100003,"Closed",'Alcohol Tests'!$D$4:$D$100003,mCrit,'Alcohol Tests'!$E$4:$E$100003,dCrit)</f>
        <v>0</v>
      </c>
      <c r="M724" s="12" t="s">
        <v>1876</v>
      </c>
      <c r="N724" s="23">
        <f>IFERROR((COUNTIFS('Alcohol Tests'!$J$4:$J$100003,"Closed",'Alcohol Tests'!$D$4:$D$100003,mCrit,'Alcohol Tests'!$E$4:$E$100003,dCrit))/COUNTIFS('Alcohol Tests'!$D$4:$D$100003,mCrit,'Alcohol Tests'!$E$4:$E$100003,dCrit)*100,0)</f>
        <v>0</v>
      </c>
      <c r="P724" s="12" t="s">
        <v>92</v>
      </c>
      <c r="Q724" s="22">
        <f>COUNTIFS('Alcohol Tests'!$D$4:$D$100003,mCrit,'Alcohol Tests'!$E$4:$E$100003,"Maintenance")</f>
        <v>0</v>
      </c>
      <c r="R724" s="23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724" s="22">
        <f>COUNTIFS('Alcohol Tests'!$D$4:$D$100003,mCrit,'Alcohol Tests'!$E$4:$E$100003,"Maintenance")</f>
        <v>0</v>
      </c>
      <c r="U724" s="12" t="s">
        <v>1880</v>
      </c>
      <c r="V724" s="23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724" s="23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724" s="23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724" s="23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724" s="23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724" s="23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724" s="23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724" s="23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724" s="23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724" s="23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724" s="23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724" s="23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724" s="23">
        <f>IFERROR(AVERAGE(V724:AG724),0)</f>
        <v>0</v>
      </c>
    </row>
    <row r="725" spans="2:34">
      <c r="B725" s="21" t="s">
        <v>44</v>
      </c>
      <c r="C725" s="22">
        <f>COUNTIFS('Alcohol Tests'!$D$4:$D$100003,"Mar",'Alcohol Tests'!$E$4:$E$100003,dCrit)</f>
        <v>0</v>
      </c>
      <c r="E725" s="12" t="s">
        <v>1133</v>
      </c>
      <c r="F725" s="22">
        <f>COUNTIFS('Alcohol Tests'!$G$4:$G$100003,"Post-Incident",'Alcohol Tests'!$D$4:$D$100003,mCrit,'Alcohol Tests'!$E$4:$E$100003,dCrit)</f>
        <v>0</v>
      </c>
      <c r="J725" s="12" t="s">
        <v>297</v>
      </c>
      <c r="K725" s="22">
        <f>COUNTIFS('Alcohol Tests'!$J$4:$J$100003,"Open",'Alcohol Tests'!$D$4:$D$100003,mCrit,'Alcohol Tests'!$E$4:$E$100003,dCrit)</f>
        <v>0</v>
      </c>
      <c r="M725" s="12" t="s">
        <v>1877</v>
      </c>
      <c r="N725" s="22">
        <f>COUNTIFS('Alcohol Tests'!$J$4:$J$100003,"Open",'Alcohol Tests'!$D$4:$D$100003,mCrit,'Alcohol Tests'!$E$4:$E$100003,dCrit)+COUNTIFS('Alcohol Tests'!$J$4:$J$100003,"In Progress",'Alcohol Tests'!$D$4:$D$100003,mCrit,'Alcohol Tests'!$E$4:$E$100003,dCrit)+COUNTIFS('Alcohol Tests'!$J$4:$J$100003,"Overdue",'Alcohol Tests'!$D$4:$D$100003,mCrit,'Alcohol Tests'!$E$4:$E$100003,dCrit)</f>
        <v>0</v>
      </c>
      <c r="P725" s="12" t="s">
        <v>39</v>
      </c>
      <c r="Q725" s="22">
        <f>COUNTIFS('Alcohol Tests'!$D$4:$D$100003,mCrit,'Alcohol Tests'!$E$4:$E$100003,"Engineering")</f>
        <v>0</v>
      </c>
      <c r="R725" s="23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725" s="22">
        <f>COUNTIFS('Alcohol Tests'!$D$4:$D$100003,mCrit,'Alcohol Tests'!$E$4:$E$100003,"Engineering")</f>
        <v>0</v>
      </c>
    </row>
    <row r="726" spans="2:34">
      <c r="B726" s="21" t="s">
        <v>53</v>
      </c>
      <c r="C726" s="22">
        <f>COUNTIFS('Alcohol Tests'!$D$4:$D$100003,"Apr",'Alcohol Tests'!$E$4:$E$100003,dCrit)</f>
        <v>0</v>
      </c>
      <c r="E726" s="12" t="s">
        <v>1125</v>
      </c>
      <c r="F726" s="22">
        <f>COUNTIFS('Alcohol Tests'!$G$4:$G$100003,"Reasonable Suspicion",'Alcohol Tests'!$D$4:$D$100003,mCrit,'Alcohol Tests'!$E$4:$E$100003,dCrit)</f>
        <v>0</v>
      </c>
      <c r="J726" s="12" t="s">
        <v>238</v>
      </c>
      <c r="K726" s="22">
        <f>COUNTIFS('Alcohol Tests'!$J$4:$J$100003,"Overdue",'Alcohol Tests'!$D$4:$D$100003,mCrit,'Alcohol Tests'!$E$4:$E$100003,dCrit)</f>
        <v>0</v>
      </c>
      <c r="M726" s="12" t="s">
        <v>238</v>
      </c>
      <c r="N726" s="22">
        <f>COUNTIFS('Alcohol Tests'!$J$4:$J$100003,"Overdue",'Alcohol Tests'!$D$4:$D$100003,mCrit,'Alcohol Tests'!$E$4:$E$100003,dCrit)</f>
        <v>0</v>
      </c>
      <c r="P726" s="12" t="s">
        <v>89</v>
      </c>
      <c r="Q726" s="22">
        <f>COUNTIFS('Alcohol Tests'!$D$4:$D$100003,mCrit,'Alcohol Tests'!$E$4:$E$100003,"Construction")</f>
        <v>0</v>
      </c>
      <c r="R726" s="23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726" s="22">
        <f>COUNTIFS('Alcohol Tests'!$D$4:$D$100003,mCrit,'Alcohol Tests'!$E$4:$E$100003,"Construction")</f>
        <v>0</v>
      </c>
    </row>
    <row r="727" spans="2:34">
      <c r="B727" s="21" t="s">
        <v>60</v>
      </c>
      <c r="C727" s="22">
        <f>COUNTIFS('Alcohol Tests'!$D$4:$D$100003,"May",'Alcohol Tests'!$E$4:$E$100003,dCrit)</f>
        <v>0</v>
      </c>
      <c r="M727" s="12" t="s">
        <v>1912</v>
      </c>
      <c r="N727" s="22">
        <f>COUNTIFS('Alcohol Tests'!$H$4:$H$100003,"Positive",'Alcohol Tests'!$D$4:$D$100003,mCrit,'Alcohol Tests'!$E$4:$E$100003,dCrit)</f>
        <v>0</v>
      </c>
      <c r="P727" s="12" t="s">
        <v>65</v>
      </c>
      <c r="Q727" s="22">
        <f>COUNTIFS('Alcohol Tests'!$D$4:$D$100003,mCrit,'Alcohol Tests'!$E$4:$E$100003,"Safety")</f>
        <v>0</v>
      </c>
      <c r="R727" s="23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727" s="22">
        <f>COUNTIFS('Alcohol Tests'!$D$4:$D$100003,mCrit,'Alcohol Tests'!$E$4:$E$100003,"Safety")</f>
        <v>0</v>
      </c>
    </row>
    <row r="728" spans="2:34">
      <c r="B728" s="21" t="s">
        <v>73</v>
      </c>
      <c r="C728" s="22">
        <f>COUNTIFS('Alcohol Tests'!$D$4:$D$100003,"Jun",'Alcohol Tests'!$E$4:$E$100003,dCrit)</f>
        <v>0</v>
      </c>
      <c r="P728" s="12" t="s">
        <v>5</v>
      </c>
      <c r="Q728" s="22">
        <f>COUNTIFS('Alcohol Tests'!$D$4:$D$100003,mCrit,'Alcohol Tests'!$E$4:$E$100003,"Logistics")</f>
        <v>0</v>
      </c>
      <c r="R728" s="23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728" s="22">
        <f>COUNTIFS('Alcohol Tests'!$D$4:$D$100003,mCrit,'Alcohol Tests'!$E$4:$E$100003,"Logistics")</f>
        <v>0</v>
      </c>
    </row>
    <row r="729" spans="2:34">
      <c r="B729" s="21" t="s">
        <v>76</v>
      </c>
      <c r="C729" s="22">
        <f>COUNTIFS('Alcohol Tests'!$D$4:$D$100003,"Jul",'Alcohol Tests'!$E$4:$E$100003,dCrit)</f>
        <v>0</v>
      </c>
      <c r="P729" s="12" t="s">
        <v>50</v>
      </c>
      <c r="Q729" s="22">
        <f>COUNTIFS('Alcohol Tests'!$D$4:$D$100003,mCrit,'Alcohol Tests'!$E$4:$E$100003,"Quality")</f>
        <v>0</v>
      </c>
      <c r="R729" s="23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729" s="22">
        <f>COUNTIFS('Alcohol Tests'!$D$4:$D$100003,mCrit,'Alcohol Tests'!$E$4:$E$100003,"Quality")</f>
        <v>0</v>
      </c>
    </row>
    <row r="730" spans="2:34">
      <c r="B730" s="21" t="s">
        <v>86</v>
      </c>
      <c r="C730" s="22">
        <f>COUNTIFS('Alcohol Tests'!$D$4:$D$100003,"Aug",'Alcohol Tests'!$E$4:$E$100003,dCrit)</f>
        <v>0</v>
      </c>
      <c r="P730" s="12" t="s">
        <v>46</v>
      </c>
      <c r="Q730" s="22">
        <f>COUNTIFS('Alcohol Tests'!$D$4:$D$100003,mCrit,'Alcohol Tests'!$E$4:$E$100003,"Admin")</f>
        <v>0</v>
      </c>
      <c r="R730" s="23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730" s="22">
        <f>COUNTIFS('Alcohol Tests'!$D$4:$D$100003,mCrit,'Alcohol Tests'!$E$4:$E$100003,"Admin")</f>
        <v>0</v>
      </c>
    </row>
    <row r="731" spans="2:34">
      <c r="B731" s="21" t="s">
        <v>102</v>
      </c>
      <c r="C731" s="22">
        <f>COUNTIFS('Alcohol Tests'!$D$4:$D$100003,"Sep",'Alcohol Tests'!$E$4:$E$100003,dCrit)</f>
        <v>0</v>
      </c>
      <c r="P731" s="12" t="s">
        <v>13</v>
      </c>
      <c r="Q731" s="22">
        <f>COUNTIFS('Alcohol Tests'!$D$4:$D$100003,mCrit,'Alcohol Tests'!$E$4:$E$100003,"Projects")</f>
        <v>0</v>
      </c>
      <c r="R731" s="23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731" s="22">
        <f>COUNTIFS('Alcohol Tests'!$D$4:$D$100003,mCrit,'Alcohol Tests'!$E$4:$E$100003,"Projects")</f>
        <v>0</v>
      </c>
    </row>
    <row r="732" spans="2:34">
      <c r="B732" s="21" t="s">
        <v>106</v>
      </c>
      <c r="C732" s="22">
        <f>COUNTIFS('Alcohol Tests'!$D$4:$D$100003,"Oct",'Alcohol Tests'!$E$4:$E$100003,dCrit)</f>
        <v>0</v>
      </c>
      <c r="P732" s="12" t="s">
        <v>58</v>
      </c>
      <c r="Q732" s="22">
        <f>COUNTIFS('Alcohol Tests'!$D$4:$D$100003,mCrit,'Alcohol Tests'!$E$4:$E$100003,"Contractor")</f>
        <v>0</v>
      </c>
      <c r="R732" s="23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732" s="22">
        <f>COUNTIFS('Alcohol Tests'!$D$4:$D$100003,mCrit,'Alcohol Tests'!$E$4:$E$100003,"Contractor")</f>
        <v>0</v>
      </c>
    </row>
    <row r="733" spans="2:34">
      <c r="B733" s="21" t="s">
        <v>111</v>
      </c>
      <c r="C733" s="22">
        <f>COUNTIFS('Alcohol Tests'!$D$4:$D$100003,"Nov",'Alcohol Tests'!$E$4:$E$100003,dCrit)</f>
        <v>0</v>
      </c>
    </row>
    <row r="734" spans="2:34">
      <c r="B734" s="21" t="s">
        <v>122</v>
      </c>
      <c r="C734" s="22">
        <f>COUNTIFS('Alcohol Tests'!$D$4:$D$100003,"Dec",'Alcohol Tests'!$E$4:$E$100003,dCrit)</f>
        <v>0</v>
      </c>
    </row>
    <row r="747" spans="2:34">
      <c r="B747" s="16" t="s">
        <v>1913</v>
      </c>
    </row>
    <row r="748" spans="2:34">
      <c r="B748" s="11" t="s">
        <v>127</v>
      </c>
      <c r="C748" s="11" t="s">
        <v>1808</v>
      </c>
      <c r="E748" s="11" t="s">
        <v>1237</v>
      </c>
      <c r="F748" s="11" t="s">
        <v>1808</v>
      </c>
      <c r="J748" s="11" t="s">
        <v>1243</v>
      </c>
      <c r="K748" s="11" t="s">
        <v>1808</v>
      </c>
      <c r="M748" s="11" t="s">
        <v>1752</v>
      </c>
      <c r="N748" s="11" t="s">
        <v>1867</v>
      </c>
      <c r="P748" s="11" t="s">
        <v>129</v>
      </c>
      <c r="Q748" s="11" t="s">
        <v>1808</v>
      </c>
      <c r="R748" s="11" t="s">
        <v>1879</v>
      </c>
      <c r="S748" s="11" t="s">
        <v>1853</v>
      </c>
      <c r="U748" s="11" t="s">
        <v>1873</v>
      </c>
      <c r="V748" s="11" t="s">
        <v>3</v>
      </c>
      <c r="W748" s="11" t="s">
        <v>19</v>
      </c>
      <c r="X748" s="11" t="s">
        <v>44</v>
      </c>
      <c r="Y748" s="11" t="s">
        <v>53</v>
      </c>
      <c r="Z748" s="11" t="s">
        <v>60</v>
      </c>
      <c r="AA748" s="11" t="s">
        <v>73</v>
      </c>
      <c r="AB748" s="11" t="s">
        <v>76</v>
      </c>
      <c r="AC748" s="11" t="s">
        <v>86</v>
      </c>
      <c r="AD748" s="11" t="s">
        <v>102</v>
      </c>
      <c r="AE748" s="11" t="s">
        <v>106</v>
      </c>
      <c r="AF748" s="11" t="s">
        <v>111</v>
      </c>
      <c r="AG748" s="11" t="s">
        <v>122</v>
      </c>
      <c r="AH748" s="11" t="s">
        <v>1874</v>
      </c>
    </row>
    <row r="749" spans="2:34">
      <c r="B749" s="21" t="s">
        <v>3</v>
      </c>
      <c r="C749" s="22">
        <f>COUNTIFS('PTW Audits'!$D$4:$D$100003,"Jan",'PTW Audits'!$F$4:$F$100003,dCrit)</f>
        <v>0</v>
      </c>
      <c r="E749" s="12" t="s">
        <v>30</v>
      </c>
      <c r="F749" s="22">
        <f>COUNTIFS('PTW Audits'!$E$4:$E$100003,"Hot Work",'PTW Audits'!$D$4:$D$100003,mCrit,'PTW Audits'!$F$4:$F$100003,dCrit)</f>
        <v>0</v>
      </c>
      <c r="J749" s="12" t="s">
        <v>165</v>
      </c>
      <c r="K749" s="22">
        <f>COUNTIFS('PTW Audits'!$M$4:$M$100003,"Compliant",'PTW Audits'!$D$4:$D$100003,mCrit,'PTW Audits'!$F$4:$F$100003,dCrit)</f>
        <v>0</v>
      </c>
      <c r="M749" s="12" t="s">
        <v>1868</v>
      </c>
      <c r="N749" s="22">
        <f>COUNTIFS('PTW Audits'!$D$4:$D$100003,mCrit,'PTW Audits'!$F$4:$F$100003,dCrit)</f>
        <v>0</v>
      </c>
      <c r="P749" s="12" t="s">
        <v>27</v>
      </c>
      <c r="Q749" s="22">
        <f>COUNTIFS('PTW Audits'!$D$4:$D$100003,mCrit,'PTW Audits'!$F$4:$F$100003,"Operations")</f>
        <v>0</v>
      </c>
      <c r="R749" s="23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749" s="23">
        <f>IFERROR(AVERAGEIFS('PTW Audits'!$L$4:$L$100003,'PTW Audits'!$D$4:$D$100003,mCrit,'PTW Audits'!$F$4:$F$100003,"Operations"),0)</f>
        <v>0</v>
      </c>
      <c r="U749" s="12" t="s">
        <v>1872</v>
      </c>
      <c r="V749" s="22">
        <f>COUNTIFS('PTW Audits'!$D$4:$D$100003,"Jan",'PTW Audits'!$F$4:$F$100003,dCrit)</f>
        <v>0</v>
      </c>
      <c r="W749" s="22">
        <f>COUNTIFS('PTW Audits'!$D$4:$D$100003,"Feb",'PTW Audits'!$F$4:$F$100003,dCrit)</f>
        <v>0</v>
      </c>
      <c r="X749" s="22">
        <f>COUNTIFS('PTW Audits'!$D$4:$D$100003,"Mar",'PTW Audits'!$F$4:$F$100003,dCrit)</f>
        <v>0</v>
      </c>
      <c r="Y749" s="22">
        <f>COUNTIFS('PTW Audits'!$D$4:$D$100003,"Apr",'PTW Audits'!$F$4:$F$100003,dCrit)</f>
        <v>0</v>
      </c>
      <c r="Z749" s="22">
        <f>COUNTIFS('PTW Audits'!$D$4:$D$100003,"May",'PTW Audits'!$F$4:$F$100003,dCrit)</f>
        <v>0</v>
      </c>
      <c r="AA749" s="22">
        <f>COUNTIFS('PTW Audits'!$D$4:$D$100003,"Jun",'PTW Audits'!$F$4:$F$100003,dCrit)</f>
        <v>0</v>
      </c>
      <c r="AB749" s="22">
        <f>COUNTIFS('PTW Audits'!$D$4:$D$100003,"Jul",'PTW Audits'!$F$4:$F$100003,dCrit)</f>
        <v>0</v>
      </c>
      <c r="AC749" s="22">
        <f>COUNTIFS('PTW Audits'!$D$4:$D$100003,"Aug",'PTW Audits'!$F$4:$F$100003,dCrit)</f>
        <v>0</v>
      </c>
      <c r="AD749" s="22">
        <f>COUNTIFS('PTW Audits'!$D$4:$D$100003,"Sep",'PTW Audits'!$F$4:$F$100003,dCrit)</f>
        <v>0</v>
      </c>
      <c r="AE749" s="22">
        <f>COUNTIFS('PTW Audits'!$D$4:$D$100003,"Oct",'PTW Audits'!$F$4:$F$100003,dCrit)</f>
        <v>0</v>
      </c>
      <c r="AF749" s="22">
        <f>COUNTIFS('PTW Audits'!$D$4:$D$100003,"Nov",'PTW Audits'!$F$4:$F$100003,dCrit)</f>
        <v>0</v>
      </c>
      <c r="AG749" s="22">
        <f>COUNTIFS('PTW Audits'!$D$4:$D$100003,"Dec",'PTW Audits'!$F$4:$F$100003,dCrit)</f>
        <v>0</v>
      </c>
      <c r="AH749" s="22">
        <f>SUM(V749:AG749)</f>
        <v>0</v>
      </c>
    </row>
    <row r="750" spans="2:34">
      <c r="B750" s="21" t="s">
        <v>19</v>
      </c>
      <c r="C750" s="22">
        <f>COUNTIFS('PTW Audits'!$D$4:$D$100003,"Feb",'PTW Audits'!$F$4:$F$100003,dCrit)</f>
        <v>0</v>
      </c>
      <c r="E750" s="12" t="s">
        <v>61</v>
      </c>
      <c r="F750" s="22">
        <f>COUNTIFS('PTW Audits'!$E$4:$E$100003,"Confined Space",'PTW Audits'!$D$4:$D$100003,mCrit,'PTW Audits'!$F$4:$F$100003,dCrit)</f>
        <v>0</v>
      </c>
      <c r="J750" s="12" t="s">
        <v>145</v>
      </c>
      <c r="K750" s="22">
        <f>COUNTIFS('PTW Audits'!$M$4:$M$100003,"Non-Compliant",'PTW Audits'!$D$4:$D$100003,mCrit,'PTW Audits'!$F$4:$F$100003,dCrit)</f>
        <v>0</v>
      </c>
      <c r="M750" s="12" t="s">
        <v>1876</v>
      </c>
      <c r="N750" s="23">
        <f>IFERROR((COUNTIFS('PTW Audits'!$M$4:$M$100003,"Compliant",'PTW Audits'!$D$4:$D$100003,mCrit,'PTW Audits'!$F$4:$F$100003,dCrit))/COUNTIFS('PTW Audits'!$D$4:$D$100003,mCrit,'PTW Audits'!$F$4:$F$100003,dCrit)*100,0)</f>
        <v>0</v>
      </c>
      <c r="P750" s="12" t="s">
        <v>92</v>
      </c>
      <c r="Q750" s="22">
        <f>COUNTIFS('PTW Audits'!$D$4:$D$100003,mCrit,'PTW Audits'!$F$4:$F$100003,"Maintenance")</f>
        <v>0</v>
      </c>
      <c r="R750" s="23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750" s="23">
        <f>IFERROR(AVERAGEIFS('PTW Audits'!$L$4:$L$100003,'PTW Audits'!$D$4:$D$100003,mCrit,'PTW Audits'!$F$4:$F$100003,"Maintenance"),0)</f>
        <v>0</v>
      </c>
      <c r="U750" s="12" t="s">
        <v>1880</v>
      </c>
      <c r="V750" s="23">
        <f>IFERROR((COUNTIFS('PTW Audits'!$M$4:$M$100003,"Compliant",'PTW Audits'!$D$4:$D$100003,"Jan",'PTW Audits'!$F$4:$F$100003,dCrit))/COUNTIFS('PTW Audits'!$D$4:$D$100003,"Jan",'PTW Audits'!$F$4:$F$100003,dCrit)*100,0)</f>
        <v>0</v>
      </c>
      <c r="W750" s="23">
        <f>IFERROR((COUNTIFS('PTW Audits'!$M$4:$M$100003,"Compliant",'PTW Audits'!$D$4:$D$100003,"Feb",'PTW Audits'!$F$4:$F$100003,dCrit))/COUNTIFS('PTW Audits'!$D$4:$D$100003,"Feb",'PTW Audits'!$F$4:$F$100003,dCrit)*100,0)</f>
        <v>0</v>
      </c>
      <c r="X750" s="23">
        <f>IFERROR((COUNTIFS('PTW Audits'!$M$4:$M$100003,"Compliant",'PTW Audits'!$D$4:$D$100003,"Mar",'PTW Audits'!$F$4:$F$100003,dCrit))/COUNTIFS('PTW Audits'!$D$4:$D$100003,"Mar",'PTW Audits'!$F$4:$F$100003,dCrit)*100,0)</f>
        <v>0</v>
      </c>
      <c r="Y750" s="23">
        <f>IFERROR((COUNTIFS('PTW Audits'!$M$4:$M$100003,"Compliant",'PTW Audits'!$D$4:$D$100003,"Apr",'PTW Audits'!$F$4:$F$100003,dCrit))/COUNTIFS('PTW Audits'!$D$4:$D$100003,"Apr",'PTW Audits'!$F$4:$F$100003,dCrit)*100,0)</f>
        <v>0</v>
      </c>
      <c r="Z750" s="23">
        <f>IFERROR((COUNTIFS('PTW Audits'!$M$4:$M$100003,"Compliant",'PTW Audits'!$D$4:$D$100003,"May",'PTW Audits'!$F$4:$F$100003,dCrit))/COUNTIFS('PTW Audits'!$D$4:$D$100003,"May",'PTW Audits'!$F$4:$F$100003,dCrit)*100,0)</f>
        <v>0</v>
      </c>
      <c r="AA750" s="23">
        <f>IFERROR((COUNTIFS('PTW Audits'!$M$4:$M$100003,"Compliant",'PTW Audits'!$D$4:$D$100003,"Jun",'PTW Audits'!$F$4:$F$100003,dCrit))/COUNTIFS('PTW Audits'!$D$4:$D$100003,"Jun",'PTW Audits'!$F$4:$F$100003,dCrit)*100,0)</f>
        <v>0</v>
      </c>
      <c r="AB750" s="23">
        <f>IFERROR((COUNTIFS('PTW Audits'!$M$4:$M$100003,"Compliant",'PTW Audits'!$D$4:$D$100003,"Jul",'PTW Audits'!$F$4:$F$100003,dCrit))/COUNTIFS('PTW Audits'!$D$4:$D$100003,"Jul",'PTW Audits'!$F$4:$F$100003,dCrit)*100,0)</f>
        <v>0</v>
      </c>
      <c r="AC750" s="23">
        <f>IFERROR((COUNTIFS('PTW Audits'!$M$4:$M$100003,"Compliant",'PTW Audits'!$D$4:$D$100003,"Aug",'PTW Audits'!$F$4:$F$100003,dCrit))/COUNTIFS('PTW Audits'!$D$4:$D$100003,"Aug",'PTW Audits'!$F$4:$F$100003,dCrit)*100,0)</f>
        <v>0</v>
      </c>
      <c r="AD750" s="23">
        <f>IFERROR((COUNTIFS('PTW Audits'!$M$4:$M$100003,"Compliant",'PTW Audits'!$D$4:$D$100003,"Sep",'PTW Audits'!$F$4:$F$100003,dCrit))/COUNTIFS('PTW Audits'!$D$4:$D$100003,"Sep",'PTW Audits'!$F$4:$F$100003,dCrit)*100,0)</f>
        <v>0</v>
      </c>
      <c r="AE750" s="23">
        <f>IFERROR((COUNTIFS('PTW Audits'!$M$4:$M$100003,"Compliant",'PTW Audits'!$D$4:$D$100003,"Oct",'PTW Audits'!$F$4:$F$100003,dCrit))/COUNTIFS('PTW Audits'!$D$4:$D$100003,"Oct",'PTW Audits'!$F$4:$F$100003,dCrit)*100,0)</f>
        <v>0</v>
      </c>
      <c r="AF750" s="23">
        <f>IFERROR((COUNTIFS('PTW Audits'!$M$4:$M$100003,"Compliant",'PTW Audits'!$D$4:$D$100003,"Nov",'PTW Audits'!$F$4:$F$100003,dCrit))/COUNTIFS('PTW Audits'!$D$4:$D$100003,"Nov",'PTW Audits'!$F$4:$F$100003,dCrit)*100,0)</f>
        <v>0</v>
      </c>
      <c r="AG750" s="23">
        <f>IFERROR((COUNTIFS('PTW Audits'!$M$4:$M$100003,"Compliant",'PTW Audits'!$D$4:$D$100003,"Dec",'PTW Audits'!$F$4:$F$100003,dCrit))/COUNTIFS('PTW Audits'!$D$4:$D$100003,"Dec",'PTW Audits'!$F$4:$F$100003,dCrit)*100,0)</f>
        <v>0</v>
      </c>
      <c r="AH750" s="23">
        <f>IFERROR(AVERAGE(V750:AG750),0)</f>
        <v>0</v>
      </c>
    </row>
    <row r="751" spans="2:34">
      <c r="B751" s="21" t="s">
        <v>44</v>
      </c>
      <c r="C751" s="22">
        <f>COUNTIFS('PTW Audits'!$D$4:$D$100003,"Mar",'PTW Audits'!$F$4:$F$100003,dCrit)</f>
        <v>0</v>
      </c>
      <c r="E751" s="12" t="s">
        <v>1196</v>
      </c>
      <c r="F751" s="22">
        <f>COUNTIFS('PTW Audits'!$E$4:$E$100003,"Working at Height",'PTW Audits'!$D$4:$D$100003,mCrit,'PTW Audits'!$F$4:$F$100003,dCrit)</f>
        <v>0</v>
      </c>
      <c r="J751" s="12" t="s">
        <v>148</v>
      </c>
      <c r="K751" s="22">
        <f>COUNTIFS('PTW Audits'!$M$4:$M$100003,"Partially Compliant",'PTW Audits'!$D$4:$D$100003,mCrit,'PTW Audits'!$F$4:$F$100003,dCrit)</f>
        <v>0</v>
      </c>
      <c r="M751" s="12" t="s">
        <v>1853</v>
      </c>
      <c r="N751" s="23">
        <f>IFERROR(AVERAGEIFS('PTW Audits'!$L$4:$L$100003,'PTW Audits'!$D$4:$D$100003,mCrit,'PTW Audits'!$F$4:$F$100003,dCrit),0)</f>
        <v>0</v>
      </c>
      <c r="P751" s="12" t="s">
        <v>39</v>
      </c>
      <c r="Q751" s="22">
        <f>COUNTIFS('PTW Audits'!$D$4:$D$100003,mCrit,'PTW Audits'!$F$4:$F$100003,"Engineering")</f>
        <v>0</v>
      </c>
      <c r="R751" s="23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751" s="23">
        <f>IFERROR(AVERAGEIFS('PTW Audits'!$L$4:$L$100003,'PTW Audits'!$D$4:$D$100003,mCrit,'PTW Audits'!$F$4:$F$100003,"Engineering"),0)</f>
        <v>0</v>
      </c>
      <c r="U751" s="12" t="s">
        <v>1853</v>
      </c>
      <c r="V751" s="23">
        <f>IFERROR(AVERAGEIFS('PTW Audits'!$L$4:$L$100003,'PTW Audits'!$D$4:$D$100003,"Jan",'PTW Audits'!$F$4:$F$100003,dCrit),0)</f>
        <v>0</v>
      </c>
      <c r="W751" s="23">
        <f>IFERROR(AVERAGEIFS('PTW Audits'!$L$4:$L$100003,'PTW Audits'!$D$4:$D$100003,"Feb",'PTW Audits'!$F$4:$F$100003,dCrit),0)</f>
        <v>0</v>
      </c>
      <c r="X751" s="23">
        <f>IFERROR(AVERAGEIFS('PTW Audits'!$L$4:$L$100003,'PTW Audits'!$D$4:$D$100003,"Mar",'PTW Audits'!$F$4:$F$100003,dCrit),0)</f>
        <v>0</v>
      </c>
      <c r="Y751" s="23">
        <f>IFERROR(AVERAGEIFS('PTW Audits'!$L$4:$L$100003,'PTW Audits'!$D$4:$D$100003,"Apr",'PTW Audits'!$F$4:$F$100003,dCrit),0)</f>
        <v>0</v>
      </c>
      <c r="Z751" s="23">
        <f>IFERROR(AVERAGEIFS('PTW Audits'!$L$4:$L$100003,'PTW Audits'!$D$4:$D$100003,"May",'PTW Audits'!$F$4:$F$100003,dCrit),0)</f>
        <v>0</v>
      </c>
      <c r="AA751" s="23">
        <f>IFERROR(AVERAGEIFS('PTW Audits'!$L$4:$L$100003,'PTW Audits'!$D$4:$D$100003,"Jun",'PTW Audits'!$F$4:$F$100003,dCrit),0)</f>
        <v>0</v>
      </c>
      <c r="AB751" s="23">
        <f>IFERROR(AVERAGEIFS('PTW Audits'!$L$4:$L$100003,'PTW Audits'!$D$4:$D$100003,"Jul",'PTW Audits'!$F$4:$F$100003,dCrit),0)</f>
        <v>0</v>
      </c>
      <c r="AC751" s="23">
        <f>IFERROR(AVERAGEIFS('PTW Audits'!$L$4:$L$100003,'PTW Audits'!$D$4:$D$100003,"Aug",'PTW Audits'!$F$4:$F$100003,dCrit),0)</f>
        <v>0</v>
      </c>
      <c r="AD751" s="23">
        <f>IFERROR(AVERAGEIFS('PTW Audits'!$L$4:$L$100003,'PTW Audits'!$D$4:$D$100003,"Sep",'PTW Audits'!$F$4:$F$100003,dCrit),0)</f>
        <v>0</v>
      </c>
      <c r="AE751" s="23">
        <f>IFERROR(AVERAGEIFS('PTW Audits'!$L$4:$L$100003,'PTW Audits'!$D$4:$D$100003,"Oct",'PTW Audits'!$F$4:$F$100003,dCrit),0)</f>
        <v>0</v>
      </c>
      <c r="AF751" s="23">
        <f>IFERROR(AVERAGEIFS('PTW Audits'!$L$4:$L$100003,'PTW Audits'!$D$4:$D$100003,"Nov",'PTW Audits'!$F$4:$F$100003,dCrit),0)</f>
        <v>0</v>
      </c>
      <c r="AG751" s="23">
        <f>IFERROR(AVERAGEIFS('PTW Audits'!$L$4:$L$100003,'PTW Audits'!$D$4:$D$100003,"Dec",'PTW Audits'!$F$4:$F$100003,dCrit),0)</f>
        <v>0</v>
      </c>
      <c r="AH751" s="23">
        <f>IFERROR(AVERAGE(V751:AG751),0)</f>
        <v>0</v>
      </c>
    </row>
    <row r="752" spans="2:34">
      <c r="B752" s="21" t="s">
        <v>53</v>
      </c>
      <c r="C752" s="22">
        <f>COUNTIFS('PTW Audits'!$D$4:$D$100003,"Apr",'PTW Audits'!$F$4:$F$100003,dCrit)</f>
        <v>0</v>
      </c>
      <c r="E752" s="12" t="s">
        <v>1202</v>
      </c>
      <c r="F752" s="22">
        <f>COUNTIFS('PTW Audits'!$E$4:$E$100003,"Electrical",'PTW Audits'!$D$4:$D$100003,mCrit,'PTW Audits'!$F$4:$F$100003,dCrit)</f>
        <v>0</v>
      </c>
      <c r="M752" s="12" t="s">
        <v>1240</v>
      </c>
      <c r="N752" s="22">
        <f>SUMIFS('PTW Audits'!$J$4:$J$100003,'PTW Audits'!$D$4:$D$100003,mCrit,'PTW Audits'!$F$4:$F$100003,dCrit)</f>
        <v>0</v>
      </c>
      <c r="P752" s="12" t="s">
        <v>89</v>
      </c>
      <c r="Q752" s="22">
        <f>COUNTIFS('PTW Audits'!$D$4:$D$100003,mCrit,'PTW Audits'!$F$4:$F$100003,"Construction")</f>
        <v>0</v>
      </c>
      <c r="R752" s="23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752" s="23">
        <f>IFERROR(AVERAGEIFS('PTW Audits'!$L$4:$L$100003,'PTW Audits'!$D$4:$D$100003,mCrit,'PTW Audits'!$F$4:$F$100003,"Construction"),0)</f>
        <v>0</v>
      </c>
    </row>
    <row r="753" spans="2:19">
      <c r="B753" s="21" t="s">
        <v>60</v>
      </c>
      <c r="C753" s="22">
        <f>COUNTIFS('PTW Audits'!$D$4:$D$100003,"May",'PTW Audits'!$F$4:$F$100003,dCrit)</f>
        <v>0</v>
      </c>
      <c r="E753" s="12" t="s">
        <v>1185</v>
      </c>
      <c r="F753" s="22">
        <f>COUNTIFS('PTW Audits'!$E$4:$E$100003,"Cold Work",'PTW Audits'!$D$4:$D$100003,mCrit,'PTW Audits'!$F$4:$F$100003,dCrit)</f>
        <v>0</v>
      </c>
      <c r="P753" s="12" t="s">
        <v>65</v>
      </c>
      <c r="Q753" s="22">
        <f>COUNTIFS('PTW Audits'!$D$4:$D$100003,mCrit,'PTW Audits'!$F$4:$F$100003,"Safety")</f>
        <v>0</v>
      </c>
      <c r="R753" s="23">
        <f>IFERROR((COUNTIFS('PTW Audits'!$M$4:$M$100003,"Compliant",'PTW Audits'!$D$4:$D$100003,mCrit,'PTW Audits'!$F$4:$F$100003,"Safety"))/COUNTIFS('PTW Audits'!$D$4:$D$100003,mCrit,'PTW Audits'!$F$4:$F$100003,"Safety")*100,0)</f>
        <v>0</v>
      </c>
      <c r="S753" s="23">
        <f>IFERROR(AVERAGEIFS('PTW Audits'!$L$4:$L$100003,'PTW Audits'!$D$4:$D$100003,mCrit,'PTW Audits'!$F$4:$F$100003,"Safety"),0)</f>
        <v>0</v>
      </c>
    </row>
    <row r="754" spans="2:19">
      <c r="B754" s="21" t="s">
        <v>73</v>
      </c>
      <c r="C754" s="22">
        <f>COUNTIFS('PTW Audits'!$D$4:$D$100003,"Jun",'PTW Audits'!$F$4:$F$100003,dCrit)</f>
        <v>0</v>
      </c>
      <c r="E754" s="12" t="s">
        <v>1187</v>
      </c>
      <c r="F754" s="22">
        <f>COUNTIFS('PTW Audits'!$E$4:$E$100003,"Lifting",'PTW Audits'!$D$4:$D$100003,mCrit,'PTW Audits'!$F$4:$F$100003,dCrit)</f>
        <v>0</v>
      </c>
      <c r="P754" s="12" t="s">
        <v>5</v>
      </c>
      <c r="Q754" s="22">
        <f>COUNTIFS('PTW Audits'!$D$4:$D$100003,mCrit,'PTW Audits'!$F$4:$F$100003,"Logistics")</f>
        <v>0</v>
      </c>
      <c r="R754" s="23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754" s="23">
        <f>IFERROR(AVERAGEIFS('PTW Audits'!$L$4:$L$100003,'PTW Audits'!$D$4:$D$100003,mCrit,'PTW Audits'!$F$4:$F$100003,"Logistics"),0)</f>
        <v>0</v>
      </c>
    </row>
    <row r="755" spans="2:19">
      <c r="B755" s="21" t="s">
        <v>76</v>
      </c>
      <c r="C755" s="22">
        <f>COUNTIFS('PTW Audits'!$D$4:$D$100003,"Jul",'PTW Audits'!$F$4:$F$100003,dCrit)</f>
        <v>0</v>
      </c>
      <c r="E755" s="12" t="s">
        <v>1205</v>
      </c>
      <c r="F755" s="22">
        <f>COUNTIFS('PTW Audits'!$E$4:$E$100003,"Excavation",'PTW Audits'!$D$4:$D$100003,mCrit,'PTW Audits'!$F$4:$F$100003,dCrit)</f>
        <v>0</v>
      </c>
      <c r="P755" s="12" t="s">
        <v>50</v>
      </c>
      <c r="Q755" s="22">
        <f>COUNTIFS('PTW Audits'!$D$4:$D$100003,mCrit,'PTW Audits'!$F$4:$F$100003,"Quality")</f>
        <v>0</v>
      </c>
      <c r="R755" s="23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755" s="23">
        <f>IFERROR(AVERAGEIFS('PTW Audits'!$L$4:$L$100003,'PTW Audits'!$D$4:$D$100003,mCrit,'PTW Audits'!$F$4:$F$100003,"Quality"),0)</f>
        <v>0</v>
      </c>
    </row>
    <row r="756" spans="2:19">
      <c r="B756" s="21" t="s">
        <v>86</v>
      </c>
      <c r="C756" s="22">
        <f>COUNTIFS('PTW Audits'!$D$4:$D$100003,"Aug",'PTW Audits'!$F$4:$F$100003,dCrit)</f>
        <v>0</v>
      </c>
      <c r="P756" s="12" t="s">
        <v>46</v>
      </c>
      <c r="Q756" s="22">
        <f>COUNTIFS('PTW Audits'!$D$4:$D$100003,mCrit,'PTW Audits'!$F$4:$F$100003,"Admin")</f>
        <v>0</v>
      </c>
      <c r="R756" s="23">
        <f>IFERROR((COUNTIFS('PTW Audits'!$M$4:$M$100003,"Compliant",'PTW Audits'!$D$4:$D$100003,mCrit,'PTW Audits'!$F$4:$F$100003,"Admin"))/COUNTIFS('PTW Audits'!$D$4:$D$100003,mCrit,'PTW Audits'!$F$4:$F$100003,"Admin")*100,0)</f>
        <v>0</v>
      </c>
      <c r="S756" s="23">
        <f>IFERROR(AVERAGEIFS('PTW Audits'!$L$4:$L$100003,'PTW Audits'!$D$4:$D$100003,mCrit,'PTW Audits'!$F$4:$F$100003,"Admin"),0)</f>
        <v>0</v>
      </c>
    </row>
    <row r="757" spans="2:19">
      <c r="B757" s="21" t="s">
        <v>102</v>
      </c>
      <c r="C757" s="22">
        <f>COUNTIFS('PTW Audits'!$D$4:$D$100003,"Sep",'PTW Audits'!$F$4:$F$100003,dCrit)</f>
        <v>0</v>
      </c>
      <c r="P757" s="12" t="s">
        <v>13</v>
      </c>
      <c r="Q757" s="22">
        <f>COUNTIFS('PTW Audits'!$D$4:$D$100003,mCrit,'PTW Audits'!$F$4:$F$100003,"Projects")</f>
        <v>0</v>
      </c>
      <c r="R757" s="23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757" s="23">
        <f>IFERROR(AVERAGEIFS('PTW Audits'!$L$4:$L$100003,'PTW Audits'!$D$4:$D$100003,mCrit,'PTW Audits'!$F$4:$F$100003,"Projects"),0)</f>
        <v>0</v>
      </c>
    </row>
    <row r="758" spans="2:19">
      <c r="B758" s="21" t="s">
        <v>106</v>
      </c>
      <c r="C758" s="22">
        <f>COUNTIFS('PTW Audits'!$D$4:$D$100003,"Oct",'PTW Audits'!$F$4:$F$100003,dCrit)</f>
        <v>0</v>
      </c>
      <c r="P758" s="12" t="s">
        <v>58</v>
      </c>
      <c r="Q758" s="22">
        <f>COUNTIFS('PTW Audits'!$D$4:$D$100003,mCrit,'PTW Audits'!$F$4:$F$100003,"Contractor")</f>
        <v>0</v>
      </c>
      <c r="R758" s="23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758" s="23">
        <f>IFERROR(AVERAGEIFS('PTW Audits'!$L$4:$L$100003,'PTW Audits'!$D$4:$D$100003,mCrit,'PTW Audits'!$F$4:$F$100003,"Contractor"),0)</f>
        <v>0</v>
      </c>
    </row>
    <row r="759" spans="2:19">
      <c r="B759" s="21" t="s">
        <v>111</v>
      </c>
      <c r="C759" s="22">
        <f>COUNTIFS('PTW Audits'!$D$4:$D$100003,"Nov",'PTW Audits'!$F$4:$F$100003,dCrit)</f>
        <v>0</v>
      </c>
    </row>
    <row r="760" spans="2:19">
      <c r="B760" s="21" t="s">
        <v>122</v>
      </c>
      <c r="C760" s="22">
        <f>COUNTIFS('PTW Audits'!$D$4:$D$100003,"Dec",'PTW Audits'!$F$4:$F$100003,dCrit)</f>
        <v>0</v>
      </c>
    </row>
    <row r="773" spans="2:34">
      <c r="B773" s="16" t="s">
        <v>1914</v>
      </c>
    </row>
    <row r="774" spans="2:34">
      <c r="B774" s="11" t="s">
        <v>127</v>
      </c>
      <c r="C774" s="11" t="s">
        <v>1808</v>
      </c>
      <c r="E774" s="11" t="s">
        <v>1301</v>
      </c>
      <c r="F774" s="11" t="s">
        <v>1808</v>
      </c>
      <c r="G774" s="11" t="s">
        <v>641</v>
      </c>
      <c r="H774" s="11" t="s">
        <v>1808</v>
      </c>
      <c r="J774" s="11" t="s">
        <v>287</v>
      </c>
      <c r="K774" s="11" t="s">
        <v>1808</v>
      </c>
      <c r="M774" s="11" t="s">
        <v>1752</v>
      </c>
      <c r="N774" s="11" t="s">
        <v>1867</v>
      </c>
      <c r="P774" s="11" t="s">
        <v>129</v>
      </c>
      <c r="Q774" s="11" t="s">
        <v>1808</v>
      </c>
      <c r="R774" s="11" t="s">
        <v>1879</v>
      </c>
      <c r="S774" s="11" t="s">
        <v>1872</v>
      </c>
      <c r="U774" s="11" t="s">
        <v>1873</v>
      </c>
      <c r="V774" s="11" t="s">
        <v>3</v>
      </c>
      <c r="W774" s="11" t="s">
        <v>19</v>
      </c>
      <c r="X774" s="11" t="s">
        <v>44</v>
      </c>
      <c r="Y774" s="11" t="s">
        <v>53</v>
      </c>
      <c r="Z774" s="11" t="s">
        <v>60</v>
      </c>
      <c r="AA774" s="11" t="s">
        <v>73</v>
      </c>
      <c r="AB774" s="11" t="s">
        <v>76</v>
      </c>
      <c r="AC774" s="11" t="s">
        <v>86</v>
      </c>
      <c r="AD774" s="11" t="s">
        <v>102</v>
      </c>
      <c r="AE774" s="11" t="s">
        <v>106</v>
      </c>
      <c r="AF774" s="11" t="s">
        <v>111</v>
      </c>
      <c r="AG774" s="11" t="s">
        <v>122</v>
      </c>
      <c r="AH774" s="11" t="s">
        <v>1874</v>
      </c>
    </row>
    <row r="775" spans="2:34">
      <c r="B775" s="21" t="s">
        <v>3</v>
      </c>
      <c r="C775" s="22">
        <f>COUNTIFS('Corrective Actions'!$D$4:$D$100003,"Jan",'Corrective Actions'!$F$4:$F$100003,dCrit)</f>
        <v>0</v>
      </c>
      <c r="E775" s="12" t="s">
        <v>1252</v>
      </c>
      <c r="F775" s="22">
        <f>COUNTIFS('Corrective Actions'!$E$4:$E$100003,"Audit Finding",'Corrective Actions'!$D$4:$D$100003,mCrit,'Corrective Actions'!$F$4:$F$100003,dCrit)</f>
        <v>0</v>
      </c>
      <c r="G775" s="12" t="s">
        <v>162</v>
      </c>
      <c r="H775" s="22">
        <f>COUNTIFS('Corrective Actions'!$I$4:$I$100003,"Critical",'Corrective Actions'!$D$4:$D$100003,mCrit,'Corrective Actions'!$F$4:$F$100003,dCrit)</f>
        <v>0</v>
      </c>
      <c r="J775" s="12" t="s">
        <v>293</v>
      </c>
      <c r="K775" s="22">
        <f>COUNTIFS('Corrective Actions'!$N$4:$N$100003,"Closed",'Corrective Actions'!$D$4:$D$100003,mCrit,'Corrective Actions'!$F$4:$F$100003,dCrit)</f>
        <v>0</v>
      </c>
      <c r="M775" s="12" t="s">
        <v>1868</v>
      </c>
      <c r="N775" s="22">
        <f>COUNTIFS('Corrective Actions'!$D$4:$D$100003,mCrit,'Corrective Actions'!$F$4:$F$100003,dCrit)</f>
        <v>0</v>
      </c>
      <c r="P775" s="12" t="s">
        <v>27</v>
      </c>
      <c r="Q775" s="22">
        <f>COUNTIFS('Corrective Actions'!$D$4:$D$100003,mCrit,'Corrective Actions'!$F$4:$F$100003,"Operations")</f>
        <v>0</v>
      </c>
      <c r="R775" s="23">
        <f>IFERROR((COUNTIFS('Corrective Actions'!$N$4:$N$100003,"Closed",'Corrective Actions'!$D$4:$D$100003,mCrit,'Corrective Actions'!$F$4:$F$100003,"Operations"))/COUNTIFS('Corrective Actions'!$D$4:$D$100003,mCrit,'Corrective Actions'!$F$4:$F$100003,"Operations")*100,0)</f>
        <v>0</v>
      </c>
      <c r="S775" s="22">
        <f>COUNTIFS('Corrective Actions'!$D$4:$D$100003,mCrit,'Corrective Actions'!$F$4:$F$100003,"Operations")</f>
        <v>0</v>
      </c>
      <c r="U775" s="12" t="s">
        <v>1872</v>
      </c>
      <c r="V775" s="22">
        <f>COUNTIFS('Corrective Actions'!$D$4:$D$100003,"Jan",'Corrective Actions'!$F$4:$F$100003,dCrit)</f>
        <v>0</v>
      </c>
      <c r="W775" s="22">
        <f>COUNTIFS('Corrective Actions'!$D$4:$D$100003,"Feb",'Corrective Actions'!$F$4:$F$100003,dCrit)</f>
        <v>0</v>
      </c>
      <c r="X775" s="22">
        <f>COUNTIFS('Corrective Actions'!$D$4:$D$100003,"Mar",'Corrective Actions'!$F$4:$F$100003,dCrit)</f>
        <v>0</v>
      </c>
      <c r="Y775" s="22">
        <f>COUNTIFS('Corrective Actions'!$D$4:$D$100003,"Apr",'Corrective Actions'!$F$4:$F$100003,dCrit)</f>
        <v>0</v>
      </c>
      <c r="Z775" s="22">
        <f>COUNTIFS('Corrective Actions'!$D$4:$D$100003,"May",'Corrective Actions'!$F$4:$F$100003,dCrit)</f>
        <v>0</v>
      </c>
      <c r="AA775" s="22">
        <f>COUNTIFS('Corrective Actions'!$D$4:$D$100003,"Jun",'Corrective Actions'!$F$4:$F$100003,dCrit)</f>
        <v>0</v>
      </c>
      <c r="AB775" s="22">
        <f>COUNTIFS('Corrective Actions'!$D$4:$D$100003,"Jul",'Corrective Actions'!$F$4:$F$100003,dCrit)</f>
        <v>0</v>
      </c>
      <c r="AC775" s="22">
        <f>COUNTIFS('Corrective Actions'!$D$4:$D$100003,"Aug",'Corrective Actions'!$F$4:$F$100003,dCrit)</f>
        <v>0</v>
      </c>
      <c r="AD775" s="22">
        <f>COUNTIFS('Corrective Actions'!$D$4:$D$100003,"Sep",'Corrective Actions'!$F$4:$F$100003,dCrit)</f>
        <v>0</v>
      </c>
      <c r="AE775" s="22">
        <f>COUNTIFS('Corrective Actions'!$D$4:$D$100003,"Oct",'Corrective Actions'!$F$4:$F$100003,dCrit)</f>
        <v>0</v>
      </c>
      <c r="AF775" s="22">
        <f>COUNTIFS('Corrective Actions'!$D$4:$D$100003,"Nov",'Corrective Actions'!$F$4:$F$100003,dCrit)</f>
        <v>0</v>
      </c>
      <c r="AG775" s="22">
        <f>COUNTIFS('Corrective Actions'!$D$4:$D$100003,"Dec",'Corrective Actions'!$F$4:$F$100003,dCrit)</f>
        <v>0</v>
      </c>
      <c r="AH775" s="22">
        <f>SUM(V775:AG775)</f>
        <v>0</v>
      </c>
    </row>
    <row r="776" spans="2:34">
      <c r="B776" s="21" t="s">
        <v>19</v>
      </c>
      <c r="C776" s="22">
        <f>COUNTIFS('Corrective Actions'!$D$4:$D$100003,"Feb",'Corrective Actions'!$F$4:$F$100003,dCrit)</f>
        <v>0</v>
      </c>
      <c r="E776" s="12" t="s">
        <v>1254</v>
      </c>
      <c r="F776" s="22">
        <f>COUNTIFS('Corrective Actions'!$E$4:$E$100003,"Inspection Finding",'Corrective Actions'!$D$4:$D$100003,mCrit,'Corrective Actions'!$F$4:$F$100003,dCrit)</f>
        <v>0</v>
      </c>
      <c r="G776" s="12" t="s">
        <v>159</v>
      </c>
      <c r="H776" s="22">
        <f>COUNTIFS('Corrective Actions'!$I$4:$I$100003,"High",'Corrective Actions'!$D$4:$D$100003,mCrit,'Corrective Actions'!$F$4:$F$100003,dCrit)</f>
        <v>0</v>
      </c>
      <c r="J776" s="12" t="s">
        <v>254</v>
      </c>
      <c r="K776" s="22">
        <f>COUNTIFS('Corrective Actions'!$N$4:$N$100003,"In Progress",'Corrective Actions'!$D$4:$D$100003,mCrit,'Corrective Actions'!$F$4:$F$100003,dCrit)</f>
        <v>0</v>
      </c>
      <c r="M776" s="12" t="s">
        <v>1876</v>
      </c>
      <c r="N776" s="23">
        <f>IFERROR((COUNTIFS('Corrective Actions'!$N$4:$N$100003,"Closed",'Corrective Actions'!$D$4:$D$100003,mCrit,'Corrective Actions'!$F$4:$F$100003,dCrit))/COUNTIFS('Corrective Actions'!$D$4:$D$100003,mCrit,'Corrective Actions'!$F$4:$F$100003,dCrit)*100,0)</f>
        <v>0</v>
      </c>
      <c r="P776" s="12" t="s">
        <v>92</v>
      </c>
      <c r="Q776" s="22">
        <f>COUNTIFS('Corrective Actions'!$D$4:$D$100003,mCrit,'Corrective Actions'!$F$4:$F$100003,"Maintenance")</f>
        <v>0</v>
      </c>
      <c r="R776" s="23">
        <f>IFERROR((COUNTIFS('Corrective Actions'!$N$4:$N$100003,"Closed",'Corrective Actions'!$D$4:$D$100003,mCrit,'Corrective Actions'!$F$4:$F$100003,"Maintenance"))/COUNTIFS('Corrective Actions'!$D$4:$D$100003,mCrit,'Corrective Actions'!$F$4:$F$100003,"Maintenance")*100,0)</f>
        <v>0</v>
      </c>
      <c r="S776" s="22">
        <f>COUNTIFS('Corrective Actions'!$D$4:$D$100003,mCrit,'Corrective Actions'!$F$4:$F$100003,"Maintenance")</f>
        <v>0</v>
      </c>
      <c r="U776" s="12" t="s">
        <v>1880</v>
      </c>
      <c r="V776" s="23">
        <f>IFERROR((COUNTIFS('Corrective Actions'!$N$4:$N$100003,"Closed",'Corrective Actions'!$D$4:$D$100003,"Jan",'Corrective Actions'!$F$4:$F$100003,dCrit))/COUNTIFS('Corrective Actions'!$D$4:$D$100003,"Jan",'Corrective Actions'!$F$4:$F$100003,dCrit)*100,0)</f>
        <v>0</v>
      </c>
      <c r="W776" s="23">
        <f>IFERROR((COUNTIFS('Corrective Actions'!$N$4:$N$100003,"Closed",'Corrective Actions'!$D$4:$D$100003,"Feb",'Corrective Actions'!$F$4:$F$100003,dCrit))/COUNTIFS('Corrective Actions'!$D$4:$D$100003,"Feb",'Corrective Actions'!$F$4:$F$100003,dCrit)*100,0)</f>
        <v>0</v>
      </c>
      <c r="X776" s="23">
        <f>IFERROR((COUNTIFS('Corrective Actions'!$N$4:$N$100003,"Closed",'Corrective Actions'!$D$4:$D$100003,"Mar",'Corrective Actions'!$F$4:$F$100003,dCrit))/COUNTIFS('Corrective Actions'!$D$4:$D$100003,"Mar",'Corrective Actions'!$F$4:$F$100003,dCrit)*100,0)</f>
        <v>0</v>
      </c>
      <c r="Y776" s="23">
        <f>IFERROR((COUNTIFS('Corrective Actions'!$N$4:$N$100003,"Closed",'Corrective Actions'!$D$4:$D$100003,"Apr",'Corrective Actions'!$F$4:$F$100003,dCrit))/COUNTIFS('Corrective Actions'!$D$4:$D$100003,"Apr",'Corrective Actions'!$F$4:$F$100003,dCrit)*100,0)</f>
        <v>0</v>
      </c>
      <c r="Z776" s="23">
        <f>IFERROR((COUNTIFS('Corrective Actions'!$N$4:$N$100003,"Closed",'Corrective Actions'!$D$4:$D$100003,"May",'Corrective Actions'!$F$4:$F$100003,dCrit))/COUNTIFS('Corrective Actions'!$D$4:$D$100003,"May",'Corrective Actions'!$F$4:$F$100003,dCrit)*100,0)</f>
        <v>0</v>
      </c>
      <c r="AA776" s="23">
        <f>IFERROR((COUNTIFS('Corrective Actions'!$N$4:$N$100003,"Closed",'Corrective Actions'!$D$4:$D$100003,"Jun",'Corrective Actions'!$F$4:$F$100003,dCrit))/COUNTIFS('Corrective Actions'!$D$4:$D$100003,"Jun",'Corrective Actions'!$F$4:$F$100003,dCrit)*100,0)</f>
        <v>0</v>
      </c>
      <c r="AB776" s="23">
        <f>IFERROR((COUNTIFS('Corrective Actions'!$N$4:$N$100003,"Closed",'Corrective Actions'!$D$4:$D$100003,"Jul",'Corrective Actions'!$F$4:$F$100003,dCrit))/COUNTIFS('Corrective Actions'!$D$4:$D$100003,"Jul",'Corrective Actions'!$F$4:$F$100003,dCrit)*100,0)</f>
        <v>0</v>
      </c>
      <c r="AC776" s="23">
        <f>IFERROR((COUNTIFS('Corrective Actions'!$N$4:$N$100003,"Closed",'Corrective Actions'!$D$4:$D$100003,"Aug",'Corrective Actions'!$F$4:$F$100003,dCrit))/COUNTIFS('Corrective Actions'!$D$4:$D$100003,"Aug",'Corrective Actions'!$F$4:$F$100003,dCrit)*100,0)</f>
        <v>0</v>
      </c>
      <c r="AD776" s="23">
        <f>IFERROR((COUNTIFS('Corrective Actions'!$N$4:$N$100003,"Closed",'Corrective Actions'!$D$4:$D$100003,"Sep",'Corrective Actions'!$F$4:$F$100003,dCrit))/COUNTIFS('Corrective Actions'!$D$4:$D$100003,"Sep",'Corrective Actions'!$F$4:$F$100003,dCrit)*100,0)</f>
        <v>0</v>
      </c>
      <c r="AE776" s="23">
        <f>IFERROR((COUNTIFS('Corrective Actions'!$N$4:$N$100003,"Closed",'Corrective Actions'!$D$4:$D$100003,"Oct",'Corrective Actions'!$F$4:$F$100003,dCrit))/COUNTIFS('Corrective Actions'!$D$4:$D$100003,"Oct",'Corrective Actions'!$F$4:$F$100003,dCrit)*100,0)</f>
        <v>0</v>
      </c>
      <c r="AF776" s="23">
        <f>IFERROR((COUNTIFS('Corrective Actions'!$N$4:$N$100003,"Closed",'Corrective Actions'!$D$4:$D$100003,"Nov",'Corrective Actions'!$F$4:$F$100003,dCrit))/COUNTIFS('Corrective Actions'!$D$4:$D$100003,"Nov",'Corrective Actions'!$F$4:$F$100003,dCrit)*100,0)</f>
        <v>0</v>
      </c>
      <c r="AG776" s="23">
        <f>IFERROR((COUNTIFS('Corrective Actions'!$N$4:$N$100003,"Closed",'Corrective Actions'!$D$4:$D$100003,"Dec",'Corrective Actions'!$F$4:$F$100003,dCrit))/COUNTIFS('Corrective Actions'!$D$4:$D$100003,"Dec",'Corrective Actions'!$F$4:$F$100003,dCrit)*100,0)</f>
        <v>0</v>
      </c>
      <c r="AH776" s="23">
        <f>IFERROR(AVERAGE(V776:AG776),0)</f>
        <v>0</v>
      </c>
    </row>
    <row r="777" spans="2:34">
      <c r="B777" s="21" t="s">
        <v>44</v>
      </c>
      <c r="C777" s="22">
        <f>COUNTIFS('Corrective Actions'!$D$4:$D$100003,"Mar",'Corrective Actions'!$F$4:$F$100003,dCrit)</f>
        <v>0</v>
      </c>
      <c r="E777" s="12" t="s">
        <v>1257</v>
      </c>
      <c r="F777" s="22">
        <f>COUNTIFS('Corrective Actions'!$E$4:$E$100003,"Incident Follow-up",'Corrective Actions'!$D$4:$D$100003,mCrit,'Corrective Actions'!$F$4:$F$100003,dCrit)</f>
        <v>0</v>
      </c>
      <c r="G777" s="12" t="s">
        <v>142</v>
      </c>
      <c r="H777" s="22">
        <f>COUNTIFS('Corrective Actions'!$I$4:$I$100003,"Medium",'Corrective Actions'!$D$4:$D$100003,mCrit,'Corrective Actions'!$F$4:$F$100003,dCrit)</f>
        <v>0</v>
      </c>
      <c r="J777" s="12" t="s">
        <v>238</v>
      </c>
      <c r="K777" s="22">
        <f>COUNTIFS('Corrective Actions'!$N$4:$N$100003,"Overdue",'Corrective Actions'!$D$4:$D$100003,mCrit,'Corrective Actions'!$F$4:$F$100003,dCrit)</f>
        <v>0</v>
      </c>
      <c r="M777" s="12" t="s">
        <v>1877</v>
      </c>
      <c r="N777" s="22">
        <f>COUNTIFS('Corrective Actions'!$N$4:$N$100003,"Open",'Corrective Actions'!$D$4:$D$100003,mCrit,'Corrective Actions'!$F$4:$F$100003,dCrit)+COUNTIFS('Corrective Actions'!$N$4:$N$100003,"In Progress",'Corrective Actions'!$D$4:$D$100003,mCrit,'Corrective Actions'!$F$4:$F$100003,dCrit)+COUNTIFS('Corrective Actions'!$N$4:$N$100003,"Overdue",'Corrective Actions'!$D$4:$D$100003,mCrit,'Corrective Actions'!$F$4:$F$100003,dCrit)</f>
        <v>0</v>
      </c>
      <c r="P777" s="12" t="s">
        <v>39</v>
      </c>
      <c r="Q777" s="22">
        <f>COUNTIFS('Corrective Actions'!$D$4:$D$100003,mCrit,'Corrective Actions'!$F$4:$F$100003,"Engineering")</f>
        <v>0</v>
      </c>
      <c r="R777" s="23">
        <f>IFERROR((COUNTIFS('Corrective Actions'!$N$4:$N$100003,"Closed",'Corrective Actions'!$D$4:$D$100003,mCrit,'Corrective Actions'!$F$4:$F$100003,"Engineering"))/COUNTIFS('Corrective Actions'!$D$4:$D$100003,mCrit,'Corrective Actions'!$F$4:$F$100003,"Engineering")*100,0)</f>
        <v>0</v>
      </c>
      <c r="S777" s="22">
        <f>COUNTIFS('Corrective Actions'!$D$4:$D$100003,mCrit,'Corrective Actions'!$F$4:$F$100003,"Engineering")</f>
        <v>0</v>
      </c>
    </row>
    <row r="778" spans="2:34">
      <c r="B778" s="21" t="s">
        <v>53</v>
      </c>
      <c r="C778" s="22">
        <f>COUNTIFS('Corrective Actions'!$D$4:$D$100003,"Apr",'Corrective Actions'!$F$4:$F$100003,dCrit)</f>
        <v>0</v>
      </c>
      <c r="E778" s="12" t="s">
        <v>1246</v>
      </c>
      <c r="F778" s="22">
        <f>COUNTIFS('Corrective Actions'!$E$4:$E$100003,"Observation",'Corrective Actions'!$D$4:$D$100003,mCrit,'Corrective Actions'!$F$4:$F$100003,dCrit)</f>
        <v>0</v>
      </c>
      <c r="G778" s="12" t="s">
        <v>154</v>
      </c>
      <c r="H778" s="22">
        <f>COUNTIFS('Corrective Actions'!$I$4:$I$100003,"Low",'Corrective Actions'!$D$4:$D$100003,mCrit,'Corrective Actions'!$F$4:$F$100003,dCrit)</f>
        <v>0</v>
      </c>
      <c r="J778" s="12" t="s">
        <v>297</v>
      </c>
      <c r="K778" s="22">
        <f>COUNTIFS('Corrective Actions'!$N$4:$N$100003,"Open",'Corrective Actions'!$D$4:$D$100003,mCrit,'Corrective Actions'!$F$4:$F$100003,dCrit)</f>
        <v>0</v>
      </c>
      <c r="M778" s="12" t="s">
        <v>238</v>
      </c>
      <c r="N778" s="22">
        <f>COUNTIFS('Corrective Actions'!$N$4:$N$100003,"Overdue",'Corrective Actions'!$D$4:$D$100003,mCrit,'Corrective Actions'!$F$4:$F$100003,dCrit)</f>
        <v>0</v>
      </c>
      <c r="P778" s="12" t="s">
        <v>89</v>
      </c>
      <c r="Q778" s="22">
        <f>COUNTIFS('Corrective Actions'!$D$4:$D$100003,mCrit,'Corrective Actions'!$F$4:$F$100003,"Construction")</f>
        <v>0</v>
      </c>
      <c r="R778" s="23">
        <f>IFERROR((COUNTIFS('Corrective Actions'!$N$4:$N$100003,"Closed",'Corrective Actions'!$D$4:$D$100003,mCrit,'Corrective Actions'!$F$4:$F$100003,"Construction"))/COUNTIFS('Corrective Actions'!$D$4:$D$100003,mCrit,'Corrective Actions'!$F$4:$F$100003,"Construction")*100,0)</f>
        <v>0</v>
      </c>
      <c r="S778" s="22">
        <f>COUNTIFS('Corrective Actions'!$D$4:$D$100003,mCrit,'Corrective Actions'!$F$4:$F$100003,"Construction")</f>
        <v>0</v>
      </c>
    </row>
    <row r="779" spans="2:34">
      <c r="B779" s="21" t="s">
        <v>60</v>
      </c>
      <c r="C779" s="22">
        <f>COUNTIFS('Corrective Actions'!$D$4:$D$100003,"May",'Corrective Actions'!$F$4:$F$100003,dCrit)</f>
        <v>0</v>
      </c>
      <c r="E779" s="12" t="s">
        <v>1248</v>
      </c>
      <c r="F779" s="22">
        <f>COUNTIFS('Corrective Actions'!$E$4:$E$100003,"Drill Finding",'Corrective Actions'!$D$4:$D$100003,mCrit,'Corrective Actions'!$F$4:$F$100003,dCrit)</f>
        <v>0</v>
      </c>
      <c r="M779" s="12" t="s">
        <v>1915</v>
      </c>
      <c r="N779" s="22">
        <f>COUNTIFS('Corrective Actions'!$O$4:$O$100003,"On-Time",'Corrective Actions'!$D$4:$D$100003,mCrit,'Corrective Actions'!$F$4:$F$100003,dCrit)</f>
        <v>0</v>
      </c>
      <c r="P779" s="12" t="s">
        <v>65</v>
      </c>
      <c r="Q779" s="22">
        <f>COUNTIFS('Corrective Actions'!$D$4:$D$100003,mCrit,'Corrective Actions'!$F$4:$F$100003,"Safety")</f>
        <v>0</v>
      </c>
      <c r="R779" s="23">
        <f>IFERROR((COUNTIFS('Corrective Actions'!$N$4:$N$100003,"Closed",'Corrective Actions'!$D$4:$D$100003,mCrit,'Corrective Actions'!$F$4:$F$100003,"Safety"))/COUNTIFS('Corrective Actions'!$D$4:$D$100003,mCrit,'Corrective Actions'!$F$4:$F$100003,"Safety")*100,0)</f>
        <v>0</v>
      </c>
      <c r="S779" s="22">
        <f>COUNTIFS('Corrective Actions'!$D$4:$D$100003,mCrit,'Corrective Actions'!$F$4:$F$100003,"Safety")</f>
        <v>0</v>
      </c>
    </row>
    <row r="780" spans="2:34">
      <c r="B780" s="21" t="s">
        <v>73</v>
      </c>
      <c r="C780" s="22">
        <f>COUNTIFS('Corrective Actions'!$D$4:$D$100003,"Jun",'Corrective Actions'!$F$4:$F$100003,dCrit)</f>
        <v>0</v>
      </c>
      <c r="E780" s="12" t="s">
        <v>1250</v>
      </c>
      <c r="F780" s="22">
        <f>COUNTIFS('Corrective Actions'!$E$4:$E$100003,"Management Review",'Corrective Actions'!$D$4:$D$100003,mCrit,'Corrective Actions'!$F$4:$F$100003,dCrit)</f>
        <v>0</v>
      </c>
      <c r="M780" s="12" t="s">
        <v>1894</v>
      </c>
      <c r="N780" s="22">
        <f>COUNTIFS('Corrective Actions'!$I$4:$I$100003,"Critical",'Corrective Actions'!$D$4:$D$100003,mCrit,'Corrective Actions'!$F$4:$F$100003,dCrit)+COUNTIFS('Corrective Actions'!$I$4:$I$100003,"High",'Corrective Actions'!$D$4:$D$100003,mCrit,'Corrective Actions'!$F$4:$F$100003,dCrit)</f>
        <v>0</v>
      </c>
      <c r="P780" s="12" t="s">
        <v>5</v>
      </c>
      <c r="Q780" s="22">
        <f>COUNTIFS('Corrective Actions'!$D$4:$D$100003,mCrit,'Corrective Actions'!$F$4:$F$100003,"Logistics")</f>
        <v>0</v>
      </c>
      <c r="R780" s="23">
        <f>IFERROR((COUNTIFS('Corrective Actions'!$N$4:$N$100003,"Closed",'Corrective Actions'!$D$4:$D$100003,mCrit,'Corrective Actions'!$F$4:$F$100003,"Logistics"))/COUNTIFS('Corrective Actions'!$D$4:$D$100003,mCrit,'Corrective Actions'!$F$4:$F$100003,"Logistics")*100,0)</f>
        <v>0</v>
      </c>
      <c r="S780" s="22">
        <f>COUNTIFS('Corrective Actions'!$D$4:$D$100003,mCrit,'Corrective Actions'!$F$4:$F$100003,"Logistics")</f>
        <v>0</v>
      </c>
    </row>
    <row r="781" spans="2:34">
      <c r="B781" s="21" t="s">
        <v>76</v>
      </c>
      <c r="C781" s="22">
        <f>COUNTIFS('Corrective Actions'!$D$4:$D$100003,"Jul",'Corrective Actions'!$F$4:$F$100003,dCrit)</f>
        <v>0</v>
      </c>
      <c r="P781" s="12" t="s">
        <v>50</v>
      </c>
      <c r="Q781" s="22">
        <f>COUNTIFS('Corrective Actions'!$D$4:$D$100003,mCrit,'Corrective Actions'!$F$4:$F$100003,"Quality")</f>
        <v>0</v>
      </c>
      <c r="R781" s="23">
        <f>IFERROR((COUNTIFS('Corrective Actions'!$N$4:$N$100003,"Closed",'Corrective Actions'!$D$4:$D$100003,mCrit,'Corrective Actions'!$F$4:$F$100003,"Quality"))/COUNTIFS('Corrective Actions'!$D$4:$D$100003,mCrit,'Corrective Actions'!$F$4:$F$100003,"Quality")*100,0)</f>
        <v>0</v>
      </c>
      <c r="S781" s="22">
        <f>COUNTIFS('Corrective Actions'!$D$4:$D$100003,mCrit,'Corrective Actions'!$F$4:$F$100003,"Quality")</f>
        <v>0</v>
      </c>
    </row>
    <row r="782" spans="2:34">
      <c r="B782" s="21" t="s">
        <v>86</v>
      </c>
      <c r="C782" s="22">
        <f>COUNTIFS('Corrective Actions'!$D$4:$D$100003,"Aug",'Corrective Actions'!$F$4:$F$100003,dCrit)</f>
        <v>0</v>
      </c>
      <c r="P782" s="12" t="s">
        <v>46</v>
      </c>
      <c r="Q782" s="22">
        <f>COUNTIFS('Corrective Actions'!$D$4:$D$100003,mCrit,'Corrective Actions'!$F$4:$F$100003,"Admin")</f>
        <v>0</v>
      </c>
      <c r="R782" s="23">
        <f>IFERROR((COUNTIFS('Corrective Actions'!$N$4:$N$100003,"Closed",'Corrective Actions'!$D$4:$D$100003,mCrit,'Corrective Actions'!$F$4:$F$100003,"Admin"))/COUNTIFS('Corrective Actions'!$D$4:$D$100003,mCrit,'Corrective Actions'!$F$4:$F$100003,"Admin")*100,0)</f>
        <v>0</v>
      </c>
      <c r="S782" s="22">
        <f>COUNTIFS('Corrective Actions'!$D$4:$D$100003,mCrit,'Corrective Actions'!$F$4:$F$100003,"Admin")</f>
        <v>0</v>
      </c>
    </row>
    <row r="783" spans="2:34">
      <c r="B783" s="21" t="s">
        <v>102</v>
      </c>
      <c r="C783" s="22">
        <f>COUNTIFS('Corrective Actions'!$D$4:$D$100003,"Sep",'Corrective Actions'!$F$4:$F$100003,dCrit)</f>
        <v>0</v>
      </c>
      <c r="P783" s="12" t="s">
        <v>13</v>
      </c>
      <c r="Q783" s="22">
        <f>COUNTIFS('Corrective Actions'!$D$4:$D$100003,mCrit,'Corrective Actions'!$F$4:$F$100003,"Projects")</f>
        <v>0</v>
      </c>
      <c r="R783" s="23">
        <f>IFERROR((COUNTIFS('Corrective Actions'!$N$4:$N$100003,"Closed",'Corrective Actions'!$D$4:$D$100003,mCrit,'Corrective Actions'!$F$4:$F$100003,"Projects"))/COUNTIFS('Corrective Actions'!$D$4:$D$100003,mCrit,'Corrective Actions'!$F$4:$F$100003,"Projects")*100,0)</f>
        <v>0</v>
      </c>
      <c r="S783" s="22">
        <f>COUNTIFS('Corrective Actions'!$D$4:$D$100003,mCrit,'Corrective Actions'!$F$4:$F$100003,"Projects")</f>
        <v>0</v>
      </c>
    </row>
    <row r="784" spans="2:34">
      <c r="B784" s="21" t="s">
        <v>106</v>
      </c>
      <c r="C784" s="22">
        <f>COUNTIFS('Corrective Actions'!$D$4:$D$100003,"Oct",'Corrective Actions'!$F$4:$F$100003,dCrit)</f>
        <v>0</v>
      </c>
      <c r="P784" s="12" t="s">
        <v>58</v>
      </c>
      <c r="Q784" s="22">
        <f>COUNTIFS('Corrective Actions'!$D$4:$D$100003,mCrit,'Corrective Actions'!$F$4:$F$100003,"Contractor")</f>
        <v>0</v>
      </c>
      <c r="R784" s="23">
        <f>IFERROR((COUNTIFS('Corrective Actions'!$N$4:$N$100003,"Closed",'Corrective Actions'!$D$4:$D$100003,mCrit,'Corrective Actions'!$F$4:$F$100003,"Contractor"))/COUNTIFS('Corrective Actions'!$D$4:$D$100003,mCrit,'Corrective Actions'!$F$4:$F$100003,"Contractor")*100,0)</f>
        <v>0</v>
      </c>
      <c r="S784" s="22">
        <f>COUNTIFS('Corrective Actions'!$D$4:$D$100003,mCrit,'Corrective Actions'!$F$4:$F$100003,"Contractor")</f>
        <v>0</v>
      </c>
    </row>
    <row r="785" spans="2:34">
      <c r="B785" s="21" t="s">
        <v>111</v>
      </c>
      <c r="C785" s="22">
        <f>COUNTIFS('Corrective Actions'!$D$4:$D$100003,"Nov",'Corrective Actions'!$F$4:$F$100003,dCrit)</f>
        <v>0</v>
      </c>
    </row>
    <row r="786" spans="2:34">
      <c r="B786" s="21" t="s">
        <v>122</v>
      </c>
      <c r="C786" s="22">
        <f>COUNTIFS('Corrective Actions'!$D$4:$D$100003,"Dec",'Corrective Actions'!$F$4:$F$100003,dCrit)</f>
        <v>0</v>
      </c>
    </row>
    <row r="799" spans="2:34">
      <c r="B799" s="16" t="s">
        <v>1916</v>
      </c>
    </row>
    <row r="800" spans="2:34">
      <c r="B800" s="11" t="s">
        <v>127</v>
      </c>
      <c r="C800" s="11" t="s">
        <v>1808</v>
      </c>
      <c r="E800" s="11" t="s">
        <v>1120</v>
      </c>
      <c r="F800" s="11" t="s">
        <v>1808</v>
      </c>
      <c r="G800" s="11" t="s">
        <v>1301</v>
      </c>
      <c r="H800" s="11" t="s">
        <v>1808</v>
      </c>
      <c r="J800" s="11" t="s">
        <v>287</v>
      </c>
      <c r="K800" s="11" t="s">
        <v>1808</v>
      </c>
      <c r="M800" s="11" t="s">
        <v>1752</v>
      </c>
      <c r="N800" s="11" t="s">
        <v>1867</v>
      </c>
      <c r="P800" s="11" t="s">
        <v>129</v>
      </c>
      <c r="Q800" s="11" t="s">
        <v>1808</v>
      </c>
      <c r="R800" s="11" t="s">
        <v>1879</v>
      </c>
      <c r="S800" s="11" t="s">
        <v>1872</v>
      </c>
      <c r="U800" s="11" t="s">
        <v>1873</v>
      </c>
      <c r="V800" s="11" t="s">
        <v>3</v>
      </c>
      <c r="W800" s="11" t="s">
        <v>19</v>
      </c>
      <c r="X800" s="11" t="s">
        <v>44</v>
      </c>
      <c r="Y800" s="11" t="s">
        <v>53</v>
      </c>
      <c r="Z800" s="11" t="s">
        <v>60</v>
      </c>
      <c r="AA800" s="11" t="s">
        <v>73</v>
      </c>
      <c r="AB800" s="11" t="s">
        <v>76</v>
      </c>
      <c r="AC800" s="11" t="s">
        <v>86</v>
      </c>
      <c r="AD800" s="11" t="s">
        <v>102</v>
      </c>
      <c r="AE800" s="11" t="s">
        <v>106</v>
      </c>
      <c r="AF800" s="11" t="s">
        <v>111</v>
      </c>
      <c r="AG800" s="11" t="s">
        <v>122</v>
      </c>
      <c r="AH800" s="11" t="s">
        <v>1874</v>
      </c>
    </row>
    <row r="801" spans="2:34">
      <c r="B801" s="21" t="s">
        <v>3</v>
      </c>
      <c r="C801" s="22">
        <f>COUNTIFS('NC Management'!$D$4:$D$100003,"Jan",'NC Management'!$G$4:$G$100003,dCrit)</f>
        <v>0</v>
      </c>
      <c r="E801" s="12" t="s">
        <v>162</v>
      </c>
      <c r="F801" s="22">
        <f>COUNTIFS('NC Management'!$F$4:$F$100003,"Critical",'NC Management'!$D$4:$D$100003,mCrit,'NC Management'!$G$4:$G$100003,dCrit)</f>
        <v>0</v>
      </c>
      <c r="G801" s="12" t="s">
        <v>1252</v>
      </c>
      <c r="H801" s="22">
        <f>COUNTIFS('NC Management'!$E$4:$E$100003,"Audit Finding",'NC Management'!$D$4:$D$100003,mCrit,'NC Management'!$G$4:$G$100003,dCrit)</f>
        <v>0</v>
      </c>
      <c r="J801" s="12" t="s">
        <v>293</v>
      </c>
      <c r="K801" s="22">
        <f>COUNTIFS('NC Management'!$M$4:$M$100003,"Closed",'NC Management'!$D$4:$D$100003,mCrit,'NC Management'!$G$4:$G$100003,dCrit)</f>
        <v>0</v>
      </c>
      <c r="M801" s="12" t="s">
        <v>1868</v>
      </c>
      <c r="N801" s="22">
        <f>COUNTIFS('NC Management'!$D$4:$D$100003,mCrit,'NC Management'!$G$4:$G$100003,dCrit)</f>
        <v>0</v>
      </c>
      <c r="P801" s="12" t="s">
        <v>27</v>
      </c>
      <c r="Q801" s="22">
        <f>COUNTIFS('NC Management'!$D$4:$D$100003,mCrit,'NC Management'!$G$4:$G$100003,"Operations")</f>
        <v>0</v>
      </c>
      <c r="R801" s="23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801" s="22">
        <f>COUNTIFS('NC Management'!$D$4:$D$100003,mCrit,'NC Management'!$G$4:$G$100003,"Operations")</f>
        <v>0</v>
      </c>
      <c r="U801" s="12" t="s">
        <v>1872</v>
      </c>
      <c r="V801" s="22">
        <f>COUNTIFS('NC Management'!$D$4:$D$100003,"Jan",'NC Management'!$G$4:$G$100003,dCrit)</f>
        <v>0</v>
      </c>
      <c r="W801" s="22">
        <f>COUNTIFS('NC Management'!$D$4:$D$100003,"Feb",'NC Management'!$G$4:$G$100003,dCrit)</f>
        <v>0</v>
      </c>
      <c r="X801" s="22">
        <f>COUNTIFS('NC Management'!$D$4:$D$100003,"Mar",'NC Management'!$G$4:$G$100003,dCrit)</f>
        <v>0</v>
      </c>
      <c r="Y801" s="22">
        <f>COUNTIFS('NC Management'!$D$4:$D$100003,"Apr",'NC Management'!$G$4:$G$100003,dCrit)</f>
        <v>0</v>
      </c>
      <c r="Z801" s="22">
        <f>COUNTIFS('NC Management'!$D$4:$D$100003,"May",'NC Management'!$G$4:$G$100003,dCrit)</f>
        <v>0</v>
      </c>
      <c r="AA801" s="22">
        <f>COUNTIFS('NC Management'!$D$4:$D$100003,"Jun",'NC Management'!$G$4:$G$100003,dCrit)</f>
        <v>0</v>
      </c>
      <c r="AB801" s="22">
        <f>COUNTIFS('NC Management'!$D$4:$D$100003,"Jul",'NC Management'!$G$4:$G$100003,dCrit)</f>
        <v>0</v>
      </c>
      <c r="AC801" s="22">
        <f>COUNTIFS('NC Management'!$D$4:$D$100003,"Aug",'NC Management'!$G$4:$G$100003,dCrit)</f>
        <v>0</v>
      </c>
      <c r="AD801" s="22">
        <f>COUNTIFS('NC Management'!$D$4:$D$100003,"Sep",'NC Management'!$G$4:$G$100003,dCrit)</f>
        <v>0</v>
      </c>
      <c r="AE801" s="22">
        <f>COUNTIFS('NC Management'!$D$4:$D$100003,"Oct",'NC Management'!$G$4:$G$100003,dCrit)</f>
        <v>0</v>
      </c>
      <c r="AF801" s="22">
        <f>COUNTIFS('NC Management'!$D$4:$D$100003,"Nov",'NC Management'!$G$4:$G$100003,dCrit)</f>
        <v>0</v>
      </c>
      <c r="AG801" s="22">
        <f>COUNTIFS('NC Management'!$D$4:$D$100003,"Dec",'NC Management'!$G$4:$G$100003,dCrit)</f>
        <v>0</v>
      </c>
      <c r="AH801" s="22">
        <f>SUM(V801:AG801)</f>
        <v>0</v>
      </c>
    </row>
    <row r="802" spans="2:34">
      <c r="B802" s="21" t="s">
        <v>19</v>
      </c>
      <c r="C802" s="22">
        <f>COUNTIFS('NC Management'!$D$4:$D$100003,"Feb",'NC Management'!$G$4:$G$100003,dCrit)</f>
        <v>0</v>
      </c>
      <c r="E802" s="12" t="s">
        <v>159</v>
      </c>
      <c r="F802" s="22">
        <f>COUNTIFS('NC Management'!$F$4:$F$100003,"High",'NC Management'!$D$4:$D$100003,mCrit,'NC Management'!$G$4:$G$100003,dCrit)</f>
        <v>0</v>
      </c>
      <c r="G802" s="12" t="s">
        <v>1254</v>
      </c>
      <c r="H802" s="22">
        <f>COUNTIFS('NC Management'!$E$4:$E$100003,"Inspection Finding",'NC Management'!$D$4:$D$100003,mCrit,'NC Management'!$G$4:$G$100003,dCrit)</f>
        <v>0</v>
      </c>
      <c r="J802" s="12" t="s">
        <v>254</v>
      </c>
      <c r="K802" s="22">
        <f>COUNTIFS('NC Management'!$M$4:$M$100003,"In Progress",'NC Management'!$D$4:$D$100003,mCrit,'NC Management'!$G$4:$G$100003,dCrit)</f>
        <v>0</v>
      </c>
      <c r="M802" s="12" t="s">
        <v>1876</v>
      </c>
      <c r="N802" s="23">
        <f>IFERROR((COUNTIFS('NC Management'!$M$4:$M$100003,"Closed",'NC Management'!$D$4:$D$100003,mCrit,'NC Management'!$G$4:$G$100003,dCrit))/COUNTIFS('NC Management'!$D$4:$D$100003,mCrit,'NC Management'!$G$4:$G$100003,dCrit)*100,0)</f>
        <v>0</v>
      </c>
      <c r="P802" s="12" t="s">
        <v>92</v>
      </c>
      <c r="Q802" s="22">
        <f>COUNTIFS('NC Management'!$D$4:$D$100003,mCrit,'NC Management'!$G$4:$G$100003,"Maintenance")</f>
        <v>0</v>
      </c>
      <c r="R802" s="23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802" s="22">
        <f>COUNTIFS('NC Management'!$D$4:$D$100003,mCrit,'NC Management'!$G$4:$G$100003,"Maintenance")</f>
        <v>0</v>
      </c>
      <c r="U802" s="12" t="s">
        <v>1880</v>
      </c>
      <c r="V802" s="23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802" s="23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802" s="23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802" s="23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802" s="23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802" s="23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802" s="23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802" s="23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802" s="23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802" s="23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802" s="23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802" s="23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802" s="23">
        <f>IFERROR(AVERAGE(V802:AG802),0)</f>
        <v>0</v>
      </c>
    </row>
    <row r="803" spans="2:34">
      <c r="B803" s="21" t="s">
        <v>44</v>
      </c>
      <c r="C803" s="22">
        <f>COUNTIFS('NC Management'!$D$4:$D$100003,"Mar",'NC Management'!$G$4:$G$100003,dCrit)</f>
        <v>0</v>
      </c>
      <c r="E803" s="12" t="s">
        <v>142</v>
      </c>
      <c r="F803" s="22">
        <f>COUNTIFS('NC Management'!$F$4:$F$100003,"Medium",'NC Management'!$D$4:$D$100003,mCrit,'NC Management'!$G$4:$G$100003,dCrit)</f>
        <v>0</v>
      </c>
      <c r="G803" s="12" t="s">
        <v>1257</v>
      </c>
      <c r="H803" s="22">
        <f>COUNTIFS('NC Management'!$E$4:$E$100003,"Incident Follow-up",'NC Management'!$D$4:$D$100003,mCrit,'NC Management'!$G$4:$G$100003,dCrit)</f>
        <v>0</v>
      </c>
      <c r="J803" s="12" t="s">
        <v>297</v>
      </c>
      <c r="K803" s="22">
        <f>COUNTIFS('NC Management'!$M$4:$M$100003,"Open",'NC Management'!$D$4:$D$100003,mCrit,'NC Management'!$G$4:$G$100003,dCrit)</f>
        <v>0</v>
      </c>
      <c r="M803" s="12" t="s">
        <v>1877</v>
      </c>
      <c r="N803" s="22">
        <f>COUNTIFS('NC Management'!$M$4:$M$100003,"Open",'NC Management'!$D$4:$D$100003,mCrit,'NC Management'!$G$4:$G$100003,dCrit)+COUNTIFS('NC Management'!$M$4:$M$100003,"In Progress",'NC Management'!$D$4:$D$100003,mCrit,'NC Management'!$G$4:$G$100003,dCrit)+COUNTIFS('NC Management'!$M$4:$M$100003,"Overdue",'NC Management'!$D$4:$D$100003,mCrit,'NC Management'!$G$4:$G$100003,dCrit)</f>
        <v>0</v>
      </c>
      <c r="P803" s="12" t="s">
        <v>39</v>
      </c>
      <c r="Q803" s="22">
        <f>COUNTIFS('NC Management'!$D$4:$D$100003,mCrit,'NC Management'!$G$4:$G$100003,"Engineering")</f>
        <v>0</v>
      </c>
      <c r="R803" s="23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803" s="22">
        <f>COUNTIFS('NC Management'!$D$4:$D$100003,mCrit,'NC Management'!$G$4:$G$100003,"Engineering")</f>
        <v>0</v>
      </c>
    </row>
    <row r="804" spans="2:34">
      <c r="B804" s="21" t="s">
        <v>53</v>
      </c>
      <c r="C804" s="22">
        <f>COUNTIFS('NC Management'!$D$4:$D$100003,"Apr",'NC Management'!$G$4:$G$100003,dCrit)</f>
        <v>0</v>
      </c>
      <c r="E804" s="12" t="s">
        <v>154</v>
      </c>
      <c r="F804" s="22">
        <f>COUNTIFS('NC Management'!$F$4:$F$100003,"Low",'NC Management'!$D$4:$D$100003,mCrit,'NC Management'!$G$4:$G$100003,dCrit)</f>
        <v>0</v>
      </c>
      <c r="G804" s="12" t="s">
        <v>1246</v>
      </c>
      <c r="H804" s="22">
        <f>COUNTIFS('NC Management'!$E$4:$E$100003,"Observation",'NC Management'!$D$4:$D$100003,mCrit,'NC Management'!$G$4:$G$100003,dCrit)</f>
        <v>0</v>
      </c>
      <c r="J804" s="12" t="s">
        <v>238</v>
      </c>
      <c r="K804" s="22">
        <f>COUNTIFS('NC Management'!$M$4:$M$100003,"Overdue",'NC Management'!$D$4:$D$100003,mCrit,'NC Management'!$G$4:$G$100003,dCrit)</f>
        <v>0</v>
      </c>
      <c r="M804" s="12" t="s">
        <v>238</v>
      </c>
      <c r="N804" s="22">
        <f>COUNTIFS('NC Management'!$M$4:$M$100003,"Overdue",'NC Management'!$D$4:$D$100003,mCrit,'NC Management'!$G$4:$G$100003,dCrit)</f>
        <v>0</v>
      </c>
      <c r="P804" s="12" t="s">
        <v>89</v>
      </c>
      <c r="Q804" s="22">
        <f>COUNTIFS('NC Management'!$D$4:$D$100003,mCrit,'NC Management'!$G$4:$G$100003,"Construction")</f>
        <v>0</v>
      </c>
      <c r="R804" s="23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804" s="22">
        <f>COUNTIFS('NC Management'!$D$4:$D$100003,mCrit,'NC Management'!$G$4:$G$100003,"Construction")</f>
        <v>0</v>
      </c>
    </row>
    <row r="805" spans="2:34">
      <c r="B805" s="21" t="s">
        <v>60</v>
      </c>
      <c r="C805" s="22">
        <f>COUNTIFS('NC Management'!$D$4:$D$100003,"May",'NC Management'!$G$4:$G$100003,dCrit)</f>
        <v>0</v>
      </c>
      <c r="G805" s="12" t="s">
        <v>1248</v>
      </c>
      <c r="H805" s="22">
        <f>COUNTIFS('NC Management'!$E$4:$E$100003,"Drill Finding",'NC Management'!$D$4:$D$100003,mCrit,'NC Management'!$G$4:$G$100003,dCrit)</f>
        <v>0</v>
      </c>
      <c r="M805" s="12" t="s">
        <v>1909</v>
      </c>
      <c r="N805" s="22">
        <f>COUNTIFS('NC Management'!$F$4:$F$100003,"Critical",'NC Management'!$D$4:$D$100003,mCrit,'NC Management'!$G$4:$G$100003,dCrit)+COUNTIFS('NC Management'!$F$4:$F$100003,"High",'NC Management'!$D$4:$D$100003,mCrit,'NC Management'!$G$4:$G$100003,dCrit)</f>
        <v>0</v>
      </c>
      <c r="P805" s="12" t="s">
        <v>65</v>
      </c>
      <c r="Q805" s="22">
        <f>COUNTIFS('NC Management'!$D$4:$D$100003,mCrit,'NC Management'!$G$4:$G$100003,"Safety")</f>
        <v>0</v>
      </c>
      <c r="R805" s="23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805" s="22">
        <f>COUNTIFS('NC Management'!$D$4:$D$100003,mCrit,'NC Management'!$G$4:$G$100003,"Safety")</f>
        <v>0</v>
      </c>
    </row>
    <row r="806" spans="2:34">
      <c r="B806" s="21" t="s">
        <v>73</v>
      </c>
      <c r="C806" s="22">
        <f>COUNTIFS('NC Management'!$D$4:$D$100003,"Jun",'NC Management'!$G$4:$G$100003,dCrit)</f>
        <v>0</v>
      </c>
      <c r="G806" s="12" t="s">
        <v>1250</v>
      </c>
      <c r="H806" s="22">
        <f>COUNTIFS('NC Management'!$E$4:$E$100003,"Management Review",'NC Management'!$D$4:$D$100003,mCrit,'NC Management'!$G$4:$G$100003,dCrit)</f>
        <v>0</v>
      </c>
      <c r="P806" s="12" t="s">
        <v>5</v>
      </c>
      <c r="Q806" s="22">
        <f>COUNTIFS('NC Management'!$D$4:$D$100003,mCrit,'NC Management'!$G$4:$G$100003,"Logistics")</f>
        <v>0</v>
      </c>
      <c r="R806" s="23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806" s="22">
        <f>COUNTIFS('NC Management'!$D$4:$D$100003,mCrit,'NC Management'!$G$4:$G$100003,"Logistics")</f>
        <v>0</v>
      </c>
    </row>
    <row r="807" spans="2:34">
      <c r="B807" s="21" t="s">
        <v>76</v>
      </c>
      <c r="C807" s="22">
        <f>COUNTIFS('NC Management'!$D$4:$D$100003,"Jul",'NC Management'!$G$4:$G$100003,dCrit)</f>
        <v>0</v>
      </c>
      <c r="P807" s="12" t="s">
        <v>50</v>
      </c>
      <c r="Q807" s="22">
        <f>COUNTIFS('NC Management'!$D$4:$D$100003,mCrit,'NC Management'!$G$4:$G$100003,"Quality")</f>
        <v>0</v>
      </c>
      <c r="R807" s="23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807" s="22">
        <f>COUNTIFS('NC Management'!$D$4:$D$100003,mCrit,'NC Management'!$G$4:$G$100003,"Quality")</f>
        <v>0</v>
      </c>
    </row>
    <row r="808" spans="2:34">
      <c r="B808" s="21" t="s">
        <v>86</v>
      </c>
      <c r="C808" s="22">
        <f>COUNTIFS('NC Management'!$D$4:$D$100003,"Aug",'NC Management'!$G$4:$G$100003,dCrit)</f>
        <v>0</v>
      </c>
      <c r="P808" s="12" t="s">
        <v>46</v>
      </c>
      <c r="Q808" s="22">
        <f>COUNTIFS('NC Management'!$D$4:$D$100003,mCrit,'NC Management'!$G$4:$G$100003,"Admin")</f>
        <v>0</v>
      </c>
      <c r="R808" s="23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808" s="22">
        <f>COUNTIFS('NC Management'!$D$4:$D$100003,mCrit,'NC Management'!$G$4:$G$100003,"Admin")</f>
        <v>0</v>
      </c>
    </row>
    <row r="809" spans="2:34">
      <c r="B809" s="21" t="s">
        <v>102</v>
      </c>
      <c r="C809" s="22">
        <f>COUNTIFS('NC Management'!$D$4:$D$100003,"Sep",'NC Management'!$G$4:$G$100003,dCrit)</f>
        <v>0</v>
      </c>
      <c r="P809" s="12" t="s">
        <v>13</v>
      </c>
      <c r="Q809" s="22">
        <f>COUNTIFS('NC Management'!$D$4:$D$100003,mCrit,'NC Management'!$G$4:$G$100003,"Projects")</f>
        <v>0</v>
      </c>
      <c r="R809" s="23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809" s="22">
        <f>COUNTIFS('NC Management'!$D$4:$D$100003,mCrit,'NC Management'!$G$4:$G$100003,"Projects")</f>
        <v>0</v>
      </c>
    </row>
    <row r="810" spans="2:34">
      <c r="B810" s="21" t="s">
        <v>106</v>
      </c>
      <c r="C810" s="22">
        <f>COUNTIFS('NC Management'!$D$4:$D$100003,"Oct",'NC Management'!$G$4:$G$100003,dCrit)</f>
        <v>0</v>
      </c>
      <c r="P810" s="12" t="s">
        <v>58</v>
      </c>
      <c r="Q810" s="22">
        <f>COUNTIFS('NC Management'!$D$4:$D$100003,mCrit,'NC Management'!$G$4:$G$100003,"Contractor")</f>
        <v>0</v>
      </c>
      <c r="R810" s="23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810" s="22">
        <f>COUNTIFS('NC Management'!$D$4:$D$100003,mCrit,'NC Management'!$G$4:$G$100003,"Contractor")</f>
        <v>0</v>
      </c>
    </row>
    <row r="811" spans="2:34">
      <c r="B811" s="21" t="s">
        <v>111</v>
      </c>
      <c r="C811" s="22">
        <f>COUNTIFS('NC Management'!$D$4:$D$100003,"Nov",'NC Management'!$G$4:$G$100003,dCrit)</f>
        <v>0</v>
      </c>
    </row>
    <row r="812" spans="2:34">
      <c r="B812" s="21" t="s">
        <v>122</v>
      </c>
      <c r="C812" s="22">
        <f>COUNTIFS('NC Management'!$D$4:$D$100003,"Dec",'NC Management'!$G$4:$G$100003,dCrit)</f>
        <v>0</v>
      </c>
    </row>
    <row r="825" spans="2:34">
      <c r="B825" s="16" t="s">
        <v>1917</v>
      </c>
    </row>
    <row r="826" spans="2:34">
      <c r="B826" s="11" t="s">
        <v>127</v>
      </c>
      <c r="C826" s="11" t="s">
        <v>1808</v>
      </c>
      <c r="E826" s="11" t="s">
        <v>210</v>
      </c>
      <c r="F826" s="11" t="s">
        <v>1808</v>
      </c>
      <c r="G826" s="11" t="s">
        <v>352</v>
      </c>
      <c r="H826" s="11" t="s">
        <v>1808</v>
      </c>
      <c r="J826" s="11" t="s">
        <v>287</v>
      </c>
      <c r="K826" s="11" t="s">
        <v>1808</v>
      </c>
      <c r="M826" s="11" t="s">
        <v>1752</v>
      </c>
      <c r="N826" s="11" t="s">
        <v>1867</v>
      </c>
      <c r="P826" s="11" t="s">
        <v>129</v>
      </c>
      <c r="Q826" s="11" t="s">
        <v>1808</v>
      </c>
      <c r="R826" s="11" t="s">
        <v>1879</v>
      </c>
      <c r="S826" s="11" t="s">
        <v>1872</v>
      </c>
      <c r="U826" s="11" t="s">
        <v>1873</v>
      </c>
      <c r="V826" s="11" t="s">
        <v>3</v>
      </c>
      <c r="W826" s="11" t="s">
        <v>19</v>
      </c>
      <c r="X826" s="11" t="s">
        <v>44</v>
      </c>
      <c r="Y826" s="11" t="s">
        <v>53</v>
      </c>
      <c r="Z826" s="11" t="s">
        <v>60</v>
      </c>
      <c r="AA826" s="11" t="s">
        <v>73</v>
      </c>
      <c r="AB826" s="11" t="s">
        <v>76</v>
      </c>
      <c r="AC826" s="11" t="s">
        <v>86</v>
      </c>
      <c r="AD826" s="11" t="s">
        <v>102</v>
      </c>
      <c r="AE826" s="11" t="s">
        <v>106</v>
      </c>
      <c r="AF826" s="11" t="s">
        <v>111</v>
      </c>
      <c r="AG826" s="11" t="s">
        <v>122</v>
      </c>
      <c r="AH826" s="11" t="s">
        <v>1874</v>
      </c>
    </row>
    <row r="827" spans="2:34">
      <c r="B827" s="21" t="s">
        <v>3</v>
      </c>
      <c r="C827" s="22">
        <f>COUNTIFS('Unsafe Acts'!$D$4:$D$100003,"Jan",'Unsafe Acts'!$F$4:$F$100003,dCrit)</f>
        <v>0</v>
      </c>
      <c r="E827" s="12" t="s">
        <v>162</v>
      </c>
      <c r="F827" s="22">
        <f>COUNTIFS('Unsafe Acts'!$I$4:$I$100003,"Critical",'Unsafe Acts'!$D$4:$D$100003,mCrit,'Unsafe Acts'!$F$4:$F$100003,dCrit)</f>
        <v>0</v>
      </c>
      <c r="G827" s="12" t="s">
        <v>1368</v>
      </c>
      <c r="H827" s="22">
        <f>COUNTIFS('Unsafe Acts'!$E$4:$E$100003,"Operating Without Authorization",'Unsafe Acts'!$D$4:$D$100003,mCrit,'Unsafe Acts'!$F$4:$F$100003,dCrit)</f>
        <v>0</v>
      </c>
      <c r="J827" s="12" t="s">
        <v>293</v>
      </c>
      <c r="K827" s="22">
        <f>COUNTIFS('Unsafe Acts'!$M$4:$M$100003,"Closed",'Unsafe Acts'!$D$4:$D$100003,mCrit,'Unsafe Acts'!$F$4:$F$100003,dCrit)</f>
        <v>0</v>
      </c>
      <c r="M827" s="12" t="s">
        <v>1868</v>
      </c>
      <c r="N827" s="22">
        <f>COUNTIFS('Unsafe Acts'!$D$4:$D$100003,mCrit,'Unsafe Acts'!$F$4:$F$100003,dCrit)</f>
        <v>0</v>
      </c>
      <c r="P827" s="12" t="s">
        <v>27</v>
      </c>
      <c r="Q827" s="22">
        <f>COUNTIFS('Unsafe Acts'!$D$4:$D$100003,mCrit,'Unsafe Acts'!$F$4:$F$100003,"Operations")</f>
        <v>0</v>
      </c>
      <c r="R827" s="23">
        <f>IFERROR((COUNTIFS('Unsafe Acts'!$M$4:$M$100003,"Closed",'Unsafe Acts'!$D$4:$D$100003,mCrit,'Unsafe Acts'!$F$4:$F$100003,"Operations"))/COUNTIFS('Unsafe Acts'!$D$4:$D$100003,mCrit,'Unsafe Acts'!$F$4:$F$100003,"Operations")*100,0)</f>
        <v>0</v>
      </c>
      <c r="S827" s="22">
        <f>COUNTIFS('Unsafe Acts'!$D$4:$D$100003,mCrit,'Unsafe Acts'!$F$4:$F$100003,"Operations")</f>
        <v>0</v>
      </c>
      <c r="U827" s="12" t="s">
        <v>1872</v>
      </c>
      <c r="V827" s="22">
        <f>COUNTIFS('Unsafe Acts'!$D$4:$D$100003,"Jan",'Unsafe Acts'!$F$4:$F$100003,dCrit)</f>
        <v>0</v>
      </c>
      <c r="W827" s="22">
        <f>COUNTIFS('Unsafe Acts'!$D$4:$D$100003,"Feb",'Unsafe Acts'!$F$4:$F$100003,dCrit)</f>
        <v>0</v>
      </c>
      <c r="X827" s="22">
        <f>COUNTIFS('Unsafe Acts'!$D$4:$D$100003,"Mar",'Unsafe Acts'!$F$4:$F$100003,dCrit)</f>
        <v>0</v>
      </c>
      <c r="Y827" s="22">
        <f>COUNTIFS('Unsafe Acts'!$D$4:$D$100003,"Apr",'Unsafe Acts'!$F$4:$F$100003,dCrit)</f>
        <v>0</v>
      </c>
      <c r="Z827" s="22">
        <f>COUNTIFS('Unsafe Acts'!$D$4:$D$100003,"May",'Unsafe Acts'!$F$4:$F$100003,dCrit)</f>
        <v>0</v>
      </c>
      <c r="AA827" s="22">
        <f>COUNTIFS('Unsafe Acts'!$D$4:$D$100003,"Jun",'Unsafe Acts'!$F$4:$F$100003,dCrit)</f>
        <v>0</v>
      </c>
      <c r="AB827" s="22">
        <f>COUNTIFS('Unsafe Acts'!$D$4:$D$100003,"Jul",'Unsafe Acts'!$F$4:$F$100003,dCrit)</f>
        <v>0</v>
      </c>
      <c r="AC827" s="22">
        <f>COUNTIFS('Unsafe Acts'!$D$4:$D$100003,"Aug",'Unsafe Acts'!$F$4:$F$100003,dCrit)</f>
        <v>0</v>
      </c>
      <c r="AD827" s="22">
        <f>COUNTIFS('Unsafe Acts'!$D$4:$D$100003,"Sep",'Unsafe Acts'!$F$4:$F$100003,dCrit)</f>
        <v>0</v>
      </c>
      <c r="AE827" s="22">
        <f>COUNTIFS('Unsafe Acts'!$D$4:$D$100003,"Oct",'Unsafe Acts'!$F$4:$F$100003,dCrit)</f>
        <v>0</v>
      </c>
      <c r="AF827" s="22">
        <f>COUNTIFS('Unsafe Acts'!$D$4:$D$100003,"Nov",'Unsafe Acts'!$F$4:$F$100003,dCrit)</f>
        <v>0</v>
      </c>
      <c r="AG827" s="22">
        <f>COUNTIFS('Unsafe Acts'!$D$4:$D$100003,"Dec",'Unsafe Acts'!$F$4:$F$100003,dCrit)</f>
        <v>0</v>
      </c>
      <c r="AH827" s="22">
        <f>SUM(V827:AG827)</f>
        <v>0</v>
      </c>
    </row>
    <row r="828" spans="2:34">
      <c r="B828" s="21" t="s">
        <v>19</v>
      </c>
      <c r="C828" s="22">
        <f>COUNTIFS('Unsafe Acts'!$D$4:$D$100003,"Feb",'Unsafe Acts'!$F$4:$F$100003,dCrit)</f>
        <v>0</v>
      </c>
      <c r="E828" s="12" t="s">
        <v>159</v>
      </c>
      <c r="F828" s="22">
        <f>COUNTIFS('Unsafe Acts'!$I$4:$I$100003,"High",'Unsafe Acts'!$D$4:$D$100003,mCrit,'Unsafe Acts'!$F$4:$F$100003,dCrit)</f>
        <v>0</v>
      </c>
      <c r="G828" s="12" t="s">
        <v>1370</v>
      </c>
      <c r="H828" s="22">
        <f>COUNTIFS('Unsafe Acts'!$E$4:$E$100003,"Improper Lifting Technique",'Unsafe Acts'!$D$4:$D$100003,mCrit,'Unsafe Acts'!$F$4:$F$100003,dCrit)</f>
        <v>0</v>
      </c>
      <c r="J828" s="12" t="s">
        <v>254</v>
      </c>
      <c r="K828" s="22">
        <f>COUNTIFS('Unsafe Acts'!$M$4:$M$100003,"In Progress",'Unsafe Acts'!$D$4:$D$100003,mCrit,'Unsafe Acts'!$F$4:$F$100003,dCrit)</f>
        <v>0</v>
      </c>
      <c r="M828" s="12" t="s">
        <v>1876</v>
      </c>
      <c r="N828" s="23">
        <f>IFERROR((COUNTIFS('Unsafe Acts'!$M$4:$M$100003,"Closed",'Unsafe Acts'!$D$4:$D$100003,mCrit,'Unsafe Acts'!$F$4:$F$100003,dCrit))/COUNTIFS('Unsafe Acts'!$D$4:$D$100003,mCrit,'Unsafe Acts'!$F$4:$F$100003,dCrit)*100,0)</f>
        <v>0</v>
      </c>
      <c r="P828" s="12" t="s">
        <v>92</v>
      </c>
      <c r="Q828" s="22">
        <f>COUNTIFS('Unsafe Acts'!$D$4:$D$100003,mCrit,'Unsafe Acts'!$F$4:$F$100003,"Maintenance")</f>
        <v>0</v>
      </c>
      <c r="R828" s="23">
        <f>IFERROR((COUNTIFS('Unsafe Acts'!$M$4:$M$100003,"Closed",'Unsafe Acts'!$D$4:$D$100003,mCrit,'Unsafe Acts'!$F$4:$F$100003,"Maintenance"))/COUNTIFS('Unsafe Acts'!$D$4:$D$100003,mCrit,'Unsafe Acts'!$F$4:$F$100003,"Maintenance")*100,0)</f>
        <v>0</v>
      </c>
      <c r="S828" s="22">
        <f>COUNTIFS('Unsafe Acts'!$D$4:$D$100003,mCrit,'Unsafe Acts'!$F$4:$F$100003,"Maintenance")</f>
        <v>0</v>
      </c>
      <c r="U828" s="12" t="s">
        <v>1880</v>
      </c>
      <c r="V828" s="23">
        <f>IFERROR((COUNTIFS('Unsafe Acts'!$M$4:$M$100003,"Closed",'Unsafe Acts'!$D$4:$D$100003,"Jan",'Unsafe Acts'!$F$4:$F$100003,dCrit))/COUNTIFS('Unsafe Acts'!$D$4:$D$100003,"Jan",'Unsafe Acts'!$F$4:$F$100003,dCrit)*100,0)</f>
        <v>0</v>
      </c>
      <c r="W828" s="23">
        <f>IFERROR((COUNTIFS('Unsafe Acts'!$M$4:$M$100003,"Closed",'Unsafe Acts'!$D$4:$D$100003,"Feb",'Unsafe Acts'!$F$4:$F$100003,dCrit))/COUNTIFS('Unsafe Acts'!$D$4:$D$100003,"Feb",'Unsafe Acts'!$F$4:$F$100003,dCrit)*100,0)</f>
        <v>0</v>
      </c>
      <c r="X828" s="23">
        <f>IFERROR((COUNTIFS('Unsafe Acts'!$M$4:$M$100003,"Closed",'Unsafe Acts'!$D$4:$D$100003,"Mar",'Unsafe Acts'!$F$4:$F$100003,dCrit))/COUNTIFS('Unsafe Acts'!$D$4:$D$100003,"Mar",'Unsafe Acts'!$F$4:$F$100003,dCrit)*100,0)</f>
        <v>0</v>
      </c>
      <c r="Y828" s="23">
        <f>IFERROR((COUNTIFS('Unsafe Acts'!$M$4:$M$100003,"Closed",'Unsafe Acts'!$D$4:$D$100003,"Apr",'Unsafe Acts'!$F$4:$F$100003,dCrit))/COUNTIFS('Unsafe Acts'!$D$4:$D$100003,"Apr",'Unsafe Acts'!$F$4:$F$100003,dCrit)*100,0)</f>
        <v>0</v>
      </c>
      <c r="Z828" s="23">
        <f>IFERROR((COUNTIFS('Unsafe Acts'!$M$4:$M$100003,"Closed",'Unsafe Acts'!$D$4:$D$100003,"May",'Unsafe Acts'!$F$4:$F$100003,dCrit))/COUNTIFS('Unsafe Acts'!$D$4:$D$100003,"May",'Unsafe Acts'!$F$4:$F$100003,dCrit)*100,0)</f>
        <v>0</v>
      </c>
      <c r="AA828" s="23">
        <f>IFERROR((COUNTIFS('Unsafe Acts'!$M$4:$M$100003,"Closed",'Unsafe Acts'!$D$4:$D$100003,"Jun",'Unsafe Acts'!$F$4:$F$100003,dCrit))/COUNTIFS('Unsafe Acts'!$D$4:$D$100003,"Jun",'Unsafe Acts'!$F$4:$F$100003,dCrit)*100,0)</f>
        <v>0</v>
      </c>
      <c r="AB828" s="23">
        <f>IFERROR((COUNTIFS('Unsafe Acts'!$M$4:$M$100003,"Closed",'Unsafe Acts'!$D$4:$D$100003,"Jul",'Unsafe Acts'!$F$4:$F$100003,dCrit))/COUNTIFS('Unsafe Acts'!$D$4:$D$100003,"Jul",'Unsafe Acts'!$F$4:$F$100003,dCrit)*100,0)</f>
        <v>0</v>
      </c>
      <c r="AC828" s="23">
        <f>IFERROR((COUNTIFS('Unsafe Acts'!$M$4:$M$100003,"Closed",'Unsafe Acts'!$D$4:$D$100003,"Aug",'Unsafe Acts'!$F$4:$F$100003,dCrit))/COUNTIFS('Unsafe Acts'!$D$4:$D$100003,"Aug",'Unsafe Acts'!$F$4:$F$100003,dCrit)*100,0)</f>
        <v>0</v>
      </c>
      <c r="AD828" s="23">
        <f>IFERROR((COUNTIFS('Unsafe Acts'!$M$4:$M$100003,"Closed",'Unsafe Acts'!$D$4:$D$100003,"Sep",'Unsafe Acts'!$F$4:$F$100003,dCrit))/COUNTIFS('Unsafe Acts'!$D$4:$D$100003,"Sep",'Unsafe Acts'!$F$4:$F$100003,dCrit)*100,0)</f>
        <v>0</v>
      </c>
      <c r="AE828" s="23">
        <f>IFERROR((COUNTIFS('Unsafe Acts'!$M$4:$M$100003,"Closed",'Unsafe Acts'!$D$4:$D$100003,"Oct",'Unsafe Acts'!$F$4:$F$100003,dCrit))/COUNTIFS('Unsafe Acts'!$D$4:$D$100003,"Oct",'Unsafe Acts'!$F$4:$F$100003,dCrit)*100,0)</f>
        <v>0</v>
      </c>
      <c r="AF828" s="23">
        <f>IFERROR((COUNTIFS('Unsafe Acts'!$M$4:$M$100003,"Closed",'Unsafe Acts'!$D$4:$D$100003,"Nov",'Unsafe Acts'!$F$4:$F$100003,dCrit))/COUNTIFS('Unsafe Acts'!$D$4:$D$100003,"Nov",'Unsafe Acts'!$F$4:$F$100003,dCrit)*100,0)</f>
        <v>0</v>
      </c>
      <c r="AG828" s="23">
        <f>IFERROR((COUNTIFS('Unsafe Acts'!$M$4:$M$100003,"Closed",'Unsafe Acts'!$D$4:$D$100003,"Dec",'Unsafe Acts'!$F$4:$F$100003,dCrit))/COUNTIFS('Unsafe Acts'!$D$4:$D$100003,"Dec",'Unsafe Acts'!$F$4:$F$100003,dCrit)*100,0)</f>
        <v>0</v>
      </c>
      <c r="AH828" s="23">
        <f>IFERROR(AVERAGE(V828:AG828),0)</f>
        <v>0</v>
      </c>
    </row>
    <row r="829" spans="2:34">
      <c r="B829" s="21" t="s">
        <v>44</v>
      </c>
      <c r="C829" s="22">
        <f>COUNTIFS('Unsafe Acts'!$D$4:$D$100003,"Mar",'Unsafe Acts'!$F$4:$F$100003,dCrit)</f>
        <v>0</v>
      </c>
      <c r="E829" s="12" t="s">
        <v>142</v>
      </c>
      <c r="F829" s="22">
        <f>COUNTIFS('Unsafe Acts'!$I$4:$I$100003,"Medium",'Unsafe Acts'!$D$4:$D$100003,mCrit,'Unsafe Acts'!$F$4:$F$100003,dCrit)</f>
        <v>0</v>
      </c>
      <c r="G829" s="12" t="s">
        <v>1372</v>
      </c>
      <c r="H829" s="22">
        <f>COUNTIFS('Unsafe Acts'!$E$4:$E$100003,"Wrong Tool for the Job",'Unsafe Acts'!$D$4:$D$100003,mCrit,'Unsafe Acts'!$F$4:$F$100003,dCrit)</f>
        <v>0</v>
      </c>
      <c r="J829" s="12" t="s">
        <v>297</v>
      </c>
      <c r="K829" s="22">
        <f>COUNTIFS('Unsafe Acts'!$M$4:$M$100003,"Open",'Unsafe Acts'!$D$4:$D$100003,mCrit,'Unsafe Acts'!$F$4:$F$100003,dCrit)</f>
        <v>0</v>
      </c>
      <c r="M829" s="12" t="s">
        <v>1877</v>
      </c>
      <c r="N829" s="22">
        <f>COUNTIFS('Unsafe Acts'!$M$4:$M$100003,"Open",'Unsafe Acts'!$D$4:$D$100003,mCrit,'Unsafe Acts'!$F$4:$F$100003,dCrit)+COUNTIFS('Unsafe Acts'!$M$4:$M$100003,"In Progress",'Unsafe Acts'!$D$4:$D$100003,mCrit,'Unsafe Acts'!$F$4:$F$100003,dCrit)+COUNTIFS('Unsafe Acts'!$M$4:$M$100003,"Overdue",'Unsafe Acts'!$D$4:$D$100003,mCrit,'Unsafe Acts'!$F$4:$F$100003,dCrit)</f>
        <v>0</v>
      </c>
      <c r="P829" s="12" t="s">
        <v>39</v>
      </c>
      <c r="Q829" s="22">
        <f>COUNTIFS('Unsafe Acts'!$D$4:$D$100003,mCrit,'Unsafe Acts'!$F$4:$F$100003,"Engineering")</f>
        <v>0</v>
      </c>
      <c r="R829" s="23">
        <f>IFERROR((COUNTIFS('Unsafe Acts'!$M$4:$M$100003,"Closed",'Unsafe Acts'!$D$4:$D$100003,mCrit,'Unsafe Acts'!$F$4:$F$100003,"Engineering"))/COUNTIFS('Unsafe Acts'!$D$4:$D$100003,mCrit,'Unsafe Acts'!$F$4:$F$100003,"Engineering")*100,0)</f>
        <v>0</v>
      </c>
      <c r="S829" s="22">
        <f>COUNTIFS('Unsafe Acts'!$D$4:$D$100003,mCrit,'Unsafe Acts'!$F$4:$F$100003,"Engineering")</f>
        <v>0</v>
      </c>
    </row>
    <row r="830" spans="2:34">
      <c r="B830" s="21" t="s">
        <v>53</v>
      </c>
      <c r="C830" s="22">
        <f>COUNTIFS('Unsafe Acts'!$D$4:$D$100003,"Apr",'Unsafe Acts'!$F$4:$F$100003,dCrit)</f>
        <v>0</v>
      </c>
      <c r="E830" s="12" t="s">
        <v>154</v>
      </c>
      <c r="F830" s="22">
        <f>COUNTIFS('Unsafe Acts'!$I$4:$I$100003,"Low",'Unsafe Acts'!$D$4:$D$100003,mCrit,'Unsafe Acts'!$F$4:$F$100003,dCrit)</f>
        <v>0</v>
      </c>
      <c r="G830" s="12" t="s">
        <v>1375</v>
      </c>
      <c r="H830" s="22">
        <f>COUNTIFS('Unsafe Acts'!$E$4:$E$100003,"Horseplay",'Unsafe Acts'!$D$4:$D$100003,mCrit,'Unsafe Acts'!$F$4:$F$100003,dCrit)</f>
        <v>0</v>
      </c>
      <c r="J830" s="12" t="s">
        <v>238</v>
      </c>
      <c r="K830" s="22">
        <f>COUNTIFS('Unsafe Acts'!$M$4:$M$100003,"Overdue",'Unsafe Acts'!$D$4:$D$100003,mCrit,'Unsafe Acts'!$F$4:$F$100003,dCrit)</f>
        <v>0</v>
      </c>
      <c r="M830" s="12" t="s">
        <v>238</v>
      </c>
      <c r="N830" s="22">
        <f>COUNTIFS('Unsafe Acts'!$M$4:$M$100003,"Overdue",'Unsafe Acts'!$D$4:$D$100003,mCrit,'Unsafe Acts'!$F$4:$F$100003,dCrit)</f>
        <v>0</v>
      </c>
      <c r="P830" s="12" t="s">
        <v>89</v>
      </c>
      <c r="Q830" s="22">
        <f>COUNTIFS('Unsafe Acts'!$D$4:$D$100003,mCrit,'Unsafe Acts'!$F$4:$F$100003,"Construction")</f>
        <v>0</v>
      </c>
      <c r="R830" s="23">
        <f>IFERROR((COUNTIFS('Unsafe Acts'!$M$4:$M$100003,"Closed",'Unsafe Acts'!$D$4:$D$100003,mCrit,'Unsafe Acts'!$F$4:$F$100003,"Construction"))/COUNTIFS('Unsafe Acts'!$D$4:$D$100003,mCrit,'Unsafe Acts'!$F$4:$F$100003,"Construction")*100,0)</f>
        <v>0</v>
      </c>
      <c r="S830" s="22">
        <f>COUNTIFS('Unsafe Acts'!$D$4:$D$100003,mCrit,'Unsafe Acts'!$F$4:$F$100003,"Construction")</f>
        <v>0</v>
      </c>
    </row>
    <row r="831" spans="2:34">
      <c r="B831" s="21" t="s">
        <v>60</v>
      </c>
      <c r="C831" s="22">
        <f>COUNTIFS('Unsafe Acts'!$D$4:$D$100003,"May",'Unsafe Acts'!$F$4:$F$100003,dCrit)</f>
        <v>0</v>
      </c>
      <c r="G831" s="12" t="s">
        <v>1377</v>
      </c>
      <c r="H831" s="22">
        <f>COUNTIFS('Unsafe Acts'!$E$4:$E$100003,"Not Using PPE",'Unsafe Acts'!$D$4:$D$100003,mCrit,'Unsafe Acts'!$F$4:$F$100003,dCrit)</f>
        <v>0</v>
      </c>
      <c r="M831" s="12" t="s">
        <v>1886</v>
      </c>
      <c r="N831" s="22">
        <f>COUNTIFS('Unsafe Acts'!$I$4:$I$100003,"Critical",'Unsafe Acts'!$D$4:$D$100003,mCrit,'Unsafe Acts'!$F$4:$F$100003,dCrit)+COUNTIFS('Unsafe Acts'!$I$4:$I$100003,"High",'Unsafe Acts'!$D$4:$D$100003,mCrit,'Unsafe Acts'!$F$4:$F$100003,dCrit)</f>
        <v>0</v>
      </c>
      <c r="P831" s="12" t="s">
        <v>65</v>
      </c>
      <c r="Q831" s="22">
        <f>COUNTIFS('Unsafe Acts'!$D$4:$D$100003,mCrit,'Unsafe Acts'!$F$4:$F$100003,"Safety")</f>
        <v>0</v>
      </c>
      <c r="R831" s="23">
        <f>IFERROR((COUNTIFS('Unsafe Acts'!$M$4:$M$100003,"Closed",'Unsafe Acts'!$D$4:$D$100003,mCrit,'Unsafe Acts'!$F$4:$F$100003,"Safety"))/COUNTIFS('Unsafe Acts'!$D$4:$D$100003,mCrit,'Unsafe Acts'!$F$4:$F$100003,"Safety")*100,0)</f>
        <v>0</v>
      </c>
      <c r="S831" s="22">
        <f>COUNTIFS('Unsafe Acts'!$D$4:$D$100003,mCrit,'Unsafe Acts'!$F$4:$F$100003,"Safety")</f>
        <v>0</v>
      </c>
    </row>
    <row r="832" spans="2:34">
      <c r="B832" s="21" t="s">
        <v>73</v>
      </c>
      <c r="C832" s="22">
        <f>COUNTIFS('Unsafe Acts'!$D$4:$D$100003,"Jun",'Unsafe Acts'!$F$4:$F$100003,dCrit)</f>
        <v>0</v>
      </c>
      <c r="G832" s="12" t="s">
        <v>1379</v>
      </c>
      <c r="H832" s="22">
        <f>COUNTIFS('Unsafe Acts'!$E$4:$E$100003,"Bypassing Safety Device",'Unsafe Acts'!$D$4:$D$100003,mCrit,'Unsafe Acts'!$F$4:$F$100003,dCrit)</f>
        <v>0</v>
      </c>
      <c r="P832" s="12" t="s">
        <v>5</v>
      </c>
      <c r="Q832" s="22">
        <f>COUNTIFS('Unsafe Acts'!$D$4:$D$100003,mCrit,'Unsafe Acts'!$F$4:$F$100003,"Logistics")</f>
        <v>0</v>
      </c>
      <c r="R832" s="23">
        <f>IFERROR((COUNTIFS('Unsafe Acts'!$M$4:$M$100003,"Closed",'Unsafe Acts'!$D$4:$D$100003,mCrit,'Unsafe Acts'!$F$4:$F$100003,"Logistics"))/COUNTIFS('Unsafe Acts'!$D$4:$D$100003,mCrit,'Unsafe Acts'!$F$4:$F$100003,"Logistics")*100,0)</f>
        <v>0</v>
      </c>
      <c r="S832" s="22">
        <f>COUNTIFS('Unsafe Acts'!$D$4:$D$100003,mCrit,'Unsafe Acts'!$F$4:$F$100003,"Logistics")</f>
        <v>0</v>
      </c>
    </row>
    <row r="833" spans="2:19">
      <c r="B833" s="21" t="s">
        <v>76</v>
      </c>
      <c r="C833" s="22">
        <f>COUNTIFS('Unsafe Acts'!$D$4:$D$100003,"Jul",'Unsafe Acts'!$F$4:$F$100003,dCrit)</f>
        <v>0</v>
      </c>
      <c r="G833" s="12" t="s">
        <v>1381</v>
      </c>
      <c r="H833" s="22">
        <f>COUNTIFS('Unsafe Acts'!$E$4:$E$100003,"Using Defective Equipment",'Unsafe Acts'!$D$4:$D$100003,mCrit,'Unsafe Acts'!$F$4:$F$100003,dCrit)</f>
        <v>0</v>
      </c>
      <c r="P833" s="12" t="s">
        <v>50</v>
      </c>
      <c r="Q833" s="22">
        <f>COUNTIFS('Unsafe Acts'!$D$4:$D$100003,mCrit,'Unsafe Acts'!$F$4:$F$100003,"Quality")</f>
        <v>0</v>
      </c>
      <c r="R833" s="23">
        <f>IFERROR((COUNTIFS('Unsafe Acts'!$M$4:$M$100003,"Closed",'Unsafe Acts'!$D$4:$D$100003,mCrit,'Unsafe Acts'!$F$4:$F$100003,"Quality"))/COUNTIFS('Unsafe Acts'!$D$4:$D$100003,mCrit,'Unsafe Acts'!$F$4:$F$100003,"Quality")*100,0)</f>
        <v>0</v>
      </c>
      <c r="S833" s="22">
        <f>COUNTIFS('Unsafe Acts'!$D$4:$D$100003,mCrit,'Unsafe Acts'!$F$4:$F$100003,"Quality")</f>
        <v>0</v>
      </c>
    </row>
    <row r="834" spans="2:19">
      <c r="B834" s="21" t="s">
        <v>86</v>
      </c>
      <c r="C834" s="22">
        <f>COUNTIFS('Unsafe Acts'!$D$4:$D$100003,"Aug",'Unsafe Acts'!$F$4:$F$100003,dCrit)</f>
        <v>0</v>
      </c>
      <c r="G834" s="12" t="s">
        <v>1384</v>
      </c>
      <c r="H834" s="22">
        <f>COUNTIFS('Unsafe Acts'!$E$4:$E$100003,"Working Without Permit",'Unsafe Acts'!$D$4:$D$100003,mCrit,'Unsafe Acts'!$F$4:$F$100003,dCrit)</f>
        <v>0</v>
      </c>
      <c r="P834" s="12" t="s">
        <v>46</v>
      </c>
      <c r="Q834" s="22">
        <f>COUNTIFS('Unsafe Acts'!$D$4:$D$100003,mCrit,'Unsafe Acts'!$F$4:$F$100003,"Admin")</f>
        <v>0</v>
      </c>
      <c r="R834" s="23">
        <f>IFERROR((COUNTIFS('Unsafe Acts'!$M$4:$M$100003,"Closed",'Unsafe Acts'!$D$4:$D$100003,mCrit,'Unsafe Acts'!$F$4:$F$100003,"Admin"))/COUNTIFS('Unsafe Acts'!$D$4:$D$100003,mCrit,'Unsafe Acts'!$F$4:$F$100003,"Admin")*100,0)</f>
        <v>0</v>
      </c>
      <c r="S834" s="22">
        <f>COUNTIFS('Unsafe Acts'!$D$4:$D$100003,mCrit,'Unsafe Acts'!$F$4:$F$100003,"Admin")</f>
        <v>0</v>
      </c>
    </row>
    <row r="835" spans="2:19">
      <c r="B835" s="21" t="s">
        <v>102</v>
      </c>
      <c r="C835" s="22">
        <f>COUNTIFS('Unsafe Acts'!$D$4:$D$100003,"Sep",'Unsafe Acts'!$F$4:$F$100003,dCrit)</f>
        <v>0</v>
      </c>
      <c r="P835" s="12" t="s">
        <v>13</v>
      </c>
      <c r="Q835" s="22">
        <f>COUNTIFS('Unsafe Acts'!$D$4:$D$100003,mCrit,'Unsafe Acts'!$F$4:$F$100003,"Projects")</f>
        <v>0</v>
      </c>
      <c r="R835" s="23">
        <f>IFERROR((COUNTIFS('Unsafe Acts'!$M$4:$M$100003,"Closed",'Unsafe Acts'!$D$4:$D$100003,mCrit,'Unsafe Acts'!$F$4:$F$100003,"Projects"))/COUNTIFS('Unsafe Acts'!$D$4:$D$100003,mCrit,'Unsafe Acts'!$F$4:$F$100003,"Projects")*100,0)</f>
        <v>0</v>
      </c>
      <c r="S835" s="22">
        <f>COUNTIFS('Unsafe Acts'!$D$4:$D$100003,mCrit,'Unsafe Acts'!$F$4:$F$100003,"Projects")</f>
        <v>0</v>
      </c>
    </row>
    <row r="836" spans="2:19">
      <c r="B836" s="21" t="s">
        <v>106</v>
      </c>
      <c r="C836" s="22">
        <f>COUNTIFS('Unsafe Acts'!$D$4:$D$100003,"Oct",'Unsafe Acts'!$F$4:$F$100003,dCrit)</f>
        <v>0</v>
      </c>
      <c r="P836" s="12" t="s">
        <v>58</v>
      </c>
      <c r="Q836" s="22">
        <f>COUNTIFS('Unsafe Acts'!$D$4:$D$100003,mCrit,'Unsafe Acts'!$F$4:$F$100003,"Contractor")</f>
        <v>0</v>
      </c>
      <c r="R836" s="23">
        <f>IFERROR((COUNTIFS('Unsafe Acts'!$M$4:$M$100003,"Closed",'Unsafe Acts'!$D$4:$D$100003,mCrit,'Unsafe Acts'!$F$4:$F$100003,"Contractor"))/COUNTIFS('Unsafe Acts'!$D$4:$D$100003,mCrit,'Unsafe Acts'!$F$4:$F$100003,"Contractor")*100,0)</f>
        <v>0</v>
      </c>
      <c r="S836" s="22">
        <f>COUNTIFS('Unsafe Acts'!$D$4:$D$100003,mCrit,'Unsafe Acts'!$F$4:$F$100003,"Contractor")</f>
        <v>0</v>
      </c>
    </row>
    <row r="837" spans="2:19">
      <c r="B837" s="21" t="s">
        <v>111</v>
      </c>
      <c r="C837" s="22">
        <f>COUNTIFS('Unsafe Acts'!$D$4:$D$100003,"Nov",'Unsafe Acts'!$F$4:$F$100003,dCrit)</f>
        <v>0</v>
      </c>
    </row>
    <row r="838" spans="2:19">
      <c r="B838" s="21" t="s">
        <v>122</v>
      </c>
      <c r="C838" s="22">
        <f>COUNTIFS('Unsafe Acts'!$D$4:$D$100003,"Dec",'Unsafe Acts'!$F$4:$F$100003,dCrit)</f>
        <v>0</v>
      </c>
    </row>
    <row r="851" spans="2:34">
      <c r="B851" s="16" t="s">
        <v>1918</v>
      </c>
    </row>
    <row r="852" spans="2:34">
      <c r="B852" s="11" t="s">
        <v>127</v>
      </c>
      <c r="C852" s="11" t="s">
        <v>1808</v>
      </c>
      <c r="E852" s="11" t="s">
        <v>210</v>
      </c>
      <c r="F852" s="11" t="s">
        <v>1808</v>
      </c>
      <c r="G852" s="11" t="s">
        <v>352</v>
      </c>
      <c r="H852" s="11" t="s">
        <v>1808</v>
      </c>
      <c r="J852" s="11" t="s">
        <v>287</v>
      </c>
      <c r="K852" s="11" t="s">
        <v>1808</v>
      </c>
      <c r="M852" s="11" t="s">
        <v>1752</v>
      </c>
      <c r="N852" s="11" t="s">
        <v>1867</v>
      </c>
      <c r="P852" s="11" t="s">
        <v>129</v>
      </c>
      <c r="Q852" s="11" t="s">
        <v>1808</v>
      </c>
      <c r="R852" s="11" t="s">
        <v>1879</v>
      </c>
      <c r="S852" s="11" t="s">
        <v>1872</v>
      </c>
      <c r="U852" s="11" t="s">
        <v>1873</v>
      </c>
      <c r="V852" s="11" t="s">
        <v>3</v>
      </c>
      <c r="W852" s="11" t="s">
        <v>19</v>
      </c>
      <c r="X852" s="11" t="s">
        <v>44</v>
      </c>
      <c r="Y852" s="11" t="s">
        <v>53</v>
      </c>
      <c r="Z852" s="11" t="s">
        <v>60</v>
      </c>
      <c r="AA852" s="11" t="s">
        <v>73</v>
      </c>
      <c r="AB852" s="11" t="s">
        <v>76</v>
      </c>
      <c r="AC852" s="11" t="s">
        <v>86</v>
      </c>
      <c r="AD852" s="11" t="s">
        <v>102</v>
      </c>
      <c r="AE852" s="11" t="s">
        <v>106</v>
      </c>
      <c r="AF852" s="11" t="s">
        <v>111</v>
      </c>
      <c r="AG852" s="11" t="s">
        <v>122</v>
      </c>
      <c r="AH852" s="11" t="s">
        <v>1874</v>
      </c>
    </row>
    <row r="853" spans="2:34">
      <c r="B853" s="21" t="s">
        <v>3</v>
      </c>
      <c r="C853" s="22">
        <f>COUNTIFS('Unsafe Conditions'!$D$4:$D$100003,"Jan",'Unsafe Conditions'!$F$4:$F$100003,dCrit)</f>
        <v>0</v>
      </c>
      <c r="E853" s="12" t="s">
        <v>162</v>
      </c>
      <c r="F853" s="22">
        <f>COUNTIFS('Unsafe Conditions'!$I$4:$I$100003,"Critical",'Unsafe Conditions'!$D$4:$D$100003,mCrit,'Unsafe Conditions'!$F$4:$F$100003,dCrit)</f>
        <v>0</v>
      </c>
      <c r="G853" s="12" t="s">
        <v>1430</v>
      </c>
      <c r="H853" s="22">
        <f>COUNTIFS('Unsafe Conditions'!$E$4:$E$100003,"Chemical Leak",'Unsafe Conditions'!$D$4:$D$100003,mCrit,'Unsafe Conditions'!$F$4:$F$100003,dCrit)</f>
        <v>0</v>
      </c>
      <c r="J853" s="12" t="s">
        <v>293</v>
      </c>
      <c r="K853" s="22">
        <f>COUNTIFS('Unsafe Conditions'!$M$4:$M$100003,"Closed",'Unsafe Conditions'!$D$4:$D$100003,mCrit,'Unsafe Conditions'!$F$4:$F$100003,dCrit)</f>
        <v>0</v>
      </c>
      <c r="M853" s="12" t="s">
        <v>1868</v>
      </c>
      <c r="N853" s="22">
        <f>COUNTIFS('Unsafe Conditions'!$D$4:$D$100003,mCrit,'Unsafe Conditions'!$F$4:$F$100003,dCrit)</f>
        <v>0</v>
      </c>
      <c r="P853" s="12" t="s">
        <v>27</v>
      </c>
      <c r="Q853" s="22">
        <f>COUNTIFS('Unsafe Conditions'!$D$4:$D$100003,mCrit,'Unsafe Conditions'!$F$4:$F$100003,"Operations")</f>
        <v>0</v>
      </c>
      <c r="R853" s="23">
        <f>IFERROR((COUNTIFS('Unsafe Conditions'!$M$4:$M$100003,"Closed",'Unsafe Conditions'!$D$4:$D$100003,mCrit,'Unsafe Conditions'!$F$4:$F$100003,"Operations"))/COUNTIFS('Unsafe Conditions'!$D$4:$D$100003,mCrit,'Unsafe Conditions'!$F$4:$F$100003,"Operations")*100,0)</f>
        <v>0</v>
      </c>
      <c r="S853" s="22">
        <f>COUNTIFS('Unsafe Conditions'!$D$4:$D$100003,mCrit,'Unsafe Conditions'!$F$4:$F$100003,"Operations")</f>
        <v>0</v>
      </c>
      <c r="U853" s="12" t="s">
        <v>1872</v>
      </c>
      <c r="V853" s="22">
        <f>COUNTIFS('Unsafe Conditions'!$D$4:$D$100003,"Jan",'Unsafe Conditions'!$F$4:$F$100003,dCrit)</f>
        <v>0</v>
      </c>
      <c r="W853" s="22">
        <f>COUNTIFS('Unsafe Conditions'!$D$4:$D$100003,"Feb",'Unsafe Conditions'!$F$4:$F$100003,dCrit)</f>
        <v>0</v>
      </c>
      <c r="X853" s="22">
        <f>COUNTIFS('Unsafe Conditions'!$D$4:$D$100003,"Mar",'Unsafe Conditions'!$F$4:$F$100003,dCrit)</f>
        <v>0</v>
      </c>
      <c r="Y853" s="22">
        <f>COUNTIFS('Unsafe Conditions'!$D$4:$D$100003,"Apr",'Unsafe Conditions'!$F$4:$F$100003,dCrit)</f>
        <v>0</v>
      </c>
      <c r="Z853" s="22">
        <f>COUNTIFS('Unsafe Conditions'!$D$4:$D$100003,"May",'Unsafe Conditions'!$F$4:$F$100003,dCrit)</f>
        <v>0</v>
      </c>
      <c r="AA853" s="22">
        <f>COUNTIFS('Unsafe Conditions'!$D$4:$D$100003,"Jun",'Unsafe Conditions'!$F$4:$F$100003,dCrit)</f>
        <v>0</v>
      </c>
      <c r="AB853" s="22">
        <f>COUNTIFS('Unsafe Conditions'!$D$4:$D$100003,"Jul",'Unsafe Conditions'!$F$4:$F$100003,dCrit)</f>
        <v>0</v>
      </c>
      <c r="AC853" s="22">
        <f>COUNTIFS('Unsafe Conditions'!$D$4:$D$100003,"Aug",'Unsafe Conditions'!$F$4:$F$100003,dCrit)</f>
        <v>0</v>
      </c>
      <c r="AD853" s="22">
        <f>COUNTIFS('Unsafe Conditions'!$D$4:$D$100003,"Sep",'Unsafe Conditions'!$F$4:$F$100003,dCrit)</f>
        <v>0</v>
      </c>
      <c r="AE853" s="22">
        <f>COUNTIFS('Unsafe Conditions'!$D$4:$D$100003,"Oct",'Unsafe Conditions'!$F$4:$F$100003,dCrit)</f>
        <v>0</v>
      </c>
      <c r="AF853" s="22">
        <f>COUNTIFS('Unsafe Conditions'!$D$4:$D$100003,"Nov",'Unsafe Conditions'!$F$4:$F$100003,dCrit)</f>
        <v>0</v>
      </c>
      <c r="AG853" s="22">
        <f>COUNTIFS('Unsafe Conditions'!$D$4:$D$100003,"Dec",'Unsafe Conditions'!$F$4:$F$100003,dCrit)</f>
        <v>0</v>
      </c>
      <c r="AH853" s="22">
        <f>SUM(V853:AG853)</f>
        <v>0</v>
      </c>
    </row>
    <row r="854" spans="2:34">
      <c r="B854" s="21" t="s">
        <v>19</v>
      </c>
      <c r="C854" s="22">
        <f>COUNTIFS('Unsafe Conditions'!$D$4:$D$100003,"Feb",'Unsafe Conditions'!$F$4:$F$100003,dCrit)</f>
        <v>0</v>
      </c>
      <c r="E854" s="12" t="s">
        <v>159</v>
      </c>
      <c r="F854" s="22">
        <f>COUNTIFS('Unsafe Conditions'!$I$4:$I$100003,"High",'Unsafe Conditions'!$D$4:$D$100003,mCrit,'Unsafe Conditions'!$F$4:$F$100003,dCrit)</f>
        <v>0</v>
      </c>
      <c r="G854" s="12" t="s">
        <v>1432</v>
      </c>
      <c r="H854" s="22">
        <f>COUNTIFS('Unsafe Conditions'!$E$4:$E$100003,"Inadequate Lighting",'Unsafe Conditions'!$D$4:$D$100003,mCrit,'Unsafe Conditions'!$F$4:$F$100003,dCrit)</f>
        <v>0</v>
      </c>
      <c r="J854" s="12" t="s">
        <v>297</v>
      </c>
      <c r="K854" s="22">
        <f>COUNTIFS('Unsafe Conditions'!$M$4:$M$100003,"Open",'Unsafe Conditions'!$D$4:$D$100003,mCrit,'Unsafe Conditions'!$F$4:$F$100003,dCrit)</f>
        <v>0</v>
      </c>
      <c r="M854" s="12" t="s">
        <v>1876</v>
      </c>
      <c r="N854" s="23">
        <f>IFERROR((COUNTIFS('Unsafe Conditions'!$M$4:$M$100003,"Closed",'Unsafe Conditions'!$D$4:$D$100003,mCrit,'Unsafe Conditions'!$F$4:$F$100003,dCrit))/COUNTIFS('Unsafe Conditions'!$D$4:$D$100003,mCrit,'Unsafe Conditions'!$F$4:$F$100003,dCrit)*100,0)</f>
        <v>0</v>
      </c>
      <c r="P854" s="12" t="s">
        <v>92</v>
      </c>
      <c r="Q854" s="22">
        <f>COUNTIFS('Unsafe Conditions'!$D$4:$D$100003,mCrit,'Unsafe Conditions'!$F$4:$F$100003,"Maintenance")</f>
        <v>0</v>
      </c>
      <c r="R854" s="23">
        <f>IFERROR((COUNTIFS('Unsafe Conditions'!$M$4:$M$100003,"Closed",'Unsafe Conditions'!$D$4:$D$100003,mCrit,'Unsafe Conditions'!$F$4:$F$100003,"Maintenance"))/COUNTIFS('Unsafe Conditions'!$D$4:$D$100003,mCrit,'Unsafe Conditions'!$F$4:$F$100003,"Maintenance")*100,0)</f>
        <v>0</v>
      </c>
      <c r="S854" s="22">
        <f>COUNTIFS('Unsafe Conditions'!$D$4:$D$100003,mCrit,'Unsafe Conditions'!$F$4:$F$100003,"Maintenance")</f>
        <v>0</v>
      </c>
      <c r="U854" s="12" t="s">
        <v>1880</v>
      </c>
      <c r="V854" s="23">
        <f>IFERROR((COUNTIFS('Unsafe Conditions'!$M$4:$M$100003,"Closed",'Unsafe Conditions'!$D$4:$D$100003,"Jan",'Unsafe Conditions'!$F$4:$F$100003,dCrit))/COUNTIFS('Unsafe Conditions'!$D$4:$D$100003,"Jan",'Unsafe Conditions'!$F$4:$F$100003,dCrit)*100,0)</f>
        <v>0</v>
      </c>
      <c r="W854" s="23">
        <f>IFERROR((COUNTIFS('Unsafe Conditions'!$M$4:$M$100003,"Closed",'Unsafe Conditions'!$D$4:$D$100003,"Feb",'Unsafe Conditions'!$F$4:$F$100003,dCrit))/COUNTIFS('Unsafe Conditions'!$D$4:$D$100003,"Feb",'Unsafe Conditions'!$F$4:$F$100003,dCrit)*100,0)</f>
        <v>0</v>
      </c>
      <c r="X854" s="23">
        <f>IFERROR((COUNTIFS('Unsafe Conditions'!$M$4:$M$100003,"Closed",'Unsafe Conditions'!$D$4:$D$100003,"Mar",'Unsafe Conditions'!$F$4:$F$100003,dCrit))/COUNTIFS('Unsafe Conditions'!$D$4:$D$100003,"Mar",'Unsafe Conditions'!$F$4:$F$100003,dCrit)*100,0)</f>
        <v>0</v>
      </c>
      <c r="Y854" s="23">
        <f>IFERROR((COUNTIFS('Unsafe Conditions'!$M$4:$M$100003,"Closed",'Unsafe Conditions'!$D$4:$D$100003,"Apr",'Unsafe Conditions'!$F$4:$F$100003,dCrit))/COUNTIFS('Unsafe Conditions'!$D$4:$D$100003,"Apr",'Unsafe Conditions'!$F$4:$F$100003,dCrit)*100,0)</f>
        <v>0</v>
      </c>
      <c r="Z854" s="23">
        <f>IFERROR((COUNTIFS('Unsafe Conditions'!$M$4:$M$100003,"Closed",'Unsafe Conditions'!$D$4:$D$100003,"May",'Unsafe Conditions'!$F$4:$F$100003,dCrit))/COUNTIFS('Unsafe Conditions'!$D$4:$D$100003,"May",'Unsafe Conditions'!$F$4:$F$100003,dCrit)*100,0)</f>
        <v>0</v>
      </c>
      <c r="AA854" s="23">
        <f>IFERROR((COUNTIFS('Unsafe Conditions'!$M$4:$M$100003,"Closed",'Unsafe Conditions'!$D$4:$D$100003,"Jun",'Unsafe Conditions'!$F$4:$F$100003,dCrit))/COUNTIFS('Unsafe Conditions'!$D$4:$D$100003,"Jun",'Unsafe Conditions'!$F$4:$F$100003,dCrit)*100,0)</f>
        <v>0</v>
      </c>
      <c r="AB854" s="23">
        <f>IFERROR((COUNTIFS('Unsafe Conditions'!$M$4:$M$100003,"Closed",'Unsafe Conditions'!$D$4:$D$100003,"Jul",'Unsafe Conditions'!$F$4:$F$100003,dCrit))/COUNTIFS('Unsafe Conditions'!$D$4:$D$100003,"Jul",'Unsafe Conditions'!$F$4:$F$100003,dCrit)*100,0)</f>
        <v>0</v>
      </c>
      <c r="AC854" s="23">
        <f>IFERROR((COUNTIFS('Unsafe Conditions'!$M$4:$M$100003,"Closed",'Unsafe Conditions'!$D$4:$D$100003,"Aug",'Unsafe Conditions'!$F$4:$F$100003,dCrit))/COUNTIFS('Unsafe Conditions'!$D$4:$D$100003,"Aug",'Unsafe Conditions'!$F$4:$F$100003,dCrit)*100,0)</f>
        <v>0</v>
      </c>
      <c r="AD854" s="23">
        <f>IFERROR((COUNTIFS('Unsafe Conditions'!$M$4:$M$100003,"Closed",'Unsafe Conditions'!$D$4:$D$100003,"Sep",'Unsafe Conditions'!$F$4:$F$100003,dCrit))/COUNTIFS('Unsafe Conditions'!$D$4:$D$100003,"Sep",'Unsafe Conditions'!$F$4:$F$100003,dCrit)*100,0)</f>
        <v>0</v>
      </c>
      <c r="AE854" s="23">
        <f>IFERROR((COUNTIFS('Unsafe Conditions'!$M$4:$M$100003,"Closed",'Unsafe Conditions'!$D$4:$D$100003,"Oct",'Unsafe Conditions'!$F$4:$F$100003,dCrit))/COUNTIFS('Unsafe Conditions'!$D$4:$D$100003,"Oct",'Unsafe Conditions'!$F$4:$F$100003,dCrit)*100,0)</f>
        <v>0</v>
      </c>
      <c r="AF854" s="23">
        <f>IFERROR((COUNTIFS('Unsafe Conditions'!$M$4:$M$100003,"Closed",'Unsafe Conditions'!$D$4:$D$100003,"Nov",'Unsafe Conditions'!$F$4:$F$100003,dCrit))/COUNTIFS('Unsafe Conditions'!$D$4:$D$100003,"Nov",'Unsafe Conditions'!$F$4:$F$100003,dCrit)*100,0)</f>
        <v>0</v>
      </c>
      <c r="AG854" s="23">
        <f>IFERROR((COUNTIFS('Unsafe Conditions'!$M$4:$M$100003,"Closed",'Unsafe Conditions'!$D$4:$D$100003,"Dec",'Unsafe Conditions'!$F$4:$F$100003,dCrit))/COUNTIFS('Unsafe Conditions'!$D$4:$D$100003,"Dec",'Unsafe Conditions'!$F$4:$F$100003,dCrit)*100,0)</f>
        <v>0</v>
      </c>
      <c r="AH854" s="23">
        <f>IFERROR(AVERAGE(V854:AG854),0)</f>
        <v>0</v>
      </c>
    </row>
    <row r="855" spans="2:34">
      <c r="B855" s="21" t="s">
        <v>44</v>
      </c>
      <c r="C855" s="22">
        <f>COUNTIFS('Unsafe Conditions'!$D$4:$D$100003,"Mar",'Unsafe Conditions'!$F$4:$F$100003,dCrit)</f>
        <v>0</v>
      </c>
      <c r="E855" s="12" t="s">
        <v>142</v>
      </c>
      <c r="F855" s="22">
        <f>COUNTIFS('Unsafe Conditions'!$I$4:$I$100003,"Medium",'Unsafe Conditions'!$D$4:$D$100003,mCrit,'Unsafe Conditions'!$F$4:$F$100003,dCrit)</f>
        <v>0</v>
      </c>
      <c r="G855" s="12" t="s">
        <v>1434</v>
      </c>
      <c r="H855" s="22">
        <f>COUNTIFS('Unsafe Conditions'!$E$4:$E$100003,"Exposed Wiring",'Unsafe Conditions'!$D$4:$D$100003,mCrit,'Unsafe Conditions'!$F$4:$F$100003,dCrit)</f>
        <v>0</v>
      </c>
      <c r="J855" s="12" t="s">
        <v>254</v>
      </c>
      <c r="K855" s="22">
        <f>COUNTIFS('Unsafe Conditions'!$M$4:$M$100003,"In Progress",'Unsafe Conditions'!$D$4:$D$100003,mCrit,'Unsafe Conditions'!$F$4:$F$100003,dCrit)</f>
        <v>0</v>
      </c>
      <c r="M855" s="12" t="s">
        <v>1877</v>
      </c>
      <c r="N855" s="22">
        <f>COUNTIFS('Unsafe Conditions'!$M$4:$M$100003,"Open",'Unsafe Conditions'!$D$4:$D$100003,mCrit,'Unsafe Conditions'!$F$4:$F$100003,dCrit)+COUNTIFS('Unsafe Conditions'!$M$4:$M$100003,"In Progress",'Unsafe Conditions'!$D$4:$D$100003,mCrit,'Unsafe Conditions'!$F$4:$F$100003,dCrit)+COUNTIFS('Unsafe Conditions'!$M$4:$M$100003,"Overdue",'Unsafe Conditions'!$D$4:$D$100003,mCrit,'Unsafe Conditions'!$F$4:$F$100003,dCrit)</f>
        <v>0</v>
      </c>
      <c r="P855" s="12" t="s">
        <v>39</v>
      </c>
      <c r="Q855" s="22">
        <f>COUNTIFS('Unsafe Conditions'!$D$4:$D$100003,mCrit,'Unsafe Conditions'!$F$4:$F$100003,"Engineering")</f>
        <v>0</v>
      </c>
      <c r="R855" s="23">
        <f>IFERROR((COUNTIFS('Unsafe Conditions'!$M$4:$M$100003,"Closed",'Unsafe Conditions'!$D$4:$D$100003,mCrit,'Unsafe Conditions'!$F$4:$F$100003,"Engineering"))/COUNTIFS('Unsafe Conditions'!$D$4:$D$100003,mCrit,'Unsafe Conditions'!$F$4:$F$100003,"Engineering")*100,0)</f>
        <v>0</v>
      </c>
      <c r="S855" s="22">
        <f>COUNTIFS('Unsafe Conditions'!$D$4:$D$100003,mCrit,'Unsafe Conditions'!$F$4:$F$100003,"Engineering")</f>
        <v>0</v>
      </c>
    </row>
    <row r="856" spans="2:34">
      <c r="B856" s="21" t="s">
        <v>53</v>
      </c>
      <c r="C856" s="22">
        <f>COUNTIFS('Unsafe Conditions'!$D$4:$D$100003,"Apr",'Unsafe Conditions'!$F$4:$F$100003,dCrit)</f>
        <v>0</v>
      </c>
      <c r="E856" s="12" t="s">
        <v>154</v>
      </c>
      <c r="F856" s="22">
        <f>COUNTIFS('Unsafe Conditions'!$I$4:$I$100003,"Low",'Unsafe Conditions'!$D$4:$D$100003,mCrit,'Unsafe Conditions'!$F$4:$F$100003,dCrit)</f>
        <v>0</v>
      </c>
      <c r="G856" s="12" t="s">
        <v>1437</v>
      </c>
      <c r="H856" s="22">
        <f>COUNTIFS('Unsafe Conditions'!$E$4:$E$100003,"Missing Signage",'Unsafe Conditions'!$D$4:$D$100003,mCrit,'Unsafe Conditions'!$F$4:$F$100003,dCrit)</f>
        <v>0</v>
      </c>
      <c r="J856" s="12" t="s">
        <v>238</v>
      </c>
      <c r="K856" s="22">
        <f>COUNTIFS('Unsafe Conditions'!$M$4:$M$100003,"Overdue",'Unsafe Conditions'!$D$4:$D$100003,mCrit,'Unsafe Conditions'!$F$4:$F$100003,dCrit)</f>
        <v>0</v>
      </c>
      <c r="M856" s="12" t="s">
        <v>238</v>
      </c>
      <c r="N856" s="22">
        <f>COUNTIFS('Unsafe Conditions'!$M$4:$M$100003,"Overdue",'Unsafe Conditions'!$D$4:$D$100003,mCrit,'Unsafe Conditions'!$F$4:$F$100003,dCrit)</f>
        <v>0</v>
      </c>
      <c r="P856" s="12" t="s">
        <v>89</v>
      </c>
      <c r="Q856" s="22">
        <f>COUNTIFS('Unsafe Conditions'!$D$4:$D$100003,mCrit,'Unsafe Conditions'!$F$4:$F$100003,"Construction")</f>
        <v>0</v>
      </c>
      <c r="R856" s="23">
        <f>IFERROR((COUNTIFS('Unsafe Conditions'!$M$4:$M$100003,"Closed",'Unsafe Conditions'!$D$4:$D$100003,mCrit,'Unsafe Conditions'!$F$4:$F$100003,"Construction"))/COUNTIFS('Unsafe Conditions'!$D$4:$D$100003,mCrit,'Unsafe Conditions'!$F$4:$F$100003,"Construction")*100,0)</f>
        <v>0</v>
      </c>
      <c r="S856" s="22">
        <f>COUNTIFS('Unsafe Conditions'!$D$4:$D$100003,mCrit,'Unsafe Conditions'!$F$4:$F$100003,"Construction")</f>
        <v>0</v>
      </c>
    </row>
    <row r="857" spans="2:34">
      <c r="B857" s="21" t="s">
        <v>60</v>
      </c>
      <c r="C857" s="22">
        <f>COUNTIFS('Unsafe Conditions'!$D$4:$D$100003,"May",'Unsafe Conditions'!$F$4:$F$100003,dCrit)</f>
        <v>0</v>
      </c>
      <c r="G857" s="12" t="s">
        <v>1439</v>
      </c>
      <c r="H857" s="22">
        <f>COUNTIFS('Unsafe Conditions'!$E$4:$E$100003,"Slippery Floor",'Unsafe Conditions'!$D$4:$D$100003,mCrit,'Unsafe Conditions'!$F$4:$F$100003,dCrit)</f>
        <v>0</v>
      </c>
      <c r="M857" s="12" t="s">
        <v>1886</v>
      </c>
      <c r="N857" s="22">
        <f>COUNTIFS('Unsafe Conditions'!$I$4:$I$100003,"Critical",'Unsafe Conditions'!$D$4:$D$100003,mCrit,'Unsafe Conditions'!$F$4:$F$100003,dCrit)+COUNTIFS('Unsafe Conditions'!$I$4:$I$100003,"High",'Unsafe Conditions'!$D$4:$D$100003,mCrit,'Unsafe Conditions'!$F$4:$F$100003,dCrit)</f>
        <v>0</v>
      </c>
      <c r="P857" s="12" t="s">
        <v>65</v>
      </c>
      <c r="Q857" s="22">
        <f>COUNTIFS('Unsafe Conditions'!$D$4:$D$100003,mCrit,'Unsafe Conditions'!$F$4:$F$100003,"Safety")</f>
        <v>0</v>
      </c>
      <c r="R857" s="23">
        <f>IFERROR((COUNTIFS('Unsafe Conditions'!$M$4:$M$100003,"Closed",'Unsafe Conditions'!$D$4:$D$100003,mCrit,'Unsafe Conditions'!$F$4:$F$100003,"Safety"))/COUNTIFS('Unsafe Conditions'!$D$4:$D$100003,mCrit,'Unsafe Conditions'!$F$4:$F$100003,"Safety")*100,0)</f>
        <v>0</v>
      </c>
      <c r="S857" s="22">
        <f>COUNTIFS('Unsafe Conditions'!$D$4:$D$100003,mCrit,'Unsafe Conditions'!$F$4:$F$100003,"Safety")</f>
        <v>0</v>
      </c>
    </row>
    <row r="858" spans="2:34">
      <c r="B858" s="21" t="s">
        <v>73</v>
      </c>
      <c r="C858" s="22">
        <f>COUNTIFS('Unsafe Conditions'!$D$4:$D$100003,"Jun",'Unsafe Conditions'!$F$4:$F$100003,dCrit)</f>
        <v>0</v>
      </c>
      <c r="G858" s="12" t="s">
        <v>1312</v>
      </c>
      <c r="H858" s="22">
        <f>COUNTIFS('Unsafe Conditions'!$E$4:$E$100003,"Poor Housekeeping",'Unsafe Conditions'!$D$4:$D$100003,mCrit,'Unsafe Conditions'!$F$4:$F$100003,dCrit)</f>
        <v>0</v>
      </c>
      <c r="P858" s="12" t="s">
        <v>5</v>
      </c>
      <c r="Q858" s="22">
        <f>COUNTIFS('Unsafe Conditions'!$D$4:$D$100003,mCrit,'Unsafe Conditions'!$F$4:$F$100003,"Logistics")</f>
        <v>0</v>
      </c>
      <c r="R858" s="23">
        <f>IFERROR((COUNTIFS('Unsafe Conditions'!$M$4:$M$100003,"Closed",'Unsafe Conditions'!$D$4:$D$100003,mCrit,'Unsafe Conditions'!$F$4:$F$100003,"Logistics"))/COUNTIFS('Unsafe Conditions'!$D$4:$D$100003,mCrit,'Unsafe Conditions'!$F$4:$F$100003,"Logistics")*100,0)</f>
        <v>0</v>
      </c>
      <c r="S858" s="22">
        <f>COUNTIFS('Unsafe Conditions'!$D$4:$D$100003,mCrit,'Unsafe Conditions'!$F$4:$F$100003,"Logistics")</f>
        <v>0</v>
      </c>
    </row>
    <row r="859" spans="2:34">
      <c r="B859" s="21" t="s">
        <v>76</v>
      </c>
      <c r="C859" s="22">
        <f>COUNTIFS('Unsafe Conditions'!$D$4:$D$100003,"Jul",'Unsafe Conditions'!$F$4:$F$100003,dCrit)</f>
        <v>0</v>
      </c>
      <c r="G859" s="12" t="s">
        <v>1445</v>
      </c>
      <c r="H859" s="22">
        <f>COUNTIFS('Unsafe Conditions'!$E$4:$E$100003,"Blocked Walkway/Aisle",'Unsafe Conditions'!$D$4:$D$100003,mCrit,'Unsafe Conditions'!$F$4:$F$100003,dCrit)</f>
        <v>0</v>
      </c>
      <c r="P859" s="12" t="s">
        <v>50</v>
      </c>
      <c r="Q859" s="22">
        <f>COUNTIFS('Unsafe Conditions'!$D$4:$D$100003,mCrit,'Unsafe Conditions'!$F$4:$F$100003,"Quality")</f>
        <v>0</v>
      </c>
      <c r="R859" s="23">
        <f>IFERROR((COUNTIFS('Unsafe Conditions'!$M$4:$M$100003,"Closed",'Unsafe Conditions'!$D$4:$D$100003,mCrit,'Unsafe Conditions'!$F$4:$F$100003,"Quality"))/COUNTIFS('Unsafe Conditions'!$D$4:$D$100003,mCrit,'Unsafe Conditions'!$F$4:$F$100003,"Quality")*100,0)</f>
        <v>0</v>
      </c>
      <c r="S859" s="22">
        <f>COUNTIFS('Unsafe Conditions'!$D$4:$D$100003,mCrit,'Unsafe Conditions'!$F$4:$F$100003,"Quality")</f>
        <v>0</v>
      </c>
    </row>
    <row r="860" spans="2:34">
      <c r="B860" s="21" t="s">
        <v>86</v>
      </c>
      <c r="C860" s="22">
        <f>COUNTIFS('Unsafe Conditions'!$D$4:$D$100003,"Aug",'Unsafe Conditions'!$F$4:$F$100003,dCrit)</f>
        <v>0</v>
      </c>
      <c r="G860" s="12" t="s">
        <v>1447</v>
      </c>
      <c r="H860" s="22">
        <f>COUNTIFS('Unsafe Conditions'!$E$4:$E$100003,"Faulty Ladder/Scaffold",'Unsafe Conditions'!$D$4:$D$100003,mCrit,'Unsafe Conditions'!$F$4:$F$100003,dCrit)</f>
        <v>0</v>
      </c>
      <c r="P860" s="12" t="s">
        <v>46</v>
      </c>
      <c r="Q860" s="22">
        <f>COUNTIFS('Unsafe Conditions'!$D$4:$D$100003,mCrit,'Unsafe Conditions'!$F$4:$F$100003,"Admin")</f>
        <v>0</v>
      </c>
      <c r="R860" s="23">
        <f>IFERROR((COUNTIFS('Unsafe Conditions'!$M$4:$M$100003,"Closed",'Unsafe Conditions'!$D$4:$D$100003,mCrit,'Unsafe Conditions'!$F$4:$F$100003,"Admin"))/COUNTIFS('Unsafe Conditions'!$D$4:$D$100003,mCrit,'Unsafe Conditions'!$F$4:$F$100003,"Admin")*100,0)</f>
        <v>0</v>
      </c>
      <c r="S860" s="22">
        <f>COUNTIFS('Unsafe Conditions'!$D$4:$D$100003,mCrit,'Unsafe Conditions'!$F$4:$F$100003,"Admin")</f>
        <v>0</v>
      </c>
    </row>
    <row r="861" spans="2:34">
      <c r="B861" s="21" t="s">
        <v>102</v>
      </c>
      <c r="C861" s="22">
        <f>COUNTIFS('Unsafe Conditions'!$D$4:$D$100003,"Sep",'Unsafe Conditions'!$F$4:$F$100003,dCrit)</f>
        <v>0</v>
      </c>
      <c r="P861" s="12" t="s">
        <v>13</v>
      </c>
      <c r="Q861" s="22">
        <f>COUNTIFS('Unsafe Conditions'!$D$4:$D$100003,mCrit,'Unsafe Conditions'!$F$4:$F$100003,"Projects")</f>
        <v>0</v>
      </c>
      <c r="R861" s="23">
        <f>IFERROR((COUNTIFS('Unsafe Conditions'!$M$4:$M$100003,"Closed",'Unsafe Conditions'!$D$4:$D$100003,mCrit,'Unsafe Conditions'!$F$4:$F$100003,"Projects"))/COUNTIFS('Unsafe Conditions'!$D$4:$D$100003,mCrit,'Unsafe Conditions'!$F$4:$F$100003,"Projects")*100,0)</f>
        <v>0</v>
      </c>
      <c r="S861" s="22">
        <f>COUNTIFS('Unsafe Conditions'!$D$4:$D$100003,mCrit,'Unsafe Conditions'!$F$4:$F$100003,"Projects")</f>
        <v>0</v>
      </c>
    </row>
    <row r="862" spans="2:34">
      <c r="B862" s="21" t="s">
        <v>106</v>
      </c>
      <c r="C862" s="22">
        <f>COUNTIFS('Unsafe Conditions'!$D$4:$D$100003,"Oct",'Unsafe Conditions'!$F$4:$F$100003,dCrit)</f>
        <v>0</v>
      </c>
      <c r="P862" s="12" t="s">
        <v>58</v>
      </c>
      <c r="Q862" s="22">
        <f>COUNTIFS('Unsafe Conditions'!$D$4:$D$100003,mCrit,'Unsafe Conditions'!$F$4:$F$100003,"Contractor")</f>
        <v>0</v>
      </c>
      <c r="R862" s="23">
        <f>IFERROR((COUNTIFS('Unsafe Conditions'!$M$4:$M$100003,"Closed",'Unsafe Conditions'!$D$4:$D$100003,mCrit,'Unsafe Conditions'!$F$4:$F$100003,"Contractor"))/COUNTIFS('Unsafe Conditions'!$D$4:$D$100003,mCrit,'Unsafe Conditions'!$F$4:$F$100003,"Contractor")*100,0)</f>
        <v>0</v>
      </c>
      <c r="S862" s="22">
        <f>COUNTIFS('Unsafe Conditions'!$D$4:$D$100003,mCrit,'Unsafe Conditions'!$F$4:$F$100003,"Contractor")</f>
        <v>0</v>
      </c>
    </row>
    <row r="863" spans="2:34">
      <c r="B863" s="21" t="s">
        <v>111</v>
      </c>
      <c r="C863" s="22">
        <f>COUNTIFS('Unsafe Conditions'!$D$4:$D$100003,"Nov",'Unsafe Conditions'!$F$4:$F$100003,dCrit)</f>
        <v>0</v>
      </c>
    </row>
    <row r="864" spans="2:34">
      <c r="B864" s="21" t="s">
        <v>122</v>
      </c>
      <c r="C864" s="22">
        <f>COUNTIFS('Unsafe Conditions'!$D$4:$D$100003,"Dec",'Unsafe Conditions'!$F$4:$F$100003,dCrit)</f>
        <v>0</v>
      </c>
    </row>
    <row r="877" spans="2:34">
      <c r="B877" s="16" t="s">
        <v>1919</v>
      </c>
    </row>
    <row r="878" spans="2:34">
      <c r="B878" s="11" t="s">
        <v>127</v>
      </c>
      <c r="C878" s="11" t="s">
        <v>1808</v>
      </c>
      <c r="E878" s="11" t="s">
        <v>1583</v>
      </c>
      <c r="F878" s="11" t="s">
        <v>1808</v>
      </c>
      <c r="G878" s="11" t="s">
        <v>1582</v>
      </c>
      <c r="H878" s="11" t="s">
        <v>1808</v>
      </c>
      <c r="J878" s="11" t="s">
        <v>287</v>
      </c>
      <c r="K878" s="11" t="s">
        <v>1808</v>
      </c>
      <c r="M878" s="11" t="s">
        <v>1752</v>
      </c>
      <c r="N878" s="11" t="s">
        <v>1867</v>
      </c>
      <c r="P878" s="11" t="s">
        <v>129</v>
      </c>
      <c r="Q878" s="11" t="s">
        <v>1808</v>
      </c>
      <c r="R878" s="11" t="s">
        <v>1879</v>
      </c>
      <c r="S878" s="11" t="s">
        <v>1872</v>
      </c>
      <c r="U878" s="11" t="s">
        <v>1873</v>
      </c>
      <c r="V878" s="11" t="s">
        <v>3</v>
      </c>
      <c r="W878" s="11" t="s">
        <v>19</v>
      </c>
      <c r="X878" s="11" t="s">
        <v>44</v>
      </c>
      <c r="Y878" s="11" t="s">
        <v>53</v>
      </c>
      <c r="Z878" s="11" t="s">
        <v>60</v>
      </c>
      <c r="AA878" s="11" t="s">
        <v>73</v>
      </c>
      <c r="AB878" s="11" t="s">
        <v>76</v>
      </c>
      <c r="AC878" s="11" t="s">
        <v>86</v>
      </c>
      <c r="AD878" s="11" t="s">
        <v>102</v>
      </c>
      <c r="AE878" s="11" t="s">
        <v>106</v>
      </c>
      <c r="AF878" s="11" t="s">
        <v>111</v>
      </c>
      <c r="AG878" s="11" t="s">
        <v>122</v>
      </c>
      <c r="AH878" s="11" t="s">
        <v>1874</v>
      </c>
    </row>
    <row r="879" spans="2:34">
      <c r="B879" s="21" t="s">
        <v>3</v>
      </c>
      <c r="C879" s="22">
        <f>COUNTIFS('Incident'!$D$4:$D$100003,"Jan",'Incident'!$H$4:$H$100003,dCrit)</f>
        <v>0</v>
      </c>
      <c r="E879" s="12" t="s">
        <v>1494</v>
      </c>
      <c r="F879" s="22">
        <f>COUNTIFS('Incident'!$N$4:$N$100003,"Near Miss",'Incident'!$D$4:$D$100003,mCrit,'Incident'!$H$4:$H$100003,dCrit)</f>
        <v>0</v>
      </c>
      <c r="G879" s="12" t="s">
        <v>1506</v>
      </c>
      <c r="H879" s="22">
        <f>COUNTIFS('Incident'!$M$4:$M$100003,"Injury/Illness",'Incident'!$D$4:$D$100003,mCrit,'Incident'!$H$4:$H$100003,dCrit)</f>
        <v>0</v>
      </c>
      <c r="J879" s="12" t="s">
        <v>293</v>
      </c>
      <c r="K879" s="22">
        <f>COUNTIFS('Incident'!$AB$4:$AB$100003,"Closed",'Incident'!$D$4:$D$100003,mCrit,'Incident'!$H$4:$H$100003,dCrit)</f>
        <v>0</v>
      </c>
      <c r="M879" s="12" t="s">
        <v>1868</v>
      </c>
      <c r="N879" s="22">
        <f>COUNTIFS('Incident'!$D$4:$D$100003,mCrit,'Incident'!$H$4:$H$100003,dCrit)</f>
        <v>0</v>
      </c>
      <c r="P879" s="12" t="s">
        <v>27</v>
      </c>
      <c r="Q879" s="22">
        <f>COUNTIFS('Incident'!$D$4:$D$100003,mCrit,'Incident'!$H$4:$H$100003,"Operations")</f>
        <v>0</v>
      </c>
      <c r="R879" s="23">
        <f>IFERROR((COUNTIFS('Incident'!$AB$4:$AB$100003,"Closed",'Incident'!$D$4:$D$100003,mCrit,'Incident'!$H$4:$H$100003,"Operations"))/COUNTIFS('Incident'!$D$4:$D$100003,mCrit,'Incident'!$H$4:$H$100003,"Operations")*100,0)</f>
        <v>0</v>
      </c>
      <c r="S879" s="22">
        <f>COUNTIFS('Incident'!$D$4:$D$100003,mCrit,'Incident'!$H$4:$H$100003,"Operations")</f>
        <v>0</v>
      </c>
      <c r="U879" s="12" t="s">
        <v>1872</v>
      </c>
      <c r="V879" s="22">
        <f>COUNTIFS('Incident'!$D$4:$D$100003,"Jan",'Incident'!$H$4:$H$100003,dCrit)</f>
        <v>0</v>
      </c>
      <c r="W879" s="22">
        <f>COUNTIFS('Incident'!$D$4:$D$100003,"Feb",'Incident'!$H$4:$H$100003,dCrit)</f>
        <v>0</v>
      </c>
      <c r="X879" s="22">
        <f>COUNTIFS('Incident'!$D$4:$D$100003,"Mar",'Incident'!$H$4:$H$100003,dCrit)</f>
        <v>0</v>
      </c>
      <c r="Y879" s="22">
        <f>COUNTIFS('Incident'!$D$4:$D$100003,"Apr",'Incident'!$H$4:$H$100003,dCrit)</f>
        <v>0</v>
      </c>
      <c r="Z879" s="22">
        <f>COUNTIFS('Incident'!$D$4:$D$100003,"May",'Incident'!$H$4:$H$100003,dCrit)</f>
        <v>0</v>
      </c>
      <c r="AA879" s="22">
        <f>COUNTIFS('Incident'!$D$4:$D$100003,"Jun",'Incident'!$H$4:$H$100003,dCrit)</f>
        <v>0</v>
      </c>
      <c r="AB879" s="22">
        <f>COUNTIFS('Incident'!$D$4:$D$100003,"Jul",'Incident'!$H$4:$H$100003,dCrit)</f>
        <v>0</v>
      </c>
      <c r="AC879" s="22">
        <f>COUNTIFS('Incident'!$D$4:$D$100003,"Aug",'Incident'!$H$4:$H$100003,dCrit)</f>
        <v>0</v>
      </c>
      <c r="AD879" s="22">
        <f>COUNTIFS('Incident'!$D$4:$D$100003,"Sep",'Incident'!$H$4:$H$100003,dCrit)</f>
        <v>0</v>
      </c>
      <c r="AE879" s="22">
        <f>COUNTIFS('Incident'!$D$4:$D$100003,"Oct",'Incident'!$H$4:$H$100003,dCrit)</f>
        <v>0</v>
      </c>
      <c r="AF879" s="22">
        <f>COUNTIFS('Incident'!$D$4:$D$100003,"Nov",'Incident'!$H$4:$H$100003,dCrit)</f>
        <v>0</v>
      </c>
      <c r="AG879" s="22">
        <f>COUNTIFS('Incident'!$D$4:$D$100003,"Dec",'Incident'!$H$4:$H$100003,dCrit)</f>
        <v>0</v>
      </c>
      <c r="AH879" s="22">
        <f>SUM(V879:AG879)</f>
        <v>0</v>
      </c>
    </row>
    <row r="880" spans="2:34">
      <c r="B880" s="21" t="s">
        <v>19</v>
      </c>
      <c r="C880" s="22">
        <f>COUNTIFS('Incident'!$D$4:$D$100003,"Feb",'Incident'!$H$4:$H$100003,dCrit)</f>
        <v>0</v>
      </c>
      <c r="E880" s="12" t="s">
        <v>1507</v>
      </c>
      <c r="F880" s="22">
        <f>COUNTIFS('Incident'!$N$4:$N$100003,"First Aid",'Incident'!$D$4:$D$100003,mCrit,'Incident'!$H$4:$H$100003,dCrit)</f>
        <v>0</v>
      </c>
      <c r="G880" s="12" t="s">
        <v>1515</v>
      </c>
      <c r="H880" s="22">
        <f>COUNTIFS('Incident'!$M$4:$M$100003,"Property Damage",'Incident'!$D$4:$D$100003,mCrit,'Incident'!$H$4:$H$100003,dCrit)</f>
        <v>0</v>
      </c>
      <c r="J880" s="12" t="s">
        <v>297</v>
      </c>
      <c r="K880" s="22">
        <f>COUNTIFS('Incident'!$AB$4:$AB$100003,"Open",'Incident'!$D$4:$D$100003,mCrit,'Incident'!$H$4:$H$100003,dCrit)</f>
        <v>0</v>
      </c>
      <c r="M880" s="12" t="s">
        <v>1876</v>
      </c>
      <c r="N880" s="23">
        <f>IFERROR((COUNTIFS('Incident'!$AB$4:$AB$100003,"Closed",'Incident'!$D$4:$D$100003,mCrit,'Incident'!$H$4:$H$100003,dCrit))/COUNTIFS('Incident'!$D$4:$D$100003,mCrit,'Incident'!$H$4:$H$100003,dCrit)*100,0)</f>
        <v>0</v>
      </c>
      <c r="P880" s="12" t="s">
        <v>92</v>
      </c>
      <c r="Q880" s="22">
        <f>COUNTIFS('Incident'!$D$4:$D$100003,mCrit,'Incident'!$H$4:$H$100003,"Maintenance")</f>
        <v>0</v>
      </c>
      <c r="R880" s="23">
        <f>IFERROR((COUNTIFS('Incident'!$AB$4:$AB$100003,"Closed",'Incident'!$D$4:$D$100003,mCrit,'Incident'!$H$4:$H$100003,"Maintenance"))/COUNTIFS('Incident'!$D$4:$D$100003,mCrit,'Incident'!$H$4:$H$100003,"Maintenance")*100,0)</f>
        <v>0</v>
      </c>
      <c r="S880" s="22">
        <f>COUNTIFS('Incident'!$D$4:$D$100003,mCrit,'Incident'!$H$4:$H$100003,"Maintenance")</f>
        <v>0</v>
      </c>
      <c r="U880" s="12" t="s">
        <v>1880</v>
      </c>
      <c r="V880" s="23">
        <f>IFERROR((COUNTIFS('Incident'!$AB$4:$AB$100003,"Closed",'Incident'!$D$4:$D$100003,"Jan",'Incident'!$H$4:$H$100003,dCrit))/COUNTIFS('Incident'!$D$4:$D$100003,"Jan",'Incident'!$H$4:$H$100003,dCrit)*100,0)</f>
        <v>0</v>
      </c>
      <c r="W880" s="23">
        <f>IFERROR((COUNTIFS('Incident'!$AB$4:$AB$100003,"Closed",'Incident'!$D$4:$D$100003,"Feb",'Incident'!$H$4:$H$100003,dCrit))/COUNTIFS('Incident'!$D$4:$D$100003,"Feb",'Incident'!$H$4:$H$100003,dCrit)*100,0)</f>
        <v>0</v>
      </c>
      <c r="X880" s="23">
        <f>IFERROR((COUNTIFS('Incident'!$AB$4:$AB$100003,"Closed",'Incident'!$D$4:$D$100003,"Mar",'Incident'!$H$4:$H$100003,dCrit))/COUNTIFS('Incident'!$D$4:$D$100003,"Mar",'Incident'!$H$4:$H$100003,dCrit)*100,0)</f>
        <v>0</v>
      </c>
      <c r="Y880" s="23">
        <f>IFERROR((COUNTIFS('Incident'!$AB$4:$AB$100003,"Closed",'Incident'!$D$4:$D$100003,"Apr",'Incident'!$H$4:$H$100003,dCrit))/COUNTIFS('Incident'!$D$4:$D$100003,"Apr",'Incident'!$H$4:$H$100003,dCrit)*100,0)</f>
        <v>0</v>
      </c>
      <c r="Z880" s="23">
        <f>IFERROR((COUNTIFS('Incident'!$AB$4:$AB$100003,"Closed",'Incident'!$D$4:$D$100003,"May",'Incident'!$H$4:$H$100003,dCrit))/COUNTIFS('Incident'!$D$4:$D$100003,"May",'Incident'!$H$4:$H$100003,dCrit)*100,0)</f>
        <v>0</v>
      </c>
      <c r="AA880" s="23">
        <f>IFERROR((COUNTIFS('Incident'!$AB$4:$AB$100003,"Closed",'Incident'!$D$4:$D$100003,"Jun",'Incident'!$H$4:$H$100003,dCrit))/COUNTIFS('Incident'!$D$4:$D$100003,"Jun",'Incident'!$H$4:$H$100003,dCrit)*100,0)</f>
        <v>0</v>
      </c>
      <c r="AB880" s="23">
        <f>IFERROR((COUNTIFS('Incident'!$AB$4:$AB$100003,"Closed",'Incident'!$D$4:$D$100003,"Jul",'Incident'!$H$4:$H$100003,dCrit))/COUNTIFS('Incident'!$D$4:$D$100003,"Jul",'Incident'!$H$4:$H$100003,dCrit)*100,0)</f>
        <v>0</v>
      </c>
      <c r="AC880" s="23">
        <f>IFERROR((COUNTIFS('Incident'!$AB$4:$AB$100003,"Closed",'Incident'!$D$4:$D$100003,"Aug",'Incident'!$H$4:$H$100003,dCrit))/COUNTIFS('Incident'!$D$4:$D$100003,"Aug",'Incident'!$H$4:$H$100003,dCrit)*100,0)</f>
        <v>0</v>
      </c>
      <c r="AD880" s="23">
        <f>IFERROR((COUNTIFS('Incident'!$AB$4:$AB$100003,"Closed",'Incident'!$D$4:$D$100003,"Sep",'Incident'!$H$4:$H$100003,dCrit))/COUNTIFS('Incident'!$D$4:$D$100003,"Sep",'Incident'!$H$4:$H$100003,dCrit)*100,0)</f>
        <v>0</v>
      </c>
      <c r="AE880" s="23">
        <f>IFERROR((COUNTIFS('Incident'!$AB$4:$AB$100003,"Closed",'Incident'!$D$4:$D$100003,"Oct",'Incident'!$H$4:$H$100003,dCrit))/COUNTIFS('Incident'!$D$4:$D$100003,"Oct",'Incident'!$H$4:$H$100003,dCrit)*100,0)</f>
        <v>0</v>
      </c>
      <c r="AF880" s="23">
        <f>IFERROR((COUNTIFS('Incident'!$AB$4:$AB$100003,"Closed",'Incident'!$D$4:$D$100003,"Nov",'Incident'!$H$4:$H$100003,dCrit))/COUNTIFS('Incident'!$D$4:$D$100003,"Nov",'Incident'!$H$4:$H$100003,dCrit)*100,0)</f>
        <v>0</v>
      </c>
      <c r="AG880" s="23">
        <f>IFERROR((COUNTIFS('Incident'!$AB$4:$AB$100003,"Closed",'Incident'!$D$4:$D$100003,"Dec",'Incident'!$H$4:$H$100003,dCrit))/COUNTIFS('Incident'!$D$4:$D$100003,"Dec",'Incident'!$H$4:$H$100003,dCrit)*100,0)</f>
        <v>0</v>
      </c>
      <c r="AH880" s="23">
        <f>IFERROR(AVERAGE(V880:AG880),0)</f>
        <v>0</v>
      </c>
    </row>
    <row r="881" spans="2:34">
      <c r="B881" s="21" t="s">
        <v>44</v>
      </c>
      <c r="C881" s="22">
        <f>COUNTIFS('Incident'!$D$4:$D$100003,"Mar",'Incident'!$H$4:$H$100003,dCrit)</f>
        <v>0</v>
      </c>
      <c r="E881" s="12" t="s">
        <v>1531</v>
      </c>
      <c r="F881" s="22">
        <f>COUNTIFS('Incident'!$N$4:$N$100003,"Medical Treatment",'Incident'!$D$4:$D$100003,mCrit,'Incident'!$H$4:$H$100003,dCrit)</f>
        <v>0</v>
      </c>
      <c r="G881" s="12" t="s">
        <v>1500</v>
      </c>
      <c r="H881" s="22">
        <f>COUNTIFS('Incident'!$M$4:$M$100003,"Environmental",'Incident'!$D$4:$D$100003,mCrit,'Incident'!$H$4:$H$100003,dCrit)</f>
        <v>0</v>
      </c>
      <c r="J881" s="12" t="s">
        <v>254</v>
      </c>
      <c r="K881" s="22">
        <f>COUNTIFS('Incident'!$AB$4:$AB$100003,"In Progress",'Incident'!$D$4:$D$100003,mCrit,'Incident'!$H$4:$H$100003,dCrit)</f>
        <v>0</v>
      </c>
      <c r="M881" s="12" t="s">
        <v>1877</v>
      </c>
      <c r="N881" s="22">
        <f>COUNTIFS('Incident'!$AB$4:$AB$100003,"Open",'Incident'!$D$4:$D$100003,mCrit,'Incident'!$H$4:$H$100003,dCrit)+COUNTIFS('Incident'!$AB$4:$AB$100003,"In Progress",'Incident'!$D$4:$D$100003,mCrit,'Incident'!$H$4:$H$100003,dCrit)+COUNTIFS('Incident'!$AB$4:$AB$100003,"Overdue",'Incident'!$D$4:$D$100003,mCrit,'Incident'!$H$4:$H$100003,dCrit)</f>
        <v>0</v>
      </c>
      <c r="P881" s="12" t="s">
        <v>39</v>
      </c>
      <c r="Q881" s="22">
        <f>COUNTIFS('Incident'!$D$4:$D$100003,mCrit,'Incident'!$H$4:$H$100003,"Engineering")</f>
        <v>0</v>
      </c>
      <c r="R881" s="23">
        <f>IFERROR((COUNTIFS('Incident'!$AB$4:$AB$100003,"Closed",'Incident'!$D$4:$D$100003,mCrit,'Incident'!$H$4:$H$100003,"Engineering"))/COUNTIFS('Incident'!$D$4:$D$100003,mCrit,'Incident'!$H$4:$H$100003,"Engineering")*100,0)</f>
        <v>0</v>
      </c>
      <c r="S881" s="22">
        <f>COUNTIFS('Incident'!$D$4:$D$100003,mCrit,'Incident'!$H$4:$H$100003,"Engineering")</f>
        <v>0</v>
      </c>
      <c r="U881" s="12" t="s">
        <v>1590</v>
      </c>
      <c r="V881" s="22">
        <f>SUMIFS('Incident'!$V$4:$V$100003,'Incident'!$D$4:$D$100003,"Jan",'Incident'!$H$4:$H$100003,dCrit)</f>
        <v>0</v>
      </c>
      <c r="W881" s="22">
        <f>SUMIFS('Incident'!$V$4:$V$100003,'Incident'!$D$4:$D$100003,"Feb",'Incident'!$H$4:$H$100003,dCrit)</f>
        <v>0</v>
      </c>
      <c r="X881" s="22">
        <f>SUMIFS('Incident'!$V$4:$V$100003,'Incident'!$D$4:$D$100003,"Mar",'Incident'!$H$4:$H$100003,dCrit)</f>
        <v>0</v>
      </c>
      <c r="Y881" s="22">
        <f>SUMIFS('Incident'!$V$4:$V$100003,'Incident'!$D$4:$D$100003,"Apr",'Incident'!$H$4:$H$100003,dCrit)</f>
        <v>0</v>
      </c>
      <c r="Z881" s="22">
        <f>SUMIFS('Incident'!$V$4:$V$100003,'Incident'!$D$4:$D$100003,"May",'Incident'!$H$4:$H$100003,dCrit)</f>
        <v>0</v>
      </c>
      <c r="AA881" s="22">
        <f>SUMIFS('Incident'!$V$4:$V$100003,'Incident'!$D$4:$D$100003,"Jun",'Incident'!$H$4:$H$100003,dCrit)</f>
        <v>0</v>
      </c>
      <c r="AB881" s="22">
        <f>SUMIFS('Incident'!$V$4:$V$100003,'Incident'!$D$4:$D$100003,"Jul",'Incident'!$H$4:$H$100003,dCrit)</f>
        <v>0</v>
      </c>
      <c r="AC881" s="22">
        <f>SUMIFS('Incident'!$V$4:$V$100003,'Incident'!$D$4:$D$100003,"Aug",'Incident'!$H$4:$H$100003,dCrit)</f>
        <v>0</v>
      </c>
      <c r="AD881" s="22">
        <f>SUMIFS('Incident'!$V$4:$V$100003,'Incident'!$D$4:$D$100003,"Sep",'Incident'!$H$4:$H$100003,dCrit)</f>
        <v>0</v>
      </c>
      <c r="AE881" s="22">
        <f>SUMIFS('Incident'!$V$4:$V$100003,'Incident'!$D$4:$D$100003,"Oct",'Incident'!$H$4:$H$100003,dCrit)</f>
        <v>0</v>
      </c>
      <c r="AF881" s="22">
        <f>SUMIFS('Incident'!$V$4:$V$100003,'Incident'!$D$4:$D$100003,"Nov",'Incident'!$H$4:$H$100003,dCrit)</f>
        <v>0</v>
      </c>
      <c r="AG881" s="22">
        <f>SUMIFS('Incident'!$V$4:$V$100003,'Incident'!$D$4:$D$100003,"Dec",'Incident'!$H$4:$H$100003,dCrit)</f>
        <v>0</v>
      </c>
      <c r="AH881" s="22">
        <f>SUM(V881:AG881)</f>
        <v>0</v>
      </c>
    </row>
    <row r="882" spans="2:34">
      <c r="B882" s="21" t="s">
        <v>53</v>
      </c>
      <c r="C882" s="22">
        <f>COUNTIFS('Incident'!$D$4:$D$100003,"Apr",'Incident'!$H$4:$H$100003,dCrit)</f>
        <v>0</v>
      </c>
      <c r="E882" s="12" t="s">
        <v>1536</v>
      </c>
      <c r="F882" s="22">
        <f>COUNTIFS('Incident'!$N$4:$N$100003,"Restricted Work",'Incident'!$D$4:$D$100003,mCrit,'Incident'!$H$4:$H$100003,dCrit)</f>
        <v>0</v>
      </c>
      <c r="G882" s="12" t="s">
        <v>1512</v>
      </c>
      <c r="H882" s="22">
        <f>COUNTIFS('Incident'!$M$4:$M$100003,"Fire",'Incident'!$D$4:$D$100003,mCrit,'Incident'!$H$4:$H$100003,dCrit)</f>
        <v>0</v>
      </c>
      <c r="J882" s="12" t="s">
        <v>238</v>
      </c>
      <c r="K882" s="22">
        <f>COUNTIFS('Incident'!$AB$4:$AB$100003,"Overdue",'Incident'!$D$4:$D$100003,mCrit,'Incident'!$H$4:$H$100003,dCrit)</f>
        <v>0</v>
      </c>
      <c r="M882" s="12" t="s">
        <v>238</v>
      </c>
      <c r="N882" s="22">
        <f>COUNTIFS('Incident'!$AB$4:$AB$100003,"Overdue",'Incident'!$D$4:$D$100003,mCrit,'Incident'!$H$4:$H$100003,dCrit)</f>
        <v>0</v>
      </c>
      <c r="P882" s="12" t="s">
        <v>89</v>
      </c>
      <c r="Q882" s="22">
        <f>COUNTIFS('Incident'!$D$4:$D$100003,mCrit,'Incident'!$H$4:$H$100003,"Construction")</f>
        <v>0</v>
      </c>
      <c r="R882" s="23">
        <f>IFERROR((COUNTIFS('Incident'!$AB$4:$AB$100003,"Closed",'Incident'!$D$4:$D$100003,mCrit,'Incident'!$H$4:$H$100003,"Construction"))/COUNTIFS('Incident'!$D$4:$D$100003,mCrit,'Incident'!$H$4:$H$100003,"Construction")*100,0)</f>
        <v>0</v>
      </c>
      <c r="S882" s="22">
        <f>COUNTIFS('Incident'!$D$4:$D$100003,mCrit,'Incident'!$H$4:$H$100003,"Construction")</f>
        <v>0</v>
      </c>
    </row>
    <row r="883" spans="2:34">
      <c r="B883" s="21" t="s">
        <v>60</v>
      </c>
      <c r="C883" s="22">
        <f>COUNTIFS('Incident'!$D$4:$D$100003,"May",'Incident'!$H$4:$H$100003,dCrit)</f>
        <v>0</v>
      </c>
      <c r="E883" s="12" t="s">
        <v>1573</v>
      </c>
      <c r="F883" s="22">
        <f>COUNTIFS('Incident'!$N$4:$N$100003,"Lost Time Injury",'Incident'!$D$4:$D$100003,mCrit,'Incident'!$H$4:$H$100003,dCrit)</f>
        <v>0</v>
      </c>
      <c r="G883" s="12" t="s">
        <v>1493</v>
      </c>
      <c r="H883" s="22">
        <f>COUNTIFS('Incident'!$M$4:$M$100003,"Vehicle",'Incident'!$D$4:$D$100003,mCrit,'Incident'!$H$4:$H$100003,dCrit)</f>
        <v>0</v>
      </c>
      <c r="M883" s="12" t="s">
        <v>1920</v>
      </c>
      <c r="N883" s="22">
        <f>SUMIFS('Incident'!$V$4:$V$100003,'Incident'!$D$4:$D$100003,mCrit,'Incident'!$H$4:$H$100003,dCrit)</f>
        <v>0</v>
      </c>
      <c r="P883" s="12" t="s">
        <v>65</v>
      </c>
      <c r="Q883" s="22">
        <f>COUNTIFS('Incident'!$D$4:$D$100003,mCrit,'Incident'!$H$4:$H$100003,"Safety")</f>
        <v>0</v>
      </c>
      <c r="R883" s="23">
        <f>IFERROR((COUNTIFS('Incident'!$AB$4:$AB$100003,"Closed",'Incident'!$D$4:$D$100003,mCrit,'Incident'!$H$4:$H$100003,"Safety"))/COUNTIFS('Incident'!$D$4:$D$100003,mCrit,'Incident'!$H$4:$H$100003,"Safety")*100,0)</f>
        <v>0</v>
      </c>
      <c r="S883" s="22">
        <f>COUNTIFS('Incident'!$D$4:$D$100003,mCrit,'Incident'!$H$4:$H$100003,"Safety")</f>
        <v>0</v>
      </c>
    </row>
    <row r="884" spans="2:34">
      <c r="B884" s="21" t="s">
        <v>73</v>
      </c>
      <c r="C884" s="22">
        <f>COUNTIFS('Incident'!$D$4:$D$100003,"Jun",'Incident'!$H$4:$H$100003,dCrit)</f>
        <v>0</v>
      </c>
      <c r="E884" s="12" t="s">
        <v>1544</v>
      </c>
      <c r="F884" s="22">
        <f>COUNTIFS('Incident'!$N$4:$N$100003,"Fatality",'Incident'!$D$4:$D$100003,mCrit,'Incident'!$H$4:$H$100003,dCrit)</f>
        <v>0</v>
      </c>
      <c r="M884" s="12" t="s">
        <v>1757</v>
      </c>
      <c r="N884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884" s="12" t="s">
        <v>5</v>
      </c>
      <c r="Q884" s="22">
        <f>COUNTIFS('Incident'!$D$4:$D$100003,mCrit,'Incident'!$H$4:$H$100003,"Logistics")</f>
        <v>0</v>
      </c>
      <c r="R884" s="23">
        <f>IFERROR((COUNTIFS('Incident'!$AB$4:$AB$100003,"Closed",'Incident'!$D$4:$D$100003,mCrit,'Incident'!$H$4:$H$100003,"Logistics"))/COUNTIFS('Incident'!$D$4:$D$100003,mCrit,'Incident'!$H$4:$H$100003,"Logistics")*100,0)</f>
        <v>0</v>
      </c>
      <c r="S884" s="22">
        <f>COUNTIFS('Incident'!$D$4:$D$100003,mCrit,'Incident'!$H$4:$H$100003,"Logistics")</f>
        <v>0</v>
      </c>
    </row>
    <row r="885" spans="2:34">
      <c r="B885" s="21" t="s">
        <v>76</v>
      </c>
      <c r="C885" s="22">
        <f>COUNTIFS('Incident'!$D$4:$D$100003,"Jul",'Incident'!$H$4:$H$100003,dCrit)</f>
        <v>0</v>
      </c>
      <c r="P885" s="12" t="s">
        <v>50</v>
      </c>
      <c r="Q885" s="22">
        <f>COUNTIFS('Incident'!$D$4:$D$100003,mCrit,'Incident'!$H$4:$H$100003,"Quality")</f>
        <v>0</v>
      </c>
      <c r="R885" s="23">
        <f>IFERROR((COUNTIFS('Incident'!$AB$4:$AB$100003,"Closed",'Incident'!$D$4:$D$100003,mCrit,'Incident'!$H$4:$H$100003,"Quality"))/COUNTIFS('Incident'!$D$4:$D$100003,mCrit,'Incident'!$H$4:$H$100003,"Quality")*100,0)</f>
        <v>0</v>
      </c>
      <c r="S885" s="22">
        <f>COUNTIFS('Incident'!$D$4:$D$100003,mCrit,'Incident'!$H$4:$H$100003,"Quality")</f>
        <v>0</v>
      </c>
    </row>
    <row r="886" spans="2:34">
      <c r="B886" s="21" t="s">
        <v>86</v>
      </c>
      <c r="C886" s="22">
        <f>COUNTIFS('Incident'!$D$4:$D$100003,"Aug",'Incident'!$H$4:$H$100003,dCrit)</f>
        <v>0</v>
      </c>
      <c r="P886" s="12" t="s">
        <v>46</v>
      </c>
      <c r="Q886" s="22">
        <f>COUNTIFS('Incident'!$D$4:$D$100003,mCrit,'Incident'!$H$4:$H$100003,"Admin")</f>
        <v>0</v>
      </c>
      <c r="R886" s="23">
        <f>IFERROR((COUNTIFS('Incident'!$AB$4:$AB$100003,"Closed",'Incident'!$D$4:$D$100003,mCrit,'Incident'!$H$4:$H$100003,"Admin"))/COUNTIFS('Incident'!$D$4:$D$100003,mCrit,'Incident'!$H$4:$H$100003,"Admin")*100,0)</f>
        <v>0</v>
      </c>
      <c r="S886" s="22">
        <f>COUNTIFS('Incident'!$D$4:$D$100003,mCrit,'Incident'!$H$4:$H$100003,"Admin")</f>
        <v>0</v>
      </c>
    </row>
    <row r="887" spans="2:34">
      <c r="B887" s="21" t="s">
        <v>102</v>
      </c>
      <c r="C887" s="22">
        <f>COUNTIFS('Incident'!$D$4:$D$100003,"Sep",'Incident'!$H$4:$H$100003,dCrit)</f>
        <v>0</v>
      </c>
      <c r="P887" s="12" t="s">
        <v>13</v>
      </c>
      <c r="Q887" s="22">
        <f>COUNTIFS('Incident'!$D$4:$D$100003,mCrit,'Incident'!$H$4:$H$100003,"Projects")</f>
        <v>0</v>
      </c>
      <c r="R887" s="23">
        <f>IFERROR((COUNTIFS('Incident'!$AB$4:$AB$100003,"Closed",'Incident'!$D$4:$D$100003,mCrit,'Incident'!$H$4:$H$100003,"Projects"))/COUNTIFS('Incident'!$D$4:$D$100003,mCrit,'Incident'!$H$4:$H$100003,"Projects")*100,0)</f>
        <v>0</v>
      </c>
      <c r="S887" s="22">
        <f>COUNTIFS('Incident'!$D$4:$D$100003,mCrit,'Incident'!$H$4:$H$100003,"Projects")</f>
        <v>0</v>
      </c>
    </row>
    <row r="888" spans="2:34">
      <c r="B888" s="21" t="s">
        <v>106</v>
      </c>
      <c r="C888" s="22">
        <f>COUNTIFS('Incident'!$D$4:$D$100003,"Oct",'Incident'!$H$4:$H$100003,dCrit)</f>
        <v>0</v>
      </c>
      <c r="P888" s="12" t="s">
        <v>58</v>
      </c>
      <c r="Q888" s="22">
        <f>COUNTIFS('Incident'!$D$4:$D$100003,mCrit,'Incident'!$H$4:$H$100003,"Contractor")</f>
        <v>0</v>
      </c>
      <c r="R888" s="23">
        <f>IFERROR((COUNTIFS('Incident'!$AB$4:$AB$100003,"Closed",'Incident'!$D$4:$D$100003,mCrit,'Incident'!$H$4:$H$100003,"Contractor"))/COUNTIFS('Incident'!$D$4:$D$100003,mCrit,'Incident'!$H$4:$H$100003,"Contractor")*100,0)</f>
        <v>0</v>
      </c>
      <c r="S888" s="22">
        <f>COUNTIFS('Incident'!$D$4:$D$100003,mCrit,'Incident'!$H$4:$H$100003,"Contractor")</f>
        <v>0</v>
      </c>
    </row>
    <row r="889" spans="2:34">
      <c r="B889" s="21" t="s">
        <v>111</v>
      </c>
      <c r="C889" s="22">
        <f>COUNTIFS('Incident'!$D$4:$D$100003,"Nov",'Incident'!$H$4:$H$100003,dCrit)</f>
        <v>0</v>
      </c>
    </row>
    <row r="890" spans="2:34">
      <c r="B890" s="21" t="s">
        <v>122</v>
      </c>
      <c r="C890" s="22">
        <f>COUNTIFS('Incident'!$D$4:$D$100003,"Dec",'Incident'!$H$4:$H$100003,dCrit)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conditionalFormatting sqref="C270:H277">
    <cfRule type="colorScale" priority="2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  <pageSetUpPr fitToPage="1"/>
  </sheetPr>
  <dimension ref="A1:O30"/>
  <sheetViews>
    <sheetView showGridLines="0" workbookViewId="0"/>
  </sheetViews>
  <sheetFormatPr defaultRowHeight="15"/>
  <cols>
    <col min="1" max="1" width="3.7109375" customWidth="1"/>
    <col min="2" max="13" width="10.7109375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27" t="s">
        <v>1921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2:13" ht="26" customHeight="1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2:13" ht="26" customHeight="1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</row>
    <row r="7" spans="2:13" ht="26" customHeight="1"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</row>
    <row r="8" spans="2:13" ht="26" customHeight="1"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</row>
    <row r="9" spans="2:13" ht="26" customHeight="1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</row>
    <row r="10" spans="2:13" ht="26" customHeight="1">
      <c r="B10" s="28" t="s">
        <v>1922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2:13" ht="26" customHeight="1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</row>
    <row r="12" spans="2:13" ht="26" customHeight="1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</row>
    <row r="13" spans="2:13" ht="26" customHeight="1"/>
    <row r="14" spans="2:13" ht="26" customHeight="1">
      <c r="F14" s="30" t="s">
        <v>1923</v>
      </c>
      <c r="H14" s="16" t="s">
        <v>1924</v>
      </c>
    </row>
    <row r="15" spans="2:13" ht="26" customHeight="1">
      <c r="F15" s="30" t="s">
        <v>1925</v>
      </c>
      <c r="H15" s="16">
        <f>SelPeriod</f>
        <v>0</v>
      </c>
    </row>
    <row r="16" spans="2:13" ht="26" customHeight="1">
      <c r="F16" s="30" t="s">
        <v>1926</v>
      </c>
      <c r="H16" s="31">
        <f>LastRefresh</f>
        <v>0</v>
      </c>
    </row>
    <row r="19" spans="4:15">
      <c r="D19" s="10" t="s">
        <v>1927</v>
      </c>
      <c r="E19" s="10"/>
      <c r="F19" s="10"/>
      <c r="G19" s="10"/>
      <c r="H19" s="10"/>
      <c r="I19" s="10"/>
      <c r="J19" s="10"/>
    </row>
    <row r="20" spans="4:15" ht="4" customHeight="1">
      <c r="D20" s="32"/>
      <c r="E20" s="32"/>
      <c r="F20" s="32"/>
      <c r="G20" s="32"/>
      <c r="H20" s="32"/>
      <c r="I20" s="32"/>
      <c r="J20" s="33"/>
      <c r="K20" s="33"/>
      <c r="L20" s="33"/>
      <c r="M20" s="34"/>
      <c r="N20" s="34"/>
      <c r="O20" s="34"/>
    </row>
    <row r="21" spans="4:15">
      <c r="D21" s="35" t="s">
        <v>1647</v>
      </c>
      <c r="E21" s="35"/>
      <c r="F21" s="35"/>
      <c r="G21" s="35" t="s">
        <v>1649</v>
      </c>
      <c r="H21" s="35"/>
      <c r="I21" s="35"/>
      <c r="J21" s="35" t="s">
        <v>1928</v>
      </c>
      <c r="K21" s="35"/>
      <c r="L21" s="35"/>
      <c r="M21" s="35" t="s">
        <v>1929</v>
      </c>
      <c r="N21" s="35"/>
      <c r="O21" s="35"/>
    </row>
    <row r="22" spans="4:15">
      <c r="D22" s="36">
        <f>Calculations!$CP$12</f>
        <v>0</v>
      </c>
      <c r="E22" s="36"/>
      <c r="F22" s="36"/>
      <c r="G22" s="36">
        <f>Calculations!$CP$13</f>
        <v>0</v>
      </c>
      <c r="H22" s="36"/>
      <c r="I22" s="36"/>
      <c r="J22" s="37">
        <f>Calculations!$CP$14</f>
        <v>0</v>
      </c>
      <c r="K22" s="37"/>
      <c r="L22" s="37"/>
      <c r="M22" s="38">
        <f>Calculations!$CP$29</f>
        <v>0</v>
      </c>
      <c r="N22" s="38"/>
      <c r="O22" s="38"/>
    </row>
    <row r="23" spans="4:15">
      <c r="D23" s="36"/>
      <c r="E23" s="36"/>
      <c r="F23" s="36"/>
      <c r="G23" s="36"/>
      <c r="H23" s="36"/>
      <c r="I23" s="36"/>
      <c r="J23" s="37"/>
      <c r="K23" s="37"/>
      <c r="L23" s="37"/>
      <c r="M23" s="38"/>
      <c r="N23" s="38"/>
      <c r="O23" s="38"/>
    </row>
    <row r="24" spans="4:15"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</row>
    <row r="27" spans="4:15">
      <c r="D27" s="9" t="s">
        <v>1930</v>
      </c>
      <c r="E27" s="9"/>
      <c r="F27" s="9"/>
      <c r="G27" s="9"/>
      <c r="H27" s="9"/>
      <c r="I27" s="9"/>
      <c r="J27" s="9"/>
    </row>
    <row r="28" spans="4:15">
      <c r="D28" s="9"/>
      <c r="E28" s="9"/>
      <c r="F28" s="9"/>
      <c r="G28" s="9"/>
      <c r="H28" s="9"/>
      <c r="I28" s="9"/>
      <c r="J28" s="9"/>
    </row>
    <row r="29" spans="4:15">
      <c r="D29" s="9"/>
      <c r="E29" s="9"/>
      <c r="F29" s="9"/>
      <c r="G29" s="9"/>
      <c r="H29" s="9"/>
      <c r="I29" s="9"/>
      <c r="J29" s="9"/>
    </row>
    <row r="30" spans="4:15">
      <c r="D30" s="9"/>
      <c r="E30" s="9"/>
      <c r="F30" s="9"/>
      <c r="G30" s="9"/>
      <c r="H30" s="9"/>
      <c r="I30" s="9"/>
      <c r="J30" s="9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  <pageSetUpPr fitToPage="1"/>
  </sheetPr>
  <dimension ref="A2:R36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40" t="s">
        <v>1921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4" spans="2:13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</row>
    <row r="5" spans="2:13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2:13">
      <c r="B6" s="41" t="s">
        <v>1931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</row>
    <row r="7" spans="2:1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</row>
    <row r="8" spans="2:13" ht="4" customHeight="1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</row>
    <row r="10" spans="2:13">
      <c r="I10" s="30" t="s">
        <v>1932</v>
      </c>
      <c r="K10" s="31">
        <v>46215.56899506264</v>
      </c>
    </row>
    <row r="11" spans="2:13">
      <c r="B11" s="10" t="s">
        <v>1933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2:13">
      <c r="B12" s="42" t="s">
        <v>1934</v>
      </c>
      <c r="C12" s="42"/>
      <c r="D12" s="42"/>
      <c r="E12" s="42"/>
      <c r="F12" s="42"/>
      <c r="H12" s="43" t="s">
        <v>1935</v>
      </c>
      <c r="I12" s="43"/>
      <c r="J12" s="43"/>
      <c r="K12" s="43"/>
      <c r="L12" s="43"/>
      <c r="M12" s="43"/>
    </row>
    <row r="13" spans="2:13">
      <c r="B13" s="42"/>
      <c r="C13" s="42"/>
      <c r="D13" s="42"/>
      <c r="E13" s="42"/>
      <c r="F13" s="42"/>
      <c r="H13" s="43"/>
      <c r="I13" s="43"/>
      <c r="J13" s="43"/>
      <c r="K13" s="43"/>
      <c r="L13" s="43"/>
      <c r="M13" s="43"/>
    </row>
    <row r="14" spans="2:13" ht="32" customHeight="1"/>
    <row r="15" spans="2:13">
      <c r="B15" s="10" t="s">
        <v>1936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7" spans="2:18">
      <c r="B17" s="44" t="s">
        <v>1937</v>
      </c>
      <c r="C17" s="44"/>
      <c r="D17" s="44"/>
      <c r="E17" s="44"/>
      <c r="F17" s="45" t="s">
        <v>1938</v>
      </c>
      <c r="G17" s="45"/>
      <c r="H17" s="45" t="s">
        <v>1939</v>
      </c>
      <c r="I17" s="45"/>
      <c r="K17" s="44" t="s">
        <v>1940</v>
      </c>
      <c r="L17" s="44"/>
      <c r="M17" s="44"/>
      <c r="N17" s="44"/>
      <c r="O17" s="45" t="s">
        <v>1938</v>
      </c>
      <c r="P17" s="45"/>
      <c r="Q17" s="45" t="s">
        <v>1939</v>
      </c>
      <c r="R17" s="45"/>
    </row>
    <row r="18" spans="2:18">
      <c r="B18" s="44" t="s">
        <v>1941</v>
      </c>
      <c r="C18" s="44"/>
      <c r="D18" s="44"/>
      <c r="E18" s="44"/>
      <c r="F18" s="45" t="s">
        <v>1938</v>
      </c>
      <c r="G18" s="45"/>
      <c r="H18" s="45" t="s">
        <v>1939</v>
      </c>
      <c r="I18" s="45"/>
      <c r="K18" s="44" t="s">
        <v>1942</v>
      </c>
      <c r="L18" s="44"/>
      <c r="M18" s="44"/>
      <c r="N18" s="44"/>
      <c r="O18" s="45" t="s">
        <v>1938</v>
      </c>
      <c r="P18" s="45"/>
      <c r="Q18" s="45" t="s">
        <v>1939</v>
      </c>
      <c r="R18" s="45"/>
    </row>
    <row r="19" spans="2:18">
      <c r="B19" s="44" t="s">
        <v>1943</v>
      </c>
      <c r="C19" s="44"/>
      <c r="D19" s="44"/>
      <c r="E19" s="44"/>
      <c r="F19" s="45" t="s">
        <v>1938</v>
      </c>
      <c r="G19" s="45"/>
      <c r="H19" s="45" t="s">
        <v>1939</v>
      </c>
      <c r="I19" s="45"/>
      <c r="K19" s="44" t="s">
        <v>1944</v>
      </c>
      <c r="L19" s="44"/>
      <c r="M19" s="44"/>
      <c r="N19" s="44"/>
      <c r="O19" s="45" t="s">
        <v>1938</v>
      </c>
      <c r="P19" s="45"/>
      <c r="Q19" s="45" t="s">
        <v>1939</v>
      </c>
      <c r="R19" s="45"/>
    </row>
    <row r="20" spans="2:18">
      <c r="B20" s="44" t="s">
        <v>1945</v>
      </c>
      <c r="C20" s="44"/>
      <c r="D20" s="44"/>
      <c r="E20" s="44"/>
      <c r="F20" s="45" t="s">
        <v>1938</v>
      </c>
      <c r="G20" s="45"/>
      <c r="H20" s="45" t="s">
        <v>1939</v>
      </c>
      <c r="I20" s="45"/>
      <c r="K20" s="44" t="s">
        <v>1946</v>
      </c>
      <c r="L20" s="44"/>
      <c r="M20" s="44"/>
      <c r="N20" s="44"/>
      <c r="O20" s="45" t="s">
        <v>1938</v>
      </c>
      <c r="P20" s="45"/>
      <c r="Q20" s="45" t="s">
        <v>1939</v>
      </c>
      <c r="R20" s="45"/>
    </row>
    <row r="21" spans="2:18">
      <c r="B21" s="44" t="s">
        <v>1947</v>
      </c>
      <c r="C21" s="44"/>
      <c r="D21" s="44"/>
      <c r="E21" s="44"/>
      <c r="F21" s="45" t="s">
        <v>1938</v>
      </c>
      <c r="G21" s="45"/>
      <c r="H21" s="45" t="s">
        <v>1939</v>
      </c>
      <c r="I21" s="45"/>
      <c r="K21" s="44" t="s">
        <v>1948</v>
      </c>
      <c r="L21" s="44"/>
      <c r="M21" s="44"/>
      <c r="N21" s="44"/>
      <c r="O21" s="45" t="s">
        <v>1938</v>
      </c>
      <c r="P21" s="45"/>
      <c r="Q21" s="45" t="s">
        <v>1939</v>
      </c>
      <c r="R21" s="45"/>
    </row>
    <row r="22" spans="2:18">
      <c r="B22" s="44" t="s">
        <v>1949</v>
      </c>
      <c r="C22" s="44"/>
      <c r="D22" s="44"/>
      <c r="E22" s="44"/>
      <c r="F22" s="45" t="s">
        <v>1938</v>
      </c>
      <c r="G22" s="45"/>
      <c r="H22" s="45" t="s">
        <v>1939</v>
      </c>
      <c r="I22" s="45"/>
      <c r="K22" s="44" t="s">
        <v>1950</v>
      </c>
      <c r="L22" s="44"/>
      <c r="M22" s="44"/>
      <c r="N22" s="44"/>
      <c r="O22" s="45" t="s">
        <v>1938</v>
      </c>
      <c r="P22" s="45"/>
      <c r="Q22" s="45" t="s">
        <v>1939</v>
      </c>
      <c r="R22" s="45"/>
    </row>
    <row r="23" spans="2:18">
      <c r="B23" s="44" t="s">
        <v>1951</v>
      </c>
      <c r="C23" s="44"/>
      <c r="D23" s="44"/>
      <c r="E23" s="44"/>
      <c r="F23" s="45" t="s">
        <v>1938</v>
      </c>
      <c r="G23" s="45"/>
      <c r="H23" s="45" t="s">
        <v>1939</v>
      </c>
      <c r="I23" s="45"/>
      <c r="K23" s="44" t="s">
        <v>1952</v>
      </c>
      <c r="L23" s="44"/>
      <c r="M23" s="44"/>
      <c r="N23" s="44"/>
      <c r="O23" s="45" t="s">
        <v>1938</v>
      </c>
      <c r="P23" s="45"/>
      <c r="Q23" s="45" t="s">
        <v>1939</v>
      </c>
      <c r="R23" s="45"/>
    </row>
    <row r="24" spans="2:18">
      <c r="B24" s="44" t="s">
        <v>1953</v>
      </c>
      <c r="C24" s="44"/>
      <c r="D24" s="44"/>
      <c r="E24" s="44"/>
      <c r="F24" s="45" t="s">
        <v>1938</v>
      </c>
      <c r="G24" s="45"/>
      <c r="H24" s="45" t="s">
        <v>1939</v>
      </c>
      <c r="I24" s="45"/>
      <c r="K24" s="44" t="s">
        <v>1954</v>
      </c>
      <c r="L24" s="44"/>
      <c r="M24" s="44"/>
      <c r="N24" s="44"/>
      <c r="O24" s="45" t="s">
        <v>1938</v>
      </c>
      <c r="P24" s="45"/>
      <c r="Q24" s="45" t="s">
        <v>1939</v>
      </c>
      <c r="R24" s="45"/>
    </row>
    <row r="25" spans="2:18">
      <c r="B25" s="44" t="s">
        <v>1955</v>
      </c>
      <c r="C25" s="44"/>
      <c r="D25" s="44"/>
      <c r="E25" s="44"/>
      <c r="F25" s="45" t="s">
        <v>1938</v>
      </c>
      <c r="G25" s="45"/>
      <c r="H25" s="45" t="s">
        <v>1939</v>
      </c>
      <c r="I25" s="45"/>
      <c r="K25" s="44" t="s">
        <v>1956</v>
      </c>
      <c r="L25" s="44"/>
      <c r="M25" s="44"/>
      <c r="N25" s="44"/>
      <c r="O25" s="45" t="s">
        <v>1938</v>
      </c>
      <c r="P25" s="45"/>
      <c r="Q25" s="45" t="s">
        <v>1939</v>
      </c>
      <c r="R25" s="45"/>
    </row>
    <row r="26" spans="2:18">
      <c r="B26" s="44" t="s">
        <v>1957</v>
      </c>
      <c r="C26" s="44"/>
      <c r="D26" s="44"/>
      <c r="E26" s="44"/>
      <c r="F26" s="45" t="s">
        <v>1938</v>
      </c>
      <c r="G26" s="45"/>
      <c r="H26" s="45" t="s">
        <v>1939</v>
      </c>
      <c r="I26" s="45"/>
      <c r="K26" s="44" t="s">
        <v>1958</v>
      </c>
      <c r="L26" s="44"/>
      <c r="M26" s="44"/>
      <c r="N26" s="44"/>
      <c r="O26" s="45" t="s">
        <v>1938</v>
      </c>
      <c r="P26" s="45"/>
      <c r="Q26" s="45" t="s">
        <v>1939</v>
      </c>
      <c r="R26" s="45"/>
    </row>
    <row r="27" spans="2:18">
      <c r="B27" s="44" t="s">
        <v>1959</v>
      </c>
      <c r="C27" s="44"/>
      <c r="D27" s="44"/>
      <c r="E27" s="44"/>
      <c r="F27" s="45" t="s">
        <v>1938</v>
      </c>
      <c r="G27" s="45"/>
      <c r="H27" s="45" t="s">
        <v>1939</v>
      </c>
      <c r="I27" s="45"/>
      <c r="K27" s="44" t="s">
        <v>1960</v>
      </c>
      <c r="L27" s="44"/>
      <c r="M27" s="44"/>
      <c r="N27" s="44"/>
      <c r="O27" s="45" t="s">
        <v>1938</v>
      </c>
      <c r="P27" s="45"/>
      <c r="Q27" s="45" t="s">
        <v>1939</v>
      </c>
      <c r="R27" s="45"/>
    </row>
    <row r="28" spans="2:18">
      <c r="B28" s="44" t="s">
        <v>1961</v>
      </c>
      <c r="C28" s="44"/>
      <c r="D28" s="44"/>
      <c r="E28" s="44"/>
      <c r="F28" s="45" t="s">
        <v>1938</v>
      </c>
      <c r="G28" s="45"/>
      <c r="H28" s="45" t="s">
        <v>1939</v>
      </c>
      <c r="I28" s="45"/>
      <c r="K28" s="44" t="s">
        <v>1962</v>
      </c>
      <c r="L28" s="44"/>
      <c r="M28" s="44"/>
      <c r="N28" s="44"/>
      <c r="O28" s="45" t="s">
        <v>1938</v>
      </c>
      <c r="P28" s="45"/>
      <c r="Q28" s="45" t="s">
        <v>1939</v>
      </c>
      <c r="R28" s="45"/>
    </row>
    <row r="30" spans="2:18">
      <c r="B30" s="10" t="s">
        <v>1963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2:18">
      <c r="B31" s="46" t="s">
        <v>1964</v>
      </c>
      <c r="C31" s="46"/>
      <c r="D31" s="46"/>
      <c r="E31" s="46"/>
      <c r="F31" s="46" t="s">
        <v>1965</v>
      </c>
      <c r="G31" s="46"/>
      <c r="H31" s="46"/>
      <c r="I31" s="46"/>
      <c r="J31" s="46" t="s">
        <v>1966</v>
      </c>
      <c r="K31" s="46"/>
      <c r="L31" s="46"/>
      <c r="M31" s="46"/>
    </row>
    <row r="32" spans="2:18">
      <c r="B32" s="46" t="s">
        <v>1967</v>
      </c>
      <c r="C32" s="46"/>
      <c r="D32" s="46"/>
      <c r="E32" s="46"/>
      <c r="F32" s="46" t="s">
        <v>1968</v>
      </c>
      <c r="G32" s="46"/>
      <c r="H32" s="46"/>
      <c r="I32" s="46"/>
      <c r="J32" s="46" t="s">
        <v>1796</v>
      </c>
      <c r="K32" s="46"/>
      <c r="L32" s="46"/>
      <c r="M32" s="46"/>
    </row>
    <row r="34" spans="2:13">
      <c r="B34" s="9" t="s">
        <v>1969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</row>
    <row r="35" spans="2:1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</row>
    <row r="36" spans="2:1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</sheetData>
  <mergeCells count="87">
    <mergeCell ref="B3:M5"/>
    <mergeCell ref="B6:M7"/>
    <mergeCell ref="B8:M8"/>
    <mergeCell ref="B11:M11"/>
    <mergeCell ref="B12:F13"/>
    <mergeCell ref="H12:M13"/>
    <mergeCell ref="B15:M15"/>
    <mergeCell ref="B17:E17"/>
    <mergeCell ref="F17:G17"/>
    <mergeCell ref="H17:I17"/>
    <mergeCell ref="K17:N17"/>
    <mergeCell ref="O17:P17"/>
    <mergeCell ref="Q17:R17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30:M30"/>
    <mergeCell ref="B31:E31"/>
    <mergeCell ref="F31:I31"/>
    <mergeCell ref="J31:M31"/>
    <mergeCell ref="B32:E32"/>
    <mergeCell ref="F32:I32"/>
    <mergeCell ref="J32:M32"/>
    <mergeCell ref="B34:M36"/>
  </mergeCells>
  <hyperlinks>
    <hyperlink ref="B12" location="'Executive Dashboard'!A1" display="🏆  EXECUTIVE DASHBOARD"/>
    <hyperlink ref="H12" location="'Leadership Review'!A1" display="🧭  LEADERSHIP REVIEW"/>
    <hyperlink ref="F17" location="'Toolbox Talks'!A1" display="Register"/>
    <hyperlink ref="H17" location="'Dash · Toolbox Talks'!A1" display="Dashboard"/>
    <hyperlink ref="O17" location="'JSA Risk Assessment'!A1" display="Register"/>
    <hyperlink ref="Q17" location="'Dash · JSA Risk Assessment'!A1" display="Dashboard"/>
    <hyperlink ref="F18" location="'Training'!A1" display="Register"/>
    <hyperlink ref="H18" location="'Dash · Training'!A1" display="Dashboard"/>
    <hyperlink ref="O18" location="'HSE Observations'!A1" display="Register"/>
    <hyperlink ref="Q18" location="'Dash · HSE Observations'!A1" display="Dashboard"/>
    <hyperlink ref="F19" location="'Workplace Inspections'!A1" display="Register"/>
    <hyperlink ref="H19" location="'Dash · Workplace Inspections'!A1" display="Dashboard"/>
    <hyperlink ref="O19" location="'Equipment Inspections'!A1" display="Register"/>
    <hyperlink ref="Q19" location="'Dash · Equipment Inspections'!A1" display="Dashboard"/>
    <hyperlink ref="F20" location="'Safety Walkthroughs'!A1" display="Register"/>
    <hyperlink ref="H20" location="'Dash · Safety Walkthroughs'!A1" display="Dashboard"/>
    <hyperlink ref="O20" location="'Safety Meetings'!A1" display="Register"/>
    <hyperlink ref="Q20" location="'Dash · Safety Meetings'!A1" display="Dashboard"/>
    <hyperlink ref="F21" location="'Safety Bulletins'!A1" display="Register"/>
    <hyperlink ref="H21" location="'Dash · Safety Bulletins'!A1" display="Dashboard"/>
    <hyperlink ref="O21" location="'Emergency Drills'!A1" display="Register"/>
    <hyperlink ref="Q21" location="'Dash · Emergency Drills'!A1" display="Dashboard"/>
    <hyperlink ref="F22" location="'Internal Audits'!A1" display="Register"/>
    <hyperlink ref="H22" location="'Dash · Internal Audits'!A1" display="Dashboard"/>
    <hyperlink ref="O22" location="'External Audits'!A1" display="Register"/>
    <hyperlink ref="Q22" location="'Dash · External Audits'!A1" display="Dashboard"/>
    <hyperlink ref="F23" location="'Management Visits'!A1" display="Register"/>
    <hyperlink ref="H23" location="'Dash · Management Visits'!A1" display="Dashboard"/>
    <hyperlink ref="O23" location="'Management Reviews'!A1" display="Register"/>
    <hyperlink ref="Q23" location="'Dash · Management Reviews'!A1" display="Dashboard"/>
    <hyperlink ref="F24" location="'Disciplinary Actions'!A1" display="Register"/>
    <hyperlink ref="H24" location="'Dash · Disciplinary Actions'!A1" display="Dashboard"/>
    <hyperlink ref="O24" location="'Safety Awards'!A1" display="Register"/>
    <hyperlink ref="Q24" location="'Dash · Safety Awards'!A1" display="Dashboard"/>
    <hyperlink ref="F25" location="'Stop Work Authority'!A1" display="Register"/>
    <hyperlink ref="H25" location="'Dash · Stop Work Authority'!A1" display="Dashboard"/>
    <hyperlink ref="O25" location="'Alcohol Tests'!A1" display="Register"/>
    <hyperlink ref="Q25" location="'Dash · Alcohol Tests'!A1" display="Dashboard"/>
    <hyperlink ref="F26" location="'PTW Audits'!A1" display="Register"/>
    <hyperlink ref="H26" location="'Dash · PTW Audits'!A1" display="Dashboard"/>
    <hyperlink ref="O26" location="'Corrective Actions'!A1" display="Register"/>
    <hyperlink ref="Q26" location="'Dash · Corrective Actions'!A1" display="Dashboard"/>
    <hyperlink ref="F27" location="'NC Management'!A1" display="Register"/>
    <hyperlink ref="H27" location="'Dash · NC Management'!A1" display="Dashboard"/>
    <hyperlink ref="O27" location="'Unsafe Acts'!A1" display="Register"/>
    <hyperlink ref="Q27" location="'Dash · Unsafe Acts'!A1" display="Dashboard"/>
    <hyperlink ref="F28" location="'Unsafe Conditions'!A1" display="Register"/>
    <hyperlink ref="H28" location="'Dash · Unsafe Conditions'!A1" display="Dashboard"/>
    <hyperlink ref="O28" location="'Incident'!A1" display="Register"/>
    <hyperlink ref="Q28" location="'Dash · Incident'!A1" display="Dashboard"/>
    <hyperlink ref="B31" location="'Master Data'!A1" display="Master Data"/>
    <hyperlink ref="F31" location="'Settings'!A1" display="Settings"/>
    <hyperlink ref="J31" location="'Help'!A1" display="Help"/>
    <hyperlink ref="B32" location="'Calculations'!A1" display="Calculations"/>
    <hyperlink ref="F32" location="'Incident'!A1" display="Incident Register"/>
    <hyperlink ref="J32" location="'Corrective Actions'!A1" display="Corrective Actions"/>
  </hyperlinks>
  <pageMargins left="0.3" right="0.3" top="0.4" bottom="0.4" header="0.3" footer="0.3"/>
  <pageSetup fitToHeight="0" orientation="landscape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0F3D6E"/>
    <pageSetUpPr fitToPage="1"/>
  </sheetPr>
  <dimension ref="A1:S188"/>
  <sheetViews>
    <sheetView showGridLines="0" zoomScale="75" zoomScaleNormal="7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1970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1971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</row>
    <row r="11" spans="2:19">
      <c r="B11" s="10" t="s">
        <v>1976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>
      <c r="B12" s="11" t="s">
        <v>1977</v>
      </c>
      <c r="C12" s="15" t="s">
        <v>73</v>
      </c>
      <c r="D12" s="15"/>
      <c r="F12" s="11" t="s">
        <v>129</v>
      </c>
      <c r="G12" s="15" t="s">
        <v>1600</v>
      </c>
      <c r="H12" s="15"/>
      <c r="J12" s="11" t="s">
        <v>1978</v>
      </c>
      <c r="K12" s="15" t="s">
        <v>1600</v>
      </c>
      <c r="L12" s="15"/>
      <c r="N12" s="9" t="s">
        <v>1979</v>
      </c>
      <c r="O12" s="9"/>
      <c r="P12" s="9"/>
      <c r="Q12" s="9"/>
      <c r="R12" s="9"/>
      <c r="S12" s="9"/>
    </row>
    <row r="14" spans="2:19" ht="20" customHeight="1">
      <c r="B14" s="51" t="s">
        <v>1980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2:19" ht="4" customHeight="1"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2:19">
      <c r="B16" s="35" t="s">
        <v>1647</v>
      </c>
      <c r="C16" s="35"/>
      <c r="D16" s="35"/>
      <c r="E16" s="35" t="s">
        <v>1649</v>
      </c>
      <c r="F16" s="35"/>
      <c r="G16" s="35"/>
      <c r="H16" s="35" t="s">
        <v>1928</v>
      </c>
      <c r="I16" s="35"/>
      <c r="J16" s="35"/>
      <c r="K16" s="35" t="s">
        <v>1981</v>
      </c>
      <c r="L16" s="35"/>
      <c r="M16" s="35"/>
      <c r="N16" s="35" t="s">
        <v>1982</v>
      </c>
      <c r="O16" s="35"/>
      <c r="P16" s="35"/>
      <c r="Q16" s="35" t="s">
        <v>1983</v>
      </c>
      <c r="R16" s="35"/>
      <c r="S16" s="35"/>
    </row>
    <row r="17" spans="2:19">
      <c r="B17" s="36">
        <f>Calculations!$CP$12</f>
        <v>0</v>
      </c>
      <c r="C17" s="36"/>
      <c r="E17" s="36">
        <f>Calculations!$CP$13</f>
        <v>0</v>
      </c>
      <c r="F17" s="36"/>
      <c r="H17" s="37">
        <f>Calculations!$CP$14</f>
        <v>0</v>
      </c>
      <c r="I17" s="37"/>
      <c r="K17" s="37">
        <f>Calculations!$CP$15</f>
        <v>0</v>
      </c>
      <c r="L17" s="37"/>
      <c r="N17" s="37">
        <f>Calculations!$CP$16</f>
        <v>0</v>
      </c>
      <c r="O17" s="37"/>
      <c r="Q17" s="37">
        <f>Calculations!$CP$17</f>
        <v>0</v>
      </c>
      <c r="R17" s="37"/>
    </row>
    <row r="18" spans="2:19">
      <c r="B18" s="36"/>
      <c r="C18" s="36"/>
      <c r="D18" s="36"/>
      <c r="E18" s="36"/>
      <c r="F18" s="36"/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</row>
    <row r="19" spans="2:19">
      <c r="B19" s="53">
        <f>IF(Calculations!$CQ$12=0,IF(Calculations!$CP$12&gt;0,"▲ new","● flat"),IF(Calculations!$CP$12=Calculations!$CQ$12,"● flat",(IF(Calculations!$CP$12&gt;Calculations!$CQ$12,"▲ ","▼ "))&amp;TEXT(ABS(Calculations!$CR$12),"0.0%")&amp;" vs prior"))</f>
        <v>0</v>
      </c>
      <c r="C19" s="53"/>
      <c r="D19" s="53"/>
      <c r="E19" s="53">
        <f>IF(Calculations!$CQ$13=0,IF(Calculations!$CP$13&gt;0,"▲ new","● flat"),IF(Calculations!$CP$13=Calculations!$CQ$13,"● flat",(IF(Calculations!$CP$13&gt;Calculations!$CQ$13,"▲ ","▼ "))&amp;TEXT(ABS(Calculations!$CR$13),"0.0%")&amp;" vs prior"))</f>
        <v>0</v>
      </c>
      <c r="F19" s="53"/>
      <c r="G19" s="53"/>
      <c r="H19" s="53">
        <f>IF(Calculations!$CQ$14=0,IF(Calculations!$CP$14&gt;0,"▲ new","● flat"),IF(Calculations!$CP$14=Calculations!$CQ$14,"● flat",(IF(Calculations!$CP$14&gt;Calculations!$CQ$14,"▲ ","▼ "))&amp;TEXT(ABS(Calculations!$CR$14),"0.0%")&amp;" vs prior"))</f>
        <v>0</v>
      </c>
      <c r="I19" s="53"/>
      <c r="J19" s="53"/>
      <c r="K19" s="53">
        <f>IF(Calculations!$CQ$15=0,IF(Calculations!$CP$15&gt;0,"▲ new","● flat"),IF(Calculations!$CP$15=Calculations!$CQ$15,"● flat",(IF(Calculations!$CP$15&gt;Calculations!$CQ$15,"▲ ","▼ "))&amp;TEXT(ABS(Calculations!$CR$15),"0.0%")&amp;" vs prior"))</f>
        <v>0</v>
      </c>
      <c r="L19" s="53"/>
      <c r="M19" s="53"/>
      <c r="N19" s="53">
        <f>IF(Calculations!$CQ$16=0,IF(Calculations!$CP$16&gt;0,"▲ new","● flat"),IF(Calculations!$CP$16=Calculations!$CQ$16,"● flat",(IF(Calculations!$CP$16&gt;Calculations!$CQ$16,"▲ ","▼ "))&amp;TEXT(ABS(Calculations!$CR$16),"0.0%")&amp;" vs prior"))</f>
        <v>0</v>
      </c>
      <c r="O19" s="53"/>
      <c r="P19" s="53"/>
      <c r="Q19" s="53">
        <f>IF(Calculations!$CQ$17=0,IF(Calculations!$CP$17&gt;0,"▲ new","● flat"),IF(Calculations!$CP$17=Calculations!$CQ$17,"● flat",(IF(Calculations!$CP$17&gt;Calculations!$CQ$17,"▲ ","▼ "))&amp;TEXT(ABS(Calculations!$CR$17),"0.0%")&amp;" vs prior"))</f>
        <v>0</v>
      </c>
      <c r="R19" s="53"/>
      <c r="S19" s="53"/>
    </row>
    <row r="21" spans="2:19" ht="4" customHeight="1"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</row>
    <row r="22" spans="2:19">
      <c r="B22" s="35" t="s">
        <v>1984</v>
      </c>
      <c r="C22" s="35"/>
      <c r="D22" s="35"/>
      <c r="E22" s="35" t="s">
        <v>1985</v>
      </c>
      <c r="F22" s="35"/>
      <c r="G22" s="35"/>
      <c r="H22" s="35" t="s">
        <v>1986</v>
      </c>
      <c r="I22" s="35"/>
      <c r="J22" s="35"/>
      <c r="K22" s="35" t="s">
        <v>1987</v>
      </c>
      <c r="L22" s="35"/>
      <c r="M22" s="35"/>
      <c r="N22" s="35" t="s">
        <v>1988</v>
      </c>
      <c r="O22" s="35"/>
      <c r="P22" s="35"/>
      <c r="Q22" s="35" t="s">
        <v>1989</v>
      </c>
      <c r="R22" s="35"/>
      <c r="S22" s="35"/>
    </row>
    <row r="23" spans="2:19">
      <c r="B23" s="37">
        <f>Calculations!$CP$18</f>
        <v>0</v>
      </c>
      <c r="C23" s="37"/>
      <c r="E23" s="37">
        <f>Calculations!$CP$19</f>
        <v>0</v>
      </c>
      <c r="F23" s="37"/>
      <c r="H23" s="37">
        <f>Calculations!$CP$20</f>
        <v>0</v>
      </c>
      <c r="I23" s="37"/>
      <c r="K23" s="37">
        <f>Calculations!$CP$21</f>
        <v>0</v>
      </c>
      <c r="L23" s="37"/>
      <c r="N23" s="38">
        <f>Calculations!$CP$22</f>
        <v>0</v>
      </c>
      <c r="O23" s="38"/>
      <c r="Q23" s="38">
        <f>Calculations!$CP$23</f>
        <v>0</v>
      </c>
      <c r="R23" s="38"/>
    </row>
    <row r="24" spans="2:19"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8"/>
      <c r="O24" s="38"/>
      <c r="P24" s="38"/>
      <c r="Q24" s="38"/>
      <c r="R24" s="38"/>
      <c r="S24" s="38"/>
    </row>
    <row r="25" spans="2:19">
      <c r="B25" s="53">
        <f>IF(Calculations!$CQ$18=0,IF(Calculations!$CP$18&gt;0,"▲ new","● flat"),IF(Calculations!$CP$18=Calculations!$CQ$18,"● flat",(IF(Calculations!$CP$18&gt;Calculations!$CQ$18,"▲ ","▼ "))&amp;TEXT(ABS(Calculations!$CR$18),"0.0%")&amp;" vs prior"))</f>
        <v>0</v>
      </c>
      <c r="C25" s="53"/>
      <c r="D25" s="53"/>
      <c r="E25" s="53">
        <f>IF(Calculations!$CQ$19=0,IF(Calculations!$CP$19&gt;0,"▲ new","● flat"),IF(Calculations!$CP$19=Calculations!$CQ$19,"● flat",(IF(Calculations!$CP$19&gt;Calculations!$CQ$19,"▲ ","▼ "))&amp;TEXT(ABS(Calculations!$CR$19),"0.0%")&amp;" vs prior"))</f>
        <v>0</v>
      </c>
      <c r="F25" s="53"/>
      <c r="G25" s="53"/>
      <c r="H25" s="53">
        <f>IF(Calculations!$CQ$20=0,IF(Calculations!$CP$20&gt;0,"▲ new","● flat"),IF(Calculations!$CP$20=Calculations!$CQ$20,"● flat",(IF(Calculations!$CP$20&gt;Calculations!$CQ$20,"▲ ","▼ "))&amp;TEXT(ABS(Calculations!$CR$20),"0.0%")&amp;" vs prior"))</f>
        <v>0</v>
      </c>
      <c r="I25" s="53"/>
      <c r="J25" s="53"/>
      <c r="K25" s="53">
        <f>IF(Calculations!$CQ$21=0,IF(Calculations!$CP$21&gt;0,"▲ new","● flat"),IF(Calculations!$CP$21=Calculations!$CQ$21,"● flat",(IF(Calculations!$CP$21&gt;Calculations!$CQ$21,"▲ ","▼ "))&amp;TEXT(ABS(Calculations!$CR$21),"0.0%")&amp;" vs prior"))</f>
        <v>0</v>
      </c>
      <c r="L25" s="53"/>
      <c r="M25" s="53"/>
      <c r="N25" s="53">
        <f>IF(Calculations!$CQ$22=0,IF(Calculations!$CP$22&gt;0,"▲ new","● flat"),IF(Calculations!$CP$22=Calculations!$CQ$22,"● flat",(IF(Calculations!$CP$22&gt;Calculations!$CQ$22,"▲ ","▼ "))&amp;TEXT(ABS(Calculations!$CR$22),"0.0%")&amp;" vs prior"))</f>
        <v>0</v>
      </c>
      <c r="O25" s="53"/>
      <c r="P25" s="53"/>
      <c r="Q25" s="53">
        <f>IF(Calculations!$CQ$23=0,IF(Calculations!$CP$23&gt;0,"▲ new","● flat"),IF(Calculations!$CP$23=Calculations!$CQ$23,"● flat",(IF(Calculations!$CP$23&gt;Calculations!$CQ$23,"▲ ","▼ "))&amp;TEXT(ABS(Calculations!$CR$23),"0.0%")&amp;" vs prior"))</f>
        <v>0</v>
      </c>
      <c r="R25" s="53"/>
      <c r="S25" s="53"/>
    </row>
    <row r="28" spans="2:19" ht="20" customHeight="1">
      <c r="B28" s="54" t="s">
        <v>1990</v>
      </c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</row>
    <row r="29" spans="2:19" ht="4" customHeight="1"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</row>
    <row r="30" spans="2:19">
      <c r="B30" s="35" t="s">
        <v>1991</v>
      </c>
      <c r="C30" s="35"/>
      <c r="D30" s="35"/>
      <c r="E30" s="35" t="s">
        <v>1992</v>
      </c>
      <c r="F30" s="35"/>
      <c r="G30" s="35"/>
      <c r="H30" s="35" t="s">
        <v>1993</v>
      </c>
      <c r="I30" s="35"/>
      <c r="J30" s="35"/>
      <c r="K30" s="35" t="s">
        <v>1994</v>
      </c>
      <c r="L30" s="35"/>
      <c r="M30" s="35"/>
      <c r="N30" s="35" t="s">
        <v>1995</v>
      </c>
      <c r="O30" s="35"/>
      <c r="P30" s="35"/>
      <c r="Q30" s="35" t="s">
        <v>1929</v>
      </c>
      <c r="R30" s="35"/>
      <c r="S30" s="35"/>
    </row>
    <row r="31" spans="2:19">
      <c r="B31" s="37">
        <f>Calculations!$CP$24</f>
        <v>0</v>
      </c>
      <c r="C31" s="37"/>
      <c r="E31" s="38">
        <f>Calculations!$CP$25</f>
        <v>0</v>
      </c>
      <c r="F31" s="38"/>
      <c r="H31" s="37">
        <f>Calculations!$CP$26</f>
        <v>0</v>
      </c>
      <c r="I31" s="37"/>
      <c r="K31" s="38">
        <f>Calculations!$CP$27</f>
        <v>0</v>
      </c>
      <c r="L31" s="38"/>
      <c r="N31" s="37">
        <f>Calculations!$CP$28</f>
        <v>0</v>
      </c>
      <c r="O31" s="37"/>
      <c r="Q31" s="38">
        <f>Calculations!$CP$29</f>
        <v>0</v>
      </c>
      <c r="R31" s="38"/>
    </row>
    <row r="32" spans="2:19">
      <c r="B32" s="37"/>
      <c r="C32" s="37"/>
      <c r="D32" s="37"/>
      <c r="E32" s="38"/>
      <c r="F32" s="38"/>
      <c r="G32" s="38"/>
      <c r="H32" s="37"/>
      <c r="I32" s="37"/>
      <c r="J32" s="37"/>
      <c r="K32" s="38"/>
      <c r="L32" s="38"/>
      <c r="M32" s="38"/>
      <c r="N32" s="37"/>
      <c r="O32" s="37"/>
      <c r="P32" s="37"/>
      <c r="Q32" s="38"/>
      <c r="R32" s="38"/>
      <c r="S32" s="38"/>
    </row>
    <row r="33" spans="2:19">
      <c r="B33" s="53">
        <f>IF(Calculations!$CQ$24=0,IF(Calculations!$CP$24&gt;0,"▲ new","● flat"),IF(Calculations!$CP$24=Calculations!$CQ$24,"● flat",(IF(Calculations!$CP$24&gt;Calculations!$CQ$24,"▲ ","▼ "))&amp;TEXT(ABS(Calculations!$CR$24),"0.0%")&amp;" vs prior"))</f>
        <v>0</v>
      </c>
      <c r="C33" s="53"/>
      <c r="D33" s="53"/>
      <c r="E33" s="53">
        <f>IF(Calculations!$CQ$25=0,IF(Calculations!$CP$25&gt;0,"▲ new","● flat"),IF(Calculations!$CP$25=Calculations!$CQ$25,"● flat",(IF(Calculations!$CP$25&gt;Calculations!$CQ$25,"▲ ","▼ "))&amp;TEXT(ABS(Calculations!$CR$25),"0.0%")&amp;" vs prior"))</f>
        <v>0</v>
      </c>
      <c r="F33" s="53"/>
      <c r="G33" s="53"/>
      <c r="H33" s="53">
        <f>IF(Calculations!$CQ$26=0,IF(Calculations!$CP$26&gt;0,"▲ new","● flat"),IF(Calculations!$CP$26=Calculations!$CQ$26,"● flat",(IF(Calculations!$CP$26&gt;Calculations!$CQ$26,"▲ ","▼ "))&amp;TEXT(ABS(Calculations!$CR$26),"0.0%")&amp;" vs prior"))</f>
        <v>0</v>
      </c>
      <c r="I33" s="53"/>
      <c r="J33" s="53"/>
      <c r="K33" s="53">
        <f>IF(Calculations!$CQ$27=0,IF(Calculations!$CP$27&gt;0,"▲ new","● flat"),IF(Calculations!$CP$27=Calculations!$CQ$27,"● flat",(IF(Calculations!$CP$27&gt;Calculations!$CQ$27,"▲ ","▼ "))&amp;TEXT(ABS(Calculations!$CR$27),"0.0%")&amp;" vs prior"))</f>
        <v>0</v>
      </c>
      <c r="L33" s="53"/>
      <c r="M33" s="53"/>
      <c r="N33" s="53">
        <f>IF(Calculations!$CQ$28=0,IF(Calculations!$CP$28&gt;0,"▲ new","● flat"),IF(Calculations!$CP$28=Calculations!$CQ$28,"● flat",(IF(Calculations!$CP$28&gt;Calculations!$CQ$28,"▲ ","▼ "))&amp;TEXT(ABS(Calculations!$CR$28),"0.0%")&amp;" vs prior"))</f>
        <v>0</v>
      </c>
      <c r="O33" s="53"/>
      <c r="P33" s="53"/>
      <c r="Q33" s="53">
        <f>IF(Calculations!$CQ$29=0,IF(Calculations!$CP$29&gt;0,"▲ new","● flat"),IF(Calculations!$CP$29=Calculations!$CQ$29,"● flat",(IF(Calculations!$CP$29&gt;Calculations!$CQ$29,"▲ ","▼ "))&amp;TEXT(ABS(Calculations!$CR$29),"0.0%")&amp;" vs prior"))</f>
        <v>0</v>
      </c>
      <c r="R33" s="53"/>
      <c r="S33" s="53"/>
    </row>
    <row r="35" spans="2:19" ht="4" customHeight="1"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</row>
    <row r="36" spans="2:19">
      <c r="B36" s="35" t="s">
        <v>1996</v>
      </c>
      <c r="C36" s="35"/>
      <c r="D36" s="35"/>
      <c r="E36" s="35" t="s">
        <v>1997</v>
      </c>
      <c r="F36" s="35"/>
      <c r="G36" s="35"/>
      <c r="H36" s="35" t="s">
        <v>1998</v>
      </c>
      <c r="I36" s="35"/>
      <c r="J36" s="35"/>
      <c r="K36" s="35" t="s">
        <v>1999</v>
      </c>
      <c r="L36" s="35"/>
      <c r="M36" s="35"/>
      <c r="N36" s="35" t="s">
        <v>2000</v>
      </c>
      <c r="O36" s="35"/>
      <c r="P36" s="35"/>
      <c r="Q36" s="35" t="s">
        <v>2001</v>
      </c>
      <c r="R36" s="35"/>
      <c r="S36" s="35"/>
    </row>
    <row r="37" spans="2:19">
      <c r="B37" s="37">
        <f>Calculations!$CP$30</f>
        <v>0</v>
      </c>
      <c r="C37" s="37"/>
      <c r="E37" s="38">
        <f>Calculations!$CP$31</f>
        <v>0</v>
      </c>
      <c r="F37" s="38"/>
      <c r="H37" s="37">
        <f>Calculations!$CP$32</f>
        <v>0</v>
      </c>
      <c r="I37" s="37"/>
      <c r="K37" s="38">
        <f>Calculations!$CP$33</f>
        <v>0</v>
      </c>
      <c r="L37" s="38"/>
      <c r="N37" s="37">
        <f>Calculations!$CP$34</f>
        <v>0</v>
      </c>
      <c r="O37" s="37"/>
      <c r="Q37" s="37">
        <f>Calculations!$CP$35</f>
        <v>0</v>
      </c>
      <c r="R37" s="37"/>
    </row>
    <row r="38" spans="2:19">
      <c r="B38" s="37"/>
      <c r="C38" s="37"/>
      <c r="D38" s="37"/>
      <c r="E38" s="38"/>
      <c r="F38" s="38"/>
      <c r="G38" s="38"/>
      <c r="H38" s="37"/>
      <c r="I38" s="37"/>
      <c r="J38" s="37"/>
      <c r="K38" s="38"/>
      <c r="L38" s="38"/>
      <c r="M38" s="38"/>
      <c r="N38" s="37"/>
      <c r="O38" s="37"/>
      <c r="P38" s="37"/>
      <c r="Q38" s="37"/>
      <c r="R38" s="37"/>
      <c r="S38" s="37"/>
    </row>
    <row r="39" spans="2:19">
      <c r="B39" s="53">
        <f>IF(Calculations!$CQ$30=0,IF(Calculations!$CP$30&gt;0,"▲ new","● flat"),IF(Calculations!$CP$30=Calculations!$CQ$30,"● flat",(IF(Calculations!$CP$30&gt;Calculations!$CQ$30,"▲ ","▼ "))&amp;TEXT(ABS(Calculations!$CR$30),"0.0%")&amp;" vs prior"))</f>
        <v>0</v>
      </c>
      <c r="C39" s="53"/>
      <c r="D39" s="53"/>
      <c r="E39" s="53">
        <f>IF(Calculations!$CQ$31=0,IF(Calculations!$CP$31&gt;0,"▲ new","● flat"),IF(Calculations!$CP$31=Calculations!$CQ$31,"● flat",(IF(Calculations!$CP$31&gt;Calculations!$CQ$31,"▲ ","▼ "))&amp;TEXT(ABS(Calculations!$CR$31),"0.0%")&amp;" vs prior"))</f>
        <v>0</v>
      </c>
      <c r="F39" s="53"/>
      <c r="G39" s="53"/>
      <c r="H39" s="53">
        <f>IF(Calculations!$CQ$32=0,IF(Calculations!$CP$32&gt;0,"▲ new","● flat"),IF(Calculations!$CP$32=Calculations!$CQ$32,"● flat",(IF(Calculations!$CP$32&gt;Calculations!$CQ$32,"▲ ","▼ "))&amp;TEXT(ABS(Calculations!$CR$32),"0.0%")&amp;" vs prior"))</f>
        <v>0</v>
      </c>
      <c r="I39" s="53"/>
      <c r="J39" s="53"/>
      <c r="K39" s="53">
        <f>IF(Calculations!$CQ$33=0,IF(Calculations!$CP$33&gt;0,"▲ new","● flat"),IF(Calculations!$CP$33=Calculations!$CQ$33,"● flat",(IF(Calculations!$CP$33&gt;Calculations!$CQ$33,"▲ ","▼ "))&amp;TEXT(ABS(Calculations!$CR$33),"0.0%")&amp;" vs prior"))</f>
        <v>0</v>
      </c>
      <c r="L39" s="53"/>
      <c r="M39" s="53"/>
      <c r="N39" s="53">
        <f>IF(Calculations!$CQ$34=0,IF(Calculations!$CP$34&gt;0,"▲ new","● flat"),IF(Calculations!$CP$34=Calculations!$CQ$34,"● flat",(IF(Calculations!$CP$34&gt;Calculations!$CQ$34,"▲ ","▼ "))&amp;TEXT(ABS(Calculations!$CR$34),"0.0%")&amp;" vs prior"))</f>
        <v>0</v>
      </c>
      <c r="O39" s="53"/>
      <c r="P39" s="53"/>
      <c r="Q39" s="53">
        <f>IF(Calculations!$CQ$35=0,IF(Calculations!$CP$35&gt;0,"▲ new","● flat"),IF(Calculations!$CP$35=Calculations!$CQ$35,"● flat",(IF(Calculations!$CP$35&gt;Calculations!$CQ$35,"▲ ","▼ "))&amp;TEXT(ABS(Calculations!$CR$35),"0.0%")&amp;" vs prior"))</f>
        <v>0</v>
      </c>
      <c r="R39" s="53"/>
      <c r="S39" s="53"/>
    </row>
    <row r="41" spans="2:19" ht="4" customHeight="1"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</row>
    <row r="42" spans="2:19">
      <c r="B42" s="35" t="s">
        <v>2002</v>
      </c>
      <c r="C42" s="35"/>
      <c r="D42" s="35"/>
      <c r="E42" s="35" t="s">
        <v>2003</v>
      </c>
      <c r="F42" s="35"/>
      <c r="G42" s="35"/>
      <c r="H42" s="35" t="s">
        <v>2004</v>
      </c>
      <c r="I42" s="35"/>
      <c r="J42" s="35"/>
      <c r="K42" s="35" t="s">
        <v>2005</v>
      </c>
      <c r="L42" s="35"/>
      <c r="M42" s="35"/>
      <c r="N42" s="35" t="s">
        <v>2006</v>
      </c>
      <c r="O42" s="35"/>
      <c r="P42" s="35"/>
      <c r="Q42" s="35" t="s">
        <v>2007</v>
      </c>
      <c r="R42" s="35"/>
      <c r="S42" s="35"/>
    </row>
    <row r="43" spans="2:19">
      <c r="B43" s="37">
        <f>Calculations!$CP$36</f>
        <v>0</v>
      </c>
      <c r="C43" s="37"/>
      <c r="E43" s="37">
        <f>Calculations!$CP$37</f>
        <v>0</v>
      </c>
      <c r="F43" s="37"/>
      <c r="H43" s="38">
        <f>Calculations!$CP$38</f>
        <v>0</v>
      </c>
      <c r="I43" s="38"/>
      <c r="K43" s="37">
        <f>Calculations!$CP$39</f>
        <v>0</v>
      </c>
      <c r="L43" s="37"/>
      <c r="N43" s="38">
        <f>Calculations!$CP$40</f>
        <v>0</v>
      </c>
      <c r="O43" s="38"/>
      <c r="Q43" s="37">
        <f>Calculations!$CP$41</f>
        <v>0</v>
      </c>
      <c r="R43" s="37"/>
    </row>
    <row r="44" spans="2:19">
      <c r="B44" s="37"/>
      <c r="C44" s="37"/>
      <c r="D44" s="37"/>
      <c r="E44" s="37"/>
      <c r="F44" s="37"/>
      <c r="G44" s="37"/>
      <c r="H44" s="38"/>
      <c r="I44" s="38"/>
      <c r="J44" s="38"/>
      <c r="K44" s="37"/>
      <c r="L44" s="37"/>
      <c r="M44" s="37"/>
      <c r="N44" s="38"/>
      <c r="O44" s="38"/>
      <c r="P44" s="38"/>
      <c r="Q44" s="37"/>
      <c r="R44" s="37"/>
      <c r="S44" s="37"/>
    </row>
    <row r="45" spans="2:19">
      <c r="B45" s="53">
        <f>IF(Calculations!$CQ$36=0,IF(Calculations!$CP$36&gt;0,"▲ new","● flat"),IF(Calculations!$CP$36=Calculations!$CQ$36,"● flat",(IF(Calculations!$CP$36&gt;Calculations!$CQ$36,"▲ ","▼ "))&amp;TEXT(ABS(Calculations!$CR$36),"0.0%")&amp;" vs prior"))</f>
        <v>0</v>
      </c>
      <c r="C45" s="53"/>
      <c r="D45" s="53"/>
      <c r="E45" s="53">
        <f>IF(Calculations!$CQ$37=0,IF(Calculations!$CP$37&gt;0,"▲ new","● flat"),IF(Calculations!$CP$37=Calculations!$CQ$37,"● flat",(IF(Calculations!$CP$37&gt;Calculations!$CQ$37,"▲ ","▼ "))&amp;TEXT(ABS(Calculations!$CR$37),"0.0%")&amp;" vs prior"))</f>
        <v>0</v>
      </c>
      <c r="F45" s="53"/>
      <c r="G45" s="53"/>
      <c r="H45" s="53">
        <f>IF(Calculations!$CQ$38=0,IF(Calculations!$CP$38&gt;0,"▲ new","● flat"),IF(Calculations!$CP$38=Calculations!$CQ$38,"● flat",(IF(Calculations!$CP$38&gt;Calculations!$CQ$38,"▲ ","▼ "))&amp;TEXT(ABS(Calculations!$CR$38),"0.0%")&amp;" vs prior"))</f>
        <v>0</v>
      </c>
      <c r="I45" s="53"/>
      <c r="J45" s="53"/>
      <c r="K45" s="53">
        <f>IF(Calculations!$CQ$39=0,IF(Calculations!$CP$39&gt;0,"▲ new","● flat"),IF(Calculations!$CP$39=Calculations!$CQ$39,"● flat",(IF(Calculations!$CP$39&gt;Calculations!$CQ$39,"▲ ","▼ "))&amp;TEXT(ABS(Calculations!$CR$39),"0.0%")&amp;" vs prior"))</f>
        <v>0</v>
      </c>
      <c r="L45" s="53"/>
      <c r="M45" s="53"/>
      <c r="N45" s="53">
        <f>IF(Calculations!$CQ$40=0,IF(Calculations!$CP$40&gt;0,"▲ new","● flat"),IF(Calculations!$CP$40=Calculations!$CQ$40,"● flat",(IF(Calculations!$CP$40&gt;Calculations!$CQ$40,"▲ ","▼ "))&amp;TEXT(ABS(Calculations!$CR$40),"0.0%")&amp;" vs prior"))</f>
        <v>0</v>
      </c>
      <c r="O45" s="53"/>
      <c r="P45" s="53"/>
      <c r="Q45" s="53">
        <f>IF(Calculations!$CQ$41=0,IF(Calculations!$CP$41&gt;0,"▲ new","● flat"),IF(Calculations!$CP$41=Calculations!$CQ$41,"● flat",(IF(Calculations!$CP$41&gt;Calculations!$CQ$41,"▲ ","▼ "))&amp;TEXT(ABS(Calculations!$CR$41),"0.0%")&amp;" vs prior"))</f>
        <v>0</v>
      </c>
      <c r="R45" s="53"/>
      <c r="S45" s="53"/>
    </row>
    <row r="47" spans="2:19" ht="4" customHeight="1"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</row>
    <row r="48" spans="2:19">
      <c r="B48" s="35" t="s">
        <v>2008</v>
      </c>
      <c r="C48" s="35"/>
      <c r="D48" s="35"/>
      <c r="E48" s="35" t="s">
        <v>2009</v>
      </c>
      <c r="F48" s="35"/>
      <c r="G48" s="35"/>
      <c r="H48" s="35" t="s">
        <v>2010</v>
      </c>
      <c r="I48" s="35"/>
      <c r="J48" s="35"/>
      <c r="K48" s="35" t="s">
        <v>2011</v>
      </c>
      <c r="L48" s="35"/>
      <c r="M48" s="35"/>
      <c r="N48" s="35" t="s">
        <v>2012</v>
      </c>
      <c r="O48" s="35"/>
      <c r="P48" s="35"/>
      <c r="Q48" s="35" t="s">
        <v>2013</v>
      </c>
      <c r="R48" s="35"/>
      <c r="S48" s="35"/>
    </row>
    <row r="49" spans="2:19">
      <c r="B49" s="38">
        <f>Calculations!$CP$42</f>
        <v>0</v>
      </c>
      <c r="C49" s="38"/>
      <c r="E49" s="37">
        <f>Calculations!$CP$43</f>
        <v>0</v>
      </c>
      <c r="F49" s="37"/>
      <c r="H49" s="37">
        <f>Calculations!$CP$44</f>
        <v>0</v>
      </c>
      <c r="I49" s="37"/>
      <c r="K49" s="37">
        <f>Calculations!$CP$45</f>
        <v>0</v>
      </c>
      <c r="L49" s="37"/>
      <c r="N49" s="37">
        <f>Calculations!$CP$46</f>
        <v>0</v>
      </c>
      <c r="O49" s="37"/>
      <c r="Q49" s="37">
        <f>Calculations!$CP$47</f>
        <v>0</v>
      </c>
      <c r="R49" s="37"/>
    </row>
    <row r="50" spans="2:19">
      <c r="B50" s="38"/>
      <c r="C50" s="38"/>
      <c r="D50" s="38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</row>
    <row r="51" spans="2:19">
      <c r="B51" s="53">
        <f>IF(Calculations!$CQ$42=0,IF(Calculations!$CP$42&gt;0,"▲ new","● flat"),IF(Calculations!$CP$42=Calculations!$CQ$42,"● flat",(IF(Calculations!$CP$42&gt;Calculations!$CQ$42,"▲ ","▼ "))&amp;TEXT(ABS(Calculations!$CR$42),"0.0%")&amp;" vs prior"))</f>
        <v>0</v>
      </c>
      <c r="C51" s="53"/>
      <c r="D51" s="53"/>
      <c r="E51" s="53">
        <f>IF(Calculations!$CQ$43=0,IF(Calculations!$CP$43&gt;0,"▲ new","● flat"),IF(Calculations!$CP$43=Calculations!$CQ$43,"● flat",(IF(Calculations!$CP$43&gt;Calculations!$CQ$43,"▲ ","▼ "))&amp;TEXT(ABS(Calculations!$CR$43),"0.0%")&amp;" vs prior"))</f>
        <v>0</v>
      </c>
      <c r="F51" s="53"/>
      <c r="G51" s="53"/>
      <c r="H51" s="53">
        <f>IF(Calculations!$CQ$44=0,IF(Calculations!$CP$44&gt;0,"▲ new","● flat"),IF(Calculations!$CP$44=Calculations!$CQ$44,"● flat",(IF(Calculations!$CP$44&gt;Calculations!$CQ$44,"▲ ","▼ "))&amp;TEXT(ABS(Calculations!$CR$44),"0.0%")&amp;" vs prior"))</f>
        <v>0</v>
      </c>
      <c r="I51" s="53"/>
      <c r="J51" s="53"/>
      <c r="K51" s="53">
        <f>IF(Calculations!$CQ$45=0,IF(Calculations!$CP$45&gt;0,"▲ new","● flat"),IF(Calculations!$CP$45=Calculations!$CQ$45,"● flat",(IF(Calculations!$CP$45&gt;Calculations!$CQ$45,"▲ ","▼ "))&amp;TEXT(ABS(Calculations!$CR$45),"0.0%")&amp;" vs prior"))</f>
        <v>0</v>
      </c>
      <c r="L51" s="53"/>
      <c r="M51" s="53"/>
      <c r="N51" s="53">
        <f>IF(Calculations!$CQ$46=0,IF(Calculations!$CP$46&gt;0,"▲ new","● flat"),IF(Calculations!$CP$46=Calculations!$CQ$46,"● flat",(IF(Calculations!$CP$46&gt;Calculations!$CQ$46,"▲ ","▼ "))&amp;TEXT(ABS(Calculations!$CR$46),"0.0%")&amp;" vs prior"))</f>
        <v>0</v>
      </c>
      <c r="O51" s="53"/>
      <c r="P51" s="53"/>
      <c r="Q51" s="53">
        <f>IF(Calculations!$CQ$47=0,IF(Calculations!$CP$47&gt;0,"▲ new","● flat"),IF(Calculations!$CP$47=Calculations!$CQ$47,"● flat",(IF(Calculations!$CP$47&gt;Calculations!$CQ$47,"▲ ","▼ "))&amp;TEXT(ABS(Calculations!$CR$47),"0.0%")&amp;" vs prior"))</f>
        <v>0</v>
      </c>
      <c r="R51" s="53"/>
      <c r="S51" s="53"/>
    </row>
    <row r="53" spans="2:19" ht="4" customHeight="1"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</row>
    <row r="54" spans="2:19">
      <c r="B54" s="35" t="s">
        <v>2014</v>
      </c>
      <c r="C54" s="35"/>
      <c r="D54" s="35"/>
      <c r="E54" s="35" t="s">
        <v>2015</v>
      </c>
      <c r="F54" s="35"/>
      <c r="G54" s="35"/>
      <c r="H54" s="35" t="s">
        <v>2016</v>
      </c>
      <c r="I54" s="35"/>
      <c r="J54" s="35"/>
      <c r="K54" s="35" t="s">
        <v>2017</v>
      </c>
      <c r="L54" s="35"/>
      <c r="M54" s="35"/>
      <c r="N54" s="35" t="s">
        <v>2018</v>
      </c>
      <c r="O54" s="35"/>
      <c r="P54" s="35"/>
      <c r="Q54" s="35" t="s">
        <v>2019</v>
      </c>
      <c r="R54" s="35"/>
      <c r="S54" s="35"/>
    </row>
    <row r="55" spans="2:19">
      <c r="B55" s="38">
        <f>Calculations!$CP$48</f>
        <v>0</v>
      </c>
      <c r="C55" s="38"/>
      <c r="E55" s="37">
        <f>Calculations!$CP$49</f>
        <v>0</v>
      </c>
      <c r="F55" s="37"/>
      <c r="H55" s="38">
        <f>Calculations!$CP$50</f>
        <v>0</v>
      </c>
      <c r="I55" s="38"/>
      <c r="K55" s="37">
        <f>Calculations!$CP$51</f>
        <v>0</v>
      </c>
      <c r="L55" s="37"/>
      <c r="N55" s="37">
        <f>Calculations!$CP$52</f>
        <v>0</v>
      </c>
      <c r="O55" s="37"/>
      <c r="Q55" s="37">
        <f>Calculations!$CP$53</f>
        <v>0</v>
      </c>
      <c r="R55" s="37"/>
    </row>
    <row r="56" spans="2:19">
      <c r="B56" s="38"/>
      <c r="C56" s="38"/>
      <c r="D56" s="38"/>
      <c r="E56" s="37"/>
      <c r="F56" s="37"/>
      <c r="G56" s="37"/>
      <c r="H56" s="38"/>
      <c r="I56" s="38"/>
      <c r="J56" s="38"/>
      <c r="K56" s="37"/>
      <c r="L56" s="37"/>
      <c r="M56" s="37"/>
      <c r="N56" s="37"/>
      <c r="O56" s="37"/>
      <c r="P56" s="37"/>
      <c r="Q56" s="37"/>
      <c r="R56" s="37"/>
      <c r="S56" s="37"/>
    </row>
    <row r="57" spans="2:19">
      <c r="B57" s="53">
        <f>IF(Calculations!$CQ$48=0,IF(Calculations!$CP$48&gt;0,"▲ new","● flat"),IF(Calculations!$CP$48=Calculations!$CQ$48,"● flat",(IF(Calculations!$CP$48&gt;Calculations!$CQ$48,"▲ ","▼ "))&amp;TEXT(ABS(Calculations!$CR$48),"0.0%")&amp;" vs prior"))</f>
        <v>0</v>
      </c>
      <c r="C57" s="53"/>
      <c r="D57" s="53"/>
      <c r="E57" s="53">
        <f>IF(Calculations!$CQ$49=0,IF(Calculations!$CP$49&gt;0,"▲ new","● flat"),IF(Calculations!$CP$49=Calculations!$CQ$49,"● flat",(IF(Calculations!$CP$49&gt;Calculations!$CQ$49,"▲ ","▼ "))&amp;TEXT(ABS(Calculations!$CR$49),"0.0%")&amp;" vs prior"))</f>
        <v>0</v>
      </c>
      <c r="F57" s="53"/>
      <c r="G57" s="53"/>
      <c r="H57" s="53">
        <f>IF(Calculations!$CQ$50=0,IF(Calculations!$CP$50&gt;0,"▲ new","● flat"),IF(Calculations!$CP$50=Calculations!$CQ$50,"● flat",(IF(Calculations!$CP$50&gt;Calculations!$CQ$50,"▲ ","▼ "))&amp;TEXT(ABS(Calculations!$CR$50),"0.0%")&amp;" vs prior"))</f>
        <v>0</v>
      </c>
      <c r="I57" s="53"/>
      <c r="J57" s="53"/>
      <c r="K57" s="53">
        <f>IF(Calculations!$CQ$51=0,IF(Calculations!$CP$51&gt;0,"▲ new","● flat"),IF(Calculations!$CP$51=Calculations!$CQ$51,"● flat",(IF(Calculations!$CP$51&gt;Calculations!$CQ$51,"▲ ","▼ "))&amp;TEXT(ABS(Calculations!$CR$51),"0.0%")&amp;" vs prior"))</f>
        <v>0</v>
      </c>
      <c r="L57" s="53"/>
      <c r="M57" s="53"/>
      <c r="N57" s="53">
        <f>IF(Calculations!$CQ$52=0,IF(Calculations!$CP$52&gt;0,"▲ new","● flat"),IF(Calculations!$CP$52=Calculations!$CQ$52,"● flat",(IF(Calculations!$CP$52&gt;Calculations!$CQ$52,"▲ ","▼ "))&amp;TEXT(ABS(Calculations!$CR$52),"0.0%")&amp;" vs prior"))</f>
        <v>0</v>
      </c>
      <c r="O57" s="53"/>
      <c r="P57" s="53"/>
      <c r="Q57" s="53">
        <f>IF(Calculations!$CQ$53=0,IF(Calculations!$CP$53&gt;0,"▲ new","● flat"),IF(Calculations!$CP$53=Calculations!$CQ$53,"● flat",(IF(Calculations!$CP$53&gt;Calculations!$CQ$53,"▲ ","▼ "))&amp;TEXT(ABS(Calculations!$CR$53),"0.0%")&amp;" vs prior"))</f>
        <v>0</v>
      </c>
      <c r="R57" s="53"/>
      <c r="S57" s="53"/>
    </row>
    <row r="59" spans="2:19" ht="4" customHeight="1"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</row>
    <row r="60" spans="2:19">
      <c r="B60" s="35" t="s">
        <v>2020</v>
      </c>
      <c r="C60" s="35"/>
      <c r="D60" s="35"/>
      <c r="E60" s="35" t="s">
        <v>2021</v>
      </c>
      <c r="F60" s="35"/>
      <c r="G60" s="35"/>
      <c r="H60" s="35" t="s">
        <v>2022</v>
      </c>
      <c r="I60" s="35"/>
      <c r="J60" s="35"/>
      <c r="K60" s="35" t="s">
        <v>2023</v>
      </c>
      <c r="L60" s="35"/>
      <c r="M60" s="35"/>
      <c r="N60" s="35" t="s">
        <v>2024</v>
      </c>
      <c r="O60" s="35"/>
      <c r="P60" s="35"/>
      <c r="Q60" s="35" t="s">
        <v>2025</v>
      </c>
      <c r="R60" s="35"/>
      <c r="S60" s="35"/>
    </row>
    <row r="61" spans="2:19">
      <c r="B61" s="37">
        <f>Calculations!$CP$54</f>
        <v>0</v>
      </c>
      <c r="C61" s="37"/>
      <c r="E61" s="38">
        <f>Calculations!$CP$55</f>
        <v>0</v>
      </c>
      <c r="F61" s="38"/>
      <c r="H61" s="37">
        <f>Calculations!$CP$56</f>
        <v>0</v>
      </c>
      <c r="I61" s="37"/>
      <c r="K61" s="38">
        <f>Calculations!$CP$57</f>
        <v>0</v>
      </c>
      <c r="L61" s="38"/>
      <c r="N61" s="37">
        <f>Calculations!$CP$58</f>
        <v>0</v>
      </c>
      <c r="O61" s="37"/>
      <c r="Q61" s="38">
        <f>Calculations!$CP$59</f>
        <v>0</v>
      </c>
      <c r="R61" s="38"/>
    </row>
    <row r="62" spans="2:19">
      <c r="B62" s="37"/>
      <c r="C62" s="37"/>
      <c r="D62" s="37"/>
      <c r="E62" s="38"/>
      <c r="F62" s="38"/>
      <c r="G62" s="38"/>
      <c r="H62" s="37"/>
      <c r="I62" s="37"/>
      <c r="J62" s="37"/>
      <c r="K62" s="38"/>
      <c r="L62" s="38"/>
      <c r="M62" s="38"/>
      <c r="N62" s="37"/>
      <c r="O62" s="37"/>
      <c r="P62" s="37"/>
      <c r="Q62" s="38"/>
      <c r="R62" s="38"/>
      <c r="S62" s="38"/>
    </row>
    <row r="63" spans="2:19">
      <c r="B63" s="53">
        <f>IF(Calculations!$CQ$54=0,IF(Calculations!$CP$54&gt;0,"▲ new","● flat"),IF(Calculations!$CP$54=Calculations!$CQ$54,"● flat",(IF(Calculations!$CP$54&gt;Calculations!$CQ$54,"▲ ","▼ "))&amp;TEXT(ABS(Calculations!$CR$54),"0.0%")&amp;" vs prior"))</f>
        <v>0</v>
      </c>
      <c r="C63" s="53"/>
      <c r="D63" s="53"/>
      <c r="E63" s="53">
        <f>IF(Calculations!$CQ$55=0,IF(Calculations!$CP$55&gt;0,"▲ new","● flat"),IF(Calculations!$CP$55=Calculations!$CQ$55,"● flat",(IF(Calculations!$CP$55&gt;Calculations!$CQ$55,"▲ ","▼ "))&amp;TEXT(ABS(Calculations!$CR$55),"0.0%")&amp;" vs prior"))</f>
        <v>0</v>
      </c>
      <c r="F63" s="53"/>
      <c r="G63" s="53"/>
      <c r="H63" s="53">
        <f>IF(Calculations!$CQ$56=0,IF(Calculations!$CP$56&gt;0,"▲ new","● flat"),IF(Calculations!$CP$56=Calculations!$CQ$56,"● flat",(IF(Calculations!$CP$56&gt;Calculations!$CQ$56,"▲ ","▼ "))&amp;TEXT(ABS(Calculations!$CR$56),"0.0%")&amp;" vs prior"))</f>
        <v>0</v>
      </c>
      <c r="I63" s="53"/>
      <c r="J63" s="53"/>
      <c r="K63" s="53">
        <f>IF(Calculations!$CQ$57=0,IF(Calculations!$CP$57&gt;0,"▲ new","● flat"),IF(Calculations!$CP$57=Calculations!$CQ$57,"● flat",(IF(Calculations!$CP$57&gt;Calculations!$CQ$57,"▲ ","▼ "))&amp;TEXT(ABS(Calculations!$CR$57),"0.0%")&amp;" vs prior"))</f>
        <v>0</v>
      </c>
      <c r="L63" s="53"/>
      <c r="M63" s="53"/>
      <c r="N63" s="53">
        <f>IF(Calculations!$CQ$58=0,IF(Calculations!$CP$58&gt;0,"▲ new","● flat"),IF(Calculations!$CP$58=Calculations!$CQ$58,"● flat",(IF(Calculations!$CP$58&gt;Calculations!$CQ$58,"▲ ","▼ "))&amp;TEXT(ABS(Calculations!$CR$58),"0.0%")&amp;" vs prior"))</f>
        <v>0</v>
      </c>
      <c r="O63" s="53"/>
      <c r="P63" s="53"/>
      <c r="Q63" s="53">
        <f>IF(Calculations!$CQ$59=0,IF(Calculations!$CP$59&gt;0,"▲ new","● flat"),IF(Calculations!$CP$59=Calculations!$CQ$59,"● flat",(IF(Calculations!$CP$59&gt;Calculations!$CQ$59,"▲ ","▼ "))&amp;TEXT(ABS(Calculations!$CR$59),"0.0%")&amp;" vs prior"))</f>
        <v>0</v>
      </c>
      <c r="R63" s="53"/>
      <c r="S63" s="53"/>
    </row>
    <row r="65" spans="2:19" ht="4" customHeight="1">
      <c r="B65" s="52"/>
      <c r="C65" s="52"/>
      <c r="D65" s="52"/>
      <c r="E65" s="52"/>
      <c r="F65" s="52"/>
      <c r="G65" s="52"/>
    </row>
    <row r="66" spans="2:19">
      <c r="B66" s="35" t="s">
        <v>2026</v>
      </c>
      <c r="C66" s="35"/>
      <c r="D66" s="35"/>
      <c r="E66" s="35" t="s">
        <v>2027</v>
      </c>
      <c r="F66" s="35"/>
      <c r="G66" s="35"/>
    </row>
    <row r="67" spans="2:19">
      <c r="B67" s="37">
        <f>Calculations!$CP$60</f>
        <v>0</v>
      </c>
      <c r="C67" s="37"/>
      <c r="E67" s="38">
        <f>Calculations!$CP$61</f>
        <v>0</v>
      </c>
      <c r="F67" s="38"/>
    </row>
    <row r="68" spans="2:19">
      <c r="B68" s="37"/>
      <c r="C68" s="37"/>
      <c r="D68" s="37"/>
      <c r="E68" s="38"/>
      <c r="F68" s="38"/>
      <c r="G68" s="38"/>
    </row>
    <row r="69" spans="2:19">
      <c r="B69" s="53">
        <f>IF(Calculations!$CQ$60=0,IF(Calculations!$CP$60&gt;0,"▲ new","● flat"),IF(Calculations!$CP$60=Calculations!$CQ$60,"● flat",(IF(Calculations!$CP$60&gt;Calculations!$CQ$60,"▲ ","▼ "))&amp;TEXT(ABS(Calculations!$CR$60),"0.0%")&amp;" vs prior"))</f>
        <v>0</v>
      </c>
      <c r="C69" s="53"/>
      <c r="D69" s="53"/>
      <c r="E69" s="53">
        <f>IF(Calculations!$CQ$61=0,IF(Calculations!$CP$61&gt;0,"▲ new","● flat"),IF(Calculations!$CP$61=Calculations!$CQ$61,"● flat",(IF(Calculations!$CP$61&gt;Calculations!$CQ$61,"▲ ","▼ "))&amp;TEXT(ABS(Calculations!$CR$61),"0.0%")&amp;" vs prior"))</f>
        <v>0</v>
      </c>
      <c r="F69" s="53"/>
      <c r="G69" s="53"/>
    </row>
    <row r="72" spans="2:19">
      <c r="B72" s="10" t="s">
        <v>2028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118" spans="2:19">
      <c r="B118" s="10" t="s">
        <v>2029</v>
      </c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</row>
    <row r="136" spans="8:19">
      <c r="H136" s="9" t="s">
        <v>2030</v>
      </c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</row>
    <row r="137" spans="8:19"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</row>
    <row r="153" spans="2:19">
      <c r="B153" s="10" t="s">
        <v>2031</v>
      </c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</row>
    <row r="162" spans="2:19">
      <c r="B162" s="55">
        <f>Calculations!$CP$29</f>
        <v>0</v>
      </c>
      <c r="C162" s="55"/>
      <c r="D162" s="55"/>
      <c r="E162" s="55">
        <f>Calculations!$CP$55</f>
        <v>0</v>
      </c>
      <c r="F162" s="55"/>
      <c r="G162" s="55"/>
      <c r="H162" s="55">
        <f>Calculations!$CP$31</f>
        <v>0</v>
      </c>
      <c r="I162" s="55"/>
      <c r="J162" s="55"/>
      <c r="K162" s="55">
        <f>Calculations!$CP$57</f>
        <v>0</v>
      </c>
      <c r="L162" s="55"/>
      <c r="M162" s="55"/>
      <c r="N162" s="55">
        <f>Calculations!$CP$33</f>
        <v>0</v>
      </c>
      <c r="O162" s="55"/>
      <c r="P162" s="55"/>
      <c r="Q162" s="55">
        <f>Calculations!$CP$22</f>
        <v>0</v>
      </c>
      <c r="R162" s="55"/>
      <c r="S162" s="55"/>
    </row>
    <row r="181" spans="2:9">
      <c r="B181" s="10" t="s">
        <v>2032</v>
      </c>
      <c r="C181" s="10"/>
      <c r="D181" s="10"/>
      <c r="E181" s="10"/>
      <c r="F181" s="10"/>
      <c r="G181" s="10"/>
      <c r="H181" s="10"/>
      <c r="I181" s="10"/>
    </row>
    <row r="182" spans="2:9">
      <c r="B182" s="11" t="s">
        <v>1873</v>
      </c>
      <c r="C182" s="11"/>
      <c r="D182" s="11" t="s">
        <v>1847</v>
      </c>
      <c r="E182" s="11"/>
      <c r="F182" s="11" t="s">
        <v>1848</v>
      </c>
      <c r="G182" s="11"/>
      <c r="H182" s="11" t="s">
        <v>287</v>
      </c>
      <c r="I182" s="11"/>
    </row>
    <row r="183" spans="2:9">
      <c r="B183" s="12">
        <f>Calculations!$CW$41</f>
        <v>0</v>
      </c>
      <c r="C183" s="12"/>
      <c r="D183" s="21">
        <f>Calculations!$CX$41</f>
        <v>0</v>
      </c>
      <c r="E183" s="21"/>
      <c r="F183" s="21">
        <f>Calculations!$CY$41</f>
        <v>0</v>
      </c>
      <c r="G183" s="21"/>
      <c r="H183" s="12">
        <f>Calculations!$CZ$41</f>
        <v>0</v>
      </c>
      <c r="I183" s="12"/>
    </row>
    <row r="184" spans="2:9">
      <c r="B184" s="12">
        <f>Calculations!$CW$42</f>
        <v>0</v>
      </c>
      <c r="C184" s="12"/>
      <c r="D184" s="21">
        <f>Calculations!$CX$42</f>
        <v>0</v>
      </c>
      <c r="E184" s="21"/>
      <c r="F184" s="21">
        <f>Calculations!$CY$42</f>
        <v>0</v>
      </c>
      <c r="G184" s="21"/>
      <c r="H184" s="12">
        <f>Calculations!$CZ$42</f>
        <v>0</v>
      </c>
      <c r="I184" s="12"/>
    </row>
    <row r="185" spans="2:9">
      <c r="B185" s="12">
        <f>Calculations!$CW$43</f>
        <v>0</v>
      </c>
      <c r="C185" s="12"/>
      <c r="D185" s="21">
        <f>Calculations!$CX$43</f>
        <v>0</v>
      </c>
      <c r="E185" s="21"/>
      <c r="F185" s="21">
        <f>Calculations!$CY$43</f>
        <v>0</v>
      </c>
      <c r="G185" s="21"/>
      <c r="H185" s="12">
        <f>Calculations!$CZ$43</f>
        <v>0</v>
      </c>
      <c r="I185" s="12"/>
    </row>
    <row r="186" spans="2:9">
      <c r="B186" s="12">
        <f>Calculations!$CW$44</f>
        <v>0</v>
      </c>
      <c r="C186" s="12"/>
      <c r="D186" s="21">
        <f>Calculations!$CX$44</f>
        <v>0</v>
      </c>
      <c r="E186" s="21"/>
      <c r="F186" s="21">
        <f>Calculations!$CY$44</f>
        <v>0</v>
      </c>
      <c r="G186" s="21"/>
      <c r="H186" s="12">
        <f>Calculations!$CZ$44</f>
        <v>0</v>
      </c>
      <c r="I186" s="12"/>
    </row>
    <row r="187" spans="2:9">
      <c r="B187" s="12">
        <f>Calculations!$CW$45</f>
        <v>0</v>
      </c>
      <c r="C187" s="12"/>
      <c r="D187" s="21">
        <f>Calculations!$CX$45</f>
        <v>0</v>
      </c>
      <c r="E187" s="21"/>
      <c r="F187" s="21">
        <f>Calculations!$CY$45</f>
        <v>0</v>
      </c>
      <c r="G187" s="21"/>
      <c r="H187" s="12">
        <f>Calculations!$CZ$45</f>
        <v>0</v>
      </c>
      <c r="I187" s="12"/>
    </row>
    <row r="188" spans="2:9">
      <c r="B188" s="12">
        <f>Calculations!$CW$46</f>
        <v>0</v>
      </c>
      <c r="C188" s="12"/>
      <c r="D188" s="21">
        <f>Calculations!$CX$46</f>
        <v>0</v>
      </c>
      <c r="E188" s="21"/>
      <c r="F188" s="21">
        <f>Calculations!$CY$46</f>
        <v>0</v>
      </c>
      <c r="G188" s="21"/>
      <c r="H188" s="12">
        <f>Calculations!$CZ$46</f>
        <v>0</v>
      </c>
      <c r="I188" s="12"/>
    </row>
  </sheetData>
  <mergeCells count="251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62:D162"/>
    <mergeCell ref="E162:G162"/>
    <mergeCell ref="H162:J162"/>
    <mergeCell ref="K162:M162"/>
    <mergeCell ref="N162:P162"/>
    <mergeCell ref="Q162:S162"/>
    <mergeCell ref="B181:I181"/>
    <mergeCell ref="B182:C182"/>
    <mergeCell ref="D182:E182"/>
    <mergeCell ref="F182:G182"/>
    <mergeCell ref="H182:I182"/>
    <mergeCell ref="B183:C183"/>
    <mergeCell ref="D183:E183"/>
    <mergeCell ref="F183:G183"/>
    <mergeCell ref="H183:I183"/>
    <mergeCell ref="B184:C184"/>
    <mergeCell ref="D184:E184"/>
    <mergeCell ref="F184:G184"/>
    <mergeCell ref="H184:I184"/>
    <mergeCell ref="B185:C185"/>
    <mergeCell ref="D185:E185"/>
    <mergeCell ref="F185:G185"/>
    <mergeCell ref="H185:I185"/>
    <mergeCell ref="B186:C186"/>
    <mergeCell ref="D186:E186"/>
    <mergeCell ref="F186:G186"/>
    <mergeCell ref="H186:I186"/>
    <mergeCell ref="B187:C187"/>
    <mergeCell ref="D187:E187"/>
    <mergeCell ref="F187:G187"/>
    <mergeCell ref="H187:I187"/>
    <mergeCell ref="B188:C188"/>
    <mergeCell ref="D188:E188"/>
    <mergeCell ref="F188:G188"/>
    <mergeCell ref="H188:I188"/>
  </mergeCells>
  <conditionalFormatting sqref="B15:D15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9:D19">
    <cfRule type="expression" dxfId="3" priority="4">
      <formula>gdTRIR&lt;0</formula>
    </cfRule>
  </conditionalFormatting>
  <conditionalFormatting sqref="B21:D21">
    <cfRule type="expression" dxfId="0" priority="25">
      <formula>rgFirstAid=2</formula>
    </cfRule>
    <cfRule type="expression" dxfId="1" priority="26">
      <formula>rgFirstAid=1</formula>
    </cfRule>
    <cfRule type="expression" dxfId="2" priority="27">
      <formula>rgFirstAid=0</formula>
    </cfRule>
  </conditionalFormatting>
  <conditionalFormatting sqref="B25:D25">
    <cfRule type="expression" dxfId="3" priority="28">
      <formula>gdFirstAid&lt;0</formula>
    </cfRule>
  </conditionalFormatting>
  <conditionalFormatting sqref="B29:D29">
    <cfRule type="expression" dxfId="0" priority="49">
      <formula>rgToolboxTalks=2</formula>
    </cfRule>
    <cfRule type="expression" dxfId="1" priority="50">
      <formula>rgToolboxTalks=1</formula>
    </cfRule>
    <cfRule type="expression" dxfId="2" priority="51">
      <formula>rgToolboxTalks=0</formula>
    </cfRule>
  </conditionalFormatting>
  <conditionalFormatting sqref="B33:D33">
    <cfRule type="expression" dxfId="3" priority="52">
      <formula>gdToolboxTalks&lt;0</formula>
    </cfRule>
  </conditionalFormatting>
  <conditionalFormatting sqref="B35:D35">
    <cfRule type="expression" dxfId="0" priority="73">
      <formula>rgHSEObservations=2</formula>
    </cfRule>
    <cfRule type="expression" dxfId="1" priority="74">
      <formula>rgHSEObservations=1</formula>
    </cfRule>
    <cfRule type="expression" dxfId="2" priority="75">
      <formula>rgHSEObservations=0</formula>
    </cfRule>
  </conditionalFormatting>
  <conditionalFormatting sqref="B39:D39">
    <cfRule type="expression" dxfId="3" priority="76">
      <formula>gdHSEObservations&lt;0</formula>
    </cfRule>
  </conditionalFormatting>
  <conditionalFormatting sqref="B41:D41">
    <cfRule type="expression" dxfId="0" priority="97">
      <formula>rgSafetyWalkthroughs=2</formula>
    </cfRule>
    <cfRule type="expression" dxfId="1" priority="98">
      <formula>rgSafetyWalkthroughs=1</formula>
    </cfRule>
    <cfRule type="expression" dxfId="2" priority="99">
      <formula>rgSafetyWalkthroughs=0</formula>
    </cfRule>
  </conditionalFormatting>
  <conditionalFormatting sqref="B45:D45">
    <cfRule type="expression" dxfId="3" priority="100">
      <formula>gdSafetyWalkthroughs&lt;0</formula>
    </cfRule>
  </conditionalFormatting>
  <conditionalFormatting sqref="B47:D47">
    <cfRule type="expression" dxfId="0" priority="121">
      <formula>rgDrillParticipation=2</formula>
    </cfRule>
    <cfRule type="expression" dxfId="1" priority="122">
      <formula>rgDrillParticipation=1</formula>
    </cfRule>
    <cfRule type="expression" dxfId="2" priority="123">
      <formula>rgDrillParticipation=0</formula>
    </cfRule>
  </conditionalFormatting>
  <conditionalFormatting sqref="B51:D51">
    <cfRule type="expression" dxfId="3" priority="124">
      <formula>gdDrillParticipation&lt;0</formula>
    </cfRule>
  </conditionalFormatting>
  <conditionalFormatting sqref="B53:D53">
    <cfRule type="expression" dxfId="0" priority="145">
      <formula>rgMgmtVisitCloseout=2</formula>
    </cfRule>
    <cfRule type="expression" dxfId="1" priority="146">
      <formula>rgMgmtVisitCloseout=1</formula>
    </cfRule>
    <cfRule type="expression" dxfId="2" priority="147">
      <formula>rgMgmtVisitCloseout=0</formula>
    </cfRule>
  </conditionalFormatting>
  <conditionalFormatting sqref="B57:D57">
    <cfRule type="expression" dxfId="3" priority="148">
      <formula>gdMgmtVisitCloseout&lt;0</formula>
    </cfRule>
  </conditionalFormatting>
  <conditionalFormatting sqref="B59:D59">
    <cfRule type="expression" dxfId="0" priority="169">
      <formula>rgPTWAudits=2</formula>
    </cfRule>
    <cfRule type="expression" dxfId="1" priority="170">
      <formula>rgPTWAudits=1</formula>
    </cfRule>
    <cfRule type="expression" dxfId="2" priority="171">
      <formula>rgPTWAudits=0</formula>
    </cfRule>
  </conditionalFormatting>
  <conditionalFormatting sqref="B63:D63">
    <cfRule type="expression" dxfId="3" priority="172">
      <formula>gdPTWAudits&lt;0</formula>
    </cfRule>
  </conditionalFormatting>
  <conditionalFormatting sqref="B65:D65">
    <cfRule type="expression" dxfId="0" priority="193">
      <formula>rgUnsafeConditionsReported=2</formula>
    </cfRule>
    <cfRule type="expression" dxfId="1" priority="194">
      <formula>rgUnsafeConditionsReported=1</formula>
    </cfRule>
    <cfRule type="expression" dxfId="2" priority="195">
      <formula>rgUnsafeConditionsReported=0</formula>
    </cfRule>
  </conditionalFormatting>
  <conditionalFormatting sqref="B69:D69">
    <cfRule type="expression" dxfId="3" priority="196">
      <formula>gdUnsafeConditionsReported&lt;0</formula>
    </cfRule>
  </conditionalFormatting>
  <conditionalFormatting sqref="E15:G15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E19:G19">
    <cfRule type="expression" dxfId="3" priority="8">
      <formula>gdLTIFR&lt;0</formula>
    </cfRule>
  </conditionalFormatting>
  <conditionalFormatting sqref="E21:G21">
    <cfRule type="expression" dxfId="0" priority="29">
      <formula>rgLostDays=2</formula>
    </cfRule>
    <cfRule type="expression" dxfId="1" priority="30">
      <formula>rgLostDays=1</formula>
    </cfRule>
    <cfRule type="expression" dxfId="2" priority="31">
      <formula>rgLostDays=0</formula>
    </cfRule>
  </conditionalFormatting>
  <conditionalFormatting sqref="E25:G25">
    <cfRule type="expression" dxfId="3" priority="32">
      <formula>gdLostDays&lt;0</formula>
    </cfRule>
  </conditionalFormatting>
  <conditionalFormatting sqref="E29:G29">
    <cfRule type="expression" dxfId="0" priority="53">
      <formula>rgToolboxAvgAttendance=2</formula>
    </cfRule>
    <cfRule type="expression" dxfId="1" priority="54">
      <formula>rgToolboxAvgAttendance=1</formula>
    </cfRule>
    <cfRule type="expression" dxfId="2" priority="55">
      <formula>rgToolboxAvgAttendance=0</formula>
    </cfRule>
  </conditionalFormatting>
  <conditionalFormatting sqref="E33:G33">
    <cfRule type="expression" dxfId="3" priority="56">
      <formula>gdToolboxAvgAttendance&lt;0</formula>
    </cfRule>
  </conditionalFormatting>
  <conditionalFormatting sqref="E35:G35">
    <cfRule type="expression" dxfId="0" priority="77">
      <formula>rgObsClosure=2</formula>
    </cfRule>
    <cfRule type="expression" dxfId="1" priority="78">
      <formula>rgObsClosure=1</formula>
    </cfRule>
    <cfRule type="expression" dxfId="2" priority="79">
      <formula>rgObsClosure=0</formula>
    </cfRule>
  </conditionalFormatting>
  <conditionalFormatting sqref="E39:G39">
    <cfRule type="expression" dxfId="3" priority="80">
      <formula>gdObsClosure&lt;0</formula>
    </cfRule>
  </conditionalFormatting>
  <conditionalFormatting sqref="E41:G41">
    <cfRule type="expression" dxfId="0" priority="101">
      <formula>rgSafetyMeetings=2</formula>
    </cfRule>
    <cfRule type="expression" dxfId="1" priority="102">
      <formula>rgSafetyMeetings=1</formula>
    </cfRule>
    <cfRule type="expression" dxfId="2" priority="103">
      <formula>rgSafetyMeetings=0</formula>
    </cfRule>
  </conditionalFormatting>
  <conditionalFormatting sqref="E45:G45">
    <cfRule type="expression" dxfId="3" priority="104">
      <formula>gdSafetyMeetings&lt;0</formula>
    </cfRule>
  </conditionalFormatting>
  <conditionalFormatting sqref="E47:G47">
    <cfRule type="expression" dxfId="0" priority="125">
      <formula>rgInternalAudits=2</formula>
    </cfRule>
    <cfRule type="expression" dxfId="1" priority="126">
      <formula>rgInternalAudits=1</formula>
    </cfRule>
    <cfRule type="expression" dxfId="2" priority="127">
      <formula>rgInternalAudits=0</formula>
    </cfRule>
  </conditionalFormatting>
  <conditionalFormatting sqref="E51:G51">
    <cfRule type="expression" dxfId="3" priority="128">
      <formula>gdInternalAudits&lt;0</formula>
    </cfRule>
  </conditionalFormatting>
  <conditionalFormatting sqref="E53:G53">
    <cfRule type="expression" dxfId="0" priority="149">
      <formula>rgManagementReviews=2</formula>
    </cfRule>
    <cfRule type="expression" dxfId="1" priority="150">
      <formula>rgManagementReviews=1</formula>
    </cfRule>
    <cfRule type="expression" dxfId="2" priority="151">
      <formula>rgManagementReviews=0</formula>
    </cfRule>
  </conditionalFormatting>
  <conditionalFormatting sqref="E57:G57">
    <cfRule type="expression" dxfId="3" priority="152">
      <formula>gdManagementReviews&lt;0</formula>
    </cfRule>
  </conditionalFormatting>
  <conditionalFormatting sqref="E59:G59">
    <cfRule type="expression" dxfId="0" priority="173">
      <formula>rgPTWCompliance=2</formula>
    </cfRule>
    <cfRule type="expression" dxfId="1" priority="174">
      <formula>rgPTWCompliance=1</formula>
    </cfRule>
    <cfRule type="expression" dxfId="2" priority="175">
      <formula>rgPTWCompliance=0</formula>
    </cfRule>
  </conditionalFormatting>
  <conditionalFormatting sqref="E63:G63">
    <cfRule type="expression" dxfId="3" priority="176">
      <formula>gdPTWCompliance&lt;0</formula>
    </cfRule>
  </conditionalFormatting>
  <conditionalFormatting sqref="E65:G65">
    <cfRule type="expression" dxfId="0" priority="197">
      <formula>rgUnsafeConditionClosure=2</formula>
    </cfRule>
    <cfRule type="expression" dxfId="1" priority="198">
      <formula>rgUnsafeConditionClosure=1</formula>
    </cfRule>
    <cfRule type="expression" dxfId="2" priority="199">
      <formula>rgUnsafeConditionClosure=0</formula>
    </cfRule>
  </conditionalFormatting>
  <conditionalFormatting sqref="E69:G69">
    <cfRule type="expression" dxfId="3" priority="200">
      <formula>gdUnsafeConditionClosure&lt;0</formula>
    </cfRule>
  </conditionalFormatting>
  <conditionalFormatting sqref="H15:J15">
    <cfRule type="expression" dxfId="0" priority="9">
      <formula>rgTotalIncidents=2</formula>
    </cfRule>
    <cfRule type="expression" dxfId="1" priority="10">
      <formula>rgTotalIncidents=1</formula>
    </cfRule>
    <cfRule type="expression" dxfId="2" priority="11">
      <formula>rgTotalIncidents=0</formula>
    </cfRule>
  </conditionalFormatting>
  <conditionalFormatting sqref="H19:J19">
    <cfRule type="expression" dxfId="3" priority="12">
      <formula>gdTotalIncidents&lt;0</formula>
    </cfRule>
  </conditionalFormatting>
  <conditionalFormatting sqref="H21:J21">
    <cfRule type="expression" dxfId="0" priority="33">
      <formula>rgDisciplinary=2</formula>
    </cfRule>
    <cfRule type="expression" dxfId="1" priority="34">
      <formula>rgDisciplinary=1</formula>
    </cfRule>
    <cfRule type="expression" dxfId="2" priority="35">
      <formula>rgDisciplinary=0</formula>
    </cfRule>
  </conditionalFormatting>
  <conditionalFormatting sqref="H25:J25">
    <cfRule type="expression" dxfId="3" priority="36">
      <formula>gdDisciplinary&lt;0</formula>
    </cfRule>
  </conditionalFormatting>
  <conditionalFormatting sqref="H29:J29">
    <cfRule type="expression" dxfId="0" priority="57">
      <formula>rgJSAAssessments=2</formula>
    </cfRule>
    <cfRule type="expression" dxfId="1" priority="58">
      <formula>rgJSAAssessments=1</formula>
    </cfRule>
    <cfRule type="expression" dxfId="2" priority="59">
      <formula>rgJSAAssessments=0</formula>
    </cfRule>
  </conditionalFormatting>
  <conditionalFormatting sqref="H33:J33">
    <cfRule type="expression" dxfId="3" priority="60">
      <formula>gdJSAAssessments&lt;0</formula>
    </cfRule>
  </conditionalFormatting>
  <conditionalFormatting sqref="H35:J35">
    <cfRule type="expression" dxfId="0" priority="81">
      <formula>rgWorkplaceInspections=2</formula>
    </cfRule>
    <cfRule type="expression" dxfId="1" priority="82">
      <formula>rgWorkplaceInspections=1</formula>
    </cfRule>
    <cfRule type="expression" dxfId="2" priority="83">
      <formula>rgWorkplaceInspections=0</formula>
    </cfRule>
  </conditionalFormatting>
  <conditionalFormatting sqref="H39:J39">
    <cfRule type="expression" dxfId="3" priority="84">
      <formula>gdWorkplaceInspections&lt;0</formula>
    </cfRule>
  </conditionalFormatting>
  <conditionalFormatting sqref="H41:J41">
    <cfRule type="expression" dxfId="0" priority="105">
      <formula>rgMeetingsCloseout=2</formula>
    </cfRule>
    <cfRule type="expression" dxfId="1" priority="106">
      <formula>rgMeetingsCloseout=1</formula>
    </cfRule>
    <cfRule type="expression" dxfId="2" priority="107">
      <formula>rgMeetingsCloseout=0</formula>
    </cfRule>
  </conditionalFormatting>
  <conditionalFormatting sqref="H45:J45">
    <cfRule type="expression" dxfId="3" priority="108">
      <formula>gdMeetingsCloseout&lt;0</formula>
    </cfRule>
  </conditionalFormatting>
  <conditionalFormatting sqref="H47:J47">
    <cfRule type="expression" dxfId="0" priority="129">
      <formula>rgInternalAuditNCs=2</formula>
    </cfRule>
    <cfRule type="expression" dxfId="1" priority="130">
      <formula>rgInternalAuditNCs=1</formula>
    </cfRule>
    <cfRule type="expression" dxfId="2" priority="131">
      <formula>rgInternalAuditNCs=0</formula>
    </cfRule>
  </conditionalFormatting>
  <conditionalFormatting sqref="H51:J51">
    <cfRule type="expression" dxfId="3" priority="132">
      <formula>gdInternalAuditNCs&lt;0</formula>
    </cfRule>
  </conditionalFormatting>
  <conditionalFormatting sqref="H53:J53">
    <cfRule type="expression" dxfId="0" priority="153">
      <formula>rgMgmtReviewAttendance=2</formula>
    </cfRule>
    <cfRule type="expression" dxfId="1" priority="154">
      <formula>rgMgmtReviewAttendance=1</formula>
    </cfRule>
    <cfRule type="expression" dxfId="2" priority="155">
      <formula>rgMgmtReviewAttendance=0</formula>
    </cfRule>
  </conditionalFormatting>
  <conditionalFormatting sqref="H57:J57">
    <cfRule type="expression" dxfId="3" priority="156">
      <formula>gdMgmtReviewAttendance&lt;0</formula>
    </cfRule>
  </conditionalFormatting>
  <conditionalFormatting sqref="H59:J59">
    <cfRule type="expression" dxfId="0" priority="177">
      <formula>rgCorrectiveActions=2</formula>
    </cfRule>
    <cfRule type="expression" dxfId="1" priority="178">
      <formula>rgCorrectiveActions=1</formula>
    </cfRule>
    <cfRule type="expression" dxfId="2" priority="179">
      <formula>rgCorrectiveActions=0</formula>
    </cfRule>
  </conditionalFormatting>
  <conditionalFormatting sqref="H63:J63">
    <cfRule type="expression" dxfId="3" priority="180">
      <formula>gdCorrectiveActions&lt;0</formula>
    </cfRule>
  </conditionalFormatting>
  <conditionalFormatting sqref="K15:M15">
    <cfRule type="expression" dxfId="0" priority="13">
      <formula>rgRecordable=2</formula>
    </cfRule>
    <cfRule type="expression" dxfId="1" priority="14">
      <formula>rgRecordable=1</formula>
    </cfRule>
    <cfRule type="expression" dxfId="2" priority="15">
      <formula>rgRecordable=0</formula>
    </cfRule>
  </conditionalFormatting>
  <conditionalFormatting sqref="K19:M19">
    <cfRule type="expression" dxfId="3" priority="16">
      <formula>gdRecordable&lt;0</formula>
    </cfRule>
  </conditionalFormatting>
  <conditionalFormatting sqref="K21:M21">
    <cfRule type="expression" dxfId="0" priority="37">
      <formula>rgOpenNCs=2</formula>
    </cfRule>
    <cfRule type="expression" dxfId="1" priority="38">
      <formula>rgOpenNCs=1</formula>
    </cfRule>
    <cfRule type="expression" dxfId="2" priority="39">
      <formula>rgOpenNCs=0</formula>
    </cfRule>
  </conditionalFormatting>
  <conditionalFormatting sqref="K25:M25">
    <cfRule type="expression" dxfId="3" priority="40">
      <formula>gdOpenNCs&lt;0</formula>
    </cfRule>
  </conditionalFormatting>
  <conditionalFormatting sqref="K29:M29">
    <cfRule type="expression" dxfId="0" priority="61">
      <formula>rgJSAApproved=2</formula>
    </cfRule>
    <cfRule type="expression" dxfId="1" priority="62">
      <formula>rgJSAApproved=1</formula>
    </cfRule>
    <cfRule type="expression" dxfId="2" priority="63">
      <formula>rgJSAApproved=0</formula>
    </cfRule>
  </conditionalFormatting>
  <conditionalFormatting sqref="K33:M33">
    <cfRule type="expression" dxfId="3" priority="64">
      <formula>gdJSAApproved&lt;0</formula>
    </cfRule>
  </conditionalFormatting>
  <conditionalFormatting sqref="K35:M35">
    <cfRule type="expression" dxfId="0" priority="85">
      <formula>rgWorkplaceInspClosure=2</formula>
    </cfRule>
    <cfRule type="expression" dxfId="1" priority="86">
      <formula>rgWorkplaceInspClosure=1</formula>
    </cfRule>
    <cfRule type="expression" dxfId="2" priority="87">
      <formula>rgWorkplaceInspClosure=0</formula>
    </cfRule>
  </conditionalFormatting>
  <conditionalFormatting sqref="K39:M39">
    <cfRule type="expression" dxfId="3" priority="88">
      <formula>gdWorkplaceInspClosure&lt;0</formula>
    </cfRule>
  </conditionalFormatting>
  <conditionalFormatting sqref="K41:M41">
    <cfRule type="expression" dxfId="0" priority="109">
      <formula>rgSafetyBulletins=2</formula>
    </cfRule>
    <cfRule type="expression" dxfId="1" priority="110">
      <formula>rgSafetyBulletins=1</formula>
    </cfRule>
    <cfRule type="expression" dxfId="2" priority="111">
      <formula>rgSafetyBulletins=0</formula>
    </cfRule>
  </conditionalFormatting>
  <conditionalFormatting sqref="K45:M45">
    <cfRule type="expression" dxfId="3" priority="112">
      <formula>gdSafetyBulletins&lt;0</formula>
    </cfRule>
  </conditionalFormatting>
  <conditionalFormatting sqref="K47:M47">
    <cfRule type="expression" dxfId="0" priority="133">
      <formula>rgExternalAudits=2</formula>
    </cfRule>
    <cfRule type="expression" dxfId="1" priority="134">
      <formula>rgExternalAudits=1</formula>
    </cfRule>
    <cfRule type="expression" dxfId="2" priority="135">
      <formula>rgExternalAudits=0</formula>
    </cfRule>
  </conditionalFormatting>
  <conditionalFormatting sqref="K51:M51">
    <cfRule type="expression" dxfId="3" priority="136">
      <formula>gdExternalAudits&lt;0</formula>
    </cfRule>
  </conditionalFormatting>
  <conditionalFormatting sqref="K53:M53">
    <cfRule type="expression" dxfId="0" priority="157">
      <formula>rgSafetyAwards=2</formula>
    </cfRule>
    <cfRule type="expression" dxfId="1" priority="158">
      <formula>rgSafetyAwards=1</formula>
    </cfRule>
    <cfRule type="expression" dxfId="2" priority="159">
      <formula>rgSafetyAwards=0</formula>
    </cfRule>
  </conditionalFormatting>
  <conditionalFormatting sqref="K57:M57">
    <cfRule type="expression" dxfId="3" priority="160">
      <formula>gdSafetyAwards&lt;0</formula>
    </cfRule>
  </conditionalFormatting>
  <conditionalFormatting sqref="K59:M59">
    <cfRule type="expression" dxfId="0" priority="181">
      <formula>rgCAClosure=2</formula>
    </cfRule>
    <cfRule type="expression" dxfId="1" priority="182">
      <formula>rgCAClosure=1</formula>
    </cfRule>
    <cfRule type="expression" dxfId="2" priority="183">
      <formula>rgCAClosure=0</formula>
    </cfRule>
  </conditionalFormatting>
  <conditionalFormatting sqref="K63:M63">
    <cfRule type="expression" dxfId="3" priority="184">
      <formula>gdCAClosure&lt;0</formula>
    </cfRule>
  </conditionalFormatting>
  <conditionalFormatting sqref="N15:P15">
    <cfRule type="expression" dxfId="0" priority="17">
      <formula>rgLTIFatality=2</formula>
    </cfRule>
    <cfRule type="expression" dxfId="1" priority="18">
      <formula>rgLTIFatality=1</formula>
    </cfRule>
    <cfRule type="expression" dxfId="2" priority="19">
      <formula>rgLTIFatality=0</formula>
    </cfRule>
  </conditionalFormatting>
  <conditionalFormatting sqref="N19:P19">
    <cfRule type="expression" dxfId="3" priority="20">
      <formula>gdLTIFatality&lt;0</formula>
    </cfRule>
  </conditionalFormatting>
  <conditionalFormatting sqref="N21:P21">
    <cfRule type="expression" dxfId="0" priority="41">
      <formula>rgNCClosure=2</formula>
    </cfRule>
    <cfRule type="expression" dxfId="1" priority="42">
      <formula>rgNCClosure=1</formula>
    </cfRule>
    <cfRule type="expression" dxfId="2" priority="43">
      <formula>rgNCClosure=0</formula>
    </cfRule>
  </conditionalFormatting>
  <conditionalFormatting sqref="N25:P25">
    <cfRule type="expression" dxfId="3" priority="44">
      <formula>gdNCClosure&lt;0</formula>
    </cfRule>
  </conditionalFormatting>
  <conditionalFormatting sqref="N29:P29">
    <cfRule type="expression" dxfId="0" priority="65">
      <formula>rgTrainings=2</formula>
    </cfRule>
    <cfRule type="expression" dxfId="1" priority="66">
      <formula>rgTrainings=1</formula>
    </cfRule>
    <cfRule type="expression" dxfId="2" priority="67">
      <formula>rgTrainings=0</formula>
    </cfRule>
  </conditionalFormatting>
  <conditionalFormatting sqref="N33:P33">
    <cfRule type="expression" dxfId="3" priority="68">
      <formula>gdTrainings&lt;0</formula>
    </cfRule>
  </conditionalFormatting>
  <conditionalFormatting sqref="N35:P35">
    <cfRule type="expression" dxfId="0" priority="89">
      <formula>rgEquipmentInspections=2</formula>
    </cfRule>
    <cfRule type="expression" dxfId="1" priority="90">
      <formula>rgEquipmentInspections=1</formula>
    </cfRule>
    <cfRule type="expression" dxfId="2" priority="91">
      <formula>rgEquipmentInspections=0</formula>
    </cfRule>
  </conditionalFormatting>
  <conditionalFormatting sqref="N39:P39">
    <cfRule type="expression" dxfId="3" priority="92">
      <formula>gdEquipmentInspections&lt;0</formula>
    </cfRule>
  </conditionalFormatting>
  <conditionalFormatting sqref="N41:P41">
    <cfRule type="expression" dxfId="0" priority="113">
      <formula>rgBulletinReach=2</formula>
    </cfRule>
    <cfRule type="expression" dxfId="1" priority="114">
      <formula>rgBulletinReach=1</formula>
    </cfRule>
    <cfRule type="expression" dxfId="2" priority="115">
      <formula>rgBulletinReach=0</formula>
    </cfRule>
  </conditionalFormatting>
  <conditionalFormatting sqref="N45:P45">
    <cfRule type="expression" dxfId="3" priority="116">
      <formula>gdBulletinReach&lt;0</formula>
    </cfRule>
  </conditionalFormatting>
  <conditionalFormatting sqref="N47:P47">
    <cfRule type="expression" dxfId="0" priority="137">
      <formula>rgExternalAuditNCs=2</formula>
    </cfRule>
    <cfRule type="expression" dxfId="1" priority="138">
      <formula>rgExternalAuditNCs=1</formula>
    </cfRule>
    <cfRule type="expression" dxfId="2" priority="139">
      <formula>rgExternalAuditNCs=0</formula>
    </cfRule>
  </conditionalFormatting>
  <conditionalFormatting sqref="N51:P51">
    <cfRule type="expression" dxfId="3" priority="140">
      <formula>gdExternalAuditNCs&lt;0</formula>
    </cfRule>
  </conditionalFormatting>
  <conditionalFormatting sqref="N53:P53">
    <cfRule type="expression" dxfId="0" priority="161">
      <formula>rgStopWorkAuthority=2</formula>
    </cfRule>
    <cfRule type="expression" dxfId="1" priority="162">
      <formula>rgStopWorkAuthority=1</formula>
    </cfRule>
    <cfRule type="expression" dxfId="2" priority="163">
      <formula>rgStopWorkAuthority=0</formula>
    </cfRule>
  </conditionalFormatting>
  <conditionalFormatting sqref="N57:P57">
    <cfRule type="expression" dxfId="3" priority="164">
      <formula>gdStopWorkAuthority&lt;0</formula>
    </cfRule>
  </conditionalFormatting>
  <conditionalFormatting sqref="N59:P59">
    <cfRule type="expression" dxfId="0" priority="185">
      <formula>rgUnsafeActsReported=2</formula>
    </cfRule>
    <cfRule type="expression" dxfId="1" priority="186">
      <formula>rgUnsafeActsReported=1</formula>
    </cfRule>
    <cfRule type="expression" dxfId="2" priority="187">
      <formula>rgUnsafeActsReported=0</formula>
    </cfRule>
  </conditionalFormatting>
  <conditionalFormatting sqref="N63:P63">
    <cfRule type="expression" dxfId="3" priority="188">
      <formula>gdUnsafeActsReported&lt;0</formula>
    </cfRule>
  </conditionalFormatting>
  <conditionalFormatting sqref="Q15:S15">
    <cfRule type="expression" dxfId="0" priority="21">
      <formula>rgNearMiss=2</formula>
    </cfRule>
    <cfRule type="expression" dxfId="1" priority="22">
      <formula>rgNearMiss=1</formula>
    </cfRule>
    <cfRule type="expression" dxfId="2" priority="23">
      <formula>rgNearMiss=0</formula>
    </cfRule>
  </conditionalFormatting>
  <conditionalFormatting sqref="Q19:S19">
    <cfRule type="expression" dxfId="3" priority="24">
      <formula>gdNearMiss&lt;0</formula>
    </cfRule>
  </conditionalFormatting>
  <conditionalFormatting sqref="Q21:S21">
    <cfRule type="expression" dxfId="0" priority="45">
      <formula>rgAlcoholPositive=2</formula>
    </cfRule>
    <cfRule type="expression" dxfId="1" priority="46">
      <formula>rgAlcoholPositive=1</formula>
    </cfRule>
    <cfRule type="expression" dxfId="2" priority="47">
      <formula>rgAlcoholPositive=0</formula>
    </cfRule>
  </conditionalFormatting>
  <conditionalFormatting sqref="Q25:S25">
    <cfRule type="expression" dxfId="3" priority="48">
      <formula>gdAlcoholPositive&lt;0</formula>
    </cfRule>
  </conditionalFormatting>
  <conditionalFormatting sqref="Q29:S29">
    <cfRule type="expression" dxfId="0" priority="69">
      <formula>rgTrainingCompliance=2</formula>
    </cfRule>
    <cfRule type="expression" dxfId="1" priority="70">
      <formula>rgTrainingCompliance=1</formula>
    </cfRule>
    <cfRule type="expression" dxfId="2" priority="71">
      <formula>rgTrainingCompliance=0</formula>
    </cfRule>
  </conditionalFormatting>
  <conditionalFormatting sqref="Q33:S33">
    <cfRule type="expression" dxfId="3" priority="72">
      <formula>gdTrainingCompliance&lt;0</formula>
    </cfRule>
  </conditionalFormatting>
  <conditionalFormatting sqref="Q35:S35">
    <cfRule type="expression" dxfId="0" priority="93">
      <formula>rgEquipmentCriticalFindings=2</formula>
    </cfRule>
    <cfRule type="expression" dxfId="1" priority="94">
      <formula>rgEquipmentCriticalFindings=1</formula>
    </cfRule>
    <cfRule type="expression" dxfId="2" priority="95">
      <formula>rgEquipmentCriticalFindings=0</formula>
    </cfRule>
  </conditionalFormatting>
  <conditionalFormatting sqref="Q39:S39">
    <cfRule type="expression" dxfId="3" priority="96">
      <formula>gdEquipmentCriticalFindings&lt;0</formula>
    </cfRule>
  </conditionalFormatting>
  <conditionalFormatting sqref="Q41:S41">
    <cfRule type="expression" dxfId="0" priority="117">
      <formula>rgEmergencyDrills=2</formula>
    </cfRule>
    <cfRule type="expression" dxfId="1" priority="118">
      <formula>rgEmergencyDrills=1</formula>
    </cfRule>
    <cfRule type="expression" dxfId="2" priority="119">
      <formula>rgEmergencyDrills=0</formula>
    </cfRule>
  </conditionalFormatting>
  <conditionalFormatting sqref="Q45:S45">
    <cfRule type="expression" dxfId="3" priority="120">
      <formula>gdEmergencyDrills&lt;0</formula>
    </cfRule>
  </conditionalFormatting>
  <conditionalFormatting sqref="Q47:S47">
    <cfRule type="expression" dxfId="0" priority="141">
      <formula>rgManagementVisits=2</formula>
    </cfRule>
    <cfRule type="expression" dxfId="1" priority="142">
      <formula>rgManagementVisits=1</formula>
    </cfRule>
    <cfRule type="expression" dxfId="2" priority="143">
      <formula>rgManagementVisits=0</formula>
    </cfRule>
  </conditionalFormatting>
  <conditionalFormatting sqref="Q51:S51">
    <cfRule type="expression" dxfId="3" priority="144">
      <formula>gdManagementVisits&lt;0</formula>
    </cfRule>
  </conditionalFormatting>
  <conditionalFormatting sqref="Q53:S53">
    <cfRule type="expression" dxfId="0" priority="165">
      <formula>rgAlcoholTests=2</formula>
    </cfRule>
    <cfRule type="expression" dxfId="1" priority="166">
      <formula>rgAlcoholTests=1</formula>
    </cfRule>
    <cfRule type="expression" dxfId="2" priority="167">
      <formula>rgAlcoholTests=0</formula>
    </cfRule>
  </conditionalFormatting>
  <conditionalFormatting sqref="Q57:S57">
    <cfRule type="expression" dxfId="3" priority="168">
      <formula>gdAlcoholTests&lt;0</formula>
    </cfRule>
  </conditionalFormatting>
  <conditionalFormatting sqref="Q59:S59">
    <cfRule type="expression" dxfId="0" priority="189">
      <formula>rgUnsafeActClosure=2</formula>
    </cfRule>
    <cfRule type="expression" dxfId="1" priority="190">
      <formula>rgUnsafeActClosure=1</formula>
    </cfRule>
    <cfRule type="expression" dxfId="2" priority="191">
      <formula>rgUnsafeActClosure=0</formula>
    </cfRule>
  </conditionalFormatting>
  <conditionalFormatting sqref="Q63:S63">
    <cfRule type="expression" dxfId="3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Calculations!DR12:DR23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Calculations!DQ12:DQ23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Calculations!DP12:DP23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Calculations!DO12:DO23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Calculations!DN12:DN23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Calculations!DM12:DM23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Calculations!DL12:DL23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Calculations!DK12:DK23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Calculations!DJ12:DJ23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Calculations!DI12:DI23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Calculations!DH12:DH23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Calculations!DG12:DG23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Calculations!DF12:DF23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Calculations!DE12:DE23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Calculations!DD12:DD23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Calculations!DC12:DC23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D18</xm:sqref>
            </x14:sparkline>
          </x14:sparklines>
        </x14:sparklineGroup>
      </x14:sparklineGroups>
    </ext>
  </extLst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D71920"/>
    <pageSetUpPr fitToPage="1"/>
  </sheetPr>
  <dimension ref="A1:S45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2033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2034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</row>
    <row r="11" spans="2:19">
      <c r="B11" s="10" t="s">
        <v>2035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</row>
    <row r="13" spans="2:19">
      <c r="B13" s="35" t="s">
        <v>1647</v>
      </c>
      <c r="C13" s="35"/>
      <c r="D13" s="35"/>
      <c r="E13" s="35"/>
      <c r="F13" s="35" t="s">
        <v>1649</v>
      </c>
      <c r="G13" s="35"/>
      <c r="H13" s="35"/>
      <c r="I13" s="35"/>
      <c r="J13" s="35" t="s">
        <v>1981</v>
      </c>
      <c r="K13" s="35"/>
      <c r="L13" s="35"/>
      <c r="M13" s="35"/>
      <c r="N13" s="35" t="s">
        <v>1985</v>
      </c>
      <c r="O13" s="35"/>
      <c r="P13" s="35"/>
      <c r="Q13" s="35"/>
    </row>
    <row r="14" spans="2:19">
      <c r="B14" s="36">
        <f>Calculations!$CP$12</f>
        <v>0</v>
      </c>
      <c r="C14" s="36"/>
      <c r="D14" s="36"/>
      <c r="F14" s="36">
        <f>Calculations!$CP$13</f>
        <v>0</v>
      </c>
      <c r="G14" s="36"/>
      <c r="H14" s="36"/>
      <c r="J14" s="37">
        <f>Calculations!$CP$15</f>
        <v>0</v>
      </c>
      <c r="K14" s="37"/>
      <c r="L14" s="37"/>
      <c r="N14" s="37">
        <f>Calculations!$CP$19</f>
        <v>0</v>
      </c>
      <c r="O14" s="37"/>
      <c r="P14" s="37"/>
    </row>
    <row r="15" spans="2:19">
      <c r="B15" s="36"/>
      <c r="C15" s="36"/>
      <c r="D15" s="36"/>
      <c r="E15" s="36"/>
      <c r="F15" s="36"/>
      <c r="G15" s="36"/>
      <c r="H15" s="36"/>
      <c r="I15" s="36"/>
      <c r="J15" s="37"/>
      <c r="K15" s="37"/>
      <c r="L15" s="37"/>
      <c r="M15" s="37"/>
      <c r="N15" s="37"/>
      <c r="O15" s="37"/>
      <c r="P15" s="37"/>
      <c r="Q15" s="37"/>
    </row>
    <row r="16" spans="2:19">
      <c r="B16" s="53">
        <f>IF(Calculations!$CQ$12=0,IF(Calculations!$CP$12&gt;0,"▲ new","● flat"),IF(Calculations!$CP$12=Calculations!$CQ$12,"● flat",(IF(Calculations!$CP$12&gt;Calculations!$CQ$12,"▲ ","▼ "))&amp;TEXT(ABS(Calculations!$CR$12),"0.0%")&amp;" vs prior"))</f>
        <v>0</v>
      </c>
      <c r="C16" s="53"/>
      <c r="D16" s="53"/>
      <c r="E16" s="53"/>
      <c r="F16" s="53">
        <f>IF(Calculations!$CQ$13=0,IF(Calculations!$CP$13&gt;0,"▲ new","● flat"),IF(Calculations!$CP$13=Calculations!$CQ$13,"● flat",(IF(Calculations!$CP$13&gt;Calculations!$CQ$13,"▲ ","▼ "))&amp;TEXT(ABS(Calculations!$CR$13),"0.0%")&amp;" vs prior"))</f>
        <v>0</v>
      </c>
      <c r="G16" s="53"/>
      <c r="H16" s="53"/>
      <c r="I16" s="53"/>
      <c r="J16" s="53">
        <f>IF(Calculations!$CQ$15=0,IF(Calculations!$CP$15&gt;0,"▲ new","● flat"),IF(Calculations!$CP$15=Calculations!$CQ$15,"● flat",(IF(Calculations!$CP$15&gt;Calculations!$CQ$15,"▲ ","▼ "))&amp;TEXT(ABS(Calculations!$CR$15),"0.0%")&amp;" vs prior"))</f>
        <v>0</v>
      </c>
      <c r="K16" s="53"/>
      <c r="L16" s="53"/>
      <c r="M16" s="53"/>
      <c r="N16" s="53">
        <f>IF(Calculations!$CQ$19=0,IF(Calculations!$CP$19&gt;0,"▲ new","● flat"),IF(Calculations!$CP$19=Calculations!$CQ$19,"● flat",(IF(Calculations!$CP$19&gt;Calculations!$CQ$19,"▲ ","▼ "))&amp;TEXT(ABS(Calculations!$CR$19),"0.0%")&amp;" vs prior"))</f>
        <v>0</v>
      </c>
      <c r="O16" s="53"/>
      <c r="P16" s="53"/>
      <c r="Q16" s="53"/>
    </row>
    <row r="18" spans="2:19" ht="4" customHeight="1"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2:19">
      <c r="B19" s="35" t="s">
        <v>2036</v>
      </c>
      <c r="C19" s="35"/>
      <c r="D19" s="35"/>
      <c r="E19" s="35"/>
      <c r="F19" s="35" t="s">
        <v>2037</v>
      </c>
      <c r="G19" s="35"/>
      <c r="H19" s="35"/>
      <c r="I19" s="35"/>
      <c r="J19" s="35" t="s">
        <v>2038</v>
      </c>
      <c r="K19" s="35"/>
      <c r="L19" s="35"/>
      <c r="M19" s="35"/>
      <c r="N19" s="35" t="s">
        <v>1983</v>
      </c>
      <c r="O19" s="35"/>
      <c r="P19" s="35"/>
      <c r="Q19" s="35"/>
    </row>
    <row r="20" spans="2:19">
      <c r="B20" s="38">
        <f>Calculations!$CP$31</f>
        <v>0</v>
      </c>
      <c r="C20" s="38"/>
      <c r="D20" s="38"/>
      <c r="F20" s="38">
        <f>Calculations!$CP$29</f>
        <v>0</v>
      </c>
      <c r="G20" s="38"/>
      <c r="H20" s="38"/>
      <c r="J20" s="38">
        <f>Calculations!$CP$57</f>
        <v>0</v>
      </c>
      <c r="K20" s="38"/>
      <c r="L20" s="38"/>
      <c r="N20" s="37">
        <f>Calculations!$CP$17</f>
        <v>0</v>
      </c>
      <c r="O20" s="37"/>
      <c r="P20" s="37"/>
    </row>
    <row r="21" spans="2:19"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7"/>
      <c r="O21" s="37"/>
      <c r="P21" s="37"/>
      <c r="Q21" s="37"/>
    </row>
    <row r="22" spans="2:19">
      <c r="B22" s="53">
        <f>IF(Calculations!$CQ$31=0,IF(Calculations!$CP$31&gt;0,"▲ new","● flat"),IF(Calculations!$CP$31=Calculations!$CQ$31,"● flat",(IF(Calculations!$CP$31&gt;Calculations!$CQ$31,"▲ ","▼ "))&amp;TEXT(ABS(Calculations!$CR$31),"0.0%")&amp;" vs prior"))</f>
        <v>0</v>
      </c>
      <c r="C22" s="53"/>
      <c r="D22" s="53"/>
      <c r="E22" s="53"/>
      <c r="F22" s="53">
        <f>IF(Calculations!$CQ$29=0,IF(Calculations!$CP$29&gt;0,"▲ new","● flat"),IF(Calculations!$CP$29=Calculations!$CQ$29,"● flat",(IF(Calculations!$CP$29&gt;Calculations!$CQ$29,"▲ ","▼ "))&amp;TEXT(ABS(Calculations!$CR$29),"0.0%")&amp;" vs prior"))</f>
        <v>0</v>
      </c>
      <c r="G22" s="53"/>
      <c r="H22" s="53"/>
      <c r="I22" s="53"/>
      <c r="J22" s="53">
        <f>IF(Calculations!$CQ$57=0,IF(Calculations!$CP$57&gt;0,"▲ new","● flat"),IF(Calculations!$CP$57=Calculations!$CQ$57,"● flat",(IF(Calculations!$CP$57&gt;Calculations!$CQ$57,"▲ ","▼ "))&amp;TEXT(ABS(Calculations!$CR$57),"0.0%")&amp;" vs prior"))</f>
        <v>0</v>
      </c>
      <c r="K22" s="53"/>
      <c r="L22" s="53"/>
      <c r="M22" s="53"/>
      <c r="N22" s="53">
        <f>IF(Calculations!$CQ$17=0,IF(Calculations!$CP$17&gt;0,"▲ new","● flat"),IF(Calculations!$CP$17=Calculations!$CQ$17,"● flat",(IF(Calculations!$CP$17&gt;Calculations!$CQ$17,"▲ ","▼ "))&amp;TEXT(ABS(Calculations!$CR$17),"0.0%")&amp;" vs prior"))</f>
        <v>0</v>
      </c>
      <c r="O22" s="53"/>
      <c r="P22" s="53"/>
      <c r="Q22" s="53"/>
    </row>
    <row r="24" spans="2:19">
      <c r="B24" s="10" t="s">
        <v>2039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2040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0" t="s">
        <v>2041</v>
      </c>
      <c r="C42" s="10"/>
      <c r="D42" s="10"/>
      <c r="E42" s="10"/>
      <c r="H42" s="10" t="s">
        <v>2042</v>
      </c>
      <c r="I42" s="10"/>
      <c r="J42" s="10"/>
      <c r="K42" s="10"/>
    </row>
    <row r="43" spans="2:19">
      <c r="B43" s="56">
        <f>INDEX(Calculations!$CN$125:$CN$127,1)</f>
        <v>0</v>
      </c>
      <c r="C43" s="56"/>
      <c r="D43" s="56"/>
      <c r="E43" s="57">
        <f>INDEX(Calculations!$CO$125:$CO$127,1)</f>
        <v>0</v>
      </c>
      <c r="H43" s="58">
        <f>INDEX(Calculations!$CN$129:$CN$131,1)</f>
        <v>0</v>
      </c>
      <c r="I43" s="58"/>
      <c r="J43" s="58"/>
      <c r="K43" s="57">
        <f>INDEX(Calculations!$CO$129:$CO$131,1)</f>
        <v>0</v>
      </c>
    </row>
    <row r="44" spans="2:19">
      <c r="B44" s="56">
        <f>INDEX(Calculations!$CN$125:$CN$127,2)</f>
        <v>0</v>
      </c>
      <c r="C44" s="56"/>
      <c r="D44" s="56"/>
      <c r="E44" s="57">
        <f>INDEX(Calculations!$CO$125:$CO$127,2)</f>
        <v>0</v>
      </c>
      <c r="H44" s="58">
        <f>INDEX(Calculations!$CN$129:$CN$131,2)</f>
        <v>0</v>
      </c>
      <c r="I44" s="58"/>
      <c r="J44" s="58"/>
      <c r="K44" s="57">
        <f>INDEX(Calculations!$CO$129:$CO$131,2)</f>
        <v>0</v>
      </c>
    </row>
    <row r="45" spans="2:19">
      <c r="B45" s="56">
        <f>INDEX(Calculations!$CN$125:$CN$127,3)</f>
        <v>0</v>
      </c>
      <c r="C45" s="56"/>
      <c r="D45" s="56"/>
      <c r="E45" s="57">
        <f>INDEX(Calculations!$CO$125:$CO$127,3)</f>
        <v>0</v>
      </c>
      <c r="H45" s="58">
        <f>INDEX(Calculations!$CN$129:$CN$131,3)</f>
        <v>0</v>
      </c>
      <c r="I45" s="58"/>
      <c r="J45" s="58"/>
      <c r="K45" s="57">
        <f>INDEX(Calculations!$CO$129:$CO$131,3)</f>
        <v>0</v>
      </c>
    </row>
  </sheetData>
  <mergeCells count="48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</mergeCells>
  <conditionalFormatting sqref="B12:E12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6:E16">
    <cfRule type="expression" dxfId="3" priority="4">
      <formula>gdTRIR&lt;0</formula>
    </cfRule>
  </conditionalFormatting>
  <conditionalFormatting sqref="B18:E18">
    <cfRule type="expression" dxfId="0" priority="17">
      <formula>rgObsClosure=2</formula>
    </cfRule>
    <cfRule type="expression" dxfId="1" priority="18">
      <formula>rgObsClosure=1</formula>
    </cfRule>
    <cfRule type="expression" dxfId="2" priority="19">
      <formula>rgObsClosure=0</formula>
    </cfRule>
  </conditionalFormatting>
  <conditionalFormatting sqref="B22:E22">
    <cfRule type="expression" dxfId="3" priority="20">
      <formula>gdObsClosure&lt;0</formula>
    </cfRule>
  </conditionalFormatting>
  <conditionalFormatting sqref="F12:I12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F16:I16">
    <cfRule type="expression" dxfId="3" priority="8">
      <formula>gdLTIFR&lt;0</formula>
    </cfRule>
  </conditionalFormatting>
  <conditionalFormatting sqref="F18:I18">
    <cfRule type="expression" dxfId="0" priority="21">
      <formula>rgTrainingCompliance=2</formula>
    </cfRule>
    <cfRule type="expression" dxfId="1" priority="22">
      <formula>rgTrainingCompliance=1</formula>
    </cfRule>
    <cfRule type="expression" dxfId="2" priority="23">
      <formula>rgTrainingCompliance=0</formula>
    </cfRule>
  </conditionalFormatting>
  <conditionalFormatting sqref="F22:I22">
    <cfRule type="expression" dxfId="3" priority="24">
      <formula>gdTrainingCompliance&lt;0</formula>
    </cfRule>
  </conditionalFormatting>
  <conditionalFormatting sqref="J12:M12">
    <cfRule type="expression" dxfId="0" priority="9">
      <formula>rgRecordable=2</formula>
    </cfRule>
    <cfRule type="expression" dxfId="1" priority="10">
      <formula>rgRecordable=1</formula>
    </cfRule>
    <cfRule type="expression" dxfId="2" priority="11">
      <formula>rgRecordable=0</formula>
    </cfRule>
  </conditionalFormatting>
  <conditionalFormatting sqref="J16:M16">
    <cfRule type="expression" dxfId="3" priority="12">
      <formula>gdRecordable&lt;0</formula>
    </cfRule>
  </conditionalFormatting>
  <conditionalFormatting sqref="J18:M18">
    <cfRule type="expression" dxfId="0" priority="25">
      <formula>rgCAClosure=2</formula>
    </cfRule>
    <cfRule type="expression" dxfId="1" priority="26">
      <formula>rgCAClosure=1</formula>
    </cfRule>
    <cfRule type="expression" dxfId="2" priority="27">
      <formula>rgCAClosure=0</formula>
    </cfRule>
  </conditionalFormatting>
  <conditionalFormatting sqref="J22:M22">
    <cfRule type="expression" dxfId="3" priority="28">
      <formula>gdCAClosure&lt;0</formula>
    </cfRule>
  </conditionalFormatting>
  <conditionalFormatting sqref="N12:Q12">
    <cfRule type="expression" dxfId="0" priority="13">
      <formula>rgLostDays=2</formula>
    </cfRule>
    <cfRule type="expression" dxfId="1" priority="14">
      <formula>rgLostDays=1</formula>
    </cfRule>
    <cfRule type="expression" dxfId="2" priority="15">
      <formula>rgLostDays=0</formula>
    </cfRule>
  </conditionalFormatting>
  <conditionalFormatting sqref="N16:Q16">
    <cfRule type="expression" dxfId="3" priority="16">
      <formula>gdLostDays&lt;0</formula>
    </cfRule>
  </conditionalFormatting>
  <conditionalFormatting sqref="N18:Q18">
    <cfRule type="expression" dxfId="0" priority="29">
      <formula>rgNearMiss=2</formula>
    </cfRule>
    <cfRule type="expression" dxfId="1" priority="30">
      <formula>rgNearMiss=1</formula>
    </cfRule>
    <cfRule type="expression" dxfId="2" priority="31">
      <formula>rgNearMiss=0</formula>
    </cfRule>
  </conditionalFormatting>
  <conditionalFormatting sqref="N22:Q22">
    <cfRule type="expression" dxfId="3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Calculations!DP12:DP23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Calculations!DG12:DG23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Calculations!DH12:DH23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E15</xm:sqref>
            </x14:sparkline>
          </x14:sparklines>
        </x14:sparklineGroup>
      </x14:sparklineGroups>
    </ext>
  </extLst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  <pageSetUpPr fitToPage="1"/>
  </sheetPr>
  <dimension ref="A1:S71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2043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2044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2049</v>
      </c>
      <c r="G13" s="35"/>
      <c r="H13" s="35"/>
      <c r="I13" s="35"/>
      <c r="J13" s="35" t="s">
        <v>2050</v>
      </c>
      <c r="K13" s="35"/>
      <c r="L13" s="35"/>
      <c r="M13" s="35"/>
      <c r="N13" s="35" t="s">
        <v>2051</v>
      </c>
      <c r="O13" s="35"/>
      <c r="P13" s="35"/>
      <c r="Q13" s="35"/>
    </row>
    <row r="14" spans="2:19">
      <c r="B14" s="37">
        <f>Calculations!$N$281</f>
        <v>0</v>
      </c>
      <c r="C14" s="37"/>
      <c r="D14" s="37"/>
      <c r="E14" s="37"/>
      <c r="F14" s="38">
        <f>Calculations!$N$282</f>
        <v>0</v>
      </c>
      <c r="G14" s="38"/>
      <c r="H14" s="38"/>
      <c r="I14" s="38"/>
      <c r="J14" s="37">
        <f>Calculations!$N$283</f>
        <v>0</v>
      </c>
      <c r="K14" s="37"/>
      <c r="L14" s="37"/>
      <c r="M14" s="37"/>
      <c r="N14" s="37">
        <f>Calculations!$N$284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>
      <c r="B18" s="10" t="s">
        <v>2052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2053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>
        <f>Calculations!$B$269</f>
        <v>0</v>
      </c>
      <c r="C36" s="11">
        <f>Calculations!$C$269</f>
        <v>0</v>
      </c>
      <c r="D36" s="11">
        <f>Calculations!$D$269</f>
        <v>0</v>
      </c>
      <c r="E36" s="11">
        <f>Calculations!$E$269</f>
        <v>0</v>
      </c>
      <c r="F36" s="11">
        <f>Calculations!$F$269</f>
        <v>0</v>
      </c>
      <c r="G36" s="11">
        <f>Calculations!$G$269</f>
        <v>0</v>
      </c>
      <c r="H36" s="11">
        <f>Calculations!$H$269</f>
        <v>0</v>
      </c>
    </row>
    <row r="37" spans="2:19">
      <c r="B37" s="12">
        <f>Calculations!$B$270</f>
        <v>0</v>
      </c>
      <c r="C37" s="26">
        <f>Calculations!$C$270</f>
        <v>0</v>
      </c>
      <c r="D37" s="26">
        <f>Calculations!$D$270</f>
        <v>0</v>
      </c>
      <c r="E37" s="26">
        <f>Calculations!$E$270</f>
        <v>0</v>
      </c>
      <c r="F37" s="26">
        <f>Calculations!$F$270</f>
        <v>0</v>
      </c>
      <c r="G37" s="26">
        <f>Calculations!$G$270</f>
        <v>0</v>
      </c>
      <c r="H37" s="26">
        <f>Calculations!$H$270</f>
        <v>0</v>
      </c>
    </row>
    <row r="38" spans="2:19">
      <c r="B38" s="12">
        <f>Calculations!$B$271</f>
        <v>0</v>
      </c>
      <c r="C38" s="26">
        <f>Calculations!$C$271</f>
        <v>0</v>
      </c>
      <c r="D38" s="26">
        <f>Calculations!$D$271</f>
        <v>0</v>
      </c>
      <c r="E38" s="26">
        <f>Calculations!$E$271</f>
        <v>0</v>
      </c>
      <c r="F38" s="26">
        <f>Calculations!$F$271</f>
        <v>0</v>
      </c>
      <c r="G38" s="26">
        <f>Calculations!$G$271</f>
        <v>0</v>
      </c>
      <c r="H38" s="26">
        <f>Calculations!$H$271</f>
        <v>0</v>
      </c>
    </row>
    <row r="39" spans="2:19">
      <c r="B39" s="12">
        <f>Calculations!$B$272</f>
        <v>0</v>
      </c>
      <c r="C39" s="26">
        <f>Calculations!$C$272</f>
        <v>0</v>
      </c>
      <c r="D39" s="26">
        <f>Calculations!$D$272</f>
        <v>0</v>
      </c>
      <c r="E39" s="26">
        <f>Calculations!$E$272</f>
        <v>0</v>
      </c>
      <c r="F39" s="26">
        <f>Calculations!$F$272</f>
        <v>0</v>
      </c>
      <c r="G39" s="26">
        <f>Calculations!$G$272</f>
        <v>0</v>
      </c>
      <c r="H39" s="26">
        <f>Calculations!$H$272</f>
        <v>0</v>
      </c>
    </row>
    <row r="40" spans="2:19">
      <c r="B40" s="12">
        <f>Calculations!$B$273</f>
        <v>0</v>
      </c>
      <c r="C40" s="26">
        <f>Calculations!$C$273</f>
        <v>0</v>
      </c>
      <c r="D40" s="26">
        <f>Calculations!$D$273</f>
        <v>0</v>
      </c>
      <c r="E40" s="26">
        <f>Calculations!$E$273</f>
        <v>0</v>
      </c>
      <c r="F40" s="26">
        <f>Calculations!$F$273</f>
        <v>0</v>
      </c>
      <c r="G40" s="26">
        <f>Calculations!$G$273</f>
        <v>0</v>
      </c>
      <c r="H40" s="26">
        <f>Calculations!$H$273</f>
        <v>0</v>
      </c>
    </row>
    <row r="41" spans="2:19">
      <c r="B41" s="12">
        <f>Calculations!$B$274</f>
        <v>0</v>
      </c>
      <c r="C41" s="26">
        <f>Calculations!$C$274</f>
        <v>0</v>
      </c>
      <c r="D41" s="26">
        <f>Calculations!$D$274</f>
        <v>0</v>
      </c>
      <c r="E41" s="26">
        <f>Calculations!$E$274</f>
        <v>0</v>
      </c>
      <c r="F41" s="26">
        <f>Calculations!$F$274</f>
        <v>0</v>
      </c>
      <c r="G41" s="26">
        <f>Calculations!$G$274</f>
        <v>0</v>
      </c>
      <c r="H41" s="26">
        <f>Calculations!$H$274</f>
        <v>0</v>
      </c>
    </row>
    <row r="42" spans="2:19">
      <c r="B42" s="12">
        <f>Calculations!$B$275</f>
        <v>0</v>
      </c>
      <c r="C42" s="26">
        <f>Calculations!$C$275</f>
        <v>0</v>
      </c>
      <c r="D42" s="26">
        <f>Calculations!$D$275</f>
        <v>0</v>
      </c>
      <c r="E42" s="26">
        <f>Calculations!$E$275</f>
        <v>0</v>
      </c>
      <c r="F42" s="26">
        <f>Calculations!$F$275</f>
        <v>0</v>
      </c>
      <c r="G42" s="26">
        <f>Calculations!$G$275</f>
        <v>0</v>
      </c>
      <c r="H42" s="26">
        <f>Calculations!$H$275</f>
        <v>0</v>
      </c>
    </row>
    <row r="43" spans="2:19">
      <c r="B43" s="12">
        <f>Calculations!$B$276</f>
        <v>0</v>
      </c>
      <c r="C43" s="26">
        <f>Calculations!$C$276</f>
        <v>0</v>
      </c>
      <c r="D43" s="26">
        <f>Calculations!$D$276</f>
        <v>0</v>
      </c>
      <c r="E43" s="26">
        <f>Calculations!$E$276</f>
        <v>0</v>
      </c>
      <c r="F43" s="26">
        <f>Calculations!$F$276</f>
        <v>0</v>
      </c>
      <c r="G43" s="26">
        <f>Calculations!$G$276</f>
        <v>0</v>
      </c>
      <c r="H43" s="26">
        <f>Calculations!$H$276</f>
        <v>0</v>
      </c>
    </row>
    <row r="44" spans="2:19">
      <c r="B44" s="12">
        <f>Calculations!$B$277</f>
        <v>0</v>
      </c>
      <c r="C44" s="26">
        <f>Calculations!$C$277</f>
        <v>0</v>
      </c>
      <c r="D44" s="26">
        <f>Calculations!$D$277</f>
        <v>0</v>
      </c>
      <c r="E44" s="26">
        <f>Calculations!$E$277</f>
        <v>0</v>
      </c>
      <c r="F44" s="26">
        <f>Calculations!$F$277</f>
        <v>0</v>
      </c>
      <c r="G44" s="26">
        <f>Calculations!$G$277</f>
        <v>0</v>
      </c>
      <c r="H44" s="26">
        <f>Calculations!$H$277</f>
        <v>0</v>
      </c>
    </row>
    <row r="47" spans="2:19">
      <c r="B47" s="10" t="s">
        <v>2054</v>
      </c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2:19">
      <c r="B48" s="11" t="s">
        <v>129</v>
      </c>
      <c r="C48" s="11" t="s">
        <v>1808</v>
      </c>
      <c r="D48" s="11" t="s">
        <v>1872</v>
      </c>
      <c r="E48" s="11" t="s">
        <v>1869</v>
      </c>
    </row>
    <row r="49" spans="2:19">
      <c r="B49" s="12">
        <f>IFERROR(Calculations!$P$281,"")</f>
        <v>0</v>
      </c>
      <c r="C49" s="22">
        <f>IFERROR(Calculations!$Q$281,"")</f>
        <v>0</v>
      </c>
      <c r="D49" s="22">
        <f>IFERROR(Calculations!$R$281,"")</f>
        <v>0</v>
      </c>
      <c r="E49" s="23">
        <f>IFERROR(Calculations!$S$281,"")</f>
        <v>0</v>
      </c>
    </row>
    <row r="50" spans="2:19">
      <c r="B50" s="12">
        <f>IFERROR(Calculations!$P$282,"")</f>
        <v>0</v>
      </c>
      <c r="C50" s="22">
        <f>IFERROR(Calculations!$Q$282,"")</f>
        <v>0</v>
      </c>
      <c r="D50" s="22">
        <f>IFERROR(Calculations!$R$282,"")</f>
        <v>0</v>
      </c>
      <c r="E50" s="23">
        <f>IFERROR(Calculations!$S$282,"")</f>
        <v>0</v>
      </c>
    </row>
    <row r="51" spans="2:19">
      <c r="B51" s="12">
        <f>IFERROR(Calculations!$P$283,"")</f>
        <v>0</v>
      </c>
      <c r="C51" s="22">
        <f>IFERROR(Calculations!$Q$283,"")</f>
        <v>0</v>
      </c>
      <c r="D51" s="22">
        <f>IFERROR(Calculations!$R$283,"")</f>
        <v>0</v>
      </c>
      <c r="E51" s="23">
        <f>IFERROR(Calculations!$S$283,"")</f>
        <v>0</v>
      </c>
    </row>
    <row r="52" spans="2:19">
      <c r="B52" s="12">
        <f>IFERROR(Calculations!$P$284,"")</f>
        <v>0</v>
      </c>
      <c r="C52" s="22">
        <f>IFERROR(Calculations!$Q$284,"")</f>
        <v>0</v>
      </c>
      <c r="D52" s="22">
        <f>IFERROR(Calculations!$R$284,"")</f>
        <v>0</v>
      </c>
      <c r="E52" s="23">
        <f>IFERROR(Calculations!$S$284,"")</f>
        <v>0</v>
      </c>
    </row>
    <row r="53" spans="2:19">
      <c r="B53" s="12">
        <f>IFERROR(Calculations!$P$285,"")</f>
        <v>0</v>
      </c>
      <c r="C53" s="22">
        <f>IFERROR(Calculations!$Q$285,"")</f>
        <v>0</v>
      </c>
      <c r="D53" s="22">
        <f>IFERROR(Calculations!$R$285,"")</f>
        <v>0</v>
      </c>
      <c r="E53" s="23">
        <f>IFERROR(Calculations!$S$285,"")</f>
        <v>0</v>
      </c>
    </row>
    <row r="54" spans="2:19">
      <c r="B54" s="12">
        <f>IFERROR(Calculations!$P$286,"")</f>
        <v>0</v>
      </c>
      <c r="C54" s="22">
        <f>IFERROR(Calculations!$Q$286,"")</f>
        <v>0</v>
      </c>
      <c r="D54" s="22">
        <f>IFERROR(Calculations!$R$286,"")</f>
        <v>0</v>
      </c>
      <c r="E54" s="23">
        <f>IFERROR(Calculations!$S$286,"")</f>
        <v>0</v>
      </c>
    </row>
    <row r="55" spans="2:19">
      <c r="B55" s="12">
        <f>IFERROR(Calculations!$P$287,"")</f>
        <v>0</v>
      </c>
      <c r="C55" s="22">
        <f>IFERROR(Calculations!$Q$287,"")</f>
        <v>0</v>
      </c>
      <c r="D55" s="22">
        <f>IFERROR(Calculations!$R$287,"")</f>
        <v>0</v>
      </c>
      <c r="E55" s="23">
        <f>IFERROR(Calculations!$S$287,"")</f>
        <v>0</v>
      </c>
    </row>
    <row r="56" spans="2:19">
      <c r="B56" s="12">
        <f>IFERROR(Calculations!$P$288,"")</f>
        <v>0</v>
      </c>
      <c r="C56" s="22">
        <f>IFERROR(Calculations!$Q$288,"")</f>
        <v>0</v>
      </c>
      <c r="D56" s="22">
        <f>IFERROR(Calculations!$R$288,"")</f>
        <v>0</v>
      </c>
      <c r="E56" s="23">
        <f>IFERROR(Calculations!$S$288,"")</f>
        <v>0</v>
      </c>
    </row>
    <row r="57" spans="2:19">
      <c r="B57" s="12">
        <f>IFERROR(Calculations!$P$289,"")</f>
        <v>0</v>
      </c>
      <c r="C57" s="22">
        <f>IFERROR(Calculations!$Q$289,"")</f>
        <v>0</v>
      </c>
      <c r="D57" s="22">
        <f>IFERROR(Calculations!$R$289,"")</f>
        <v>0</v>
      </c>
      <c r="E57" s="23">
        <f>IFERROR(Calculations!$S$289,"")</f>
        <v>0</v>
      </c>
    </row>
    <row r="58" spans="2:19">
      <c r="B58" s="12">
        <f>IFERROR(Calculations!$P$290,"")</f>
        <v>0</v>
      </c>
      <c r="C58" s="22">
        <f>IFERROR(Calculations!$Q$290,"")</f>
        <v>0</v>
      </c>
      <c r="D58" s="22">
        <f>IFERROR(Calculations!$R$290,"")</f>
        <v>0</v>
      </c>
      <c r="E58" s="23">
        <f>IFERROR(Calculations!$S$290,"")</f>
        <v>0</v>
      </c>
    </row>
    <row r="64" spans="2:19">
      <c r="B64" s="10" t="s">
        <v>2055</v>
      </c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2:15">
      <c r="B65" s="11" t="s">
        <v>1873</v>
      </c>
      <c r="C65" s="11" t="s">
        <v>3</v>
      </c>
      <c r="D65" s="11" t="s">
        <v>19</v>
      </c>
      <c r="E65" s="11" t="s">
        <v>44</v>
      </c>
      <c r="F65" s="11" t="s">
        <v>53</v>
      </c>
      <c r="G65" s="11" t="s">
        <v>60</v>
      </c>
      <c r="H65" s="11" t="s">
        <v>73</v>
      </c>
      <c r="I65" s="11" t="s">
        <v>76</v>
      </c>
      <c r="J65" s="11" t="s">
        <v>86</v>
      </c>
      <c r="K65" s="11" t="s">
        <v>102</v>
      </c>
      <c r="L65" s="11" t="s">
        <v>106</v>
      </c>
      <c r="M65" s="11" t="s">
        <v>111</v>
      </c>
      <c r="N65" s="11" t="s">
        <v>122</v>
      </c>
      <c r="O65" s="11" t="s">
        <v>1874</v>
      </c>
    </row>
    <row r="66" spans="2:15">
      <c r="B66" s="12">
        <f>IF(Calculations!$U$281="","",Calculations!$U$281)</f>
        <v>0</v>
      </c>
      <c r="C66" s="22">
        <f>IFERROR(Calculations!$V$281,"")</f>
        <v>0</v>
      </c>
      <c r="D66" s="22">
        <f>IFERROR(Calculations!$W$281,"")</f>
        <v>0</v>
      </c>
      <c r="E66" s="22">
        <f>IFERROR(Calculations!$X$281,"")</f>
        <v>0</v>
      </c>
      <c r="F66" s="22">
        <f>IFERROR(Calculations!$Y$281,"")</f>
        <v>0</v>
      </c>
      <c r="G66" s="22">
        <f>IFERROR(Calculations!$Z$281,"")</f>
        <v>0</v>
      </c>
      <c r="H66" s="22">
        <f>IFERROR(Calculations!$AA$281,"")</f>
        <v>0</v>
      </c>
      <c r="I66" s="22">
        <f>IFERROR(Calculations!$AB$281,"")</f>
        <v>0</v>
      </c>
      <c r="J66" s="22">
        <f>IFERROR(Calculations!$AC$281,"")</f>
        <v>0</v>
      </c>
      <c r="K66" s="22">
        <f>IFERROR(Calculations!$AD$281,"")</f>
        <v>0</v>
      </c>
      <c r="L66" s="22">
        <f>IFERROR(Calculations!$AE$281,"")</f>
        <v>0</v>
      </c>
      <c r="M66" s="22">
        <f>IFERROR(Calculations!$AF$281,"")</f>
        <v>0</v>
      </c>
      <c r="N66" s="22">
        <f>IFERROR(Calculations!$AG$281,"")</f>
        <v>0</v>
      </c>
      <c r="O66" s="22">
        <f>IFERROR(Calculations!$AH$281,"")</f>
        <v>0</v>
      </c>
    </row>
    <row r="67" spans="2:15">
      <c r="B67" s="12">
        <f>IF(Calculations!$U$282="","",Calculations!$U$282)</f>
        <v>0</v>
      </c>
      <c r="C67" s="22">
        <f>IFERROR(Calculations!$V$282,"")</f>
        <v>0</v>
      </c>
      <c r="D67" s="22">
        <f>IFERROR(Calculations!$W$282,"")</f>
        <v>0</v>
      </c>
      <c r="E67" s="22">
        <f>IFERROR(Calculations!$X$282,"")</f>
        <v>0</v>
      </c>
      <c r="F67" s="22">
        <f>IFERROR(Calculations!$Y$282,"")</f>
        <v>0</v>
      </c>
      <c r="G67" s="22">
        <f>IFERROR(Calculations!$Z$282,"")</f>
        <v>0</v>
      </c>
      <c r="H67" s="22">
        <f>IFERROR(Calculations!$AA$282,"")</f>
        <v>0</v>
      </c>
      <c r="I67" s="22">
        <f>IFERROR(Calculations!$AB$282,"")</f>
        <v>0</v>
      </c>
      <c r="J67" s="22">
        <f>IFERROR(Calculations!$AC$282,"")</f>
        <v>0</v>
      </c>
      <c r="K67" s="22">
        <f>IFERROR(Calculations!$AD$282,"")</f>
        <v>0</v>
      </c>
      <c r="L67" s="22">
        <f>IFERROR(Calculations!$AE$282,"")</f>
        <v>0</v>
      </c>
      <c r="M67" s="22">
        <f>IFERROR(Calculations!$AF$282,"")</f>
        <v>0</v>
      </c>
      <c r="N67" s="22">
        <f>IFERROR(Calculations!$AG$282,"")</f>
        <v>0</v>
      </c>
      <c r="O67" s="22">
        <f>IFERROR(Calculations!$AH$282,"")</f>
        <v>0</v>
      </c>
    </row>
    <row r="68" spans="2:15">
      <c r="B68" s="12">
        <f>IF(Calculations!$U$283="","",Calculations!$U$283)</f>
        <v>0</v>
      </c>
      <c r="C68" s="22">
        <f>IFERROR(Calculations!$V$283,"")</f>
        <v>0</v>
      </c>
      <c r="D68" s="22">
        <f>IFERROR(Calculations!$W$283,"")</f>
        <v>0</v>
      </c>
      <c r="E68" s="22">
        <f>IFERROR(Calculations!$X$283,"")</f>
        <v>0</v>
      </c>
      <c r="F68" s="22">
        <f>IFERROR(Calculations!$Y$283,"")</f>
        <v>0</v>
      </c>
      <c r="G68" s="22">
        <f>IFERROR(Calculations!$Z$283,"")</f>
        <v>0</v>
      </c>
      <c r="H68" s="22">
        <f>IFERROR(Calculations!$AA$283,"")</f>
        <v>0</v>
      </c>
      <c r="I68" s="22">
        <f>IFERROR(Calculations!$AB$283,"")</f>
        <v>0</v>
      </c>
      <c r="J68" s="22">
        <f>IFERROR(Calculations!$AC$283,"")</f>
        <v>0</v>
      </c>
      <c r="K68" s="22">
        <f>IFERROR(Calculations!$AD$283,"")</f>
        <v>0</v>
      </c>
      <c r="L68" s="22">
        <f>IFERROR(Calculations!$AE$283,"")</f>
        <v>0</v>
      </c>
      <c r="M68" s="22">
        <f>IFERROR(Calculations!$AF$283,"")</f>
        <v>0</v>
      </c>
      <c r="N68" s="22">
        <f>IFERROR(Calculations!$AG$283,"")</f>
        <v>0</v>
      </c>
      <c r="O68" s="22">
        <f>IFERROR(Calculations!$AH$283,"")</f>
        <v>0</v>
      </c>
    </row>
    <row r="69" spans="2:15">
      <c r="B69" s="12">
        <f>IF(Calculations!$U$284="","",Calculations!$U$284)</f>
        <v>0</v>
      </c>
      <c r="C69" s="22">
        <f>IFERROR(Calculations!$V$284,"")</f>
        <v>0</v>
      </c>
      <c r="D69" s="22">
        <f>IFERROR(Calculations!$W$284,"")</f>
        <v>0</v>
      </c>
      <c r="E69" s="22">
        <f>IFERROR(Calculations!$X$284,"")</f>
        <v>0</v>
      </c>
      <c r="F69" s="22">
        <f>IFERROR(Calculations!$Y$284,"")</f>
        <v>0</v>
      </c>
      <c r="G69" s="22">
        <f>IFERROR(Calculations!$Z$284,"")</f>
        <v>0</v>
      </c>
      <c r="H69" s="22">
        <f>IFERROR(Calculations!$AA$284,"")</f>
        <v>0</v>
      </c>
      <c r="I69" s="22">
        <f>IFERROR(Calculations!$AB$284,"")</f>
        <v>0</v>
      </c>
      <c r="J69" s="22">
        <f>IFERROR(Calculations!$AC$284,"")</f>
        <v>0</v>
      </c>
      <c r="K69" s="22">
        <f>IFERROR(Calculations!$AD$284,"")</f>
        <v>0</v>
      </c>
      <c r="L69" s="22">
        <f>IFERROR(Calculations!$AE$284,"")</f>
        <v>0</v>
      </c>
      <c r="M69" s="22">
        <f>IFERROR(Calculations!$AF$284,"")</f>
        <v>0</v>
      </c>
      <c r="N69" s="22">
        <f>IFERROR(Calculations!$AG$284,"")</f>
        <v>0</v>
      </c>
      <c r="O69" s="22">
        <f>IFERROR(Calculations!$AH$284,"")</f>
        <v>0</v>
      </c>
    </row>
    <row r="70" spans="2:15">
      <c r="B70" s="12">
        <f>IF(Calculations!$U$285="","",Calculations!$U$285)</f>
        <v>0</v>
      </c>
      <c r="C70" s="22">
        <f>IFERROR(Calculations!$V$285,"")</f>
        <v>0</v>
      </c>
      <c r="D70" s="22">
        <f>IFERROR(Calculations!$W$285,"")</f>
        <v>0</v>
      </c>
      <c r="E70" s="22">
        <f>IFERROR(Calculations!$X$285,"")</f>
        <v>0</v>
      </c>
      <c r="F70" s="22">
        <f>IFERROR(Calculations!$Y$285,"")</f>
        <v>0</v>
      </c>
      <c r="G70" s="22">
        <f>IFERROR(Calculations!$Z$285,"")</f>
        <v>0</v>
      </c>
      <c r="H70" s="22">
        <f>IFERROR(Calculations!$AA$285,"")</f>
        <v>0</v>
      </c>
      <c r="I70" s="22">
        <f>IFERROR(Calculations!$AB$285,"")</f>
        <v>0</v>
      </c>
      <c r="J70" s="22">
        <f>IFERROR(Calculations!$AC$285,"")</f>
        <v>0</v>
      </c>
      <c r="K70" s="22">
        <f>IFERROR(Calculations!$AD$285,"")</f>
        <v>0</v>
      </c>
      <c r="L70" s="22">
        <f>IFERROR(Calculations!$AE$285,"")</f>
        <v>0</v>
      </c>
      <c r="M70" s="22">
        <f>IFERROR(Calculations!$AF$285,"")</f>
        <v>0</v>
      </c>
      <c r="N70" s="22">
        <f>IFERROR(Calculations!$AG$285,"")</f>
        <v>0</v>
      </c>
      <c r="O70" s="22">
        <f>IFERROR(Calculations!$AH$285,"")</f>
        <v>0</v>
      </c>
    </row>
    <row r="71" spans="2:15">
      <c r="B71" s="12">
        <f>IF(Calculations!$U$286="","",Calculations!$U$286)</f>
        <v>0</v>
      </c>
      <c r="C71" s="22">
        <f>IFERROR(Calculations!$V$286,"")</f>
        <v>0</v>
      </c>
      <c r="D71" s="22">
        <f>IFERROR(Calculations!$W$286,"")</f>
        <v>0</v>
      </c>
      <c r="E71" s="22">
        <f>IFERROR(Calculations!$X$286,"")</f>
        <v>0</v>
      </c>
      <c r="F71" s="22">
        <f>IFERROR(Calculations!$Y$286,"")</f>
        <v>0</v>
      </c>
      <c r="G71" s="22">
        <f>IFERROR(Calculations!$Z$286,"")</f>
        <v>0</v>
      </c>
      <c r="H71" s="22">
        <f>IFERROR(Calculations!$AA$286,"")</f>
        <v>0</v>
      </c>
      <c r="I71" s="22">
        <f>IFERROR(Calculations!$AB$286,"")</f>
        <v>0</v>
      </c>
      <c r="J71" s="22">
        <f>IFERROR(Calculations!$AC$286,"")</f>
        <v>0</v>
      </c>
      <c r="K71" s="22">
        <f>IFERROR(Calculations!$AD$286,"")</f>
        <v>0</v>
      </c>
      <c r="L71" s="22">
        <f>IFERROR(Calculations!$AE$286,"")</f>
        <v>0</v>
      </c>
      <c r="M71" s="22">
        <f>IFERROR(Calculations!$AF$286,"")</f>
        <v>0</v>
      </c>
      <c r="N71" s="22">
        <f>IFERROR(Calculations!$AG$286,"")</f>
        <v>0</v>
      </c>
      <c r="O71" s="22">
        <f>IFERROR(Calculations!$AH$286,"")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47:S47"/>
    <mergeCell ref="B64:S64"/>
  </mergeCells>
  <conditionalFormatting sqref="C37:H44">
    <cfRule type="colorScale" priority="1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conditionalFormatting sqref="C49:C58">
    <cfRule type="dataBar" priority="2">
      <dataBar>
        <cfvo type="min" val="0"/>
        <cfvo type="max" val="0"/>
        <color rgb="FF0B6EA8"/>
      </dataBar>
    </cfRule>
  </conditionalFormatting>
  <conditionalFormatting sqref="C67:N67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2056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2057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2060</v>
      </c>
      <c r="O13" s="35"/>
      <c r="P13" s="35"/>
      <c r="Q13" s="35"/>
    </row>
    <row r="14" spans="2:19">
      <c r="B14" s="37">
        <f>Calculations!$N$307</f>
        <v>0</v>
      </c>
      <c r="C14" s="37"/>
      <c r="D14" s="37"/>
      <c r="E14" s="37"/>
      <c r="F14" s="38">
        <f>Calculations!$N$308</f>
        <v>0</v>
      </c>
      <c r="G14" s="38"/>
      <c r="H14" s="38"/>
      <c r="I14" s="38"/>
      <c r="J14" s="37">
        <f>Calculations!$N$309</f>
        <v>0</v>
      </c>
      <c r="K14" s="37"/>
      <c r="L14" s="37"/>
      <c r="M14" s="37"/>
      <c r="N14" s="37">
        <f>Calculations!$N$310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2061</v>
      </c>
      <c r="C19" s="35"/>
      <c r="D19" s="35"/>
      <c r="E19" s="35"/>
    </row>
    <row r="20" spans="2:19">
      <c r="B20" s="37">
        <f>Calculations!$N$311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2048</v>
      </c>
      <c r="C22" s="39"/>
      <c r="D22" s="39"/>
      <c r="E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IFERROR(Calculations!$P$307,"")</f>
        <v>0</v>
      </c>
      <c r="C43" s="22">
        <f>IFERROR(Calculations!$Q$307,"")</f>
        <v>0</v>
      </c>
      <c r="D43" s="23">
        <f>IFERROR(Calculations!$R$307,"")</f>
        <v>0</v>
      </c>
      <c r="E43" s="22">
        <f>IFERROR(Calculations!$S$307,"")</f>
        <v>0</v>
      </c>
    </row>
    <row r="44" spans="2:19">
      <c r="B44" s="12">
        <f>IFERROR(Calculations!$P$308,"")</f>
        <v>0</v>
      </c>
      <c r="C44" s="22">
        <f>IFERROR(Calculations!$Q$308,"")</f>
        <v>0</v>
      </c>
      <c r="D44" s="23">
        <f>IFERROR(Calculations!$R$308,"")</f>
        <v>0</v>
      </c>
      <c r="E44" s="22">
        <f>IFERROR(Calculations!$S$308,"")</f>
        <v>0</v>
      </c>
    </row>
    <row r="45" spans="2:19">
      <c r="B45" s="12">
        <f>IFERROR(Calculations!$P$309,"")</f>
        <v>0</v>
      </c>
      <c r="C45" s="22">
        <f>IFERROR(Calculations!$Q$309,"")</f>
        <v>0</v>
      </c>
      <c r="D45" s="23">
        <f>IFERROR(Calculations!$R$309,"")</f>
        <v>0</v>
      </c>
      <c r="E45" s="22">
        <f>IFERROR(Calculations!$S$309,"")</f>
        <v>0</v>
      </c>
    </row>
    <row r="46" spans="2:19">
      <c r="B46" s="12">
        <f>IFERROR(Calculations!$P$310,"")</f>
        <v>0</v>
      </c>
      <c r="C46" s="22">
        <f>IFERROR(Calculations!$Q$310,"")</f>
        <v>0</v>
      </c>
      <c r="D46" s="23">
        <f>IFERROR(Calculations!$R$310,"")</f>
        <v>0</v>
      </c>
      <c r="E46" s="22">
        <f>IFERROR(Calculations!$S$310,"")</f>
        <v>0</v>
      </c>
    </row>
    <row r="47" spans="2:19">
      <c r="B47" s="12">
        <f>IFERROR(Calculations!$P$311,"")</f>
        <v>0</v>
      </c>
      <c r="C47" s="22">
        <f>IFERROR(Calculations!$Q$311,"")</f>
        <v>0</v>
      </c>
      <c r="D47" s="23">
        <f>IFERROR(Calculations!$R$311,"")</f>
        <v>0</v>
      </c>
      <c r="E47" s="22">
        <f>IFERROR(Calculations!$S$311,"")</f>
        <v>0</v>
      </c>
    </row>
    <row r="48" spans="2:19">
      <c r="B48" s="12">
        <f>IFERROR(Calculations!$P$312,"")</f>
        <v>0</v>
      </c>
      <c r="C48" s="22">
        <f>IFERROR(Calculations!$Q$312,"")</f>
        <v>0</v>
      </c>
      <c r="D48" s="23">
        <f>IFERROR(Calculations!$R$312,"")</f>
        <v>0</v>
      </c>
      <c r="E48" s="22">
        <f>IFERROR(Calculations!$S$312,"")</f>
        <v>0</v>
      </c>
    </row>
    <row r="49" spans="2:19">
      <c r="B49" s="12">
        <f>IFERROR(Calculations!$P$313,"")</f>
        <v>0</v>
      </c>
      <c r="C49" s="22">
        <f>IFERROR(Calculations!$Q$313,"")</f>
        <v>0</v>
      </c>
      <c r="D49" s="23">
        <f>IFERROR(Calculations!$R$313,"")</f>
        <v>0</v>
      </c>
      <c r="E49" s="22">
        <f>IFERROR(Calculations!$S$313,"")</f>
        <v>0</v>
      </c>
    </row>
    <row r="50" spans="2:19">
      <c r="B50" s="12">
        <f>IFERROR(Calculations!$P$314,"")</f>
        <v>0</v>
      </c>
      <c r="C50" s="22">
        <f>IFERROR(Calculations!$Q$314,"")</f>
        <v>0</v>
      </c>
      <c r="D50" s="23">
        <f>IFERROR(Calculations!$R$314,"")</f>
        <v>0</v>
      </c>
      <c r="E50" s="22">
        <f>IFERROR(Calculations!$S$314,"")</f>
        <v>0</v>
      </c>
    </row>
    <row r="51" spans="2:19">
      <c r="B51" s="12">
        <f>IFERROR(Calculations!$P$315,"")</f>
        <v>0</v>
      </c>
      <c r="C51" s="22">
        <f>IFERROR(Calculations!$Q$315,"")</f>
        <v>0</v>
      </c>
      <c r="D51" s="23">
        <f>IFERROR(Calculations!$R$315,"")</f>
        <v>0</v>
      </c>
      <c r="E51" s="22">
        <f>IFERROR(Calculations!$S$315,"")</f>
        <v>0</v>
      </c>
    </row>
    <row r="52" spans="2:19">
      <c r="B52" s="12">
        <f>IFERROR(Calculations!$P$316,"")</f>
        <v>0</v>
      </c>
      <c r="C52" s="22">
        <f>IFERROR(Calculations!$Q$316,"")</f>
        <v>0</v>
      </c>
      <c r="D52" s="23">
        <f>IFERROR(Calculations!$R$316,"")</f>
        <v>0</v>
      </c>
      <c r="E52" s="22">
        <f>IFERROR(Calculations!$S$316,"")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IF(Calculations!$U$307="","",Calculations!$U$307)</f>
        <v>0</v>
      </c>
      <c r="C60" s="22">
        <f>IFERROR(Calculations!$V$307,"")</f>
        <v>0</v>
      </c>
      <c r="D60" s="22">
        <f>IFERROR(Calculations!$W$307,"")</f>
        <v>0</v>
      </c>
      <c r="E60" s="22">
        <f>IFERROR(Calculations!$X$307,"")</f>
        <v>0</v>
      </c>
      <c r="F60" s="22">
        <f>IFERROR(Calculations!$Y$307,"")</f>
        <v>0</v>
      </c>
      <c r="G60" s="22">
        <f>IFERROR(Calculations!$Z$307,"")</f>
        <v>0</v>
      </c>
      <c r="H60" s="22">
        <f>IFERROR(Calculations!$AA$307,"")</f>
        <v>0</v>
      </c>
      <c r="I60" s="22">
        <f>IFERROR(Calculations!$AB$307,"")</f>
        <v>0</v>
      </c>
      <c r="J60" s="22">
        <f>IFERROR(Calculations!$AC$307,"")</f>
        <v>0</v>
      </c>
      <c r="K60" s="22">
        <f>IFERROR(Calculations!$AD$307,"")</f>
        <v>0</v>
      </c>
      <c r="L60" s="22">
        <f>IFERROR(Calculations!$AE$307,"")</f>
        <v>0</v>
      </c>
      <c r="M60" s="22">
        <f>IFERROR(Calculations!$AF$307,"")</f>
        <v>0</v>
      </c>
      <c r="N60" s="22">
        <f>IFERROR(Calculations!$AG$307,"")</f>
        <v>0</v>
      </c>
      <c r="O60" s="22">
        <f>IFERROR(Calculations!$AH$307,"")</f>
        <v>0</v>
      </c>
    </row>
    <row r="61" spans="2:19">
      <c r="B61" s="12">
        <f>IF(Calculations!$U$308="","",Calculations!$U$308)</f>
        <v>0</v>
      </c>
      <c r="C61" s="22">
        <f>IFERROR(Calculations!$V$308,"")</f>
        <v>0</v>
      </c>
      <c r="D61" s="22">
        <f>IFERROR(Calculations!$W$308,"")</f>
        <v>0</v>
      </c>
      <c r="E61" s="22">
        <f>IFERROR(Calculations!$X$308,"")</f>
        <v>0</v>
      </c>
      <c r="F61" s="22">
        <f>IFERROR(Calculations!$Y$308,"")</f>
        <v>0</v>
      </c>
      <c r="G61" s="22">
        <f>IFERROR(Calculations!$Z$308,"")</f>
        <v>0</v>
      </c>
      <c r="H61" s="22">
        <f>IFERROR(Calculations!$AA$308,"")</f>
        <v>0</v>
      </c>
      <c r="I61" s="22">
        <f>IFERROR(Calculations!$AB$308,"")</f>
        <v>0</v>
      </c>
      <c r="J61" s="22">
        <f>IFERROR(Calculations!$AC$308,"")</f>
        <v>0</v>
      </c>
      <c r="K61" s="22">
        <f>IFERROR(Calculations!$AD$308,"")</f>
        <v>0</v>
      </c>
      <c r="L61" s="22">
        <f>IFERROR(Calculations!$AE$308,"")</f>
        <v>0</v>
      </c>
      <c r="M61" s="22">
        <f>IFERROR(Calculations!$AF$308,"")</f>
        <v>0</v>
      </c>
      <c r="N61" s="22">
        <f>IFERROR(Calculations!$AG$308,"")</f>
        <v>0</v>
      </c>
      <c r="O61" s="22">
        <f>IFERROR(Calculations!$AH$308,"")</f>
        <v>0</v>
      </c>
    </row>
    <row r="62" spans="2:19">
      <c r="B62" s="12">
        <f>IF(Calculations!$U$309="","",Calculations!$U$309)</f>
        <v>0</v>
      </c>
      <c r="C62" s="22">
        <f>IFERROR(Calculations!$V$309,"")</f>
        <v>0</v>
      </c>
      <c r="D62" s="22">
        <f>IFERROR(Calculations!$W$309,"")</f>
        <v>0</v>
      </c>
      <c r="E62" s="22">
        <f>IFERROR(Calculations!$X$309,"")</f>
        <v>0</v>
      </c>
      <c r="F62" s="22">
        <f>IFERROR(Calculations!$Y$309,"")</f>
        <v>0</v>
      </c>
      <c r="G62" s="22">
        <f>IFERROR(Calculations!$Z$309,"")</f>
        <v>0</v>
      </c>
      <c r="H62" s="22">
        <f>IFERROR(Calculations!$AA$309,"")</f>
        <v>0</v>
      </c>
      <c r="I62" s="22">
        <f>IFERROR(Calculations!$AB$309,"")</f>
        <v>0</v>
      </c>
      <c r="J62" s="22">
        <f>IFERROR(Calculations!$AC$309,"")</f>
        <v>0</v>
      </c>
      <c r="K62" s="22">
        <f>IFERROR(Calculations!$AD$309,"")</f>
        <v>0</v>
      </c>
      <c r="L62" s="22">
        <f>IFERROR(Calculations!$AE$309,"")</f>
        <v>0</v>
      </c>
      <c r="M62" s="22">
        <f>IFERROR(Calculations!$AF$309,"")</f>
        <v>0</v>
      </c>
      <c r="N62" s="22">
        <f>IFERROR(Calculations!$AG$309,"")</f>
        <v>0</v>
      </c>
      <c r="O62" s="22">
        <f>IFERROR(Calculations!$AH$309,"")</f>
        <v>0</v>
      </c>
    </row>
    <row r="63" spans="2:19">
      <c r="B63" s="12">
        <f>IF(Calculations!$U$310="","",Calculations!$U$310)</f>
        <v>0</v>
      </c>
      <c r="C63" s="22">
        <f>IFERROR(Calculations!$V$310,"")</f>
        <v>0</v>
      </c>
      <c r="D63" s="22">
        <f>IFERROR(Calculations!$W$310,"")</f>
        <v>0</v>
      </c>
      <c r="E63" s="22">
        <f>IFERROR(Calculations!$X$310,"")</f>
        <v>0</v>
      </c>
      <c r="F63" s="22">
        <f>IFERROR(Calculations!$Y$310,"")</f>
        <v>0</v>
      </c>
      <c r="G63" s="22">
        <f>IFERROR(Calculations!$Z$310,"")</f>
        <v>0</v>
      </c>
      <c r="H63" s="22">
        <f>IFERROR(Calculations!$AA$310,"")</f>
        <v>0</v>
      </c>
      <c r="I63" s="22">
        <f>IFERROR(Calculations!$AB$310,"")</f>
        <v>0</v>
      </c>
      <c r="J63" s="22">
        <f>IFERROR(Calculations!$AC$310,"")</f>
        <v>0</v>
      </c>
      <c r="K63" s="22">
        <f>IFERROR(Calculations!$AD$310,"")</f>
        <v>0</v>
      </c>
      <c r="L63" s="22">
        <f>IFERROR(Calculations!$AE$310,"")</f>
        <v>0</v>
      </c>
      <c r="M63" s="22">
        <f>IFERROR(Calculations!$AF$310,"")</f>
        <v>0</v>
      </c>
      <c r="N63" s="22">
        <f>IFERROR(Calculations!$AG$310,"")</f>
        <v>0</v>
      </c>
      <c r="O63" s="22">
        <f>IFERROR(Calculations!$AH$310,"")</f>
        <v>0</v>
      </c>
    </row>
    <row r="64" spans="2:19">
      <c r="B64" s="12">
        <f>IF(Calculations!$U$311="","",Calculations!$U$311)</f>
        <v>0</v>
      </c>
      <c r="C64" s="22">
        <f>IFERROR(Calculations!$V$311,"")</f>
        <v>0</v>
      </c>
      <c r="D64" s="22">
        <f>IFERROR(Calculations!$W$311,"")</f>
        <v>0</v>
      </c>
      <c r="E64" s="22">
        <f>IFERROR(Calculations!$X$311,"")</f>
        <v>0</v>
      </c>
      <c r="F64" s="22">
        <f>IFERROR(Calculations!$Y$311,"")</f>
        <v>0</v>
      </c>
      <c r="G64" s="22">
        <f>IFERROR(Calculations!$Z$311,"")</f>
        <v>0</v>
      </c>
      <c r="H64" s="22">
        <f>IFERROR(Calculations!$AA$311,"")</f>
        <v>0</v>
      </c>
      <c r="I64" s="22">
        <f>IFERROR(Calculations!$AB$311,"")</f>
        <v>0</v>
      </c>
      <c r="J64" s="22">
        <f>IFERROR(Calculations!$AC$311,"")</f>
        <v>0</v>
      </c>
      <c r="K64" s="22">
        <f>IFERROR(Calculations!$AD$311,"")</f>
        <v>0</v>
      </c>
      <c r="L64" s="22">
        <f>IFERROR(Calculations!$AE$311,"")</f>
        <v>0</v>
      </c>
      <c r="M64" s="22">
        <f>IFERROR(Calculations!$AF$311,"")</f>
        <v>0</v>
      </c>
      <c r="N64" s="22">
        <f>IFERROR(Calculations!$AG$311,"")</f>
        <v>0</v>
      </c>
      <c r="O64" s="22">
        <f>IFERROR(Calculations!$AH$311,"")</f>
        <v>0</v>
      </c>
    </row>
    <row r="65" spans="2:15">
      <c r="B65" s="12">
        <f>IF(Calculations!$U$312="","",Calculations!$U$312)</f>
        <v>0</v>
      </c>
      <c r="C65" s="22">
        <f>IFERROR(Calculations!$V$312,"")</f>
        <v>0</v>
      </c>
      <c r="D65" s="22">
        <f>IFERROR(Calculations!$W$312,"")</f>
        <v>0</v>
      </c>
      <c r="E65" s="22">
        <f>IFERROR(Calculations!$X$312,"")</f>
        <v>0</v>
      </c>
      <c r="F65" s="22">
        <f>IFERROR(Calculations!$Y$312,"")</f>
        <v>0</v>
      </c>
      <c r="G65" s="22">
        <f>IFERROR(Calculations!$Z$312,"")</f>
        <v>0</v>
      </c>
      <c r="H65" s="22">
        <f>IFERROR(Calculations!$AA$312,"")</f>
        <v>0</v>
      </c>
      <c r="I65" s="22">
        <f>IFERROR(Calculations!$AB$312,"")</f>
        <v>0</v>
      </c>
      <c r="J65" s="22">
        <f>IFERROR(Calculations!$AC$312,"")</f>
        <v>0</v>
      </c>
      <c r="K65" s="22">
        <f>IFERROR(Calculations!$AD$312,"")</f>
        <v>0</v>
      </c>
      <c r="L65" s="22">
        <f>IFERROR(Calculations!$AE$312,"")</f>
        <v>0</v>
      </c>
      <c r="M65" s="22">
        <f>IFERROR(Calculations!$AF$312,"")</f>
        <v>0</v>
      </c>
      <c r="N65" s="22">
        <f>IFERROR(Calculations!$AG$312,"")</f>
        <v>0</v>
      </c>
      <c r="O65" s="22">
        <f>IFERROR(Calculations!$AH$312,"")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2062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2063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Calculations!$N$333</f>
        <v>0</v>
      </c>
      <c r="C14" s="37"/>
      <c r="D14" s="37"/>
      <c r="E14" s="37"/>
      <c r="F14" s="38">
        <f>Calculations!$N$334</f>
        <v>0</v>
      </c>
      <c r="G14" s="38"/>
      <c r="H14" s="38"/>
      <c r="I14" s="38"/>
      <c r="J14" s="37">
        <f>Calculations!$N$335</f>
        <v>0</v>
      </c>
      <c r="K14" s="37"/>
      <c r="L14" s="37"/>
      <c r="M14" s="37"/>
      <c r="N14" s="37">
        <f>Calculations!$N$336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2049</v>
      </c>
      <c r="C19" s="35"/>
      <c r="D19" s="35"/>
      <c r="E19" s="35"/>
      <c r="F19" s="35" t="s">
        <v>2065</v>
      </c>
      <c r="G19" s="35"/>
      <c r="H19" s="35"/>
      <c r="I19" s="35"/>
      <c r="J19" s="35" t="s">
        <v>2066</v>
      </c>
      <c r="K19" s="35"/>
      <c r="L19" s="35"/>
      <c r="M19" s="35"/>
      <c r="N19" s="35" t="s">
        <v>2067</v>
      </c>
      <c r="O19" s="35"/>
      <c r="P19" s="35"/>
      <c r="Q19" s="35"/>
    </row>
    <row r="20" spans="2:19">
      <c r="B20" s="38">
        <f>Calculations!$N$337</f>
        <v>0</v>
      </c>
      <c r="C20" s="38"/>
      <c r="D20" s="38"/>
      <c r="E20" s="38"/>
      <c r="F20" s="37">
        <f>Calculations!$N$338</f>
        <v>0</v>
      </c>
      <c r="G20" s="37"/>
      <c r="H20" s="37"/>
      <c r="I20" s="37"/>
      <c r="J20" s="37">
        <f>Calculations!$N$339</f>
        <v>0</v>
      </c>
      <c r="K20" s="37"/>
      <c r="L20" s="37"/>
      <c r="M20" s="37"/>
      <c r="N20" s="37">
        <f>Calculations!$N$340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  <c r="N22" s="39" t="s">
        <v>2048</v>
      </c>
      <c r="O22" s="39"/>
      <c r="P22" s="39"/>
      <c r="Q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1869</v>
      </c>
    </row>
    <row r="43" spans="2:19">
      <c r="B43" s="12">
        <f>IFERROR(Calculations!$P$333,"")</f>
        <v>0</v>
      </c>
      <c r="C43" s="22">
        <f>IFERROR(Calculations!$Q$333,"")</f>
        <v>0</v>
      </c>
      <c r="D43" s="23">
        <f>IFERROR(Calculations!$R$333,"")</f>
        <v>0</v>
      </c>
      <c r="E43" s="23">
        <f>IFERROR(Calculations!$S$333,"")</f>
        <v>0</v>
      </c>
    </row>
    <row r="44" spans="2:19">
      <c r="B44" s="12">
        <f>IFERROR(Calculations!$P$334,"")</f>
        <v>0</v>
      </c>
      <c r="C44" s="22">
        <f>IFERROR(Calculations!$Q$334,"")</f>
        <v>0</v>
      </c>
      <c r="D44" s="23">
        <f>IFERROR(Calculations!$R$334,"")</f>
        <v>0</v>
      </c>
      <c r="E44" s="23">
        <f>IFERROR(Calculations!$S$334,"")</f>
        <v>0</v>
      </c>
    </row>
    <row r="45" spans="2:19">
      <c r="B45" s="12">
        <f>IFERROR(Calculations!$P$335,"")</f>
        <v>0</v>
      </c>
      <c r="C45" s="22">
        <f>IFERROR(Calculations!$Q$335,"")</f>
        <v>0</v>
      </c>
      <c r="D45" s="23">
        <f>IFERROR(Calculations!$R$335,"")</f>
        <v>0</v>
      </c>
      <c r="E45" s="23">
        <f>IFERROR(Calculations!$S$335,"")</f>
        <v>0</v>
      </c>
    </row>
    <row r="46" spans="2:19">
      <c r="B46" s="12">
        <f>IFERROR(Calculations!$P$336,"")</f>
        <v>0</v>
      </c>
      <c r="C46" s="22">
        <f>IFERROR(Calculations!$Q$336,"")</f>
        <v>0</v>
      </c>
      <c r="D46" s="23">
        <f>IFERROR(Calculations!$R$336,"")</f>
        <v>0</v>
      </c>
      <c r="E46" s="23">
        <f>IFERROR(Calculations!$S$336,"")</f>
        <v>0</v>
      </c>
    </row>
    <row r="47" spans="2:19">
      <c r="B47" s="12">
        <f>IFERROR(Calculations!$P$337,"")</f>
        <v>0</v>
      </c>
      <c r="C47" s="22">
        <f>IFERROR(Calculations!$Q$337,"")</f>
        <v>0</v>
      </c>
      <c r="D47" s="23">
        <f>IFERROR(Calculations!$R$337,"")</f>
        <v>0</v>
      </c>
      <c r="E47" s="23">
        <f>IFERROR(Calculations!$S$337,"")</f>
        <v>0</v>
      </c>
    </row>
    <row r="48" spans="2:19">
      <c r="B48" s="12">
        <f>IFERROR(Calculations!$P$338,"")</f>
        <v>0</v>
      </c>
      <c r="C48" s="22">
        <f>IFERROR(Calculations!$Q$338,"")</f>
        <v>0</v>
      </c>
      <c r="D48" s="23">
        <f>IFERROR(Calculations!$R$338,"")</f>
        <v>0</v>
      </c>
      <c r="E48" s="23">
        <f>IFERROR(Calculations!$S$338,"")</f>
        <v>0</v>
      </c>
    </row>
    <row r="49" spans="2:19">
      <c r="B49" s="12">
        <f>IFERROR(Calculations!$P$339,"")</f>
        <v>0</v>
      </c>
      <c r="C49" s="22">
        <f>IFERROR(Calculations!$Q$339,"")</f>
        <v>0</v>
      </c>
      <c r="D49" s="23">
        <f>IFERROR(Calculations!$R$339,"")</f>
        <v>0</v>
      </c>
      <c r="E49" s="23">
        <f>IFERROR(Calculations!$S$339,"")</f>
        <v>0</v>
      </c>
    </row>
    <row r="50" spans="2:19">
      <c r="B50" s="12">
        <f>IFERROR(Calculations!$P$340,"")</f>
        <v>0</v>
      </c>
      <c r="C50" s="22">
        <f>IFERROR(Calculations!$Q$340,"")</f>
        <v>0</v>
      </c>
      <c r="D50" s="23">
        <f>IFERROR(Calculations!$R$340,"")</f>
        <v>0</v>
      </c>
      <c r="E50" s="23">
        <f>IFERROR(Calculations!$S$340,"")</f>
        <v>0</v>
      </c>
    </row>
    <row r="51" spans="2:19">
      <c r="B51" s="12">
        <f>IFERROR(Calculations!$P$341,"")</f>
        <v>0</v>
      </c>
      <c r="C51" s="22">
        <f>IFERROR(Calculations!$Q$341,"")</f>
        <v>0</v>
      </c>
      <c r="D51" s="23">
        <f>IFERROR(Calculations!$R$341,"")</f>
        <v>0</v>
      </c>
      <c r="E51" s="23">
        <f>IFERROR(Calculations!$S$341,"")</f>
        <v>0</v>
      </c>
    </row>
    <row r="52" spans="2:19">
      <c r="B52" s="12">
        <f>IFERROR(Calculations!$P$342,"")</f>
        <v>0</v>
      </c>
      <c r="C52" s="22">
        <f>IFERROR(Calculations!$Q$342,"")</f>
        <v>0</v>
      </c>
      <c r="D52" s="23">
        <f>IFERROR(Calculations!$R$342,"")</f>
        <v>0</v>
      </c>
      <c r="E52" s="23">
        <f>IFERROR(Calculations!$S$342,"")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IF(Calculations!$U$333="","",Calculations!$U$333)</f>
        <v>0</v>
      </c>
      <c r="C60" s="22">
        <f>IFERROR(Calculations!$V$333,"")</f>
        <v>0</v>
      </c>
      <c r="D60" s="22">
        <f>IFERROR(Calculations!$W$333,"")</f>
        <v>0</v>
      </c>
      <c r="E60" s="22">
        <f>IFERROR(Calculations!$X$333,"")</f>
        <v>0</v>
      </c>
      <c r="F60" s="22">
        <f>IFERROR(Calculations!$Y$333,"")</f>
        <v>0</v>
      </c>
      <c r="G60" s="22">
        <f>IFERROR(Calculations!$Z$333,"")</f>
        <v>0</v>
      </c>
      <c r="H60" s="22">
        <f>IFERROR(Calculations!$AA$333,"")</f>
        <v>0</v>
      </c>
      <c r="I60" s="22">
        <f>IFERROR(Calculations!$AB$333,"")</f>
        <v>0</v>
      </c>
      <c r="J60" s="22">
        <f>IFERROR(Calculations!$AC$333,"")</f>
        <v>0</v>
      </c>
      <c r="K60" s="22">
        <f>IFERROR(Calculations!$AD$333,"")</f>
        <v>0</v>
      </c>
      <c r="L60" s="22">
        <f>IFERROR(Calculations!$AE$333,"")</f>
        <v>0</v>
      </c>
      <c r="M60" s="22">
        <f>IFERROR(Calculations!$AF$333,"")</f>
        <v>0</v>
      </c>
      <c r="N60" s="22">
        <f>IFERROR(Calculations!$AG$333,"")</f>
        <v>0</v>
      </c>
      <c r="O60" s="22">
        <f>IFERROR(Calculations!$AH$333,"")</f>
        <v>0</v>
      </c>
    </row>
    <row r="61" spans="2:19">
      <c r="B61" s="12">
        <f>IF(Calculations!$U$334="","",Calculations!$U$334)</f>
        <v>0</v>
      </c>
      <c r="C61" s="22">
        <f>IFERROR(Calculations!$V$334,"")</f>
        <v>0</v>
      </c>
      <c r="D61" s="22">
        <f>IFERROR(Calculations!$W$334,"")</f>
        <v>0</v>
      </c>
      <c r="E61" s="22">
        <f>IFERROR(Calculations!$X$334,"")</f>
        <v>0</v>
      </c>
      <c r="F61" s="22">
        <f>IFERROR(Calculations!$Y$334,"")</f>
        <v>0</v>
      </c>
      <c r="G61" s="22">
        <f>IFERROR(Calculations!$Z$334,"")</f>
        <v>0</v>
      </c>
      <c r="H61" s="22">
        <f>IFERROR(Calculations!$AA$334,"")</f>
        <v>0</v>
      </c>
      <c r="I61" s="22">
        <f>IFERROR(Calculations!$AB$334,"")</f>
        <v>0</v>
      </c>
      <c r="J61" s="22">
        <f>IFERROR(Calculations!$AC$334,"")</f>
        <v>0</v>
      </c>
      <c r="K61" s="22">
        <f>IFERROR(Calculations!$AD$334,"")</f>
        <v>0</v>
      </c>
      <c r="L61" s="22">
        <f>IFERROR(Calculations!$AE$334,"")</f>
        <v>0</v>
      </c>
      <c r="M61" s="22">
        <f>IFERROR(Calculations!$AF$334,"")</f>
        <v>0</v>
      </c>
      <c r="N61" s="22">
        <f>IFERROR(Calculations!$AG$334,"")</f>
        <v>0</v>
      </c>
      <c r="O61" s="22">
        <f>IFERROR(Calculations!$AH$334,"")</f>
        <v>0</v>
      </c>
    </row>
    <row r="62" spans="2:19">
      <c r="B62" s="12">
        <f>IF(Calculations!$U$335="","",Calculations!$U$335)</f>
        <v>0</v>
      </c>
      <c r="C62" s="22">
        <f>IFERROR(Calculations!$V$335,"")</f>
        <v>0</v>
      </c>
      <c r="D62" s="22">
        <f>IFERROR(Calculations!$W$335,"")</f>
        <v>0</v>
      </c>
      <c r="E62" s="22">
        <f>IFERROR(Calculations!$X$335,"")</f>
        <v>0</v>
      </c>
      <c r="F62" s="22">
        <f>IFERROR(Calculations!$Y$335,"")</f>
        <v>0</v>
      </c>
      <c r="G62" s="22">
        <f>IFERROR(Calculations!$Z$335,"")</f>
        <v>0</v>
      </c>
      <c r="H62" s="22">
        <f>IFERROR(Calculations!$AA$335,"")</f>
        <v>0</v>
      </c>
      <c r="I62" s="22">
        <f>IFERROR(Calculations!$AB$335,"")</f>
        <v>0</v>
      </c>
      <c r="J62" s="22">
        <f>IFERROR(Calculations!$AC$335,"")</f>
        <v>0</v>
      </c>
      <c r="K62" s="22">
        <f>IFERROR(Calculations!$AD$335,"")</f>
        <v>0</v>
      </c>
      <c r="L62" s="22">
        <f>IFERROR(Calculations!$AE$335,"")</f>
        <v>0</v>
      </c>
      <c r="M62" s="22">
        <f>IFERROR(Calculations!$AF$335,"")</f>
        <v>0</v>
      </c>
      <c r="N62" s="22">
        <f>IFERROR(Calculations!$AG$335,"")</f>
        <v>0</v>
      </c>
      <c r="O62" s="22">
        <f>IFERROR(Calculations!$AH$335,"")</f>
        <v>0</v>
      </c>
    </row>
    <row r="63" spans="2:19">
      <c r="B63" s="12">
        <f>IF(Calculations!$U$336="","",Calculations!$U$336)</f>
        <v>0</v>
      </c>
      <c r="C63" s="22">
        <f>IFERROR(Calculations!$V$336,"")</f>
        <v>0</v>
      </c>
      <c r="D63" s="22">
        <f>IFERROR(Calculations!$W$336,"")</f>
        <v>0</v>
      </c>
      <c r="E63" s="22">
        <f>IFERROR(Calculations!$X$336,"")</f>
        <v>0</v>
      </c>
      <c r="F63" s="22">
        <f>IFERROR(Calculations!$Y$336,"")</f>
        <v>0</v>
      </c>
      <c r="G63" s="22">
        <f>IFERROR(Calculations!$Z$336,"")</f>
        <v>0</v>
      </c>
      <c r="H63" s="22">
        <f>IFERROR(Calculations!$AA$336,"")</f>
        <v>0</v>
      </c>
      <c r="I63" s="22">
        <f>IFERROR(Calculations!$AB$336,"")</f>
        <v>0</v>
      </c>
      <c r="J63" s="22">
        <f>IFERROR(Calculations!$AC$336,"")</f>
        <v>0</v>
      </c>
      <c r="K63" s="22">
        <f>IFERROR(Calculations!$AD$336,"")</f>
        <v>0</v>
      </c>
      <c r="L63" s="22">
        <f>IFERROR(Calculations!$AE$336,"")</f>
        <v>0</v>
      </c>
      <c r="M63" s="22">
        <f>IFERROR(Calculations!$AF$336,"")</f>
        <v>0</v>
      </c>
      <c r="N63" s="22">
        <f>IFERROR(Calculations!$AG$336,"")</f>
        <v>0</v>
      </c>
      <c r="O63" s="22">
        <f>IFERROR(Calculations!$AH$336,"")</f>
        <v>0</v>
      </c>
    </row>
    <row r="64" spans="2:19">
      <c r="B64" s="12">
        <f>IF(Calculations!$U$337="","",Calculations!$U$337)</f>
        <v>0</v>
      </c>
      <c r="C64" s="22">
        <f>IFERROR(Calculations!$V$337,"")</f>
        <v>0</v>
      </c>
      <c r="D64" s="22">
        <f>IFERROR(Calculations!$W$337,"")</f>
        <v>0</v>
      </c>
      <c r="E64" s="22">
        <f>IFERROR(Calculations!$X$337,"")</f>
        <v>0</v>
      </c>
      <c r="F64" s="22">
        <f>IFERROR(Calculations!$Y$337,"")</f>
        <v>0</v>
      </c>
      <c r="G64" s="22">
        <f>IFERROR(Calculations!$Z$337,"")</f>
        <v>0</v>
      </c>
      <c r="H64" s="22">
        <f>IFERROR(Calculations!$AA$337,"")</f>
        <v>0</v>
      </c>
      <c r="I64" s="22">
        <f>IFERROR(Calculations!$AB$337,"")</f>
        <v>0</v>
      </c>
      <c r="J64" s="22">
        <f>IFERROR(Calculations!$AC$337,"")</f>
        <v>0</v>
      </c>
      <c r="K64" s="22">
        <f>IFERROR(Calculations!$AD$337,"")</f>
        <v>0</v>
      </c>
      <c r="L64" s="22">
        <f>IFERROR(Calculations!$AE$337,"")</f>
        <v>0</v>
      </c>
      <c r="M64" s="22">
        <f>IFERROR(Calculations!$AF$337,"")</f>
        <v>0</v>
      </c>
      <c r="N64" s="22">
        <f>IFERROR(Calculations!$AG$337,"")</f>
        <v>0</v>
      </c>
      <c r="O64" s="22">
        <f>IFERROR(Calculations!$AH$337,"")</f>
        <v>0</v>
      </c>
    </row>
    <row r="65" spans="2:15">
      <c r="B65" s="12">
        <f>IF(Calculations!$U$338="","",Calculations!$U$338)</f>
        <v>0</v>
      </c>
      <c r="C65" s="22">
        <f>IFERROR(Calculations!$V$338,"")</f>
        <v>0</v>
      </c>
      <c r="D65" s="22">
        <f>IFERROR(Calculations!$W$338,"")</f>
        <v>0</v>
      </c>
      <c r="E65" s="22">
        <f>IFERROR(Calculations!$X$338,"")</f>
        <v>0</v>
      </c>
      <c r="F65" s="22">
        <f>IFERROR(Calculations!$Y$338,"")</f>
        <v>0</v>
      </c>
      <c r="G65" s="22">
        <f>IFERROR(Calculations!$Z$338,"")</f>
        <v>0</v>
      </c>
      <c r="H65" s="22">
        <f>IFERROR(Calculations!$AA$338,"")</f>
        <v>0</v>
      </c>
      <c r="I65" s="22">
        <f>IFERROR(Calculations!$AB$338,"")</f>
        <v>0</v>
      </c>
      <c r="J65" s="22">
        <f>IFERROR(Calculations!$AC$338,"")</f>
        <v>0</v>
      </c>
      <c r="K65" s="22">
        <f>IFERROR(Calculations!$AD$338,"")</f>
        <v>0</v>
      </c>
      <c r="L65" s="22">
        <f>IFERROR(Calculations!$AE$338,"")</f>
        <v>0</v>
      </c>
      <c r="M65" s="22">
        <f>IFERROR(Calculations!$AF$338,"")</f>
        <v>0</v>
      </c>
      <c r="N65" s="22">
        <f>IFERROR(Calculations!$AG$338,"")</f>
        <v>0</v>
      </c>
      <c r="O65" s="22">
        <f>IFERROR(Calculations!$AH$338,"")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2068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2069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Calculations!$N$359</f>
        <v>0</v>
      </c>
      <c r="C14" s="37"/>
      <c r="D14" s="37"/>
      <c r="E14" s="37"/>
      <c r="F14" s="38">
        <f>Calculations!$N$360</f>
        <v>0</v>
      </c>
      <c r="G14" s="38"/>
      <c r="H14" s="38"/>
      <c r="I14" s="38"/>
      <c r="J14" s="37">
        <f>Calculations!$N$361</f>
        <v>0</v>
      </c>
      <c r="K14" s="37"/>
      <c r="L14" s="37"/>
      <c r="M14" s="37"/>
      <c r="N14" s="37">
        <f>Calculations!$N$362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2070</v>
      </c>
      <c r="C19" s="35"/>
      <c r="D19" s="35"/>
      <c r="E19" s="35"/>
    </row>
    <row r="20" spans="2:19">
      <c r="B20" s="37">
        <f>Calculations!$N$363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2048</v>
      </c>
      <c r="C22" s="39"/>
      <c r="D22" s="39"/>
      <c r="E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IFERROR(Calculations!$P$359,"")</f>
        <v>0</v>
      </c>
      <c r="C43" s="22">
        <f>IFERROR(Calculations!$Q$359,"")</f>
        <v>0</v>
      </c>
      <c r="D43" s="23">
        <f>IFERROR(Calculations!$R$359,"")</f>
        <v>0</v>
      </c>
      <c r="E43" s="22">
        <f>IFERROR(Calculations!$S$359,"")</f>
        <v>0</v>
      </c>
    </row>
    <row r="44" spans="2:19">
      <c r="B44" s="12">
        <f>IFERROR(Calculations!$P$360,"")</f>
        <v>0</v>
      </c>
      <c r="C44" s="22">
        <f>IFERROR(Calculations!$Q$360,"")</f>
        <v>0</v>
      </c>
      <c r="D44" s="23">
        <f>IFERROR(Calculations!$R$360,"")</f>
        <v>0</v>
      </c>
      <c r="E44" s="22">
        <f>IFERROR(Calculations!$S$360,"")</f>
        <v>0</v>
      </c>
    </row>
    <row r="45" spans="2:19">
      <c r="B45" s="12">
        <f>IFERROR(Calculations!$P$361,"")</f>
        <v>0</v>
      </c>
      <c r="C45" s="22">
        <f>IFERROR(Calculations!$Q$361,"")</f>
        <v>0</v>
      </c>
      <c r="D45" s="23">
        <f>IFERROR(Calculations!$R$361,"")</f>
        <v>0</v>
      </c>
      <c r="E45" s="22">
        <f>IFERROR(Calculations!$S$361,"")</f>
        <v>0</v>
      </c>
    </row>
    <row r="46" spans="2:19">
      <c r="B46" s="12">
        <f>IFERROR(Calculations!$P$362,"")</f>
        <v>0</v>
      </c>
      <c r="C46" s="22">
        <f>IFERROR(Calculations!$Q$362,"")</f>
        <v>0</v>
      </c>
      <c r="D46" s="23">
        <f>IFERROR(Calculations!$R$362,"")</f>
        <v>0</v>
      </c>
      <c r="E46" s="22">
        <f>IFERROR(Calculations!$S$362,"")</f>
        <v>0</v>
      </c>
    </row>
    <row r="47" spans="2:19">
      <c r="B47" s="12">
        <f>IFERROR(Calculations!$P$363,"")</f>
        <v>0</v>
      </c>
      <c r="C47" s="22">
        <f>IFERROR(Calculations!$Q$363,"")</f>
        <v>0</v>
      </c>
      <c r="D47" s="23">
        <f>IFERROR(Calculations!$R$363,"")</f>
        <v>0</v>
      </c>
      <c r="E47" s="22">
        <f>IFERROR(Calculations!$S$363,"")</f>
        <v>0</v>
      </c>
    </row>
    <row r="48" spans="2:19">
      <c r="B48" s="12">
        <f>IFERROR(Calculations!$P$364,"")</f>
        <v>0</v>
      </c>
      <c r="C48" s="22">
        <f>IFERROR(Calculations!$Q$364,"")</f>
        <v>0</v>
      </c>
      <c r="D48" s="23">
        <f>IFERROR(Calculations!$R$364,"")</f>
        <v>0</v>
      </c>
      <c r="E48" s="22">
        <f>IFERROR(Calculations!$S$364,"")</f>
        <v>0</v>
      </c>
    </row>
    <row r="49" spans="2:19">
      <c r="B49" s="12">
        <f>IFERROR(Calculations!$P$365,"")</f>
        <v>0</v>
      </c>
      <c r="C49" s="22">
        <f>IFERROR(Calculations!$Q$365,"")</f>
        <v>0</v>
      </c>
      <c r="D49" s="23">
        <f>IFERROR(Calculations!$R$365,"")</f>
        <v>0</v>
      </c>
      <c r="E49" s="22">
        <f>IFERROR(Calculations!$S$365,"")</f>
        <v>0</v>
      </c>
    </row>
    <row r="50" spans="2:19">
      <c r="B50" s="12">
        <f>IFERROR(Calculations!$P$366,"")</f>
        <v>0</v>
      </c>
      <c r="C50" s="22">
        <f>IFERROR(Calculations!$Q$366,"")</f>
        <v>0</v>
      </c>
      <c r="D50" s="23">
        <f>IFERROR(Calculations!$R$366,"")</f>
        <v>0</v>
      </c>
      <c r="E50" s="22">
        <f>IFERROR(Calculations!$S$366,"")</f>
        <v>0</v>
      </c>
    </row>
    <row r="51" spans="2:19">
      <c r="B51" s="12">
        <f>IFERROR(Calculations!$P$367,"")</f>
        <v>0</v>
      </c>
      <c r="C51" s="22">
        <f>IFERROR(Calculations!$Q$367,"")</f>
        <v>0</v>
      </c>
      <c r="D51" s="23">
        <f>IFERROR(Calculations!$R$367,"")</f>
        <v>0</v>
      </c>
      <c r="E51" s="22">
        <f>IFERROR(Calculations!$S$367,"")</f>
        <v>0</v>
      </c>
    </row>
    <row r="52" spans="2:19">
      <c r="B52" s="12">
        <f>IFERROR(Calculations!$P$368,"")</f>
        <v>0</v>
      </c>
      <c r="C52" s="22">
        <f>IFERROR(Calculations!$Q$368,"")</f>
        <v>0</v>
      </c>
      <c r="D52" s="23">
        <f>IFERROR(Calculations!$R$368,"")</f>
        <v>0</v>
      </c>
      <c r="E52" s="22">
        <f>IFERROR(Calculations!$S$368,"")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IF(Calculations!$U$359="","",Calculations!$U$359)</f>
        <v>0</v>
      </c>
      <c r="C60" s="22">
        <f>IFERROR(Calculations!$V$359,"")</f>
        <v>0</v>
      </c>
      <c r="D60" s="22">
        <f>IFERROR(Calculations!$W$359,"")</f>
        <v>0</v>
      </c>
      <c r="E60" s="22">
        <f>IFERROR(Calculations!$X$359,"")</f>
        <v>0</v>
      </c>
      <c r="F60" s="22">
        <f>IFERROR(Calculations!$Y$359,"")</f>
        <v>0</v>
      </c>
      <c r="G60" s="22">
        <f>IFERROR(Calculations!$Z$359,"")</f>
        <v>0</v>
      </c>
      <c r="H60" s="22">
        <f>IFERROR(Calculations!$AA$359,"")</f>
        <v>0</v>
      </c>
      <c r="I60" s="22">
        <f>IFERROR(Calculations!$AB$359,"")</f>
        <v>0</v>
      </c>
      <c r="J60" s="22">
        <f>IFERROR(Calculations!$AC$359,"")</f>
        <v>0</v>
      </c>
      <c r="K60" s="22">
        <f>IFERROR(Calculations!$AD$359,"")</f>
        <v>0</v>
      </c>
      <c r="L60" s="22">
        <f>IFERROR(Calculations!$AE$359,"")</f>
        <v>0</v>
      </c>
      <c r="M60" s="22">
        <f>IFERROR(Calculations!$AF$359,"")</f>
        <v>0</v>
      </c>
      <c r="N60" s="22">
        <f>IFERROR(Calculations!$AG$359,"")</f>
        <v>0</v>
      </c>
      <c r="O60" s="22">
        <f>IFERROR(Calculations!$AH$359,"")</f>
        <v>0</v>
      </c>
    </row>
    <row r="61" spans="2:19">
      <c r="B61" s="12">
        <f>IF(Calculations!$U$360="","",Calculations!$U$360)</f>
        <v>0</v>
      </c>
      <c r="C61" s="22">
        <f>IFERROR(Calculations!$V$360,"")</f>
        <v>0</v>
      </c>
      <c r="D61" s="22">
        <f>IFERROR(Calculations!$W$360,"")</f>
        <v>0</v>
      </c>
      <c r="E61" s="22">
        <f>IFERROR(Calculations!$X$360,"")</f>
        <v>0</v>
      </c>
      <c r="F61" s="22">
        <f>IFERROR(Calculations!$Y$360,"")</f>
        <v>0</v>
      </c>
      <c r="G61" s="22">
        <f>IFERROR(Calculations!$Z$360,"")</f>
        <v>0</v>
      </c>
      <c r="H61" s="22">
        <f>IFERROR(Calculations!$AA$360,"")</f>
        <v>0</v>
      </c>
      <c r="I61" s="22">
        <f>IFERROR(Calculations!$AB$360,"")</f>
        <v>0</v>
      </c>
      <c r="J61" s="22">
        <f>IFERROR(Calculations!$AC$360,"")</f>
        <v>0</v>
      </c>
      <c r="K61" s="22">
        <f>IFERROR(Calculations!$AD$360,"")</f>
        <v>0</v>
      </c>
      <c r="L61" s="22">
        <f>IFERROR(Calculations!$AE$360,"")</f>
        <v>0</v>
      </c>
      <c r="M61" s="22">
        <f>IFERROR(Calculations!$AF$360,"")</f>
        <v>0</v>
      </c>
      <c r="N61" s="22">
        <f>IFERROR(Calculations!$AG$360,"")</f>
        <v>0</v>
      </c>
      <c r="O61" s="22">
        <f>IFERROR(Calculations!$AH$360,"")</f>
        <v>0</v>
      </c>
    </row>
    <row r="62" spans="2:19">
      <c r="B62" s="12">
        <f>IF(Calculations!$U$361="","",Calculations!$U$361)</f>
        <v>0</v>
      </c>
      <c r="C62" s="22">
        <f>IFERROR(Calculations!$V$361,"")</f>
        <v>0</v>
      </c>
      <c r="D62" s="22">
        <f>IFERROR(Calculations!$W$361,"")</f>
        <v>0</v>
      </c>
      <c r="E62" s="22">
        <f>IFERROR(Calculations!$X$361,"")</f>
        <v>0</v>
      </c>
      <c r="F62" s="22">
        <f>IFERROR(Calculations!$Y$361,"")</f>
        <v>0</v>
      </c>
      <c r="G62" s="22">
        <f>IFERROR(Calculations!$Z$361,"")</f>
        <v>0</v>
      </c>
      <c r="H62" s="22">
        <f>IFERROR(Calculations!$AA$361,"")</f>
        <v>0</v>
      </c>
      <c r="I62" s="22">
        <f>IFERROR(Calculations!$AB$361,"")</f>
        <v>0</v>
      </c>
      <c r="J62" s="22">
        <f>IFERROR(Calculations!$AC$361,"")</f>
        <v>0</v>
      </c>
      <c r="K62" s="22">
        <f>IFERROR(Calculations!$AD$361,"")</f>
        <v>0</v>
      </c>
      <c r="L62" s="22">
        <f>IFERROR(Calculations!$AE$361,"")</f>
        <v>0</v>
      </c>
      <c r="M62" s="22">
        <f>IFERROR(Calculations!$AF$361,"")</f>
        <v>0</v>
      </c>
      <c r="N62" s="22">
        <f>IFERROR(Calculations!$AG$361,"")</f>
        <v>0</v>
      </c>
      <c r="O62" s="22">
        <f>IFERROR(Calculations!$AH$361,"")</f>
        <v>0</v>
      </c>
    </row>
    <row r="63" spans="2:19">
      <c r="B63" s="12">
        <f>IF(Calculations!$U$362="","",Calculations!$U$362)</f>
        <v>0</v>
      </c>
      <c r="C63" s="22">
        <f>IFERROR(Calculations!$V$362,"")</f>
        <v>0</v>
      </c>
      <c r="D63" s="22">
        <f>IFERROR(Calculations!$W$362,"")</f>
        <v>0</v>
      </c>
      <c r="E63" s="22">
        <f>IFERROR(Calculations!$X$362,"")</f>
        <v>0</v>
      </c>
      <c r="F63" s="22">
        <f>IFERROR(Calculations!$Y$362,"")</f>
        <v>0</v>
      </c>
      <c r="G63" s="22">
        <f>IFERROR(Calculations!$Z$362,"")</f>
        <v>0</v>
      </c>
      <c r="H63" s="22">
        <f>IFERROR(Calculations!$AA$362,"")</f>
        <v>0</v>
      </c>
      <c r="I63" s="22">
        <f>IFERROR(Calculations!$AB$362,"")</f>
        <v>0</v>
      </c>
      <c r="J63" s="22">
        <f>IFERROR(Calculations!$AC$362,"")</f>
        <v>0</v>
      </c>
      <c r="K63" s="22">
        <f>IFERROR(Calculations!$AD$362,"")</f>
        <v>0</v>
      </c>
      <c r="L63" s="22">
        <f>IFERROR(Calculations!$AE$362,"")</f>
        <v>0</v>
      </c>
      <c r="M63" s="22">
        <f>IFERROR(Calculations!$AF$362,"")</f>
        <v>0</v>
      </c>
      <c r="N63" s="22">
        <f>IFERROR(Calculations!$AG$362,"")</f>
        <v>0</v>
      </c>
      <c r="O63" s="22">
        <f>IFERROR(Calculations!$AH$362,"")</f>
        <v>0</v>
      </c>
    </row>
    <row r="64" spans="2:19">
      <c r="B64" s="12">
        <f>IF(Calculations!$U$363="","",Calculations!$U$363)</f>
        <v>0</v>
      </c>
      <c r="C64" s="22">
        <f>IFERROR(Calculations!$V$363,"")</f>
        <v>0</v>
      </c>
      <c r="D64" s="22">
        <f>IFERROR(Calculations!$W$363,"")</f>
        <v>0</v>
      </c>
      <c r="E64" s="22">
        <f>IFERROR(Calculations!$X$363,"")</f>
        <v>0</v>
      </c>
      <c r="F64" s="22">
        <f>IFERROR(Calculations!$Y$363,"")</f>
        <v>0</v>
      </c>
      <c r="G64" s="22">
        <f>IFERROR(Calculations!$Z$363,"")</f>
        <v>0</v>
      </c>
      <c r="H64" s="22">
        <f>IFERROR(Calculations!$AA$363,"")</f>
        <v>0</v>
      </c>
      <c r="I64" s="22">
        <f>IFERROR(Calculations!$AB$363,"")</f>
        <v>0</v>
      </c>
      <c r="J64" s="22">
        <f>IFERROR(Calculations!$AC$363,"")</f>
        <v>0</v>
      </c>
      <c r="K64" s="22">
        <f>IFERROR(Calculations!$AD$363,"")</f>
        <v>0</v>
      </c>
      <c r="L64" s="22">
        <f>IFERROR(Calculations!$AE$363,"")</f>
        <v>0</v>
      </c>
      <c r="M64" s="22">
        <f>IFERROR(Calculations!$AF$363,"")</f>
        <v>0</v>
      </c>
      <c r="N64" s="22">
        <f>IFERROR(Calculations!$AG$363,"")</f>
        <v>0</v>
      </c>
      <c r="O64" s="22">
        <f>IFERROR(Calculations!$AH$363,"")</f>
        <v>0</v>
      </c>
    </row>
    <row r="65" spans="2:15">
      <c r="B65" s="12">
        <f>IF(Calculations!$U$364="","",Calculations!$U$364)</f>
        <v>0</v>
      </c>
      <c r="C65" s="22">
        <f>IFERROR(Calculations!$V$364,"")</f>
        <v>0</v>
      </c>
      <c r="D65" s="22">
        <f>IFERROR(Calculations!$W$364,"")</f>
        <v>0</v>
      </c>
      <c r="E65" s="22">
        <f>IFERROR(Calculations!$X$364,"")</f>
        <v>0</v>
      </c>
      <c r="F65" s="22">
        <f>IFERROR(Calculations!$Y$364,"")</f>
        <v>0</v>
      </c>
      <c r="G65" s="22">
        <f>IFERROR(Calculations!$Z$364,"")</f>
        <v>0</v>
      </c>
      <c r="H65" s="22">
        <f>IFERROR(Calculations!$AA$364,"")</f>
        <v>0</v>
      </c>
      <c r="I65" s="22">
        <f>IFERROR(Calculations!$AB$364,"")</f>
        <v>0</v>
      </c>
      <c r="J65" s="22">
        <f>IFERROR(Calculations!$AC$364,"")</f>
        <v>0</v>
      </c>
      <c r="K65" s="22">
        <f>IFERROR(Calculations!$AD$364,"")</f>
        <v>0</v>
      </c>
      <c r="L65" s="22">
        <f>IFERROR(Calculations!$AE$364,"")</f>
        <v>0</v>
      </c>
      <c r="M65" s="22">
        <f>IFERROR(Calculations!$AF$364,"")</f>
        <v>0</v>
      </c>
      <c r="N65" s="22">
        <f>IFERROR(Calculations!$AG$364,"")</f>
        <v>0</v>
      </c>
      <c r="O65" s="22">
        <f>IFERROR(Calculations!$AH$364,"")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2071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2072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Calculations!$N$385</f>
        <v>0</v>
      </c>
      <c r="C14" s="37"/>
      <c r="D14" s="37"/>
      <c r="E14" s="37"/>
      <c r="F14" s="38">
        <f>Calculations!$N$386</f>
        <v>0</v>
      </c>
      <c r="G14" s="38"/>
      <c r="H14" s="38"/>
      <c r="I14" s="38"/>
      <c r="J14" s="37">
        <f>Calculations!$N$387</f>
        <v>0</v>
      </c>
      <c r="K14" s="37"/>
      <c r="L14" s="37"/>
      <c r="M14" s="37"/>
      <c r="N14" s="37">
        <f>Calculations!$N$388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2073</v>
      </c>
      <c r="C19" s="35"/>
      <c r="D19" s="35"/>
      <c r="E19" s="35"/>
      <c r="F19" s="35" t="s">
        <v>2074</v>
      </c>
      <c r="G19" s="35"/>
      <c r="H19" s="35"/>
      <c r="I19" s="35"/>
      <c r="J19" s="35" t="s">
        <v>2075</v>
      </c>
      <c r="K19" s="35"/>
      <c r="L19" s="35"/>
      <c r="M19" s="35"/>
    </row>
    <row r="20" spans="2:19">
      <c r="B20" s="37">
        <f>Calculations!$N$389</f>
        <v>0</v>
      </c>
      <c r="C20" s="37"/>
      <c r="D20" s="37"/>
      <c r="E20" s="37"/>
      <c r="F20" s="37">
        <f>Calculations!$N$390</f>
        <v>0</v>
      </c>
      <c r="G20" s="37"/>
      <c r="H20" s="37"/>
      <c r="I20" s="37"/>
      <c r="J20" s="37">
        <f>Calculations!$N$391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IFERROR(Calculations!$P$385,"")</f>
        <v>0</v>
      </c>
      <c r="C43" s="22">
        <f>IFERROR(Calculations!$Q$385,"")</f>
        <v>0</v>
      </c>
      <c r="D43" s="23">
        <f>IFERROR(Calculations!$R$385,"")</f>
        <v>0</v>
      </c>
      <c r="E43" s="22">
        <f>IFERROR(Calculations!$S$385,"")</f>
        <v>0</v>
      </c>
    </row>
    <row r="44" spans="2:19">
      <c r="B44" s="12">
        <f>IFERROR(Calculations!$P$386,"")</f>
        <v>0</v>
      </c>
      <c r="C44" s="22">
        <f>IFERROR(Calculations!$Q$386,"")</f>
        <v>0</v>
      </c>
      <c r="D44" s="23">
        <f>IFERROR(Calculations!$R$386,"")</f>
        <v>0</v>
      </c>
      <c r="E44" s="22">
        <f>IFERROR(Calculations!$S$386,"")</f>
        <v>0</v>
      </c>
    </row>
    <row r="45" spans="2:19">
      <c r="B45" s="12">
        <f>IFERROR(Calculations!$P$387,"")</f>
        <v>0</v>
      </c>
      <c r="C45" s="22">
        <f>IFERROR(Calculations!$Q$387,"")</f>
        <v>0</v>
      </c>
      <c r="D45" s="23">
        <f>IFERROR(Calculations!$R$387,"")</f>
        <v>0</v>
      </c>
      <c r="E45" s="22">
        <f>IFERROR(Calculations!$S$387,"")</f>
        <v>0</v>
      </c>
    </row>
    <row r="46" spans="2:19">
      <c r="B46" s="12">
        <f>IFERROR(Calculations!$P$388,"")</f>
        <v>0</v>
      </c>
      <c r="C46" s="22">
        <f>IFERROR(Calculations!$Q$388,"")</f>
        <v>0</v>
      </c>
      <c r="D46" s="23">
        <f>IFERROR(Calculations!$R$388,"")</f>
        <v>0</v>
      </c>
      <c r="E46" s="22">
        <f>IFERROR(Calculations!$S$388,"")</f>
        <v>0</v>
      </c>
    </row>
    <row r="47" spans="2:19">
      <c r="B47" s="12">
        <f>IFERROR(Calculations!$P$389,"")</f>
        <v>0</v>
      </c>
      <c r="C47" s="22">
        <f>IFERROR(Calculations!$Q$389,"")</f>
        <v>0</v>
      </c>
      <c r="D47" s="23">
        <f>IFERROR(Calculations!$R$389,"")</f>
        <v>0</v>
      </c>
      <c r="E47" s="22">
        <f>IFERROR(Calculations!$S$389,"")</f>
        <v>0</v>
      </c>
    </row>
    <row r="48" spans="2:19">
      <c r="B48" s="12">
        <f>IFERROR(Calculations!$P$390,"")</f>
        <v>0</v>
      </c>
      <c r="C48" s="22">
        <f>IFERROR(Calculations!$Q$390,"")</f>
        <v>0</v>
      </c>
      <c r="D48" s="23">
        <f>IFERROR(Calculations!$R$390,"")</f>
        <v>0</v>
      </c>
      <c r="E48" s="22">
        <f>IFERROR(Calculations!$S$390,"")</f>
        <v>0</v>
      </c>
    </row>
    <row r="49" spans="2:19">
      <c r="B49" s="12">
        <f>IFERROR(Calculations!$P$391,"")</f>
        <v>0</v>
      </c>
      <c r="C49" s="22">
        <f>IFERROR(Calculations!$Q$391,"")</f>
        <v>0</v>
      </c>
      <c r="D49" s="23">
        <f>IFERROR(Calculations!$R$391,"")</f>
        <v>0</v>
      </c>
      <c r="E49" s="22">
        <f>IFERROR(Calculations!$S$391,"")</f>
        <v>0</v>
      </c>
    </row>
    <row r="50" spans="2:19">
      <c r="B50" s="12">
        <f>IFERROR(Calculations!$P$392,"")</f>
        <v>0</v>
      </c>
      <c r="C50" s="22">
        <f>IFERROR(Calculations!$Q$392,"")</f>
        <v>0</v>
      </c>
      <c r="D50" s="23">
        <f>IFERROR(Calculations!$R$392,"")</f>
        <v>0</v>
      </c>
      <c r="E50" s="22">
        <f>IFERROR(Calculations!$S$392,"")</f>
        <v>0</v>
      </c>
    </row>
    <row r="51" spans="2:19">
      <c r="B51" s="12">
        <f>IFERROR(Calculations!$P$393,"")</f>
        <v>0</v>
      </c>
      <c r="C51" s="22">
        <f>IFERROR(Calculations!$Q$393,"")</f>
        <v>0</v>
      </c>
      <c r="D51" s="23">
        <f>IFERROR(Calculations!$R$393,"")</f>
        <v>0</v>
      </c>
      <c r="E51" s="22">
        <f>IFERROR(Calculations!$S$393,"")</f>
        <v>0</v>
      </c>
    </row>
    <row r="52" spans="2:19">
      <c r="B52" s="12">
        <f>IFERROR(Calculations!$P$394,"")</f>
        <v>0</v>
      </c>
      <c r="C52" s="22">
        <f>IFERROR(Calculations!$Q$394,"")</f>
        <v>0</v>
      </c>
      <c r="D52" s="23">
        <f>IFERROR(Calculations!$R$394,"")</f>
        <v>0</v>
      </c>
      <c r="E52" s="22">
        <f>IFERROR(Calculations!$S$394,"")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IF(Calculations!$U$385="","",Calculations!$U$385)</f>
        <v>0</v>
      </c>
      <c r="C60" s="22">
        <f>IFERROR(Calculations!$V$385,"")</f>
        <v>0</v>
      </c>
      <c r="D60" s="22">
        <f>IFERROR(Calculations!$W$385,"")</f>
        <v>0</v>
      </c>
      <c r="E60" s="22">
        <f>IFERROR(Calculations!$X$385,"")</f>
        <v>0</v>
      </c>
      <c r="F60" s="22">
        <f>IFERROR(Calculations!$Y$385,"")</f>
        <v>0</v>
      </c>
      <c r="G60" s="22">
        <f>IFERROR(Calculations!$Z$385,"")</f>
        <v>0</v>
      </c>
      <c r="H60" s="22">
        <f>IFERROR(Calculations!$AA$385,"")</f>
        <v>0</v>
      </c>
      <c r="I60" s="22">
        <f>IFERROR(Calculations!$AB$385,"")</f>
        <v>0</v>
      </c>
      <c r="J60" s="22">
        <f>IFERROR(Calculations!$AC$385,"")</f>
        <v>0</v>
      </c>
      <c r="K60" s="22">
        <f>IFERROR(Calculations!$AD$385,"")</f>
        <v>0</v>
      </c>
      <c r="L60" s="22">
        <f>IFERROR(Calculations!$AE$385,"")</f>
        <v>0</v>
      </c>
      <c r="M60" s="22">
        <f>IFERROR(Calculations!$AF$385,"")</f>
        <v>0</v>
      </c>
      <c r="N60" s="22">
        <f>IFERROR(Calculations!$AG$385,"")</f>
        <v>0</v>
      </c>
      <c r="O60" s="22">
        <f>IFERROR(Calculations!$AH$385,"")</f>
        <v>0</v>
      </c>
    </row>
    <row r="61" spans="2:19">
      <c r="B61" s="12">
        <f>IF(Calculations!$U$386="","",Calculations!$U$386)</f>
        <v>0</v>
      </c>
      <c r="C61" s="22">
        <f>IFERROR(Calculations!$V$386,"")</f>
        <v>0</v>
      </c>
      <c r="D61" s="22">
        <f>IFERROR(Calculations!$W$386,"")</f>
        <v>0</v>
      </c>
      <c r="E61" s="22">
        <f>IFERROR(Calculations!$X$386,"")</f>
        <v>0</v>
      </c>
      <c r="F61" s="22">
        <f>IFERROR(Calculations!$Y$386,"")</f>
        <v>0</v>
      </c>
      <c r="G61" s="22">
        <f>IFERROR(Calculations!$Z$386,"")</f>
        <v>0</v>
      </c>
      <c r="H61" s="22">
        <f>IFERROR(Calculations!$AA$386,"")</f>
        <v>0</v>
      </c>
      <c r="I61" s="22">
        <f>IFERROR(Calculations!$AB$386,"")</f>
        <v>0</v>
      </c>
      <c r="J61" s="22">
        <f>IFERROR(Calculations!$AC$386,"")</f>
        <v>0</v>
      </c>
      <c r="K61" s="22">
        <f>IFERROR(Calculations!$AD$386,"")</f>
        <v>0</v>
      </c>
      <c r="L61" s="22">
        <f>IFERROR(Calculations!$AE$386,"")</f>
        <v>0</v>
      </c>
      <c r="M61" s="22">
        <f>IFERROR(Calculations!$AF$386,"")</f>
        <v>0</v>
      </c>
      <c r="N61" s="22">
        <f>IFERROR(Calculations!$AG$386,"")</f>
        <v>0</v>
      </c>
      <c r="O61" s="22">
        <f>IFERROR(Calculations!$AH$386,"")</f>
        <v>0</v>
      </c>
    </row>
    <row r="62" spans="2:19">
      <c r="B62" s="12">
        <f>IF(Calculations!$U$387="","",Calculations!$U$387)</f>
        <v>0</v>
      </c>
      <c r="C62" s="22">
        <f>IFERROR(Calculations!$V$387,"")</f>
        <v>0</v>
      </c>
      <c r="D62" s="22">
        <f>IFERROR(Calculations!$W$387,"")</f>
        <v>0</v>
      </c>
      <c r="E62" s="22">
        <f>IFERROR(Calculations!$X$387,"")</f>
        <v>0</v>
      </c>
      <c r="F62" s="22">
        <f>IFERROR(Calculations!$Y$387,"")</f>
        <v>0</v>
      </c>
      <c r="G62" s="22">
        <f>IFERROR(Calculations!$Z$387,"")</f>
        <v>0</v>
      </c>
      <c r="H62" s="22">
        <f>IFERROR(Calculations!$AA$387,"")</f>
        <v>0</v>
      </c>
      <c r="I62" s="22">
        <f>IFERROR(Calculations!$AB$387,"")</f>
        <v>0</v>
      </c>
      <c r="J62" s="22">
        <f>IFERROR(Calculations!$AC$387,"")</f>
        <v>0</v>
      </c>
      <c r="K62" s="22">
        <f>IFERROR(Calculations!$AD$387,"")</f>
        <v>0</v>
      </c>
      <c r="L62" s="22">
        <f>IFERROR(Calculations!$AE$387,"")</f>
        <v>0</v>
      </c>
      <c r="M62" s="22">
        <f>IFERROR(Calculations!$AF$387,"")</f>
        <v>0</v>
      </c>
      <c r="N62" s="22">
        <f>IFERROR(Calculations!$AG$387,"")</f>
        <v>0</v>
      </c>
      <c r="O62" s="22">
        <f>IFERROR(Calculations!$AH$387,"")</f>
        <v>0</v>
      </c>
    </row>
    <row r="63" spans="2:19">
      <c r="B63" s="12">
        <f>IF(Calculations!$U$388="","",Calculations!$U$388)</f>
        <v>0</v>
      </c>
      <c r="C63" s="22">
        <f>IFERROR(Calculations!$V$388,"")</f>
        <v>0</v>
      </c>
      <c r="D63" s="22">
        <f>IFERROR(Calculations!$W$388,"")</f>
        <v>0</v>
      </c>
      <c r="E63" s="22">
        <f>IFERROR(Calculations!$X$388,"")</f>
        <v>0</v>
      </c>
      <c r="F63" s="22">
        <f>IFERROR(Calculations!$Y$388,"")</f>
        <v>0</v>
      </c>
      <c r="G63" s="22">
        <f>IFERROR(Calculations!$Z$388,"")</f>
        <v>0</v>
      </c>
      <c r="H63" s="22">
        <f>IFERROR(Calculations!$AA$388,"")</f>
        <v>0</v>
      </c>
      <c r="I63" s="22">
        <f>IFERROR(Calculations!$AB$388,"")</f>
        <v>0</v>
      </c>
      <c r="J63" s="22">
        <f>IFERROR(Calculations!$AC$388,"")</f>
        <v>0</v>
      </c>
      <c r="K63" s="22">
        <f>IFERROR(Calculations!$AD$388,"")</f>
        <v>0</v>
      </c>
      <c r="L63" s="22">
        <f>IFERROR(Calculations!$AE$388,"")</f>
        <v>0</v>
      </c>
      <c r="M63" s="22">
        <f>IFERROR(Calculations!$AF$388,"")</f>
        <v>0</v>
      </c>
      <c r="N63" s="22">
        <f>IFERROR(Calculations!$AG$388,"")</f>
        <v>0</v>
      </c>
      <c r="O63" s="22">
        <f>IFERROR(Calculations!$AH$388,"")</f>
        <v>0</v>
      </c>
    </row>
    <row r="64" spans="2:19">
      <c r="B64" s="12">
        <f>IF(Calculations!$U$389="","",Calculations!$U$389)</f>
        <v>0</v>
      </c>
      <c r="C64" s="22">
        <f>IFERROR(Calculations!$V$389,"")</f>
        <v>0</v>
      </c>
      <c r="D64" s="22">
        <f>IFERROR(Calculations!$W$389,"")</f>
        <v>0</v>
      </c>
      <c r="E64" s="22">
        <f>IFERROR(Calculations!$X$389,"")</f>
        <v>0</v>
      </c>
      <c r="F64" s="22">
        <f>IFERROR(Calculations!$Y$389,"")</f>
        <v>0</v>
      </c>
      <c r="G64" s="22">
        <f>IFERROR(Calculations!$Z$389,"")</f>
        <v>0</v>
      </c>
      <c r="H64" s="22">
        <f>IFERROR(Calculations!$AA$389,"")</f>
        <v>0</v>
      </c>
      <c r="I64" s="22">
        <f>IFERROR(Calculations!$AB$389,"")</f>
        <v>0</v>
      </c>
      <c r="J64" s="22">
        <f>IFERROR(Calculations!$AC$389,"")</f>
        <v>0</v>
      </c>
      <c r="K64" s="22">
        <f>IFERROR(Calculations!$AD$389,"")</f>
        <v>0</v>
      </c>
      <c r="L64" s="22">
        <f>IFERROR(Calculations!$AE$389,"")</f>
        <v>0</v>
      </c>
      <c r="M64" s="22">
        <f>IFERROR(Calculations!$AF$389,"")</f>
        <v>0</v>
      </c>
      <c r="N64" s="22">
        <f>IFERROR(Calculations!$AG$389,"")</f>
        <v>0</v>
      </c>
      <c r="O64" s="22">
        <f>IFERROR(Calculations!$AH$389,"")</f>
        <v>0</v>
      </c>
    </row>
    <row r="65" spans="2:15">
      <c r="B65" s="12">
        <f>IF(Calculations!$U$390="","",Calculations!$U$390)</f>
        <v>0</v>
      </c>
      <c r="C65" s="22">
        <f>IFERROR(Calculations!$V$390,"")</f>
        <v>0</v>
      </c>
      <c r="D65" s="22">
        <f>IFERROR(Calculations!$W$390,"")</f>
        <v>0</v>
      </c>
      <c r="E65" s="22">
        <f>IFERROR(Calculations!$X$390,"")</f>
        <v>0</v>
      </c>
      <c r="F65" s="22">
        <f>IFERROR(Calculations!$Y$390,"")</f>
        <v>0</v>
      </c>
      <c r="G65" s="22">
        <f>IFERROR(Calculations!$Z$390,"")</f>
        <v>0</v>
      </c>
      <c r="H65" s="22">
        <f>IFERROR(Calculations!$AA$390,"")</f>
        <v>0</v>
      </c>
      <c r="I65" s="22">
        <f>IFERROR(Calculations!$AB$390,"")</f>
        <v>0</v>
      </c>
      <c r="J65" s="22">
        <f>IFERROR(Calculations!$AC$390,"")</f>
        <v>0</v>
      </c>
      <c r="K65" s="22">
        <f>IFERROR(Calculations!$AD$390,"")</f>
        <v>0</v>
      </c>
      <c r="L65" s="22">
        <f>IFERROR(Calculations!$AE$390,"")</f>
        <v>0</v>
      </c>
      <c r="M65" s="22">
        <f>IFERROR(Calculations!$AF$390,"")</f>
        <v>0</v>
      </c>
      <c r="N65" s="22">
        <f>IFERROR(Calculations!$AG$390,"")</f>
        <v>0</v>
      </c>
      <c r="O65" s="22">
        <f>IFERROR(Calculations!$AH$390,"")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2076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2077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Calculations!$N$411</f>
        <v>0</v>
      </c>
      <c r="C14" s="37"/>
      <c r="D14" s="37"/>
      <c r="E14" s="37"/>
      <c r="F14" s="38">
        <f>Calculations!$N$412</f>
        <v>0</v>
      </c>
      <c r="G14" s="38"/>
      <c r="H14" s="38"/>
      <c r="I14" s="38"/>
      <c r="J14" s="37">
        <f>Calculations!$N$413</f>
        <v>0</v>
      </c>
      <c r="K14" s="37"/>
      <c r="L14" s="37"/>
      <c r="M14" s="37"/>
      <c r="N14" s="37">
        <f>Calculations!$N$414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2073</v>
      </c>
      <c r="C19" s="35"/>
      <c r="D19" s="35"/>
      <c r="E19" s="35"/>
      <c r="F19" s="35" t="s">
        <v>2074</v>
      </c>
      <c r="G19" s="35"/>
      <c r="H19" s="35"/>
      <c r="I19" s="35"/>
      <c r="J19" s="35" t="s">
        <v>2075</v>
      </c>
      <c r="K19" s="35"/>
      <c r="L19" s="35"/>
      <c r="M19" s="35"/>
    </row>
    <row r="20" spans="2:19">
      <c r="B20" s="37">
        <f>Calculations!$N$415</f>
        <v>0</v>
      </c>
      <c r="C20" s="37"/>
      <c r="D20" s="37"/>
      <c r="E20" s="37"/>
      <c r="F20" s="37">
        <f>Calculations!$N$416</f>
        <v>0</v>
      </c>
      <c r="G20" s="37"/>
      <c r="H20" s="37"/>
      <c r="I20" s="37"/>
      <c r="J20" s="37">
        <f>Calculations!$N$417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IFERROR(Calculations!$P$411,"")</f>
        <v>0</v>
      </c>
      <c r="C43" s="22">
        <f>IFERROR(Calculations!$Q$411,"")</f>
        <v>0</v>
      </c>
      <c r="D43" s="23">
        <f>IFERROR(Calculations!$R$411,"")</f>
        <v>0</v>
      </c>
      <c r="E43" s="22">
        <f>IFERROR(Calculations!$S$411,"")</f>
        <v>0</v>
      </c>
    </row>
    <row r="44" spans="2:19">
      <c r="B44" s="12">
        <f>IFERROR(Calculations!$P$412,"")</f>
        <v>0</v>
      </c>
      <c r="C44" s="22">
        <f>IFERROR(Calculations!$Q$412,"")</f>
        <v>0</v>
      </c>
      <c r="D44" s="23">
        <f>IFERROR(Calculations!$R$412,"")</f>
        <v>0</v>
      </c>
      <c r="E44" s="22">
        <f>IFERROR(Calculations!$S$412,"")</f>
        <v>0</v>
      </c>
    </row>
    <row r="45" spans="2:19">
      <c r="B45" s="12">
        <f>IFERROR(Calculations!$P$413,"")</f>
        <v>0</v>
      </c>
      <c r="C45" s="22">
        <f>IFERROR(Calculations!$Q$413,"")</f>
        <v>0</v>
      </c>
      <c r="D45" s="23">
        <f>IFERROR(Calculations!$R$413,"")</f>
        <v>0</v>
      </c>
      <c r="E45" s="22">
        <f>IFERROR(Calculations!$S$413,"")</f>
        <v>0</v>
      </c>
    </row>
    <row r="46" spans="2:19">
      <c r="B46" s="12">
        <f>IFERROR(Calculations!$P$414,"")</f>
        <v>0</v>
      </c>
      <c r="C46" s="22">
        <f>IFERROR(Calculations!$Q$414,"")</f>
        <v>0</v>
      </c>
      <c r="D46" s="23">
        <f>IFERROR(Calculations!$R$414,"")</f>
        <v>0</v>
      </c>
      <c r="E46" s="22">
        <f>IFERROR(Calculations!$S$414,"")</f>
        <v>0</v>
      </c>
    </row>
    <row r="47" spans="2:19">
      <c r="B47" s="12">
        <f>IFERROR(Calculations!$P$415,"")</f>
        <v>0</v>
      </c>
      <c r="C47" s="22">
        <f>IFERROR(Calculations!$Q$415,"")</f>
        <v>0</v>
      </c>
      <c r="D47" s="23">
        <f>IFERROR(Calculations!$R$415,"")</f>
        <v>0</v>
      </c>
      <c r="E47" s="22">
        <f>IFERROR(Calculations!$S$415,"")</f>
        <v>0</v>
      </c>
    </row>
    <row r="48" spans="2:19">
      <c r="B48" s="12">
        <f>IFERROR(Calculations!$P$416,"")</f>
        <v>0</v>
      </c>
      <c r="C48" s="22">
        <f>IFERROR(Calculations!$Q$416,"")</f>
        <v>0</v>
      </c>
      <c r="D48" s="23">
        <f>IFERROR(Calculations!$R$416,"")</f>
        <v>0</v>
      </c>
      <c r="E48" s="22">
        <f>IFERROR(Calculations!$S$416,"")</f>
        <v>0</v>
      </c>
    </row>
    <row r="49" spans="2:19">
      <c r="B49" s="12">
        <f>IFERROR(Calculations!$P$417,"")</f>
        <v>0</v>
      </c>
      <c r="C49" s="22">
        <f>IFERROR(Calculations!$Q$417,"")</f>
        <v>0</v>
      </c>
      <c r="D49" s="23">
        <f>IFERROR(Calculations!$R$417,"")</f>
        <v>0</v>
      </c>
      <c r="E49" s="22">
        <f>IFERROR(Calculations!$S$417,"")</f>
        <v>0</v>
      </c>
    </row>
    <row r="50" spans="2:19">
      <c r="B50" s="12">
        <f>IFERROR(Calculations!$P$418,"")</f>
        <v>0</v>
      </c>
      <c r="C50" s="22">
        <f>IFERROR(Calculations!$Q$418,"")</f>
        <v>0</v>
      </c>
      <c r="D50" s="23">
        <f>IFERROR(Calculations!$R$418,"")</f>
        <v>0</v>
      </c>
      <c r="E50" s="22">
        <f>IFERROR(Calculations!$S$418,"")</f>
        <v>0</v>
      </c>
    </row>
    <row r="51" spans="2:19">
      <c r="B51" s="12">
        <f>IFERROR(Calculations!$P$419,"")</f>
        <v>0</v>
      </c>
      <c r="C51" s="22">
        <f>IFERROR(Calculations!$Q$419,"")</f>
        <v>0</v>
      </c>
      <c r="D51" s="23">
        <f>IFERROR(Calculations!$R$419,"")</f>
        <v>0</v>
      </c>
      <c r="E51" s="22">
        <f>IFERROR(Calculations!$S$419,"")</f>
        <v>0</v>
      </c>
    </row>
    <row r="52" spans="2:19">
      <c r="B52" s="12">
        <f>IFERROR(Calculations!$P$420,"")</f>
        <v>0</v>
      </c>
      <c r="C52" s="22">
        <f>IFERROR(Calculations!$Q$420,"")</f>
        <v>0</v>
      </c>
      <c r="D52" s="23">
        <f>IFERROR(Calculations!$R$420,"")</f>
        <v>0</v>
      </c>
      <c r="E52" s="22">
        <f>IFERROR(Calculations!$S$420,"")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IF(Calculations!$U$411="","",Calculations!$U$411)</f>
        <v>0</v>
      </c>
      <c r="C60" s="22">
        <f>IFERROR(Calculations!$V$411,"")</f>
        <v>0</v>
      </c>
      <c r="D60" s="22">
        <f>IFERROR(Calculations!$W$411,"")</f>
        <v>0</v>
      </c>
      <c r="E60" s="22">
        <f>IFERROR(Calculations!$X$411,"")</f>
        <v>0</v>
      </c>
      <c r="F60" s="22">
        <f>IFERROR(Calculations!$Y$411,"")</f>
        <v>0</v>
      </c>
      <c r="G60" s="22">
        <f>IFERROR(Calculations!$Z$411,"")</f>
        <v>0</v>
      </c>
      <c r="H60" s="22">
        <f>IFERROR(Calculations!$AA$411,"")</f>
        <v>0</v>
      </c>
      <c r="I60" s="22">
        <f>IFERROR(Calculations!$AB$411,"")</f>
        <v>0</v>
      </c>
      <c r="J60" s="22">
        <f>IFERROR(Calculations!$AC$411,"")</f>
        <v>0</v>
      </c>
      <c r="K60" s="22">
        <f>IFERROR(Calculations!$AD$411,"")</f>
        <v>0</v>
      </c>
      <c r="L60" s="22">
        <f>IFERROR(Calculations!$AE$411,"")</f>
        <v>0</v>
      </c>
      <c r="M60" s="22">
        <f>IFERROR(Calculations!$AF$411,"")</f>
        <v>0</v>
      </c>
      <c r="N60" s="22">
        <f>IFERROR(Calculations!$AG$411,"")</f>
        <v>0</v>
      </c>
      <c r="O60" s="22">
        <f>IFERROR(Calculations!$AH$411,"")</f>
        <v>0</v>
      </c>
    </row>
    <row r="61" spans="2:19">
      <c r="B61" s="12">
        <f>IF(Calculations!$U$412="","",Calculations!$U$412)</f>
        <v>0</v>
      </c>
      <c r="C61" s="22">
        <f>IFERROR(Calculations!$V$412,"")</f>
        <v>0</v>
      </c>
      <c r="D61" s="22">
        <f>IFERROR(Calculations!$W$412,"")</f>
        <v>0</v>
      </c>
      <c r="E61" s="22">
        <f>IFERROR(Calculations!$X$412,"")</f>
        <v>0</v>
      </c>
      <c r="F61" s="22">
        <f>IFERROR(Calculations!$Y$412,"")</f>
        <v>0</v>
      </c>
      <c r="G61" s="22">
        <f>IFERROR(Calculations!$Z$412,"")</f>
        <v>0</v>
      </c>
      <c r="H61" s="22">
        <f>IFERROR(Calculations!$AA$412,"")</f>
        <v>0</v>
      </c>
      <c r="I61" s="22">
        <f>IFERROR(Calculations!$AB$412,"")</f>
        <v>0</v>
      </c>
      <c r="J61" s="22">
        <f>IFERROR(Calculations!$AC$412,"")</f>
        <v>0</v>
      </c>
      <c r="K61" s="22">
        <f>IFERROR(Calculations!$AD$412,"")</f>
        <v>0</v>
      </c>
      <c r="L61" s="22">
        <f>IFERROR(Calculations!$AE$412,"")</f>
        <v>0</v>
      </c>
      <c r="M61" s="22">
        <f>IFERROR(Calculations!$AF$412,"")</f>
        <v>0</v>
      </c>
      <c r="N61" s="22">
        <f>IFERROR(Calculations!$AG$412,"")</f>
        <v>0</v>
      </c>
      <c r="O61" s="22">
        <f>IFERROR(Calculations!$AH$412,"")</f>
        <v>0</v>
      </c>
    </row>
    <row r="62" spans="2:19">
      <c r="B62" s="12">
        <f>IF(Calculations!$U$413="","",Calculations!$U$413)</f>
        <v>0</v>
      </c>
      <c r="C62" s="22">
        <f>IFERROR(Calculations!$V$413,"")</f>
        <v>0</v>
      </c>
      <c r="D62" s="22">
        <f>IFERROR(Calculations!$W$413,"")</f>
        <v>0</v>
      </c>
      <c r="E62" s="22">
        <f>IFERROR(Calculations!$X$413,"")</f>
        <v>0</v>
      </c>
      <c r="F62" s="22">
        <f>IFERROR(Calculations!$Y$413,"")</f>
        <v>0</v>
      </c>
      <c r="G62" s="22">
        <f>IFERROR(Calculations!$Z$413,"")</f>
        <v>0</v>
      </c>
      <c r="H62" s="22">
        <f>IFERROR(Calculations!$AA$413,"")</f>
        <v>0</v>
      </c>
      <c r="I62" s="22">
        <f>IFERROR(Calculations!$AB$413,"")</f>
        <v>0</v>
      </c>
      <c r="J62" s="22">
        <f>IFERROR(Calculations!$AC$413,"")</f>
        <v>0</v>
      </c>
      <c r="K62" s="22">
        <f>IFERROR(Calculations!$AD$413,"")</f>
        <v>0</v>
      </c>
      <c r="L62" s="22">
        <f>IFERROR(Calculations!$AE$413,"")</f>
        <v>0</v>
      </c>
      <c r="M62" s="22">
        <f>IFERROR(Calculations!$AF$413,"")</f>
        <v>0</v>
      </c>
      <c r="N62" s="22">
        <f>IFERROR(Calculations!$AG$413,"")</f>
        <v>0</v>
      </c>
      <c r="O62" s="22">
        <f>IFERROR(Calculations!$AH$413,"")</f>
        <v>0</v>
      </c>
    </row>
    <row r="63" spans="2:19">
      <c r="B63" s="12">
        <f>IF(Calculations!$U$414="","",Calculations!$U$414)</f>
        <v>0</v>
      </c>
      <c r="C63" s="22">
        <f>IFERROR(Calculations!$V$414,"")</f>
        <v>0</v>
      </c>
      <c r="D63" s="22">
        <f>IFERROR(Calculations!$W$414,"")</f>
        <v>0</v>
      </c>
      <c r="E63" s="22">
        <f>IFERROR(Calculations!$X$414,"")</f>
        <v>0</v>
      </c>
      <c r="F63" s="22">
        <f>IFERROR(Calculations!$Y$414,"")</f>
        <v>0</v>
      </c>
      <c r="G63" s="22">
        <f>IFERROR(Calculations!$Z$414,"")</f>
        <v>0</v>
      </c>
      <c r="H63" s="22">
        <f>IFERROR(Calculations!$AA$414,"")</f>
        <v>0</v>
      </c>
      <c r="I63" s="22">
        <f>IFERROR(Calculations!$AB$414,"")</f>
        <v>0</v>
      </c>
      <c r="J63" s="22">
        <f>IFERROR(Calculations!$AC$414,"")</f>
        <v>0</v>
      </c>
      <c r="K63" s="22">
        <f>IFERROR(Calculations!$AD$414,"")</f>
        <v>0</v>
      </c>
      <c r="L63" s="22">
        <f>IFERROR(Calculations!$AE$414,"")</f>
        <v>0</v>
      </c>
      <c r="M63" s="22">
        <f>IFERROR(Calculations!$AF$414,"")</f>
        <v>0</v>
      </c>
      <c r="N63" s="22">
        <f>IFERROR(Calculations!$AG$414,"")</f>
        <v>0</v>
      </c>
      <c r="O63" s="22">
        <f>IFERROR(Calculations!$AH$414,"")</f>
        <v>0</v>
      </c>
    </row>
    <row r="64" spans="2:19">
      <c r="B64" s="12">
        <f>IF(Calculations!$U$415="","",Calculations!$U$415)</f>
        <v>0</v>
      </c>
      <c r="C64" s="22">
        <f>IFERROR(Calculations!$V$415,"")</f>
        <v>0</v>
      </c>
      <c r="D64" s="22">
        <f>IFERROR(Calculations!$W$415,"")</f>
        <v>0</v>
      </c>
      <c r="E64" s="22">
        <f>IFERROR(Calculations!$X$415,"")</f>
        <v>0</v>
      </c>
      <c r="F64" s="22">
        <f>IFERROR(Calculations!$Y$415,"")</f>
        <v>0</v>
      </c>
      <c r="G64" s="22">
        <f>IFERROR(Calculations!$Z$415,"")</f>
        <v>0</v>
      </c>
      <c r="H64" s="22">
        <f>IFERROR(Calculations!$AA$415,"")</f>
        <v>0</v>
      </c>
      <c r="I64" s="22">
        <f>IFERROR(Calculations!$AB$415,"")</f>
        <v>0</v>
      </c>
      <c r="J64" s="22">
        <f>IFERROR(Calculations!$AC$415,"")</f>
        <v>0</v>
      </c>
      <c r="K64" s="22">
        <f>IFERROR(Calculations!$AD$415,"")</f>
        <v>0</v>
      </c>
      <c r="L64" s="22">
        <f>IFERROR(Calculations!$AE$415,"")</f>
        <v>0</v>
      </c>
      <c r="M64" s="22">
        <f>IFERROR(Calculations!$AF$415,"")</f>
        <v>0</v>
      </c>
      <c r="N64" s="22">
        <f>IFERROR(Calculations!$AG$415,"")</f>
        <v>0</v>
      </c>
      <c r="O64" s="22">
        <f>IFERROR(Calculations!$AH$415,"")</f>
        <v>0</v>
      </c>
    </row>
    <row r="65" spans="2:15">
      <c r="B65" s="12">
        <f>IF(Calculations!$U$416="","",Calculations!$U$416)</f>
        <v>0</v>
      </c>
      <c r="C65" s="22">
        <f>IFERROR(Calculations!$V$416,"")</f>
        <v>0</v>
      </c>
      <c r="D65" s="22">
        <f>IFERROR(Calculations!$W$416,"")</f>
        <v>0</v>
      </c>
      <c r="E65" s="22">
        <f>IFERROR(Calculations!$X$416,"")</f>
        <v>0</v>
      </c>
      <c r="F65" s="22">
        <f>IFERROR(Calculations!$Y$416,"")</f>
        <v>0</v>
      </c>
      <c r="G65" s="22">
        <f>IFERROR(Calculations!$Z$416,"")</f>
        <v>0</v>
      </c>
      <c r="H65" s="22">
        <f>IFERROR(Calculations!$AA$416,"")</f>
        <v>0</v>
      </c>
      <c r="I65" s="22">
        <f>IFERROR(Calculations!$AB$416,"")</f>
        <v>0</v>
      </c>
      <c r="J65" s="22">
        <f>IFERROR(Calculations!$AC$416,"")</f>
        <v>0</v>
      </c>
      <c r="K65" s="22">
        <f>IFERROR(Calculations!$AD$416,"")</f>
        <v>0</v>
      </c>
      <c r="L65" s="22">
        <f>IFERROR(Calculations!$AE$416,"")</f>
        <v>0</v>
      </c>
      <c r="M65" s="22">
        <f>IFERROR(Calculations!$AF$416,"")</f>
        <v>0</v>
      </c>
      <c r="N65" s="22">
        <f>IFERROR(Calculations!$AG$416,"")</f>
        <v>0</v>
      </c>
      <c r="O65" s="22">
        <f>IFERROR(Calculations!$AH$416,"")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2078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2079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Calculations!$N$437</f>
        <v>0</v>
      </c>
      <c r="C14" s="37"/>
      <c r="D14" s="37"/>
      <c r="E14" s="37"/>
      <c r="F14" s="38">
        <f>Calculations!$N$438</f>
        <v>0</v>
      </c>
      <c r="G14" s="38"/>
      <c r="H14" s="38"/>
      <c r="I14" s="38"/>
      <c r="J14" s="37">
        <f>Calculations!$N$439</f>
        <v>0</v>
      </c>
      <c r="K14" s="37"/>
      <c r="L14" s="37"/>
      <c r="M14" s="37"/>
      <c r="N14" s="37">
        <f>Calculations!$N$440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2073</v>
      </c>
      <c r="C19" s="35"/>
      <c r="D19" s="35"/>
      <c r="E19" s="35"/>
      <c r="F19" s="35" t="s">
        <v>2074</v>
      </c>
      <c r="G19" s="35"/>
      <c r="H19" s="35"/>
      <c r="I19" s="35"/>
      <c r="J19" s="35" t="s">
        <v>2075</v>
      </c>
      <c r="K19" s="35"/>
      <c r="L19" s="35"/>
      <c r="M19" s="35"/>
    </row>
    <row r="20" spans="2:19">
      <c r="B20" s="37">
        <f>Calculations!$N$441</f>
        <v>0</v>
      </c>
      <c r="C20" s="37"/>
      <c r="D20" s="37"/>
      <c r="E20" s="37"/>
      <c r="F20" s="37">
        <f>Calculations!$N$442</f>
        <v>0</v>
      </c>
      <c r="G20" s="37"/>
      <c r="H20" s="37"/>
      <c r="I20" s="37"/>
      <c r="J20" s="37">
        <f>Calculations!$N$443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IFERROR(Calculations!$P$437,"")</f>
        <v>0</v>
      </c>
      <c r="C43" s="22">
        <f>IFERROR(Calculations!$Q$437,"")</f>
        <v>0</v>
      </c>
      <c r="D43" s="23">
        <f>IFERROR(Calculations!$R$437,"")</f>
        <v>0</v>
      </c>
      <c r="E43" s="22">
        <f>IFERROR(Calculations!$S$437,"")</f>
        <v>0</v>
      </c>
    </row>
    <row r="44" spans="2:19">
      <c r="B44" s="12">
        <f>IFERROR(Calculations!$P$438,"")</f>
        <v>0</v>
      </c>
      <c r="C44" s="22">
        <f>IFERROR(Calculations!$Q$438,"")</f>
        <v>0</v>
      </c>
      <c r="D44" s="23">
        <f>IFERROR(Calculations!$R$438,"")</f>
        <v>0</v>
      </c>
      <c r="E44" s="22">
        <f>IFERROR(Calculations!$S$438,"")</f>
        <v>0</v>
      </c>
    </row>
    <row r="45" spans="2:19">
      <c r="B45" s="12">
        <f>IFERROR(Calculations!$P$439,"")</f>
        <v>0</v>
      </c>
      <c r="C45" s="22">
        <f>IFERROR(Calculations!$Q$439,"")</f>
        <v>0</v>
      </c>
      <c r="D45" s="23">
        <f>IFERROR(Calculations!$R$439,"")</f>
        <v>0</v>
      </c>
      <c r="E45" s="22">
        <f>IFERROR(Calculations!$S$439,"")</f>
        <v>0</v>
      </c>
    </row>
    <row r="46" spans="2:19">
      <c r="B46" s="12">
        <f>IFERROR(Calculations!$P$440,"")</f>
        <v>0</v>
      </c>
      <c r="C46" s="22">
        <f>IFERROR(Calculations!$Q$440,"")</f>
        <v>0</v>
      </c>
      <c r="D46" s="23">
        <f>IFERROR(Calculations!$R$440,"")</f>
        <v>0</v>
      </c>
      <c r="E46" s="22">
        <f>IFERROR(Calculations!$S$440,"")</f>
        <v>0</v>
      </c>
    </row>
    <row r="47" spans="2:19">
      <c r="B47" s="12">
        <f>IFERROR(Calculations!$P$441,"")</f>
        <v>0</v>
      </c>
      <c r="C47" s="22">
        <f>IFERROR(Calculations!$Q$441,"")</f>
        <v>0</v>
      </c>
      <c r="D47" s="23">
        <f>IFERROR(Calculations!$R$441,"")</f>
        <v>0</v>
      </c>
      <c r="E47" s="22">
        <f>IFERROR(Calculations!$S$441,"")</f>
        <v>0</v>
      </c>
    </row>
    <row r="48" spans="2:19">
      <c r="B48" s="12">
        <f>IFERROR(Calculations!$P$442,"")</f>
        <v>0</v>
      </c>
      <c r="C48" s="22">
        <f>IFERROR(Calculations!$Q$442,"")</f>
        <v>0</v>
      </c>
      <c r="D48" s="23">
        <f>IFERROR(Calculations!$R$442,"")</f>
        <v>0</v>
      </c>
      <c r="E48" s="22">
        <f>IFERROR(Calculations!$S$442,"")</f>
        <v>0</v>
      </c>
    </row>
    <row r="49" spans="2:19">
      <c r="B49" s="12">
        <f>IFERROR(Calculations!$P$443,"")</f>
        <v>0</v>
      </c>
      <c r="C49" s="22">
        <f>IFERROR(Calculations!$Q$443,"")</f>
        <v>0</v>
      </c>
      <c r="D49" s="23">
        <f>IFERROR(Calculations!$R$443,"")</f>
        <v>0</v>
      </c>
      <c r="E49" s="22">
        <f>IFERROR(Calculations!$S$443,"")</f>
        <v>0</v>
      </c>
    </row>
    <row r="50" spans="2:19">
      <c r="B50" s="12">
        <f>IFERROR(Calculations!$P$444,"")</f>
        <v>0</v>
      </c>
      <c r="C50" s="22">
        <f>IFERROR(Calculations!$Q$444,"")</f>
        <v>0</v>
      </c>
      <c r="D50" s="23">
        <f>IFERROR(Calculations!$R$444,"")</f>
        <v>0</v>
      </c>
      <c r="E50" s="22">
        <f>IFERROR(Calculations!$S$444,"")</f>
        <v>0</v>
      </c>
    </row>
    <row r="51" spans="2:19">
      <c r="B51" s="12">
        <f>IFERROR(Calculations!$P$445,"")</f>
        <v>0</v>
      </c>
      <c r="C51" s="22">
        <f>IFERROR(Calculations!$Q$445,"")</f>
        <v>0</v>
      </c>
      <c r="D51" s="23">
        <f>IFERROR(Calculations!$R$445,"")</f>
        <v>0</v>
      </c>
      <c r="E51" s="22">
        <f>IFERROR(Calculations!$S$445,"")</f>
        <v>0</v>
      </c>
    </row>
    <row r="52" spans="2:19">
      <c r="B52" s="12">
        <f>IFERROR(Calculations!$P$446,"")</f>
        <v>0</v>
      </c>
      <c r="C52" s="22">
        <f>IFERROR(Calculations!$Q$446,"")</f>
        <v>0</v>
      </c>
      <c r="D52" s="23">
        <f>IFERROR(Calculations!$R$446,"")</f>
        <v>0</v>
      </c>
      <c r="E52" s="22">
        <f>IFERROR(Calculations!$S$446,"")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IF(Calculations!$U$437="","",Calculations!$U$437)</f>
        <v>0</v>
      </c>
      <c r="C60" s="22">
        <f>IFERROR(Calculations!$V$437,"")</f>
        <v>0</v>
      </c>
      <c r="D60" s="22">
        <f>IFERROR(Calculations!$W$437,"")</f>
        <v>0</v>
      </c>
      <c r="E60" s="22">
        <f>IFERROR(Calculations!$X$437,"")</f>
        <v>0</v>
      </c>
      <c r="F60" s="22">
        <f>IFERROR(Calculations!$Y$437,"")</f>
        <v>0</v>
      </c>
      <c r="G60" s="22">
        <f>IFERROR(Calculations!$Z$437,"")</f>
        <v>0</v>
      </c>
      <c r="H60" s="22">
        <f>IFERROR(Calculations!$AA$437,"")</f>
        <v>0</v>
      </c>
      <c r="I60" s="22">
        <f>IFERROR(Calculations!$AB$437,"")</f>
        <v>0</v>
      </c>
      <c r="J60" s="22">
        <f>IFERROR(Calculations!$AC$437,"")</f>
        <v>0</v>
      </c>
      <c r="K60" s="22">
        <f>IFERROR(Calculations!$AD$437,"")</f>
        <v>0</v>
      </c>
      <c r="L60" s="22">
        <f>IFERROR(Calculations!$AE$437,"")</f>
        <v>0</v>
      </c>
      <c r="M60" s="22">
        <f>IFERROR(Calculations!$AF$437,"")</f>
        <v>0</v>
      </c>
      <c r="N60" s="22">
        <f>IFERROR(Calculations!$AG$437,"")</f>
        <v>0</v>
      </c>
      <c r="O60" s="22">
        <f>IFERROR(Calculations!$AH$437,"")</f>
        <v>0</v>
      </c>
    </row>
    <row r="61" spans="2:19">
      <c r="B61" s="12">
        <f>IF(Calculations!$U$438="","",Calculations!$U$438)</f>
        <v>0</v>
      </c>
      <c r="C61" s="22">
        <f>IFERROR(Calculations!$V$438,"")</f>
        <v>0</v>
      </c>
      <c r="D61" s="22">
        <f>IFERROR(Calculations!$W$438,"")</f>
        <v>0</v>
      </c>
      <c r="E61" s="22">
        <f>IFERROR(Calculations!$X$438,"")</f>
        <v>0</v>
      </c>
      <c r="F61" s="22">
        <f>IFERROR(Calculations!$Y$438,"")</f>
        <v>0</v>
      </c>
      <c r="G61" s="22">
        <f>IFERROR(Calculations!$Z$438,"")</f>
        <v>0</v>
      </c>
      <c r="H61" s="22">
        <f>IFERROR(Calculations!$AA$438,"")</f>
        <v>0</v>
      </c>
      <c r="I61" s="22">
        <f>IFERROR(Calculations!$AB$438,"")</f>
        <v>0</v>
      </c>
      <c r="J61" s="22">
        <f>IFERROR(Calculations!$AC$438,"")</f>
        <v>0</v>
      </c>
      <c r="K61" s="22">
        <f>IFERROR(Calculations!$AD$438,"")</f>
        <v>0</v>
      </c>
      <c r="L61" s="22">
        <f>IFERROR(Calculations!$AE$438,"")</f>
        <v>0</v>
      </c>
      <c r="M61" s="22">
        <f>IFERROR(Calculations!$AF$438,"")</f>
        <v>0</v>
      </c>
      <c r="N61" s="22">
        <f>IFERROR(Calculations!$AG$438,"")</f>
        <v>0</v>
      </c>
      <c r="O61" s="22">
        <f>IFERROR(Calculations!$AH$438,"")</f>
        <v>0</v>
      </c>
    </row>
    <row r="62" spans="2:19">
      <c r="B62" s="12">
        <f>IF(Calculations!$U$439="","",Calculations!$U$439)</f>
        <v>0</v>
      </c>
      <c r="C62" s="22">
        <f>IFERROR(Calculations!$V$439,"")</f>
        <v>0</v>
      </c>
      <c r="D62" s="22">
        <f>IFERROR(Calculations!$W$439,"")</f>
        <v>0</v>
      </c>
      <c r="E62" s="22">
        <f>IFERROR(Calculations!$X$439,"")</f>
        <v>0</v>
      </c>
      <c r="F62" s="22">
        <f>IFERROR(Calculations!$Y$439,"")</f>
        <v>0</v>
      </c>
      <c r="G62" s="22">
        <f>IFERROR(Calculations!$Z$439,"")</f>
        <v>0</v>
      </c>
      <c r="H62" s="22">
        <f>IFERROR(Calculations!$AA$439,"")</f>
        <v>0</v>
      </c>
      <c r="I62" s="22">
        <f>IFERROR(Calculations!$AB$439,"")</f>
        <v>0</v>
      </c>
      <c r="J62" s="22">
        <f>IFERROR(Calculations!$AC$439,"")</f>
        <v>0</v>
      </c>
      <c r="K62" s="22">
        <f>IFERROR(Calculations!$AD$439,"")</f>
        <v>0</v>
      </c>
      <c r="L62" s="22">
        <f>IFERROR(Calculations!$AE$439,"")</f>
        <v>0</v>
      </c>
      <c r="M62" s="22">
        <f>IFERROR(Calculations!$AF$439,"")</f>
        <v>0</v>
      </c>
      <c r="N62" s="22">
        <f>IFERROR(Calculations!$AG$439,"")</f>
        <v>0</v>
      </c>
      <c r="O62" s="22">
        <f>IFERROR(Calculations!$AH$439,"")</f>
        <v>0</v>
      </c>
    </row>
    <row r="63" spans="2:19">
      <c r="B63" s="12">
        <f>IF(Calculations!$U$440="","",Calculations!$U$440)</f>
        <v>0</v>
      </c>
      <c r="C63" s="22">
        <f>IFERROR(Calculations!$V$440,"")</f>
        <v>0</v>
      </c>
      <c r="D63" s="22">
        <f>IFERROR(Calculations!$W$440,"")</f>
        <v>0</v>
      </c>
      <c r="E63" s="22">
        <f>IFERROR(Calculations!$X$440,"")</f>
        <v>0</v>
      </c>
      <c r="F63" s="22">
        <f>IFERROR(Calculations!$Y$440,"")</f>
        <v>0</v>
      </c>
      <c r="G63" s="22">
        <f>IFERROR(Calculations!$Z$440,"")</f>
        <v>0</v>
      </c>
      <c r="H63" s="22">
        <f>IFERROR(Calculations!$AA$440,"")</f>
        <v>0</v>
      </c>
      <c r="I63" s="22">
        <f>IFERROR(Calculations!$AB$440,"")</f>
        <v>0</v>
      </c>
      <c r="J63" s="22">
        <f>IFERROR(Calculations!$AC$440,"")</f>
        <v>0</v>
      </c>
      <c r="K63" s="22">
        <f>IFERROR(Calculations!$AD$440,"")</f>
        <v>0</v>
      </c>
      <c r="L63" s="22">
        <f>IFERROR(Calculations!$AE$440,"")</f>
        <v>0</v>
      </c>
      <c r="M63" s="22">
        <f>IFERROR(Calculations!$AF$440,"")</f>
        <v>0</v>
      </c>
      <c r="N63" s="22">
        <f>IFERROR(Calculations!$AG$440,"")</f>
        <v>0</v>
      </c>
      <c r="O63" s="22">
        <f>IFERROR(Calculations!$AH$440,"")</f>
        <v>0</v>
      </c>
    </row>
    <row r="64" spans="2:19">
      <c r="B64" s="12">
        <f>IF(Calculations!$U$441="","",Calculations!$U$441)</f>
        <v>0</v>
      </c>
      <c r="C64" s="22">
        <f>IFERROR(Calculations!$V$441,"")</f>
        <v>0</v>
      </c>
      <c r="D64" s="22">
        <f>IFERROR(Calculations!$W$441,"")</f>
        <v>0</v>
      </c>
      <c r="E64" s="22">
        <f>IFERROR(Calculations!$X$441,"")</f>
        <v>0</v>
      </c>
      <c r="F64" s="22">
        <f>IFERROR(Calculations!$Y$441,"")</f>
        <v>0</v>
      </c>
      <c r="G64" s="22">
        <f>IFERROR(Calculations!$Z$441,"")</f>
        <v>0</v>
      </c>
      <c r="H64" s="22">
        <f>IFERROR(Calculations!$AA$441,"")</f>
        <v>0</v>
      </c>
      <c r="I64" s="22">
        <f>IFERROR(Calculations!$AB$441,"")</f>
        <v>0</v>
      </c>
      <c r="J64" s="22">
        <f>IFERROR(Calculations!$AC$441,"")</f>
        <v>0</v>
      </c>
      <c r="K64" s="22">
        <f>IFERROR(Calculations!$AD$441,"")</f>
        <v>0</v>
      </c>
      <c r="L64" s="22">
        <f>IFERROR(Calculations!$AE$441,"")</f>
        <v>0</v>
      </c>
      <c r="M64" s="22">
        <f>IFERROR(Calculations!$AF$441,"")</f>
        <v>0</v>
      </c>
      <c r="N64" s="22">
        <f>IFERROR(Calculations!$AG$441,"")</f>
        <v>0</v>
      </c>
      <c r="O64" s="22">
        <f>IFERROR(Calculations!$AH$441,"")</f>
        <v>0</v>
      </c>
    </row>
    <row r="65" spans="2:15">
      <c r="B65" s="12">
        <f>IF(Calculations!$U$442="","",Calculations!$U$442)</f>
        <v>0</v>
      </c>
      <c r="C65" s="22">
        <f>IFERROR(Calculations!$V$442,"")</f>
        <v>0</v>
      </c>
      <c r="D65" s="22">
        <f>IFERROR(Calculations!$W$442,"")</f>
        <v>0</v>
      </c>
      <c r="E65" s="22">
        <f>IFERROR(Calculations!$X$442,"")</f>
        <v>0</v>
      </c>
      <c r="F65" s="22">
        <f>IFERROR(Calculations!$Y$442,"")</f>
        <v>0</v>
      </c>
      <c r="G65" s="22">
        <f>IFERROR(Calculations!$Z$442,"")</f>
        <v>0</v>
      </c>
      <c r="H65" s="22">
        <f>IFERROR(Calculations!$AA$442,"")</f>
        <v>0</v>
      </c>
      <c r="I65" s="22">
        <f>IFERROR(Calculations!$AB$442,"")</f>
        <v>0</v>
      </c>
      <c r="J65" s="22">
        <f>IFERROR(Calculations!$AC$442,"")</f>
        <v>0</v>
      </c>
      <c r="K65" s="22">
        <f>IFERROR(Calculations!$AD$442,"")</f>
        <v>0</v>
      </c>
      <c r="L65" s="22">
        <f>IFERROR(Calculations!$AE$442,"")</f>
        <v>0</v>
      </c>
      <c r="M65" s="22">
        <f>IFERROR(Calculations!$AF$442,"")</f>
        <v>0</v>
      </c>
      <c r="N65" s="22">
        <f>IFERROR(Calculations!$AG$442,"")</f>
        <v>0</v>
      </c>
      <c r="O65" s="22">
        <f>IFERROR(Calculations!$AH$442,"")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  <pageSetUpPr fitToPage="1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2080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2081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2049</v>
      </c>
      <c r="G13" s="35"/>
      <c r="H13" s="35"/>
      <c r="I13" s="35"/>
      <c r="J13" s="35" t="s">
        <v>2082</v>
      </c>
      <c r="K13" s="35"/>
      <c r="L13" s="35"/>
      <c r="M13" s="35"/>
      <c r="N13" s="35" t="s">
        <v>2083</v>
      </c>
      <c r="O13" s="35"/>
      <c r="P13" s="35"/>
      <c r="Q13" s="35"/>
    </row>
    <row r="14" spans="2:19">
      <c r="B14" s="37">
        <f>Calculations!$N$463</f>
        <v>0</v>
      </c>
      <c r="C14" s="37"/>
      <c r="D14" s="37"/>
      <c r="E14" s="37"/>
      <c r="F14" s="38">
        <f>Calculations!$N$464</f>
        <v>0</v>
      </c>
      <c r="G14" s="38"/>
      <c r="H14" s="38"/>
      <c r="I14" s="38"/>
      <c r="J14" s="38">
        <f>Calculations!$N$465</f>
        <v>0</v>
      </c>
      <c r="K14" s="38"/>
      <c r="L14" s="38"/>
      <c r="M14" s="38"/>
      <c r="N14" s="37">
        <f>Calculations!$N$466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8"/>
      <c r="K15" s="38"/>
      <c r="L15" s="38"/>
      <c r="M15" s="38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>
      <c r="B18" s="10" t="s">
        <v>2052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2054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 t="s">
        <v>129</v>
      </c>
      <c r="C36" s="11" t="s">
        <v>1808</v>
      </c>
      <c r="D36" s="11" t="s">
        <v>1872</v>
      </c>
      <c r="E36" s="11" t="s">
        <v>1869</v>
      </c>
    </row>
    <row r="37" spans="2:19">
      <c r="B37" s="12">
        <f>IFERROR(Calculations!$P$463,"")</f>
        <v>0</v>
      </c>
      <c r="C37" s="22">
        <f>IFERROR(Calculations!$Q$463,"")</f>
        <v>0</v>
      </c>
      <c r="D37" s="22">
        <f>IFERROR(Calculations!$R$463,"")</f>
        <v>0</v>
      </c>
      <c r="E37" s="23">
        <f>IFERROR(Calculations!$S$463,"")</f>
        <v>0</v>
      </c>
    </row>
    <row r="38" spans="2:19">
      <c r="B38" s="12">
        <f>IFERROR(Calculations!$P$464,"")</f>
        <v>0</v>
      </c>
      <c r="C38" s="22">
        <f>IFERROR(Calculations!$Q$464,"")</f>
        <v>0</v>
      </c>
      <c r="D38" s="22">
        <f>IFERROR(Calculations!$R$464,"")</f>
        <v>0</v>
      </c>
      <c r="E38" s="23">
        <f>IFERROR(Calculations!$S$464,"")</f>
        <v>0</v>
      </c>
    </row>
    <row r="39" spans="2:19">
      <c r="B39" s="12">
        <f>IFERROR(Calculations!$P$465,"")</f>
        <v>0</v>
      </c>
      <c r="C39" s="22">
        <f>IFERROR(Calculations!$Q$465,"")</f>
        <v>0</v>
      </c>
      <c r="D39" s="22">
        <f>IFERROR(Calculations!$R$465,"")</f>
        <v>0</v>
      </c>
      <c r="E39" s="23">
        <f>IFERROR(Calculations!$S$465,"")</f>
        <v>0</v>
      </c>
    </row>
    <row r="40" spans="2:19">
      <c r="B40" s="12">
        <f>IFERROR(Calculations!$P$466,"")</f>
        <v>0</v>
      </c>
      <c r="C40" s="22">
        <f>IFERROR(Calculations!$Q$466,"")</f>
        <v>0</v>
      </c>
      <c r="D40" s="22">
        <f>IFERROR(Calculations!$R$466,"")</f>
        <v>0</v>
      </c>
      <c r="E40" s="23">
        <f>IFERROR(Calculations!$S$466,"")</f>
        <v>0</v>
      </c>
    </row>
    <row r="41" spans="2:19">
      <c r="B41" s="12">
        <f>IFERROR(Calculations!$P$467,"")</f>
        <v>0</v>
      </c>
      <c r="C41" s="22">
        <f>IFERROR(Calculations!$Q$467,"")</f>
        <v>0</v>
      </c>
      <c r="D41" s="22">
        <f>IFERROR(Calculations!$R$467,"")</f>
        <v>0</v>
      </c>
      <c r="E41" s="23">
        <f>IFERROR(Calculations!$S$467,"")</f>
        <v>0</v>
      </c>
    </row>
    <row r="42" spans="2:19">
      <c r="B42" s="12">
        <f>IFERROR(Calculations!$P$468,"")</f>
        <v>0</v>
      </c>
      <c r="C42" s="22">
        <f>IFERROR(Calculations!$Q$468,"")</f>
        <v>0</v>
      </c>
      <c r="D42" s="22">
        <f>IFERROR(Calculations!$R$468,"")</f>
        <v>0</v>
      </c>
      <c r="E42" s="23">
        <f>IFERROR(Calculations!$S$468,"")</f>
        <v>0</v>
      </c>
    </row>
    <row r="43" spans="2:19">
      <c r="B43" s="12">
        <f>IFERROR(Calculations!$P$469,"")</f>
        <v>0</v>
      </c>
      <c r="C43" s="22">
        <f>IFERROR(Calculations!$Q$469,"")</f>
        <v>0</v>
      </c>
      <c r="D43" s="22">
        <f>IFERROR(Calculations!$R$469,"")</f>
        <v>0</v>
      </c>
      <c r="E43" s="23">
        <f>IFERROR(Calculations!$S$469,"")</f>
        <v>0</v>
      </c>
    </row>
    <row r="44" spans="2:19">
      <c r="B44" s="12">
        <f>IFERROR(Calculations!$P$470,"")</f>
        <v>0</v>
      </c>
      <c r="C44" s="22">
        <f>IFERROR(Calculations!$Q$470,"")</f>
        <v>0</v>
      </c>
      <c r="D44" s="22">
        <f>IFERROR(Calculations!$R$470,"")</f>
        <v>0</v>
      </c>
      <c r="E44" s="23">
        <f>IFERROR(Calculations!$S$470,"")</f>
        <v>0</v>
      </c>
    </row>
    <row r="45" spans="2:19">
      <c r="B45" s="12">
        <f>IFERROR(Calculations!$P$471,"")</f>
        <v>0</v>
      </c>
      <c r="C45" s="22">
        <f>IFERROR(Calculations!$Q$471,"")</f>
        <v>0</v>
      </c>
      <c r="D45" s="22">
        <f>IFERROR(Calculations!$R$471,"")</f>
        <v>0</v>
      </c>
      <c r="E45" s="23">
        <f>IFERROR(Calculations!$S$471,"")</f>
        <v>0</v>
      </c>
    </row>
    <row r="46" spans="2:19">
      <c r="B46" s="12">
        <f>IFERROR(Calculations!$P$472,"")</f>
        <v>0</v>
      </c>
      <c r="C46" s="22">
        <f>IFERROR(Calculations!$Q$472,"")</f>
        <v>0</v>
      </c>
      <c r="D46" s="22">
        <f>IFERROR(Calculations!$R$472,"")</f>
        <v>0</v>
      </c>
      <c r="E46" s="23">
        <f>IFERROR(Calculations!$S$472,"")</f>
        <v>0</v>
      </c>
    </row>
    <row r="52" spans="2:19">
      <c r="B52" s="10" t="s">
        <v>2055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1873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1874</v>
      </c>
    </row>
    <row r="54" spans="2:19">
      <c r="B54" s="12">
        <f>IF(Calculations!$U$463="","",Calculations!$U$463)</f>
        <v>0</v>
      </c>
      <c r="C54" s="22">
        <f>IFERROR(Calculations!$V$463,"")</f>
        <v>0</v>
      </c>
      <c r="D54" s="22">
        <f>IFERROR(Calculations!$W$463,"")</f>
        <v>0</v>
      </c>
      <c r="E54" s="22">
        <f>IFERROR(Calculations!$X$463,"")</f>
        <v>0</v>
      </c>
      <c r="F54" s="22">
        <f>IFERROR(Calculations!$Y$463,"")</f>
        <v>0</v>
      </c>
      <c r="G54" s="22">
        <f>IFERROR(Calculations!$Z$463,"")</f>
        <v>0</v>
      </c>
      <c r="H54" s="22">
        <f>IFERROR(Calculations!$AA$463,"")</f>
        <v>0</v>
      </c>
      <c r="I54" s="22">
        <f>IFERROR(Calculations!$AB$463,"")</f>
        <v>0</v>
      </c>
      <c r="J54" s="22">
        <f>IFERROR(Calculations!$AC$463,"")</f>
        <v>0</v>
      </c>
      <c r="K54" s="22">
        <f>IFERROR(Calculations!$AD$463,"")</f>
        <v>0</v>
      </c>
      <c r="L54" s="22">
        <f>IFERROR(Calculations!$AE$463,"")</f>
        <v>0</v>
      </c>
      <c r="M54" s="22">
        <f>IFERROR(Calculations!$AF$463,"")</f>
        <v>0</v>
      </c>
      <c r="N54" s="22">
        <f>IFERROR(Calculations!$AG$463,"")</f>
        <v>0</v>
      </c>
      <c r="O54" s="22">
        <f>IFERROR(Calculations!$AH$463,"")</f>
        <v>0</v>
      </c>
    </row>
    <row r="55" spans="2:19">
      <c r="B55" s="12">
        <f>IF(Calculations!$U$464="","",Calculations!$U$464)</f>
        <v>0</v>
      </c>
      <c r="C55" s="22">
        <f>IFERROR(Calculations!$V$464,"")</f>
        <v>0</v>
      </c>
      <c r="D55" s="22">
        <f>IFERROR(Calculations!$W$464,"")</f>
        <v>0</v>
      </c>
      <c r="E55" s="22">
        <f>IFERROR(Calculations!$X$464,"")</f>
        <v>0</v>
      </c>
      <c r="F55" s="22">
        <f>IFERROR(Calculations!$Y$464,"")</f>
        <v>0</v>
      </c>
      <c r="G55" s="22">
        <f>IFERROR(Calculations!$Z$464,"")</f>
        <v>0</v>
      </c>
      <c r="H55" s="22">
        <f>IFERROR(Calculations!$AA$464,"")</f>
        <v>0</v>
      </c>
      <c r="I55" s="22">
        <f>IFERROR(Calculations!$AB$464,"")</f>
        <v>0</v>
      </c>
      <c r="J55" s="22">
        <f>IFERROR(Calculations!$AC$464,"")</f>
        <v>0</v>
      </c>
      <c r="K55" s="22">
        <f>IFERROR(Calculations!$AD$464,"")</f>
        <v>0</v>
      </c>
      <c r="L55" s="22">
        <f>IFERROR(Calculations!$AE$464,"")</f>
        <v>0</v>
      </c>
      <c r="M55" s="22">
        <f>IFERROR(Calculations!$AF$464,"")</f>
        <v>0</v>
      </c>
      <c r="N55" s="22">
        <f>IFERROR(Calculations!$AG$464,"")</f>
        <v>0</v>
      </c>
      <c r="O55" s="22">
        <f>IFERROR(Calculations!$AH$464,"")</f>
        <v>0</v>
      </c>
    </row>
    <row r="56" spans="2:19">
      <c r="B56" s="12">
        <f>IF(Calculations!$U$465="","",Calculations!$U$465)</f>
        <v>0</v>
      </c>
      <c r="C56" s="22">
        <f>IFERROR(Calculations!$V$465,"")</f>
        <v>0</v>
      </c>
      <c r="D56" s="22">
        <f>IFERROR(Calculations!$W$465,"")</f>
        <v>0</v>
      </c>
      <c r="E56" s="22">
        <f>IFERROR(Calculations!$X$465,"")</f>
        <v>0</v>
      </c>
      <c r="F56" s="22">
        <f>IFERROR(Calculations!$Y$465,"")</f>
        <v>0</v>
      </c>
      <c r="G56" s="22">
        <f>IFERROR(Calculations!$Z$465,"")</f>
        <v>0</v>
      </c>
      <c r="H56" s="22">
        <f>IFERROR(Calculations!$AA$465,"")</f>
        <v>0</v>
      </c>
      <c r="I56" s="22">
        <f>IFERROR(Calculations!$AB$465,"")</f>
        <v>0</v>
      </c>
      <c r="J56" s="22">
        <f>IFERROR(Calculations!$AC$465,"")</f>
        <v>0</v>
      </c>
      <c r="K56" s="22">
        <f>IFERROR(Calculations!$AD$465,"")</f>
        <v>0</v>
      </c>
      <c r="L56" s="22">
        <f>IFERROR(Calculations!$AE$465,"")</f>
        <v>0</v>
      </c>
      <c r="M56" s="22">
        <f>IFERROR(Calculations!$AF$465,"")</f>
        <v>0</v>
      </c>
      <c r="N56" s="22">
        <f>IFERROR(Calculations!$AG$465,"")</f>
        <v>0</v>
      </c>
      <c r="O56" s="22">
        <f>IFERROR(Calculations!$AH$465,"")</f>
        <v>0</v>
      </c>
    </row>
    <row r="57" spans="2:19">
      <c r="B57" s="12">
        <f>IF(Calculations!$U$466="","",Calculations!$U$466)</f>
        <v>0</v>
      </c>
      <c r="C57" s="22">
        <f>IFERROR(Calculations!$V$466,"")</f>
        <v>0</v>
      </c>
      <c r="D57" s="22">
        <f>IFERROR(Calculations!$W$466,"")</f>
        <v>0</v>
      </c>
      <c r="E57" s="22">
        <f>IFERROR(Calculations!$X$466,"")</f>
        <v>0</v>
      </c>
      <c r="F57" s="22">
        <f>IFERROR(Calculations!$Y$466,"")</f>
        <v>0</v>
      </c>
      <c r="G57" s="22">
        <f>IFERROR(Calculations!$Z$466,"")</f>
        <v>0</v>
      </c>
      <c r="H57" s="22">
        <f>IFERROR(Calculations!$AA$466,"")</f>
        <v>0</v>
      </c>
      <c r="I57" s="22">
        <f>IFERROR(Calculations!$AB$466,"")</f>
        <v>0</v>
      </c>
      <c r="J57" s="22">
        <f>IFERROR(Calculations!$AC$466,"")</f>
        <v>0</v>
      </c>
      <c r="K57" s="22">
        <f>IFERROR(Calculations!$AD$466,"")</f>
        <v>0</v>
      </c>
      <c r="L57" s="22">
        <f>IFERROR(Calculations!$AE$466,"")</f>
        <v>0</v>
      </c>
      <c r="M57" s="22">
        <f>IFERROR(Calculations!$AF$466,"")</f>
        <v>0</v>
      </c>
      <c r="N57" s="22">
        <f>IFERROR(Calculations!$AG$466,"")</f>
        <v>0</v>
      </c>
      <c r="O57" s="22">
        <f>IFERROR(Calculations!$AH$466,"")</f>
        <v>0</v>
      </c>
    </row>
    <row r="58" spans="2:19">
      <c r="B58" s="12">
        <f>IF(Calculations!$U$467="","",Calculations!$U$467)</f>
        <v>0</v>
      </c>
      <c r="C58" s="22">
        <f>IFERROR(Calculations!$V$467,"")</f>
        <v>0</v>
      </c>
      <c r="D58" s="22">
        <f>IFERROR(Calculations!$W$467,"")</f>
        <v>0</v>
      </c>
      <c r="E58" s="22">
        <f>IFERROR(Calculations!$X$467,"")</f>
        <v>0</v>
      </c>
      <c r="F58" s="22">
        <f>IFERROR(Calculations!$Y$467,"")</f>
        <v>0</v>
      </c>
      <c r="G58" s="22">
        <f>IFERROR(Calculations!$Z$467,"")</f>
        <v>0</v>
      </c>
      <c r="H58" s="22">
        <f>IFERROR(Calculations!$AA$467,"")</f>
        <v>0</v>
      </c>
      <c r="I58" s="22">
        <f>IFERROR(Calculations!$AB$467,"")</f>
        <v>0</v>
      </c>
      <c r="J58" s="22">
        <f>IFERROR(Calculations!$AC$467,"")</f>
        <v>0</v>
      </c>
      <c r="K58" s="22">
        <f>IFERROR(Calculations!$AD$467,"")</f>
        <v>0</v>
      </c>
      <c r="L58" s="22">
        <f>IFERROR(Calculations!$AE$467,"")</f>
        <v>0</v>
      </c>
      <c r="M58" s="22">
        <f>IFERROR(Calculations!$AF$467,"")</f>
        <v>0</v>
      </c>
      <c r="N58" s="22">
        <f>IFERROR(Calculations!$AG$467,"")</f>
        <v>0</v>
      </c>
      <c r="O58" s="22">
        <f>IFERROR(Calculations!$AH$467,"")</f>
        <v>0</v>
      </c>
    </row>
    <row r="59" spans="2:19">
      <c r="B59" s="12">
        <f>IF(Calculations!$U$468="","",Calculations!$U$468)</f>
        <v>0</v>
      </c>
      <c r="C59" s="22">
        <f>IFERROR(Calculations!$V$468,"")</f>
        <v>0</v>
      </c>
      <c r="D59" s="22">
        <f>IFERROR(Calculations!$W$468,"")</f>
        <v>0</v>
      </c>
      <c r="E59" s="22">
        <f>IFERROR(Calculations!$X$468,"")</f>
        <v>0</v>
      </c>
      <c r="F59" s="22">
        <f>IFERROR(Calculations!$Y$468,"")</f>
        <v>0</v>
      </c>
      <c r="G59" s="22">
        <f>IFERROR(Calculations!$Z$468,"")</f>
        <v>0</v>
      </c>
      <c r="H59" s="22">
        <f>IFERROR(Calculations!$AA$468,"")</f>
        <v>0</v>
      </c>
      <c r="I59" s="22">
        <f>IFERROR(Calculations!$AB$468,"")</f>
        <v>0</v>
      </c>
      <c r="J59" s="22">
        <f>IFERROR(Calculations!$AC$468,"")</f>
        <v>0</v>
      </c>
      <c r="K59" s="22">
        <f>IFERROR(Calculations!$AD$468,"")</f>
        <v>0</v>
      </c>
      <c r="L59" s="22">
        <f>IFERROR(Calculations!$AE$468,"")</f>
        <v>0</v>
      </c>
      <c r="M59" s="22">
        <f>IFERROR(Calculations!$AF$468,"")</f>
        <v>0</v>
      </c>
      <c r="N59" s="22">
        <f>IFERROR(Calculations!$AG$468,"")</f>
        <v>0</v>
      </c>
      <c r="O59" s="22">
        <f>IFERROR(Calculations!$AH$468,"")</f>
        <v>0</v>
      </c>
    </row>
  </sheetData>
  <mergeCells count="2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52:S52"/>
  </mergeCells>
  <conditionalFormatting sqref="C37:C46">
    <cfRule type="dataBar" priority="1">
      <dataBar>
        <cfvo type="min" val="0"/>
        <cfvo type="max" val="0"/>
        <color rgb="FF0B6EA8"/>
      </dataBar>
    </cfRule>
  </conditionalFormatting>
  <conditionalFormatting sqref="C55:N55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2084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2085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Calculations!$N$489</f>
        <v>0</v>
      </c>
      <c r="C14" s="37"/>
      <c r="D14" s="37"/>
      <c r="E14" s="37"/>
      <c r="F14" s="38">
        <f>Calculations!$N$490</f>
        <v>0</v>
      </c>
      <c r="G14" s="38"/>
      <c r="H14" s="38"/>
      <c r="I14" s="38"/>
      <c r="J14" s="37">
        <f>Calculations!$N$491</f>
        <v>0</v>
      </c>
      <c r="K14" s="37"/>
      <c r="L14" s="37"/>
      <c r="M14" s="37"/>
      <c r="N14" s="37">
        <f>Calculations!$N$492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2086</v>
      </c>
      <c r="C19" s="35"/>
      <c r="D19" s="35"/>
      <c r="E19" s="35"/>
      <c r="F19" s="35" t="s">
        <v>2087</v>
      </c>
      <c r="G19" s="35"/>
      <c r="H19" s="35"/>
      <c r="I19" s="35"/>
    </row>
    <row r="20" spans="2:19">
      <c r="B20" s="38">
        <f>Calculations!$N$493</f>
        <v>0</v>
      </c>
      <c r="C20" s="38"/>
      <c r="D20" s="38"/>
      <c r="E20" s="38"/>
      <c r="F20" s="37">
        <f>Calculations!$N$494</f>
        <v>0</v>
      </c>
      <c r="G20" s="37"/>
      <c r="H20" s="37"/>
      <c r="I20" s="37"/>
    </row>
    <row r="21" spans="2:19">
      <c r="B21" s="38"/>
      <c r="C21" s="38"/>
      <c r="D21" s="38"/>
      <c r="E21" s="38"/>
      <c r="F21" s="37"/>
      <c r="G21" s="37"/>
      <c r="H21" s="37"/>
      <c r="I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IF(Calculations!$U$489="","",Calculations!$U$489)</f>
        <v>0</v>
      </c>
      <c r="C60" s="22">
        <f>IFERROR(Calculations!$V$489,"")</f>
        <v>0</v>
      </c>
      <c r="D60" s="22">
        <f>IFERROR(Calculations!$W$489,"")</f>
        <v>0</v>
      </c>
      <c r="E60" s="22">
        <f>IFERROR(Calculations!$X$489,"")</f>
        <v>0</v>
      </c>
      <c r="F60" s="22">
        <f>IFERROR(Calculations!$Y$489,"")</f>
        <v>0</v>
      </c>
      <c r="G60" s="22">
        <f>IFERROR(Calculations!$Z$489,"")</f>
        <v>0</v>
      </c>
      <c r="H60" s="22">
        <f>IFERROR(Calculations!$AA$489,"")</f>
        <v>0</v>
      </c>
      <c r="I60" s="22">
        <f>IFERROR(Calculations!$AB$489,"")</f>
        <v>0</v>
      </c>
      <c r="J60" s="22">
        <f>IFERROR(Calculations!$AC$489,"")</f>
        <v>0</v>
      </c>
      <c r="K60" s="22">
        <f>IFERROR(Calculations!$AD$489,"")</f>
        <v>0</v>
      </c>
      <c r="L60" s="22">
        <f>IFERROR(Calculations!$AE$489,"")</f>
        <v>0</v>
      </c>
      <c r="M60" s="22">
        <f>IFERROR(Calculations!$AF$489,"")</f>
        <v>0</v>
      </c>
      <c r="N60" s="22">
        <f>IFERROR(Calculations!$AG$489,"")</f>
        <v>0</v>
      </c>
      <c r="O60" s="22">
        <f>IFERROR(Calculations!$AH$489,"")</f>
        <v>0</v>
      </c>
    </row>
    <row r="61" spans="2:19">
      <c r="B61" s="12">
        <f>IF(Calculations!$U$490="","",Calculations!$U$490)</f>
        <v>0</v>
      </c>
      <c r="C61" s="22">
        <f>IFERROR(Calculations!$V$490,"")</f>
        <v>0</v>
      </c>
      <c r="D61" s="22">
        <f>IFERROR(Calculations!$W$490,"")</f>
        <v>0</v>
      </c>
      <c r="E61" s="22">
        <f>IFERROR(Calculations!$X$490,"")</f>
        <v>0</v>
      </c>
      <c r="F61" s="22">
        <f>IFERROR(Calculations!$Y$490,"")</f>
        <v>0</v>
      </c>
      <c r="G61" s="22">
        <f>IFERROR(Calculations!$Z$490,"")</f>
        <v>0</v>
      </c>
      <c r="H61" s="22">
        <f>IFERROR(Calculations!$AA$490,"")</f>
        <v>0</v>
      </c>
      <c r="I61" s="22">
        <f>IFERROR(Calculations!$AB$490,"")</f>
        <v>0</v>
      </c>
      <c r="J61" s="22">
        <f>IFERROR(Calculations!$AC$490,"")</f>
        <v>0</v>
      </c>
      <c r="K61" s="22">
        <f>IFERROR(Calculations!$AD$490,"")</f>
        <v>0</v>
      </c>
      <c r="L61" s="22">
        <f>IFERROR(Calculations!$AE$490,"")</f>
        <v>0</v>
      </c>
      <c r="M61" s="22">
        <f>IFERROR(Calculations!$AF$490,"")</f>
        <v>0</v>
      </c>
      <c r="N61" s="22">
        <f>IFERROR(Calculations!$AG$490,"")</f>
        <v>0</v>
      </c>
      <c r="O61" s="22">
        <f>IFERROR(Calculations!$AH$490,"")</f>
        <v>0</v>
      </c>
    </row>
    <row r="62" spans="2:19">
      <c r="B62" s="12">
        <f>IF(Calculations!$U$491="","",Calculations!$U$491)</f>
        <v>0</v>
      </c>
      <c r="C62" s="22">
        <f>IFERROR(Calculations!$V$491,"")</f>
        <v>0</v>
      </c>
      <c r="D62" s="22">
        <f>IFERROR(Calculations!$W$491,"")</f>
        <v>0</v>
      </c>
      <c r="E62" s="22">
        <f>IFERROR(Calculations!$X$491,"")</f>
        <v>0</v>
      </c>
      <c r="F62" s="22">
        <f>IFERROR(Calculations!$Y$491,"")</f>
        <v>0</v>
      </c>
      <c r="G62" s="22">
        <f>IFERROR(Calculations!$Z$491,"")</f>
        <v>0</v>
      </c>
      <c r="H62" s="22">
        <f>IFERROR(Calculations!$AA$491,"")</f>
        <v>0</v>
      </c>
      <c r="I62" s="22">
        <f>IFERROR(Calculations!$AB$491,"")</f>
        <v>0</v>
      </c>
      <c r="J62" s="22">
        <f>IFERROR(Calculations!$AC$491,"")</f>
        <v>0</v>
      </c>
      <c r="K62" s="22">
        <f>IFERROR(Calculations!$AD$491,"")</f>
        <v>0</v>
      </c>
      <c r="L62" s="22">
        <f>IFERROR(Calculations!$AE$491,"")</f>
        <v>0</v>
      </c>
      <c r="M62" s="22">
        <f>IFERROR(Calculations!$AF$491,"")</f>
        <v>0</v>
      </c>
      <c r="N62" s="22">
        <f>IFERROR(Calculations!$AG$491,"")</f>
        <v>0</v>
      </c>
      <c r="O62" s="22">
        <f>IFERROR(Calculations!$AH$491,"")</f>
        <v>0</v>
      </c>
    </row>
    <row r="63" spans="2:19">
      <c r="B63" s="12">
        <f>IF(Calculations!$U$492="","",Calculations!$U$492)</f>
        <v>0</v>
      </c>
      <c r="C63" s="22">
        <f>IFERROR(Calculations!$V$492,"")</f>
        <v>0</v>
      </c>
      <c r="D63" s="22">
        <f>IFERROR(Calculations!$W$492,"")</f>
        <v>0</v>
      </c>
      <c r="E63" s="22">
        <f>IFERROR(Calculations!$X$492,"")</f>
        <v>0</v>
      </c>
      <c r="F63" s="22">
        <f>IFERROR(Calculations!$Y$492,"")</f>
        <v>0</v>
      </c>
      <c r="G63" s="22">
        <f>IFERROR(Calculations!$Z$492,"")</f>
        <v>0</v>
      </c>
      <c r="H63" s="22">
        <f>IFERROR(Calculations!$AA$492,"")</f>
        <v>0</v>
      </c>
      <c r="I63" s="22">
        <f>IFERROR(Calculations!$AB$492,"")</f>
        <v>0</v>
      </c>
      <c r="J63" s="22">
        <f>IFERROR(Calculations!$AC$492,"")</f>
        <v>0</v>
      </c>
      <c r="K63" s="22">
        <f>IFERROR(Calculations!$AD$492,"")</f>
        <v>0</v>
      </c>
      <c r="L63" s="22">
        <f>IFERROR(Calculations!$AE$492,"")</f>
        <v>0</v>
      </c>
      <c r="M63" s="22">
        <f>IFERROR(Calculations!$AF$492,"")</f>
        <v>0</v>
      </c>
      <c r="N63" s="22">
        <f>IFERROR(Calculations!$AG$492,"")</f>
        <v>0</v>
      </c>
      <c r="O63" s="22">
        <f>IFERROR(Calculations!$AH$492,"")</f>
        <v>0</v>
      </c>
    </row>
    <row r="64" spans="2:19">
      <c r="B64" s="12">
        <f>IF(Calculations!$U$493="","",Calculations!$U$493)</f>
        <v>0</v>
      </c>
      <c r="C64" s="22">
        <f>IFERROR(Calculations!$V$493,"")</f>
        <v>0</v>
      </c>
      <c r="D64" s="22">
        <f>IFERROR(Calculations!$W$493,"")</f>
        <v>0</v>
      </c>
      <c r="E64" s="22">
        <f>IFERROR(Calculations!$X$493,"")</f>
        <v>0</v>
      </c>
      <c r="F64" s="22">
        <f>IFERROR(Calculations!$Y$493,"")</f>
        <v>0</v>
      </c>
      <c r="G64" s="22">
        <f>IFERROR(Calculations!$Z$493,"")</f>
        <v>0</v>
      </c>
      <c r="H64" s="22">
        <f>IFERROR(Calculations!$AA$493,"")</f>
        <v>0</v>
      </c>
      <c r="I64" s="22">
        <f>IFERROR(Calculations!$AB$493,"")</f>
        <v>0</v>
      </c>
      <c r="J64" s="22">
        <f>IFERROR(Calculations!$AC$493,"")</f>
        <v>0</v>
      </c>
      <c r="K64" s="22">
        <f>IFERROR(Calculations!$AD$493,"")</f>
        <v>0</v>
      </c>
      <c r="L64" s="22">
        <f>IFERROR(Calculations!$AE$493,"")</f>
        <v>0</v>
      </c>
      <c r="M64" s="22">
        <f>IFERROR(Calculations!$AF$493,"")</f>
        <v>0</v>
      </c>
      <c r="N64" s="22">
        <f>IFERROR(Calculations!$AG$493,"")</f>
        <v>0</v>
      </c>
      <c r="O64" s="22">
        <f>IFERROR(Calculations!$AH$493,"")</f>
        <v>0</v>
      </c>
    </row>
    <row r="65" spans="2:15">
      <c r="B65" s="12">
        <f>IF(Calculations!$U$494="","",Calculations!$U$494)</f>
        <v>0</v>
      </c>
      <c r="C65" s="22">
        <f>IFERROR(Calculations!$V$494,"")</f>
        <v>0</v>
      </c>
      <c r="D65" s="22">
        <f>IFERROR(Calculations!$W$494,"")</f>
        <v>0</v>
      </c>
      <c r="E65" s="22">
        <f>IFERROR(Calculations!$X$494,"")</f>
        <v>0</v>
      </c>
      <c r="F65" s="22">
        <f>IFERROR(Calculations!$Y$494,"")</f>
        <v>0</v>
      </c>
      <c r="G65" s="22">
        <f>IFERROR(Calculations!$Z$494,"")</f>
        <v>0</v>
      </c>
      <c r="H65" s="22">
        <f>IFERROR(Calculations!$AA$494,"")</f>
        <v>0</v>
      </c>
      <c r="I65" s="22">
        <f>IFERROR(Calculations!$AB$494,"")</f>
        <v>0</v>
      </c>
      <c r="J65" s="22">
        <f>IFERROR(Calculations!$AC$494,"")</f>
        <v>0</v>
      </c>
      <c r="K65" s="22">
        <f>IFERROR(Calculations!$AD$494,"")</f>
        <v>0</v>
      </c>
      <c r="L65" s="22">
        <f>IFERROR(Calculations!$AE$494,"")</f>
        <v>0</v>
      </c>
      <c r="M65" s="22">
        <f>IFERROR(Calculations!$AF$494,"")</f>
        <v>0</v>
      </c>
      <c r="N65" s="22">
        <f>IFERROR(Calculations!$AG$494,"")</f>
        <v>0</v>
      </c>
      <c r="O65" s="22">
        <f>IFERROR(Calculations!$AH$494,"")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2088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2089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Calculations!$N$515</f>
        <v>0</v>
      </c>
      <c r="C14" s="37"/>
      <c r="D14" s="37"/>
      <c r="E14" s="37"/>
      <c r="F14" s="38">
        <f>Calculations!$N$516</f>
        <v>0</v>
      </c>
      <c r="G14" s="38"/>
      <c r="H14" s="38"/>
      <c r="I14" s="38"/>
      <c r="J14" s="37">
        <f>Calculations!$N$517</f>
        <v>0</v>
      </c>
      <c r="K14" s="37"/>
      <c r="L14" s="37"/>
      <c r="M14" s="37"/>
      <c r="N14" s="37">
        <f>Calculations!$N$518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2090</v>
      </c>
      <c r="C19" s="35"/>
      <c r="D19" s="35"/>
      <c r="E19" s="35"/>
      <c r="F19" s="35" t="s">
        <v>2091</v>
      </c>
      <c r="G19" s="35"/>
      <c r="H19" s="35"/>
      <c r="I19" s="35"/>
      <c r="J19" s="35" t="s">
        <v>2092</v>
      </c>
      <c r="K19" s="35"/>
      <c r="L19" s="35"/>
      <c r="M19" s="35"/>
    </row>
    <row r="20" spans="2:19">
      <c r="B20" s="38">
        <f>Calculations!$N$519</f>
        <v>0</v>
      </c>
      <c r="C20" s="38"/>
      <c r="D20" s="38"/>
      <c r="E20" s="38"/>
      <c r="F20" s="37">
        <f>Calculations!$N$520</f>
        <v>0</v>
      </c>
      <c r="G20" s="37"/>
      <c r="H20" s="37"/>
      <c r="I20" s="37"/>
      <c r="J20" s="37">
        <f>Calculations!$N$521</f>
        <v>0</v>
      </c>
      <c r="K20" s="37"/>
      <c r="L20" s="37"/>
      <c r="M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IF(Calculations!$U$515="","",Calculations!$U$515)</f>
        <v>0</v>
      </c>
      <c r="C60" s="22">
        <f>IFERROR(Calculations!$V$515,"")</f>
        <v>0</v>
      </c>
      <c r="D60" s="22">
        <f>IFERROR(Calculations!$W$515,"")</f>
        <v>0</v>
      </c>
      <c r="E60" s="22">
        <f>IFERROR(Calculations!$X$515,"")</f>
        <v>0</v>
      </c>
      <c r="F60" s="22">
        <f>IFERROR(Calculations!$Y$515,"")</f>
        <v>0</v>
      </c>
      <c r="G60" s="22">
        <f>IFERROR(Calculations!$Z$515,"")</f>
        <v>0</v>
      </c>
      <c r="H60" s="22">
        <f>IFERROR(Calculations!$AA$515,"")</f>
        <v>0</v>
      </c>
      <c r="I60" s="22">
        <f>IFERROR(Calculations!$AB$515,"")</f>
        <v>0</v>
      </c>
      <c r="J60" s="22">
        <f>IFERROR(Calculations!$AC$515,"")</f>
        <v>0</v>
      </c>
      <c r="K60" s="22">
        <f>IFERROR(Calculations!$AD$515,"")</f>
        <v>0</v>
      </c>
      <c r="L60" s="22">
        <f>IFERROR(Calculations!$AE$515,"")</f>
        <v>0</v>
      </c>
      <c r="M60" s="22">
        <f>IFERROR(Calculations!$AF$515,"")</f>
        <v>0</v>
      </c>
      <c r="N60" s="22">
        <f>IFERROR(Calculations!$AG$515,"")</f>
        <v>0</v>
      </c>
      <c r="O60" s="22">
        <f>IFERROR(Calculations!$AH$515,"")</f>
        <v>0</v>
      </c>
    </row>
    <row r="61" spans="2:19">
      <c r="B61" s="12">
        <f>IF(Calculations!$U$516="","",Calculations!$U$516)</f>
        <v>0</v>
      </c>
      <c r="C61" s="22">
        <f>IFERROR(Calculations!$V$516,"")</f>
        <v>0</v>
      </c>
      <c r="D61" s="22">
        <f>IFERROR(Calculations!$W$516,"")</f>
        <v>0</v>
      </c>
      <c r="E61" s="22">
        <f>IFERROR(Calculations!$X$516,"")</f>
        <v>0</v>
      </c>
      <c r="F61" s="22">
        <f>IFERROR(Calculations!$Y$516,"")</f>
        <v>0</v>
      </c>
      <c r="G61" s="22">
        <f>IFERROR(Calculations!$Z$516,"")</f>
        <v>0</v>
      </c>
      <c r="H61" s="22">
        <f>IFERROR(Calculations!$AA$516,"")</f>
        <v>0</v>
      </c>
      <c r="I61" s="22">
        <f>IFERROR(Calculations!$AB$516,"")</f>
        <v>0</v>
      </c>
      <c r="J61" s="22">
        <f>IFERROR(Calculations!$AC$516,"")</f>
        <v>0</v>
      </c>
      <c r="K61" s="22">
        <f>IFERROR(Calculations!$AD$516,"")</f>
        <v>0</v>
      </c>
      <c r="L61" s="22">
        <f>IFERROR(Calculations!$AE$516,"")</f>
        <v>0</v>
      </c>
      <c r="M61" s="22">
        <f>IFERROR(Calculations!$AF$516,"")</f>
        <v>0</v>
      </c>
      <c r="N61" s="22">
        <f>IFERROR(Calculations!$AG$516,"")</f>
        <v>0</v>
      </c>
      <c r="O61" s="22">
        <f>IFERROR(Calculations!$AH$516,"")</f>
        <v>0</v>
      </c>
    </row>
    <row r="62" spans="2:19">
      <c r="B62" s="12">
        <f>IF(Calculations!$U$517="","",Calculations!$U$517)</f>
        <v>0</v>
      </c>
      <c r="C62" s="22">
        <f>IFERROR(Calculations!$V$517,"")</f>
        <v>0</v>
      </c>
      <c r="D62" s="22">
        <f>IFERROR(Calculations!$W$517,"")</f>
        <v>0</v>
      </c>
      <c r="E62" s="22">
        <f>IFERROR(Calculations!$X$517,"")</f>
        <v>0</v>
      </c>
      <c r="F62" s="22">
        <f>IFERROR(Calculations!$Y$517,"")</f>
        <v>0</v>
      </c>
      <c r="G62" s="22">
        <f>IFERROR(Calculations!$Z$517,"")</f>
        <v>0</v>
      </c>
      <c r="H62" s="22">
        <f>IFERROR(Calculations!$AA$517,"")</f>
        <v>0</v>
      </c>
      <c r="I62" s="22">
        <f>IFERROR(Calculations!$AB$517,"")</f>
        <v>0</v>
      </c>
      <c r="J62" s="22">
        <f>IFERROR(Calculations!$AC$517,"")</f>
        <v>0</v>
      </c>
      <c r="K62" s="22">
        <f>IFERROR(Calculations!$AD$517,"")</f>
        <v>0</v>
      </c>
      <c r="L62" s="22">
        <f>IFERROR(Calculations!$AE$517,"")</f>
        <v>0</v>
      </c>
      <c r="M62" s="22">
        <f>IFERROR(Calculations!$AF$517,"")</f>
        <v>0</v>
      </c>
      <c r="N62" s="22">
        <f>IFERROR(Calculations!$AG$517,"")</f>
        <v>0</v>
      </c>
      <c r="O62" s="22">
        <f>IFERROR(Calculations!$AH$517,"")</f>
        <v>0</v>
      </c>
    </row>
    <row r="63" spans="2:19">
      <c r="B63" s="12">
        <f>IF(Calculations!$U$518="","",Calculations!$U$518)</f>
        <v>0</v>
      </c>
      <c r="C63" s="22">
        <f>IFERROR(Calculations!$V$518,"")</f>
        <v>0</v>
      </c>
      <c r="D63" s="22">
        <f>IFERROR(Calculations!$W$518,"")</f>
        <v>0</v>
      </c>
      <c r="E63" s="22">
        <f>IFERROR(Calculations!$X$518,"")</f>
        <v>0</v>
      </c>
      <c r="F63" s="22">
        <f>IFERROR(Calculations!$Y$518,"")</f>
        <v>0</v>
      </c>
      <c r="G63" s="22">
        <f>IFERROR(Calculations!$Z$518,"")</f>
        <v>0</v>
      </c>
      <c r="H63" s="22">
        <f>IFERROR(Calculations!$AA$518,"")</f>
        <v>0</v>
      </c>
      <c r="I63" s="22">
        <f>IFERROR(Calculations!$AB$518,"")</f>
        <v>0</v>
      </c>
      <c r="J63" s="22">
        <f>IFERROR(Calculations!$AC$518,"")</f>
        <v>0</v>
      </c>
      <c r="K63" s="22">
        <f>IFERROR(Calculations!$AD$518,"")</f>
        <v>0</v>
      </c>
      <c r="L63" s="22">
        <f>IFERROR(Calculations!$AE$518,"")</f>
        <v>0</v>
      </c>
      <c r="M63" s="22">
        <f>IFERROR(Calculations!$AF$518,"")</f>
        <v>0</v>
      </c>
      <c r="N63" s="22">
        <f>IFERROR(Calculations!$AG$518,"")</f>
        <v>0</v>
      </c>
      <c r="O63" s="22">
        <f>IFERROR(Calculations!$AH$518,"")</f>
        <v>0</v>
      </c>
    </row>
    <row r="64" spans="2:19">
      <c r="B64" s="12">
        <f>IF(Calculations!$U$519="","",Calculations!$U$519)</f>
        <v>0</v>
      </c>
      <c r="C64" s="22">
        <f>IFERROR(Calculations!$V$519,"")</f>
        <v>0</v>
      </c>
      <c r="D64" s="22">
        <f>IFERROR(Calculations!$W$519,"")</f>
        <v>0</v>
      </c>
      <c r="E64" s="22">
        <f>IFERROR(Calculations!$X$519,"")</f>
        <v>0</v>
      </c>
      <c r="F64" s="22">
        <f>IFERROR(Calculations!$Y$519,"")</f>
        <v>0</v>
      </c>
      <c r="G64" s="22">
        <f>IFERROR(Calculations!$Z$519,"")</f>
        <v>0</v>
      </c>
      <c r="H64" s="22">
        <f>IFERROR(Calculations!$AA$519,"")</f>
        <v>0</v>
      </c>
      <c r="I64" s="22">
        <f>IFERROR(Calculations!$AB$519,"")</f>
        <v>0</v>
      </c>
      <c r="J64" s="22">
        <f>IFERROR(Calculations!$AC$519,"")</f>
        <v>0</v>
      </c>
      <c r="K64" s="22">
        <f>IFERROR(Calculations!$AD$519,"")</f>
        <v>0</v>
      </c>
      <c r="L64" s="22">
        <f>IFERROR(Calculations!$AE$519,"")</f>
        <v>0</v>
      </c>
      <c r="M64" s="22">
        <f>IFERROR(Calculations!$AF$519,"")</f>
        <v>0</v>
      </c>
      <c r="N64" s="22">
        <f>IFERROR(Calculations!$AG$519,"")</f>
        <v>0</v>
      </c>
      <c r="O64" s="22">
        <f>IFERROR(Calculations!$AH$519,"")</f>
        <v>0</v>
      </c>
    </row>
    <row r="65" spans="2:15">
      <c r="B65" s="12">
        <f>IF(Calculations!$U$520="","",Calculations!$U$520)</f>
        <v>0</v>
      </c>
      <c r="C65" s="22">
        <f>IFERROR(Calculations!$V$520,"")</f>
        <v>0</v>
      </c>
      <c r="D65" s="22">
        <f>IFERROR(Calculations!$W$520,"")</f>
        <v>0</v>
      </c>
      <c r="E65" s="22">
        <f>IFERROR(Calculations!$X$520,"")</f>
        <v>0</v>
      </c>
      <c r="F65" s="22">
        <f>IFERROR(Calculations!$Y$520,"")</f>
        <v>0</v>
      </c>
      <c r="G65" s="22">
        <f>IFERROR(Calculations!$Z$520,"")</f>
        <v>0</v>
      </c>
      <c r="H65" s="22">
        <f>IFERROR(Calculations!$AA$520,"")</f>
        <v>0</v>
      </c>
      <c r="I65" s="22">
        <f>IFERROR(Calculations!$AB$520,"")</f>
        <v>0</v>
      </c>
      <c r="J65" s="22">
        <f>IFERROR(Calculations!$AC$520,"")</f>
        <v>0</v>
      </c>
      <c r="K65" s="22">
        <f>IFERROR(Calculations!$AD$520,"")</f>
        <v>0</v>
      </c>
      <c r="L65" s="22">
        <f>IFERROR(Calculations!$AE$520,"")</f>
        <v>0</v>
      </c>
      <c r="M65" s="22">
        <f>IFERROR(Calculations!$AF$520,"")</f>
        <v>0</v>
      </c>
      <c r="N65" s="22">
        <f>IFERROR(Calculations!$AG$520,"")</f>
        <v>0</v>
      </c>
      <c r="O65" s="22">
        <f>IFERROR(Calculations!$AH$520,"")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2093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2094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Calculations!$N$541</f>
        <v>0</v>
      </c>
      <c r="C14" s="37"/>
      <c r="D14" s="37"/>
      <c r="E14" s="37"/>
      <c r="F14" s="38">
        <f>Calculations!$N$542</f>
        <v>0</v>
      </c>
      <c r="G14" s="38"/>
      <c r="H14" s="38"/>
      <c r="I14" s="38"/>
      <c r="J14" s="37">
        <f>Calculations!$N$543</f>
        <v>0</v>
      </c>
      <c r="K14" s="37"/>
      <c r="L14" s="37"/>
      <c r="M14" s="37"/>
      <c r="N14" s="37">
        <f>Calculations!$N$544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2095</v>
      </c>
      <c r="C19" s="35"/>
      <c r="D19" s="35"/>
      <c r="E19" s="35"/>
      <c r="F19" s="35" t="s">
        <v>2096</v>
      </c>
      <c r="G19" s="35"/>
      <c r="H19" s="35"/>
      <c r="I19" s="35"/>
      <c r="J19" s="35" t="s">
        <v>2097</v>
      </c>
      <c r="K19" s="35"/>
      <c r="L19" s="35"/>
      <c r="M19" s="35"/>
    </row>
    <row r="20" spans="2:19">
      <c r="B20" s="37">
        <f>Calculations!$N$545</f>
        <v>0</v>
      </c>
      <c r="C20" s="37"/>
      <c r="D20" s="37"/>
      <c r="E20" s="37"/>
      <c r="F20" s="37">
        <f>Calculations!$N$546</f>
        <v>0</v>
      </c>
      <c r="G20" s="37"/>
      <c r="H20" s="37"/>
      <c r="I20" s="37"/>
      <c r="J20" s="37">
        <f>Calculations!$N$547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IFERROR(Calculations!$P$541,"")</f>
        <v>0</v>
      </c>
      <c r="C43" s="22">
        <f>IFERROR(Calculations!$Q$541,"")</f>
        <v>0</v>
      </c>
      <c r="D43" s="23">
        <f>IFERROR(Calculations!$R$541,"")</f>
        <v>0</v>
      </c>
      <c r="E43" s="22">
        <f>IFERROR(Calculations!$S$541,"")</f>
        <v>0</v>
      </c>
    </row>
    <row r="44" spans="2:19">
      <c r="B44" s="12">
        <f>IFERROR(Calculations!$P$542,"")</f>
        <v>0</v>
      </c>
      <c r="C44" s="22">
        <f>IFERROR(Calculations!$Q$542,"")</f>
        <v>0</v>
      </c>
      <c r="D44" s="23">
        <f>IFERROR(Calculations!$R$542,"")</f>
        <v>0</v>
      </c>
      <c r="E44" s="22">
        <f>IFERROR(Calculations!$S$542,"")</f>
        <v>0</v>
      </c>
    </row>
    <row r="45" spans="2:19">
      <c r="B45" s="12">
        <f>IFERROR(Calculations!$P$543,"")</f>
        <v>0</v>
      </c>
      <c r="C45" s="22">
        <f>IFERROR(Calculations!$Q$543,"")</f>
        <v>0</v>
      </c>
      <c r="D45" s="23">
        <f>IFERROR(Calculations!$R$543,"")</f>
        <v>0</v>
      </c>
      <c r="E45" s="22">
        <f>IFERROR(Calculations!$S$543,"")</f>
        <v>0</v>
      </c>
    </row>
    <row r="46" spans="2:19">
      <c r="B46" s="12">
        <f>IFERROR(Calculations!$P$544,"")</f>
        <v>0</v>
      </c>
      <c r="C46" s="22">
        <f>IFERROR(Calculations!$Q$544,"")</f>
        <v>0</v>
      </c>
      <c r="D46" s="23">
        <f>IFERROR(Calculations!$R$544,"")</f>
        <v>0</v>
      </c>
      <c r="E46" s="22">
        <f>IFERROR(Calculations!$S$544,"")</f>
        <v>0</v>
      </c>
    </row>
    <row r="47" spans="2:19">
      <c r="B47" s="12">
        <f>IFERROR(Calculations!$P$545,"")</f>
        <v>0</v>
      </c>
      <c r="C47" s="22">
        <f>IFERROR(Calculations!$Q$545,"")</f>
        <v>0</v>
      </c>
      <c r="D47" s="23">
        <f>IFERROR(Calculations!$R$545,"")</f>
        <v>0</v>
      </c>
      <c r="E47" s="22">
        <f>IFERROR(Calculations!$S$545,"")</f>
        <v>0</v>
      </c>
    </row>
    <row r="48" spans="2:19">
      <c r="B48" s="12">
        <f>IFERROR(Calculations!$P$546,"")</f>
        <v>0</v>
      </c>
      <c r="C48" s="22">
        <f>IFERROR(Calculations!$Q$546,"")</f>
        <v>0</v>
      </c>
      <c r="D48" s="23">
        <f>IFERROR(Calculations!$R$546,"")</f>
        <v>0</v>
      </c>
      <c r="E48" s="22">
        <f>IFERROR(Calculations!$S$546,"")</f>
        <v>0</v>
      </c>
    </row>
    <row r="49" spans="2:19">
      <c r="B49" s="12">
        <f>IFERROR(Calculations!$P$547,"")</f>
        <v>0</v>
      </c>
      <c r="C49" s="22">
        <f>IFERROR(Calculations!$Q$547,"")</f>
        <v>0</v>
      </c>
      <c r="D49" s="23">
        <f>IFERROR(Calculations!$R$547,"")</f>
        <v>0</v>
      </c>
      <c r="E49" s="22">
        <f>IFERROR(Calculations!$S$547,"")</f>
        <v>0</v>
      </c>
    </row>
    <row r="50" spans="2:19">
      <c r="B50" s="12">
        <f>IFERROR(Calculations!$P$548,"")</f>
        <v>0</v>
      </c>
      <c r="C50" s="22">
        <f>IFERROR(Calculations!$Q$548,"")</f>
        <v>0</v>
      </c>
      <c r="D50" s="23">
        <f>IFERROR(Calculations!$R$548,"")</f>
        <v>0</v>
      </c>
      <c r="E50" s="22">
        <f>IFERROR(Calculations!$S$548,"")</f>
        <v>0</v>
      </c>
    </row>
    <row r="51" spans="2:19">
      <c r="B51" s="12">
        <f>IFERROR(Calculations!$P$549,"")</f>
        <v>0</v>
      </c>
      <c r="C51" s="22">
        <f>IFERROR(Calculations!$Q$549,"")</f>
        <v>0</v>
      </c>
      <c r="D51" s="23">
        <f>IFERROR(Calculations!$R$549,"")</f>
        <v>0</v>
      </c>
      <c r="E51" s="22">
        <f>IFERROR(Calculations!$S$549,"")</f>
        <v>0</v>
      </c>
    </row>
    <row r="52" spans="2:19">
      <c r="B52" s="12">
        <f>IFERROR(Calculations!$P$550,"")</f>
        <v>0</v>
      </c>
      <c r="C52" s="22">
        <f>IFERROR(Calculations!$Q$550,"")</f>
        <v>0</v>
      </c>
      <c r="D52" s="23">
        <f>IFERROR(Calculations!$R$550,"")</f>
        <v>0</v>
      </c>
      <c r="E52" s="22">
        <f>IFERROR(Calculations!$S$550,"")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IF(Calculations!$U$541="","",Calculations!$U$541)</f>
        <v>0</v>
      </c>
      <c r="C60" s="22">
        <f>IFERROR(Calculations!$V$541,"")</f>
        <v>0</v>
      </c>
      <c r="D60" s="22">
        <f>IFERROR(Calculations!$W$541,"")</f>
        <v>0</v>
      </c>
      <c r="E60" s="22">
        <f>IFERROR(Calculations!$X$541,"")</f>
        <v>0</v>
      </c>
      <c r="F60" s="22">
        <f>IFERROR(Calculations!$Y$541,"")</f>
        <v>0</v>
      </c>
      <c r="G60" s="22">
        <f>IFERROR(Calculations!$Z$541,"")</f>
        <v>0</v>
      </c>
      <c r="H60" s="22">
        <f>IFERROR(Calculations!$AA$541,"")</f>
        <v>0</v>
      </c>
      <c r="I60" s="22">
        <f>IFERROR(Calculations!$AB$541,"")</f>
        <v>0</v>
      </c>
      <c r="J60" s="22">
        <f>IFERROR(Calculations!$AC$541,"")</f>
        <v>0</v>
      </c>
      <c r="K60" s="22">
        <f>IFERROR(Calculations!$AD$541,"")</f>
        <v>0</v>
      </c>
      <c r="L60" s="22">
        <f>IFERROR(Calculations!$AE$541,"")</f>
        <v>0</v>
      </c>
      <c r="M60" s="22">
        <f>IFERROR(Calculations!$AF$541,"")</f>
        <v>0</v>
      </c>
      <c r="N60" s="22">
        <f>IFERROR(Calculations!$AG$541,"")</f>
        <v>0</v>
      </c>
      <c r="O60" s="22">
        <f>IFERROR(Calculations!$AH$541,"")</f>
        <v>0</v>
      </c>
    </row>
    <row r="61" spans="2:19">
      <c r="B61" s="12">
        <f>IF(Calculations!$U$542="","",Calculations!$U$542)</f>
        <v>0</v>
      </c>
      <c r="C61" s="22">
        <f>IFERROR(Calculations!$V$542,"")</f>
        <v>0</v>
      </c>
      <c r="D61" s="22">
        <f>IFERROR(Calculations!$W$542,"")</f>
        <v>0</v>
      </c>
      <c r="E61" s="22">
        <f>IFERROR(Calculations!$X$542,"")</f>
        <v>0</v>
      </c>
      <c r="F61" s="22">
        <f>IFERROR(Calculations!$Y$542,"")</f>
        <v>0</v>
      </c>
      <c r="G61" s="22">
        <f>IFERROR(Calculations!$Z$542,"")</f>
        <v>0</v>
      </c>
      <c r="H61" s="22">
        <f>IFERROR(Calculations!$AA$542,"")</f>
        <v>0</v>
      </c>
      <c r="I61" s="22">
        <f>IFERROR(Calculations!$AB$542,"")</f>
        <v>0</v>
      </c>
      <c r="J61" s="22">
        <f>IFERROR(Calculations!$AC$542,"")</f>
        <v>0</v>
      </c>
      <c r="K61" s="22">
        <f>IFERROR(Calculations!$AD$542,"")</f>
        <v>0</v>
      </c>
      <c r="L61" s="22">
        <f>IFERROR(Calculations!$AE$542,"")</f>
        <v>0</v>
      </c>
      <c r="M61" s="22">
        <f>IFERROR(Calculations!$AF$542,"")</f>
        <v>0</v>
      </c>
      <c r="N61" s="22">
        <f>IFERROR(Calculations!$AG$542,"")</f>
        <v>0</v>
      </c>
      <c r="O61" s="22">
        <f>IFERROR(Calculations!$AH$542,"")</f>
        <v>0</v>
      </c>
    </row>
    <row r="62" spans="2:19">
      <c r="B62" s="12">
        <f>IF(Calculations!$U$543="","",Calculations!$U$543)</f>
        <v>0</v>
      </c>
      <c r="C62" s="22">
        <f>IFERROR(Calculations!$V$543,"")</f>
        <v>0</v>
      </c>
      <c r="D62" s="22">
        <f>IFERROR(Calculations!$W$543,"")</f>
        <v>0</v>
      </c>
      <c r="E62" s="22">
        <f>IFERROR(Calculations!$X$543,"")</f>
        <v>0</v>
      </c>
      <c r="F62" s="22">
        <f>IFERROR(Calculations!$Y$543,"")</f>
        <v>0</v>
      </c>
      <c r="G62" s="22">
        <f>IFERROR(Calculations!$Z$543,"")</f>
        <v>0</v>
      </c>
      <c r="H62" s="22">
        <f>IFERROR(Calculations!$AA$543,"")</f>
        <v>0</v>
      </c>
      <c r="I62" s="22">
        <f>IFERROR(Calculations!$AB$543,"")</f>
        <v>0</v>
      </c>
      <c r="J62" s="22">
        <f>IFERROR(Calculations!$AC$543,"")</f>
        <v>0</v>
      </c>
      <c r="K62" s="22">
        <f>IFERROR(Calculations!$AD$543,"")</f>
        <v>0</v>
      </c>
      <c r="L62" s="22">
        <f>IFERROR(Calculations!$AE$543,"")</f>
        <v>0</v>
      </c>
      <c r="M62" s="22">
        <f>IFERROR(Calculations!$AF$543,"")</f>
        <v>0</v>
      </c>
      <c r="N62" s="22">
        <f>IFERROR(Calculations!$AG$543,"")</f>
        <v>0</v>
      </c>
      <c r="O62" s="22">
        <f>IFERROR(Calculations!$AH$543,"")</f>
        <v>0</v>
      </c>
    </row>
    <row r="63" spans="2:19">
      <c r="B63" s="12">
        <f>IF(Calculations!$U$544="","",Calculations!$U$544)</f>
        <v>0</v>
      </c>
      <c r="C63" s="22">
        <f>IFERROR(Calculations!$V$544,"")</f>
        <v>0</v>
      </c>
      <c r="D63" s="22">
        <f>IFERROR(Calculations!$W$544,"")</f>
        <v>0</v>
      </c>
      <c r="E63" s="22">
        <f>IFERROR(Calculations!$X$544,"")</f>
        <v>0</v>
      </c>
      <c r="F63" s="22">
        <f>IFERROR(Calculations!$Y$544,"")</f>
        <v>0</v>
      </c>
      <c r="G63" s="22">
        <f>IFERROR(Calculations!$Z$544,"")</f>
        <v>0</v>
      </c>
      <c r="H63" s="22">
        <f>IFERROR(Calculations!$AA$544,"")</f>
        <v>0</v>
      </c>
      <c r="I63" s="22">
        <f>IFERROR(Calculations!$AB$544,"")</f>
        <v>0</v>
      </c>
      <c r="J63" s="22">
        <f>IFERROR(Calculations!$AC$544,"")</f>
        <v>0</v>
      </c>
      <c r="K63" s="22">
        <f>IFERROR(Calculations!$AD$544,"")</f>
        <v>0</v>
      </c>
      <c r="L63" s="22">
        <f>IFERROR(Calculations!$AE$544,"")</f>
        <v>0</v>
      </c>
      <c r="M63" s="22">
        <f>IFERROR(Calculations!$AF$544,"")</f>
        <v>0</v>
      </c>
      <c r="N63" s="22">
        <f>IFERROR(Calculations!$AG$544,"")</f>
        <v>0</v>
      </c>
      <c r="O63" s="22">
        <f>IFERROR(Calculations!$AH$544,"")</f>
        <v>0</v>
      </c>
    </row>
    <row r="64" spans="2:19">
      <c r="B64" s="12">
        <f>IF(Calculations!$U$545="","",Calculations!$U$545)</f>
        <v>0</v>
      </c>
      <c r="C64" s="22">
        <f>IFERROR(Calculations!$V$545,"")</f>
        <v>0</v>
      </c>
      <c r="D64" s="22">
        <f>IFERROR(Calculations!$W$545,"")</f>
        <v>0</v>
      </c>
      <c r="E64" s="22">
        <f>IFERROR(Calculations!$X$545,"")</f>
        <v>0</v>
      </c>
      <c r="F64" s="22">
        <f>IFERROR(Calculations!$Y$545,"")</f>
        <v>0</v>
      </c>
      <c r="G64" s="22">
        <f>IFERROR(Calculations!$Z$545,"")</f>
        <v>0</v>
      </c>
      <c r="H64" s="22">
        <f>IFERROR(Calculations!$AA$545,"")</f>
        <v>0</v>
      </c>
      <c r="I64" s="22">
        <f>IFERROR(Calculations!$AB$545,"")</f>
        <v>0</v>
      </c>
      <c r="J64" s="22">
        <f>IFERROR(Calculations!$AC$545,"")</f>
        <v>0</v>
      </c>
      <c r="K64" s="22">
        <f>IFERROR(Calculations!$AD$545,"")</f>
        <v>0</v>
      </c>
      <c r="L64" s="22">
        <f>IFERROR(Calculations!$AE$545,"")</f>
        <v>0</v>
      </c>
      <c r="M64" s="22">
        <f>IFERROR(Calculations!$AF$545,"")</f>
        <v>0</v>
      </c>
      <c r="N64" s="22">
        <f>IFERROR(Calculations!$AG$545,"")</f>
        <v>0</v>
      </c>
      <c r="O64" s="22">
        <f>IFERROR(Calculations!$AH$545,"")</f>
        <v>0</v>
      </c>
    </row>
    <row r="65" spans="2:15">
      <c r="B65" s="12">
        <f>IF(Calculations!$U$546="","",Calculations!$U$546)</f>
        <v>0</v>
      </c>
      <c r="C65" s="22">
        <f>IFERROR(Calculations!$V$546,"")</f>
        <v>0</v>
      </c>
      <c r="D65" s="22">
        <f>IFERROR(Calculations!$W$546,"")</f>
        <v>0</v>
      </c>
      <c r="E65" s="22">
        <f>IFERROR(Calculations!$X$546,"")</f>
        <v>0</v>
      </c>
      <c r="F65" s="22">
        <f>IFERROR(Calculations!$Y$546,"")</f>
        <v>0</v>
      </c>
      <c r="G65" s="22">
        <f>IFERROR(Calculations!$Z$546,"")</f>
        <v>0</v>
      </c>
      <c r="H65" s="22">
        <f>IFERROR(Calculations!$AA$546,"")</f>
        <v>0</v>
      </c>
      <c r="I65" s="22">
        <f>IFERROR(Calculations!$AB$546,"")</f>
        <v>0</v>
      </c>
      <c r="J65" s="22">
        <f>IFERROR(Calculations!$AC$546,"")</f>
        <v>0</v>
      </c>
      <c r="K65" s="22">
        <f>IFERROR(Calculations!$AD$546,"")</f>
        <v>0</v>
      </c>
      <c r="L65" s="22">
        <f>IFERROR(Calculations!$AE$546,"")</f>
        <v>0</v>
      </c>
      <c r="M65" s="22">
        <f>IFERROR(Calculations!$AF$546,"")</f>
        <v>0</v>
      </c>
      <c r="N65" s="22">
        <f>IFERROR(Calculations!$AG$546,"")</f>
        <v>0</v>
      </c>
      <c r="O65" s="22">
        <f>IFERROR(Calculations!$AH$546,"")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2098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2099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Calculations!$N$567</f>
        <v>0</v>
      </c>
      <c r="C14" s="37"/>
      <c r="D14" s="37"/>
      <c r="E14" s="37"/>
      <c r="F14" s="38">
        <f>Calculations!$N$568</f>
        <v>0</v>
      </c>
      <c r="G14" s="38"/>
      <c r="H14" s="38"/>
      <c r="I14" s="38"/>
      <c r="J14" s="37">
        <f>Calculations!$N$569</f>
        <v>0</v>
      </c>
      <c r="K14" s="37"/>
      <c r="L14" s="37"/>
      <c r="M14" s="37"/>
      <c r="N14" s="37">
        <f>Calculations!$N$570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2095</v>
      </c>
      <c r="C19" s="35"/>
      <c r="D19" s="35"/>
      <c r="E19" s="35"/>
      <c r="F19" s="35" t="s">
        <v>2096</v>
      </c>
      <c r="G19" s="35"/>
      <c r="H19" s="35"/>
      <c r="I19" s="35"/>
      <c r="J19" s="35" t="s">
        <v>2097</v>
      </c>
      <c r="K19" s="35"/>
      <c r="L19" s="35"/>
      <c r="M19" s="35"/>
    </row>
    <row r="20" spans="2:19">
      <c r="B20" s="37">
        <f>Calculations!$N$571</f>
        <v>0</v>
      </c>
      <c r="C20" s="37"/>
      <c r="D20" s="37"/>
      <c r="E20" s="37"/>
      <c r="F20" s="37">
        <f>Calculations!$N$572</f>
        <v>0</v>
      </c>
      <c r="G20" s="37"/>
      <c r="H20" s="37"/>
      <c r="I20" s="37"/>
      <c r="J20" s="37">
        <f>Calculations!$N$573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IFERROR(Calculations!$P$567,"")</f>
        <v>0</v>
      </c>
      <c r="C43" s="22">
        <f>IFERROR(Calculations!$Q$567,"")</f>
        <v>0</v>
      </c>
      <c r="D43" s="23">
        <f>IFERROR(Calculations!$R$567,"")</f>
        <v>0</v>
      </c>
      <c r="E43" s="22">
        <f>IFERROR(Calculations!$S$567,"")</f>
        <v>0</v>
      </c>
    </row>
    <row r="44" spans="2:19">
      <c r="B44" s="12">
        <f>IFERROR(Calculations!$P$568,"")</f>
        <v>0</v>
      </c>
      <c r="C44" s="22">
        <f>IFERROR(Calculations!$Q$568,"")</f>
        <v>0</v>
      </c>
      <c r="D44" s="23">
        <f>IFERROR(Calculations!$R$568,"")</f>
        <v>0</v>
      </c>
      <c r="E44" s="22">
        <f>IFERROR(Calculations!$S$568,"")</f>
        <v>0</v>
      </c>
    </row>
    <row r="45" spans="2:19">
      <c r="B45" s="12">
        <f>IFERROR(Calculations!$P$569,"")</f>
        <v>0</v>
      </c>
      <c r="C45" s="22">
        <f>IFERROR(Calculations!$Q$569,"")</f>
        <v>0</v>
      </c>
      <c r="D45" s="23">
        <f>IFERROR(Calculations!$R$569,"")</f>
        <v>0</v>
      </c>
      <c r="E45" s="22">
        <f>IFERROR(Calculations!$S$569,"")</f>
        <v>0</v>
      </c>
    </row>
    <row r="46" spans="2:19">
      <c r="B46" s="12">
        <f>IFERROR(Calculations!$P$570,"")</f>
        <v>0</v>
      </c>
      <c r="C46" s="22">
        <f>IFERROR(Calculations!$Q$570,"")</f>
        <v>0</v>
      </c>
      <c r="D46" s="23">
        <f>IFERROR(Calculations!$R$570,"")</f>
        <v>0</v>
      </c>
      <c r="E46" s="22">
        <f>IFERROR(Calculations!$S$570,"")</f>
        <v>0</v>
      </c>
    </row>
    <row r="47" spans="2:19">
      <c r="B47" s="12">
        <f>IFERROR(Calculations!$P$571,"")</f>
        <v>0</v>
      </c>
      <c r="C47" s="22">
        <f>IFERROR(Calculations!$Q$571,"")</f>
        <v>0</v>
      </c>
      <c r="D47" s="23">
        <f>IFERROR(Calculations!$R$571,"")</f>
        <v>0</v>
      </c>
      <c r="E47" s="22">
        <f>IFERROR(Calculations!$S$571,"")</f>
        <v>0</v>
      </c>
    </row>
    <row r="48" spans="2:19">
      <c r="B48" s="12">
        <f>IFERROR(Calculations!$P$572,"")</f>
        <v>0</v>
      </c>
      <c r="C48" s="22">
        <f>IFERROR(Calculations!$Q$572,"")</f>
        <v>0</v>
      </c>
      <c r="D48" s="23">
        <f>IFERROR(Calculations!$R$572,"")</f>
        <v>0</v>
      </c>
      <c r="E48" s="22">
        <f>IFERROR(Calculations!$S$572,"")</f>
        <v>0</v>
      </c>
    </row>
    <row r="49" spans="2:19">
      <c r="B49" s="12">
        <f>IFERROR(Calculations!$P$573,"")</f>
        <v>0</v>
      </c>
      <c r="C49" s="22">
        <f>IFERROR(Calculations!$Q$573,"")</f>
        <v>0</v>
      </c>
      <c r="D49" s="23">
        <f>IFERROR(Calculations!$R$573,"")</f>
        <v>0</v>
      </c>
      <c r="E49" s="22">
        <f>IFERROR(Calculations!$S$573,"")</f>
        <v>0</v>
      </c>
    </row>
    <row r="50" spans="2:19">
      <c r="B50" s="12">
        <f>IFERROR(Calculations!$P$574,"")</f>
        <v>0</v>
      </c>
      <c r="C50" s="22">
        <f>IFERROR(Calculations!$Q$574,"")</f>
        <v>0</v>
      </c>
      <c r="D50" s="23">
        <f>IFERROR(Calculations!$R$574,"")</f>
        <v>0</v>
      </c>
      <c r="E50" s="22">
        <f>IFERROR(Calculations!$S$574,"")</f>
        <v>0</v>
      </c>
    </row>
    <row r="51" spans="2:19">
      <c r="B51" s="12">
        <f>IFERROR(Calculations!$P$575,"")</f>
        <v>0</v>
      </c>
      <c r="C51" s="22">
        <f>IFERROR(Calculations!$Q$575,"")</f>
        <v>0</v>
      </c>
      <c r="D51" s="23">
        <f>IFERROR(Calculations!$R$575,"")</f>
        <v>0</v>
      </c>
      <c r="E51" s="22">
        <f>IFERROR(Calculations!$S$575,"")</f>
        <v>0</v>
      </c>
    </row>
    <row r="52" spans="2:19">
      <c r="B52" s="12">
        <f>IFERROR(Calculations!$P$576,"")</f>
        <v>0</v>
      </c>
      <c r="C52" s="22">
        <f>IFERROR(Calculations!$Q$576,"")</f>
        <v>0</v>
      </c>
      <c r="D52" s="23">
        <f>IFERROR(Calculations!$R$576,"")</f>
        <v>0</v>
      </c>
      <c r="E52" s="22">
        <f>IFERROR(Calculations!$S$576,"")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IF(Calculations!$U$567="","",Calculations!$U$567)</f>
        <v>0</v>
      </c>
      <c r="C60" s="22">
        <f>IFERROR(Calculations!$V$567,"")</f>
        <v>0</v>
      </c>
      <c r="D60" s="22">
        <f>IFERROR(Calculations!$W$567,"")</f>
        <v>0</v>
      </c>
      <c r="E60" s="22">
        <f>IFERROR(Calculations!$X$567,"")</f>
        <v>0</v>
      </c>
      <c r="F60" s="22">
        <f>IFERROR(Calculations!$Y$567,"")</f>
        <v>0</v>
      </c>
      <c r="G60" s="22">
        <f>IFERROR(Calculations!$Z$567,"")</f>
        <v>0</v>
      </c>
      <c r="H60" s="22">
        <f>IFERROR(Calculations!$AA$567,"")</f>
        <v>0</v>
      </c>
      <c r="I60" s="22">
        <f>IFERROR(Calculations!$AB$567,"")</f>
        <v>0</v>
      </c>
      <c r="J60" s="22">
        <f>IFERROR(Calculations!$AC$567,"")</f>
        <v>0</v>
      </c>
      <c r="K60" s="22">
        <f>IFERROR(Calculations!$AD$567,"")</f>
        <v>0</v>
      </c>
      <c r="L60" s="22">
        <f>IFERROR(Calculations!$AE$567,"")</f>
        <v>0</v>
      </c>
      <c r="M60" s="22">
        <f>IFERROR(Calculations!$AF$567,"")</f>
        <v>0</v>
      </c>
      <c r="N60" s="22">
        <f>IFERROR(Calculations!$AG$567,"")</f>
        <v>0</v>
      </c>
      <c r="O60" s="22">
        <f>IFERROR(Calculations!$AH$567,"")</f>
        <v>0</v>
      </c>
    </row>
    <row r="61" spans="2:19">
      <c r="B61" s="12">
        <f>IF(Calculations!$U$568="","",Calculations!$U$568)</f>
        <v>0</v>
      </c>
      <c r="C61" s="22">
        <f>IFERROR(Calculations!$V$568,"")</f>
        <v>0</v>
      </c>
      <c r="D61" s="22">
        <f>IFERROR(Calculations!$W$568,"")</f>
        <v>0</v>
      </c>
      <c r="E61" s="22">
        <f>IFERROR(Calculations!$X$568,"")</f>
        <v>0</v>
      </c>
      <c r="F61" s="22">
        <f>IFERROR(Calculations!$Y$568,"")</f>
        <v>0</v>
      </c>
      <c r="G61" s="22">
        <f>IFERROR(Calculations!$Z$568,"")</f>
        <v>0</v>
      </c>
      <c r="H61" s="22">
        <f>IFERROR(Calculations!$AA$568,"")</f>
        <v>0</v>
      </c>
      <c r="I61" s="22">
        <f>IFERROR(Calculations!$AB$568,"")</f>
        <v>0</v>
      </c>
      <c r="J61" s="22">
        <f>IFERROR(Calculations!$AC$568,"")</f>
        <v>0</v>
      </c>
      <c r="K61" s="22">
        <f>IFERROR(Calculations!$AD$568,"")</f>
        <v>0</v>
      </c>
      <c r="L61" s="22">
        <f>IFERROR(Calculations!$AE$568,"")</f>
        <v>0</v>
      </c>
      <c r="M61" s="22">
        <f>IFERROR(Calculations!$AF$568,"")</f>
        <v>0</v>
      </c>
      <c r="N61" s="22">
        <f>IFERROR(Calculations!$AG$568,"")</f>
        <v>0</v>
      </c>
      <c r="O61" s="22">
        <f>IFERROR(Calculations!$AH$568,"")</f>
        <v>0</v>
      </c>
    </row>
    <row r="62" spans="2:19">
      <c r="B62" s="12">
        <f>IF(Calculations!$U$569="","",Calculations!$U$569)</f>
        <v>0</v>
      </c>
      <c r="C62" s="22">
        <f>IFERROR(Calculations!$V$569,"")</f>
        <v>0</v>
      </c>
      <c r="D62" s="22">
        <f>IFERROR(Calculations!$W$569,"")</f>
        <v>0</v>
      </c>
      <c r="E62" s="22">
        <f>IFERROR(Calculations!$X$569,"")</f>
        <v>0</v>
      </c>
      <c r="F62" s="22">
        <f>IFERROR(Calculations!$Y$569,"")</f>
        <v>0</v>
      </c>
      <c r="G62" s="22">
        <f>IFERROR(Calculations!$Z$569,"")</f>
        <v>0</v>
      </c>
      <c r="H62" s="22">
        <f>IFERROR(Calculations!$AA$569,"")</f>
        <v>0</v>
      </c>
      <c r="I62" s="22">
        <f>IFERROR(Calculations!$AB$569,"")</f>
        <v>0</v>
      </c>
      <c r="J62" s="22">
        <f>IFERROR(Calculations!$AC$569,"")</f>
        <v>0</v>
      </c>
      <c r="K62" s="22">
        <f>IFERROR(Calculations!$AD$569,"")</f>
        <v>0</v>
      </c>
      <c r="L62" s="22">
        <f>IFERROR(Calculations!$AE$569,"")</f>
        <v>0</v>
      </c>
      <c r="M62" s="22">
        <f>IFERROR(Calculations!$AF$569,"")</f>
        <v>0</v>
      </c>
      <c r="N62" s="22">
        <f>IFERROR(Calculations!$AG$569,"")</f>
        <v>0</v>
      </c>
      <c r="O62" s="22">
        <f>IFERROR(Calculations!$AH$569,"")</f>
        <v>0</v>
      </c>
    </row>
    <row r="63" spans="2:19">
      <c r="B63" s="12">
        <f>IF(Calculations!$U$570="","",Calculations!$U$570)</f>
        <v>0</v>
      </c>
      <c r="C63" s="22">
        <f>IFERROR(Calculations!$V$570,"")</f>
        <v>0</v>
      </c>
      <c r="D63" s="22">
        <f>IFERROR(Calculations!$W$570,"")</f>
        <v>0</v>
      </c>
      <c r="E63" s="22">
        <f>IFERROR(Calculations!$X$570,"")</f>
        <v>0</v>
      </c>
      <c r="F63" s="22">
        <f>IFERROR(Calculations!$Y$570,"")</f>
        <v>0</v>
      </c>
      <c r="G63" s="22">
        <f>IFERROR(Calculations!$Z$570,"")</f>
        <v>0</v>
      </c>
      <c r="H63" s="22">
        <f>IFERROR(Calculations!$AA$570,"")</f>
        <v>0</v>
      </c>
      <c r="I63" s="22">
        <f>IFERROR(Calculations!$AB$570,"")</f>
        <v>0</v>
      </c>
      <c r="J63" s="22">
        <f>IFERROR(Calculations!$AC$570,"")</f>
        <v>0</v>
      </c>
      <c r="K63" s="22">
        <f>IFERROR(Calculations!$AD$570,"")</f>
        <v>0</v>
      </c>
      <c r="L63" s="22">
        <f>IFERROR(Calculations!$AE$570,"")</f>
        <v>0</v>
      </c>
      <c r="M63" s="22">
        <f>IFERROR(Calculations!$AF$570,"")</f>
        <v>0</v>
      </c>
      <c r="N63" s="22">
        <f>IFERROR(Calculations!$AG$570,"")</f>
        <v>0</v>
      </c>
      <c r="O63" s="22">
        <f>IFERROR(Calculations!$AH$570,"")</f>
        <v>0</v>
      </c>
    </row>
    <row r="64" spans="2:19">
      <c r="B64" s="12">
        <f>IF(Calculations!$U$571="","",Calculations!$U$571)</f>
        <v>0</v>
      </c>
      <c r="C64" s="22">
        <f>IFERROR(Calculations!$V$571,"")</f>
        <v>0</v>
      </c>
      <c r="D64" s="22">
        <f>IFERROR(Calculations!$W$571,"")</f>
        <v>0</v>
      </c>
      <c r="E64" s="22">
        <f>IFERROR(Calculations!$X$571,"")</f>
        <v>0</v>
      </c>
      <c r="F64" s="22">
        <f>IFERROR(Calculations!$Y$571,"")</f>
        <v>0</v>
      </c>
      <c r="G64" s="22">
        <f>IFERROR(Calculations!$Z$571,"")</f>
        <v>0</v>
      </c>
      <c r="H64" s="22">
        <f>IFERROR(Calculations!$AA$571,"")</f>
        <v>0</v>
      </c>
      <c r="I64" s="22">
        <f>IFERROR(Calculations!$AB$571,"")</f>
        <v>0</v>
      </c>
      <c r="J64" s="22">
        <f>IFERROR(Calculations!$AC$571,"")</f>
        <v>0</v>
      </c>
      <c r="K64" s="22">
        <f>IFERROR(Calculations!$AD$571,"")</f>
        <v>0</v>
      </c>
      <c r="L64" s="22">
        <f>IFERROR(Calculations!$AE$571,"")</f>
        <v>0</v>
      </c>
      <c r="M64" s="22">
        <f>IFERROR(Calculations!$AF$571,"")</f>
        <v>0</v>
      </c>
      <c r="N64" s="22">
        <f>IFERROR(Calculations!$AG$571,"")</f>
        <v>0</v>
      </c>
      <c r="O64" s="22">
        <f>IFERROR(Calculations!$AH$571,"")</f>
        <v>0</v>
      </c>
    </row>
    <row r="65" spans="2:15">
      <c r="B65" s="12">
        <f>IF(Calculations!$U$572="","",Calculations!$U$572)</f>
        <v>0</v>
      </c>
      <c r="C65" s="22">
        <f>IFERROR(Calculations!$V$572,"")</f>
        <v>0</v>
      </c>
      <c r="D65" s="22">
        <f>IFERROR(Calculations!$W$572,"")</f>
        <v>0</v>
      </c>
      <c r="E65" s="22">
        <f>IFERROR(Calculations!$X$572,"")</f>
        <v>0</v>
      </c>
      <c r="F65" s="22">
        <f>IFERROR(Calculations!$Y$572,"")</f>
        <v>0</v>
      </c>
      <c r="G65" s="22">
        <f>IFERROR(Calculations!$Z$572,"")</f>
        <v>0</v>
      </c>
      <c r="H65" s="22">
        <f>IFERROR(Calculations!$AA$572,"")</f>
        <v>0</v>
      </c>
      <c r="I65" s="22">
        <f>IFERROR(Calculations!$AB$572,"")</f>
        <v>0</v>
      </c>
      <c r="J65" s="22">
        <f>IFERROR(Calculations!$AC$572,"")</f>
        <v>0</v>
      </c>
      <c r="K65" s="22">
        <f>IFERROR(Calculations!$AD$572,"")</f>
        <v>0</v>
      </c>
      <c r="L65" s="22">
        <f>IFERROR(Calculations!$AE$572,"")</f>
        <v>0</v>
      </c>
      <c r="M65" s="22">
        <f>IFERROR(Calculations!$AF$572,"")</f>
        <v>0</v>
      </c>
      <c r="N65" s="22">
        <f>IFERROR(Calculations!$AG$572,"")</f>
        <v>0</v>
      </c>
      <c r="O65" s="22">
        <f>IFERROR(Calculations!$AH$572,"")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2100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2101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Calculations!$N$593</f>
        <v>0</v>
      </c>
      <c r="C14" s="37"/>
      <c r="D14" s="37"/>
      <c r="E14" s="37"/>
      <c r="F14" s="38">
        <f>Calculations!$N$594</f>
        <v>0</v>
      </c>
      <c r="G14" s="38"/>
      <c r="H14" s="38"/>
      <c r="I14" s="38"/>
      <c r="J14" s="37">
        <f>Calculations!$N$595</f>
        <v>0</v>
      </c>
      <c r="K14" s="37"/>
      <c r="L14" s="37"/>
      <c r="M14" s="37"/>
      <c r="N14" s="37">
        <f>Calculations!$N$596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2082</v>
      </c>
      <c r="C19" s="35"/>
      <c r="D19" s="35"/>
      <c r="E19" s="35"/>
      <c r="F19" s="35" t="s">
        <v>2083</v>
      </c>
      <c r="G19" s="35"/>
      <c r="H19" s="35"/>
      <c r="I19" s="35"/>
    </row>
    <row r="20" spans="2:19">
      <c r="B20" s="38">
        <f>Calculations!$N$597</f>
        <v>0</v>
      </c>
      <c r="C20" s="38"/>
      <c r="D20" s="38"/>
      <c r="E20" s="38"/>
      <c r="F20" s="37">
        <f>Calculations!$N$598</f>
        <v>0</v>
      </c>
      <c r="G20" s="37"/>
      <c r="H20" s="37"/>
      <c r="I20" s="37"/>
    </row>
    <row r="21" spans="2:19">
      <c r="B21" s="38"/>
      <c r="C21" s="38"/>
      <c r="D21" s="38"/>
      <c r="E21" s="38"/>
      <c r="F21" s="37"/>
      <c r="G21" s="37"/>
      <c r="H21" s="37"/>
      <c r="I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1892</v>
      </c>
    </row>
    <row r="43" spans="2:19">
      <c r="B43" s="12">
        <f>IFERROR(Calculations!$P$593,"")</f>
        <v>0</v>
      </c>
      <c r="C43" s="22">
        <f>IFERROR(Calculations!$Q$593,"")</f>
        <v>0</v>
      </c>
      <c r="D43" s="23">
        <f>IFERROR(Calculations!$R$593,"")</f>
        <v>0</v>
      </c>
      <c r="E43" s="23">
        <f>IFERROR(Calculations!$S$593,"")</f>
        <v>0</v>
      </c>
    </row>
    <row r="44" spans="2:19">
      <c r="B44" s="12">
        <f>IFERROR(Calculations!$P$594,"")</f>
        <v>0</v>
      </c>
      <c r="C44" s="22">
        <f>IFERROR(Calculations!$Q$594,"")</f>
        <v>0</v>
      </c>
      <c r="D44" s="23">
        <f>IFERROR(Calculations!$R$594,"")</f>
        <v>0</v>
      </c>
      <c r="E44" s="23">
        <f>IFERROR(Calculations!$S$594,"")</f>
        <v>0</v>
      </c>
    </row>
    <row r="45" spans="2:19">
      <c r="B45" s="12">
        <f>IFERROR(Calculations!$P$595,"")</f>
        <v>0</v>
      </c>
      <c r="C45" s="22">
        <f>IFERROR(Calculations!$Q$595,"")</f>
        <v>0</v>
      </c>
      <c r="D45" s="23">
        <f>IFERROR(Calculations!$R$595,"")</f>
        <v>0</v>
      </c>
      <c r="E45" s="23">
        <f>IFERROR(Calculations!$S$595,"")</f>
        <v>0</v>
      </c>
    </row>
    <row r="46" spans="2:19">
      <c r="B46" s="12">
        <f>IFERROR(Calculations!$P$596,"")</f>
        <v>0</v>
      </c>
      <c r="C46" s="22">
        <f>IFERROR(Calculations!$Q$596,"")</f>
        <v>0</v>
      </c>
      <c r="D46" s="23">
        <f>IFERROR(Calculations!$R$596,"")</f>
        <v>0</v>
      </c>
      <c r="E46" s="23">
        <f>IFERROR(Calculations!$S$596,"")</f>
        <v>0</v>
      </c>
    </row>
    <row r="47" spans="2:19">
      <c r="B47" s="12">
        <f>IFERROR(Calculations!$P$597,"")</f>
        <v>0</v>
      </c>
      <c r="C47" s="22">
        <f>IFERROR(Calculations!$Q$597,"")</f>
        <v>0</v>
      </c>
      <c r="D47" s="23">
        <f>IFERROR(Calculations!$R$597,"")</f>
        <v>0</v>
      </c>
      <c r="E47" s="23">
        <f>IFERROR(Calculations!$S$597,"")</f>
        <v>0</v>
      </c>
    </row>
    <row r="48" spans="2:19">
      <c r="B48" s="12">
        <f>IFERROR(Calculations!$P$598,"")</f>
        <v>0</v>
      </c>
      <c r="C48" s="22">
        <f>IFERROR(Calculations!$Q$598,"")</f>
        <v>0</v>
      </c>
      <c r="D48" s="23">
        <f>IFERROR(Calculations!$R$598,"")</f>
        <v>0</v>
      </c>
      <c r="E48" s="23">
        <f>IFERROR(Calculations!$S$598,"")</f>
        <v>0</v>
      </c>
    </row>
    <row r="49" spans="2:19">
      <c r="B49" s="12">
        <f>IFERROR(Calculations!$P$599,"")</f>
        <v>0</v>
      </c>
      <c r="C49" s="22">
        <f>IFERROR(Calculations!$Q$599,"")</f>
        <v>0</v>
      </c>
      <c r="D49" s="23">
        <f>IFERROR(Calculations!$R$599,"")</f>
        <v>0</v>
      </c>
      <c r="E49" s="23">
        <f>IFERROR(Calculations!$S$599,"")</f>
        <v>0</v>
      </c>
    </row>
    <row r="50" spans="2:19">
      <c r="B50" s="12">
        <f>IFERROR(Calculations!$P$600,"")</f>
        <v>0</v>
      </c>
      <c r="C50" s="22">
        <f>IFERROR(Calculations!$Q$600,"")</f>
        <v>0</v>
      </c>
      <c r="D50" s="23">
        <f>IFERROR(Calculations!$R$600,"")</f>
        <v>0</v>
      </c>
      <c r="E50" s="23">
        <f>IFERROR(Calculations!$S$600,"")</f>
        <v>0</v>
      </c>
    </row>
    <row r="51" spans="2:19">
      <c r="B51" s="12">
        <f>IFERROR(Calculations!$P$601,"")</f>
        <v>0</v>
      </c>
      <c r="C51" s="22">
        <f>IFERROR(Calculations!$Q$601,"")</f>
        <v>0</v>
      </c>
      <c r="D51" s="23">
        <f>IFERROR(Calculations!$R$601,"")</f>
        <v>0</v>
      </c>
      <c r="E51" s="23">
        <f>IFERROR(Calculations!$S$601,"")</f>
        <v>0</v>
      </c>
    </row>
    <row r="52" spans="2:19">
      <c r="B52" s="12">
        <f>IFERROR(Calculations!$P$602,"")</f>
        <v>0</v>
      </c>
      <c r="C52" s="22">
        <f>IFERROR(Calculations!$Q$602,"")</f>
        <v>0</v>
      </c>
      <c r="D52" s="23">
        <f>IFERROR(Calculations!$R$602,"")</f>
        <v>0</v>
      </c>
      <c r="E52" s="23">
        <f>IFERROR(Calculations!$S$602,"")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IF(Calculations!$U$593="","",Calculations!$U$593)</f>
        <v>0</v>
      </c>
      <c r="C60" s="22">
        <f>IFERROR(Calculations!$V$593,"")</f>
        <v>0</v>
      </c>
      <c r="D60" s="22">
        <f>IFERROR(Calculations!$W$593,"")</f>
        <v>0</v>
      </c>
      <c r="E60" s="22">
        <f>IFERROR(Calculations!$X$593,"")</f>
        <v>0</v>
      </c>
      <c r="F60" s="22">
        <f>IFERROR(Calculations!$Y$593,"")</f>
        <v>0</v>
      </c>
      <c r="G60" s="22">
        <f>IFERROR(Calculations!$Z$593,"")</f>
        <v>0</v>
      </c>
      <c r="H60" s="22">
        <f>IFERROR(Calculations!$AA$593,"")</f>
        <v>0</v>
      </c>
      <c r="I60" s="22">
        <f>IFERROR(Calculations!$AB$593,"")</f>
        <v>0</v>
      </c>
      <c r="J60" s="22">
        <f>IFERROR(Calculations!$AC$593,"")</f>
        <v>0</v>
      </c>
      <c r="K60" s="22">
        <f>IFERROR(Calculations!$AD$593,"")</f>
        <v>0</v>
      </c>
      <c r="L60" s="22">
        <f>IFERROR(Calculations!$AE$593,"")</f>
        <v>0</v>
      </c>
      <c r="M60" s="22">
        <f>IFERROR(Calculations!$AF$593,"")</f>
        <v>0</v>
      </c>
      <c r="N60" s="22">
        <f>IFERROR(Calculations!$AG$593,"")</f>
        <v>0</v>
      </c>
      <c r="O60" s="22">
        <f>IFERROR(Calculations!$AH$593,"")</f>
        <v>0</v>
      </c>
    </row>
    <row r="61" spans="2:19">
      <c r="B61" s="12">
        <f>IF(Calculations!$U$594="","",Calculations!$U$594)</f>
        <v>0</v>
      </c>
      <c r="C61" s="22">
        <f>IFERROR(Calculations!$V$594,"")</f>
        <v>0</v>
      </c>
      <c r="D61" s="22">
        <f>IFERROR(Calculations!$W$594,"")</f>
        <v>0</v>
      </c>
      <c r="E61" s="22">
        <f>IFERROR(Calculations!$X$594,"")</f>
        <v>0</v>
      </c>
      <c r="F61" s="22">
        <f>IFERROR(Calculations!$Y$594,"")</f>
        <v>0</v>
      </c>
      <c r="G61" s="22">
        <f>IFERROR(Calculations!$Z$594,"")</f>
        <v>0</v>
      </c>
      <c r="H61" s="22">
        <f>IFERROR(Calculations!$AA$594,"")</f>
        <v>0</v>
      </c>
      <c r="I61" s="22">
        <f>IFERROR(Calculations!$AB$594,"")</f>
        <v>0</v>
      </c>
      <c r="J61" s="22">
        <f>IFERROR(Calculations!$AC$594,"")</f>
        <v>0</v>
      </c>
      <c r="K61" s="22">
        <f>IFERROR(Calculations!$AD$594,"")</f>
        <v>0</v>
      </c>
      <c r="L61" s="22">
        <f>IFERROR(Calculations!$AE$594,"")</f>
        <v>0</v>
      </c>
      <c r="M61" s="22">
        <f>IFERROR(Calculations!$AF$594,"")</f>
        <v>0</v>
      </c>
      <c r="N61" s="22">
        <f>IFERROR(Calculations!$AG$594,"")</f>
        <v>0</v>
      </c>
      <c r="O61" s="22">
        <f>IFERROR(Calculations!$AH$594,"")</f>
        <v>0</v>
      </c>
    </row>
    <row r="62" spans="2:19">
      <c r="B62" s="12">
        <f>IF(Calculations!$U$595="","",Calculations!$U$595)</f>
        <v>0</v>
      </c>
      <c r="C62" s="22">
        <f>IFERROR(Calculations!$V$595,"")</f>
        <v>0</v>
      </c>
      <c r="D62" s="22">
        <f>IFERROR(Calculations!$W$595,"")</f>
        <v>0</v>
      </c>
      <c r="E62" s="22">
        <f>IFERROR(Calculations!$X$595,"")</f>
        <v>0</v>
      </c>
      <c r="F62" s="22">
        <f>IFERROR(Calculations!$Y$595,"")</f>
        <v>0</v>
      </c>
      <c r="G62" s="22">
        <f>IFERROR(Calculations!$Z$595,"")</f>
        <v>0</v>
      </c>
      <c r="H62" s="22">
        <f>IFERROR(Calculations!$AA$595,"")</f>
        <v>0</v>
      </c>
      <c r="I62" s="22">
        <f>IFERROR(Calculations!$AB$595,"")</f>
        <v>0</v>
      </c>
      <c r="J62" s="22">
        <f>IFERROR(Calculations!$AC$595,"")</f>
        <v>0</v>
      </c>
      <c r="K62" s="22">
        <f>IFERROR(Calculations!$AD$595,"")</f>
        <v>0</v>
      </c>
      <c r="L62" s="22">
        <f>IFERROR(Calculations!$AE$595,"")</f>
        <v>0</v>
      </c>
      <c r="M62" s="22">
        <f>IFERROR(Calculations!$AF$595,"")</f>
        <v>0</v>
      </c>
      <c r="N62" s="22">
        <f>IFERROR(Calculations!$AG$595,"")</f>
        <v>0</v>
      </c>
      <c r="O62" s="22">
        <f>IFERROR(Calculations!$AH$595,"")</f>
        <v>0</v>
      </c>
    </row>
    <row r="63" spans="2:19">
      <c r="B63" s="12">
        <f>IF(Calculations!$U$596="","",Calculations!$U$596)</f>
        <v>0</v>
      </c>
      <c r="C63" s="22">
        <f>IFERROR(Calculations!$V$596,"")</f>
        <v>0</v>
      </c>
      <c r="D63" s="22">
        <f>IFERROR(Calculations!$W$596,"")</f>
        <v>0</v>
      </c>
      <c r="E63" s="22">
        <f>IFERROR(Calculations!$X$596,"")</f>
        <v>0</v>
      </c>
      <c r="F63" s="22">
        <f>IFERROR(Calculations!$Y$596,"")</f>
        <v>0</v>
      </c>
      <c r="G63" s="22">
        <f>IFERROR(Calculations!$Z$596,"")</f>
        <v>0</v>
      </c>
      <c r="H63" s="22">
        <f>IFERROR(Calculations!$AA$596,"")</f>
        <v>0</v>
      </c>
      <c r="I63" s="22">
        <f>IFERROR(Calculations!$AB$596,"")</f>
        <v>0</v>
      </c>
      <c r="J63" s="22">
        <f>IFERROR(Calculations!$AC$596,"")</f>
        <v>0</v>
      </c>
      <c r="K63" s="22">
        <f>IFERROR(Calculations!$AD$596,"")</f>
        <v>0</v>
      </c>
      <c r="L63" s="22">
        <f>IFERROR(Calculations!$AE$596,"")</f>
        <v>0</v>
      </c>
      <c r="M63" s="22">
        <f>IFERROR(Calculations!$AF$596,"")</f>
        <v>0</v>
      </c>
      <c r="N63" s="22">
        <f>IFERROR(Calculations!$AG$596,"")</f>
        <v>0</v>
      </c>
      <c r="O63" s="22">
        <f>IFERROR(Calculations!$AH$596,"")</f>
        <v>0</v>
      </c>
    </row>
    <row r="64" spans="2:19">
      <c r="B64" s="12">
        <f>IF(Calculations!$U$597="","",Calculations!$U$597)</f>
        <v>0</v>
      </c>
      <c r="C64" s="22">
        <f>IFERROR(Calculations!$V$597,"")</f>
        <v>0</v>
      </c>
      <c r="D64" s="22">
        <f>IFERROR(Calculations!$W$597,"")</f>
        <v>0</v>
      </c>
      <c r="E64" s="22">
        <f>IFERROR(Calculations!$X$597,"")</f>
        <v>0</v>
      </c>
      <c r="F64" s="22">
        <f>IFERROR(Calculations!$Y$597,"")</f>
        <v>0</v>
      </c>
      <c r="G64" s="22">
        <f>IFERROR(Calculations!$Z$597,"")</f>
        <v>0</v>
      </c>
      <c r="H64" s="22">
        <f>IFERROR(Calculations!$AA$597,"")</f>
        <v>0</v>
      </c>
      <c r="I64" s="22">
        <f>IFERROR(Calculations!$AB$597,"")</f>
        <v>0</v>
      </c>
      <c r="J64" s="22">
        <f>IFERROR(Calculations!$AC$597,"")</f>
        <v>0</v>
      </c>
      <c r="K64" s="22">
        <f>IFERROR(Calculations!$AD$597,"")</f>
        <v>0</v>
      </c>
      <c r="L64" s="22">
        <f>IFERROR(Calculations!$AE$597,"")</f>
        <v>0</v>
      </c>
      <c r="M64" s="22">
        <f>IFERROR(Calculations!$AF$597,"")</f>
        <v>0</v>
      </c>
      <c r="N64" s="22">
        <f>IFERROR(Calculations!$AG$597,"")</f>
        <v>0</v>
      </c>
      <c r="O64" s="22">
        <f>IFERROR(Calculations!$AH$597,"")</f>
        <v>0</v>
      </c>
    </row>
    <row r="65" spans="2:15">
      <c r="B65" s="12">
        <f>IF(Calculations!$U$598="","",Calculations!$U$598)</f>
        <v>0</v>
      </c>
      <c r="C65" s="22">
        <f>IFERROR(Calculations!$V$598,"")</f>
        <v>0</v>
      </c>
      <c r="D65" s="22">
        <f>IFERROR(Calculations!$W$598,"")</f>
        <v>0</v>
      </c>
      <c r="E65" s="22">
        <f>IFERROR(Calculations!$X$598,"")</f>
        <v>0</v>
      </c>
      <c r="F65" s="22">
        <f>IFERROR(Calculations!$Y$598,"")</f>
        <v>0</v>
      </c>
      <c r="G65" s="22">
        <f>IFERROR(Calculations!$Z$598,"")</f>
        <v>0</v>
      </c>
      <c r="H65" s="22">
        <f>IFERROR(Calculations!$AA$598,"")</f>
        <v>0</v>
      </c>
      <c r="I65" s="22">
        <f>IFERROR(Calculations!$AB$598,"")</f>
        <v>0</v>
      </c>
      <c r="J65" s="22">
        <f>IFERROR(Calculations!$AC$598,"")</f>
        <v>0</v>
      </c>
      <c r="K65" s="22">
        <f>IFERROR(Calculations!$AD$598,"")</f>
        <v>0</v>
      </c>
      <c r="L65" s="22">
        <f>IFERROR(Calculations!$AE$598,"")</f>
        <v>0</v>
      </c>
      <c r="M65" s="22">
        <f>IFERROR(Calculations!$AF$598,"")</f>
        <v>0</v>
      </c>
      <c r="N65" s="22">
        <f>IFERROR(Calculations!$AG$598,"")</f>
        <v>0</v>
      </c>
      <c r="O65" s="22">
        <f>IFERROR(Calculations!$AH$598,"")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2102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2103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Calculations!$N$619</f>
        <v>0</v>
      </c>
      <c r="C14" s="37"/>
      <c r="D14" s="37"/>
      <c r="E14" s="37"/>
      <c r="F14" s="38">
        <f>Calculations!$N$620</f>
        <v>0</v>
      </c>
      <c r="G14" s="38"/>
      <c r="H14" s="38"/>
      <c r="I14" s="38"/>
      <c r="J14" s="37">
        <f>Calculations!$N$621</f>
        <v>0</v>
      </c>
      <c r="K14" s="37"/>
      <c r="L14" s="37"/>
      <c r="M14" s="37"/>
      <c r="N14" s="37">
        <f>Calculations!$N$622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2049</v>
      </c>
      <c r="C19" s="35"/>
      <c r="D19" s="35"/>
      <c r="E19" s="35"/>
      <c r="F19" s="35" t="s">
        <v>2104</v>
      </c>
      <c r="G19" s="35"/>
      <c r="H19" s="35"/>
      <c r="I19" s="35"/>
      <c r="J19" s="35" t="s">
        <v>2105</v>
      </c>
      <c r="K19" s="35"/>
      <c r="L19" s="35"/>
      <c r="M19" s="35"/>
    </row>
    <row r="20" spans="2:19">
      <c r="B20" s="38">
        <f>Calculations!$N$623</f>
        <v>0</v>
      </c>
      <c r="C20" s="38"/>
      <c r="D20" s="38"/>
      <c r="E20" s="38"/>
      <c r="F20" s="37">
        <f>Calculations!$N$624</f>
        <v>0</v>
      </c>
      <c r="G20" s="37"/>
      <c r="H20" s="37"/>
      <c r="I20" s="37"/>
      <c r="J20" s="37">
        <f>Calculations!$N$625</f>
        <v>0</v>
      </c>
      <c r="K20" s="37"/>
      <c r="L20" s="37"/>
      <c r="M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  <c r="J22" s="39" t="s">
        <v>2048</v>
      </c>
      <c r="K22" s="39"/>
      <c r="L22" s="39"/>
      <c r="M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IF(Calculations!$U$619="","",Calculations!$U$619)</f>
        <v>0</v>
      </c>
      <c r="C60" s="22">
        <f>IFERROR(Calculations!$V$619,"")</f>
        <v>0</v>
      </c>
      <c r="D60" s="22">
        <f>IFERROR(Calculations!$W$619,"")</f>
        <v>0</v>
      </c>
      <c r="E60" s="22">
        <f>IFERROR(Calculations!$X$619,"")</f>
        <v>0</v>
      </c>
      <c r="F60" s="22">
        <f>IFERROR(Calculations!$Y$619,"")</f>
        <v>0</v>
      </c>
      <c r="G60" s="22">
        <f>IFERROR(Calculations!$Z$619,"")</f>
        <v>0</v>
      </c>
      <c r="H60" s="22">
        <f>IFERROR(Calculations!$AA$619,"")</f>
        <v>0</v>
      </c>
      <c r="I60" s="22">
        <f>IFERROR(Calculations!$AB$619,"")</f>
        <v>0</v>
      </c>
      <c r="J60" s="22">
        <f>IFERROR(Calculations!$AC$619,"")</f>
        <v>0</v>
      </c>
      <c r="K60" s="22">
        <f>IFERROR(Calculations!$AD$619,"")</f>
        <v>0</v>
      </c>
      <c r="L60" s="22">
        <f>IFERROR(Calculations!$AE$619,"")</f>
        <v>0</v>
      </c>
      <c r="M60" s="22">
        <f>IFERROR(Calculations!$AF$619,"")</f>
        <v>0</v>
      </c>
      <c r="N60" s="22">
        <f>IFERROR(Calculations!$AG$619,"")</f>
        <v>0</v>
      </c>
      <c r="O60" s="22">
        <f>IFERROR(Calculations!$AH$619,"")</f>
        <v>0</v>
      </c>
    </row>
    <row r="61" spans="2:19">
      <c r="B61" s="12">
        <f>IF(Calculations!$U$620="","",Calculations!$U$620)</f>
        <v>0</v>
      </c>
      <c r="C61" s="22">
        <f>IFERROR(Calculations!$V$620,"")</f>
        <v>0</v>
      </c>
      <c r="D61" s="22">
        <f>IFERROR(Calculations!$W$620,"")</f>
        <v>0</v>
      </c>
      <c r="E61" s="22">
        <f>IFERROR(Calculations!$X$620,"")</f>
        <v>0</v>
      </c>
      <c r="F61" s="22">
        <f>IFERROR(Calculations!$Y$620,"")</f>
        <v>0</v>
      </c>
      <c r="G61" s="22">
        <f>IFERROR(Calculations!$Z$620,"")</f>
        <v>0</v>
      </c>
      <c r="H61" s="22">
        <f>IFERROR(Calculations!$AA$620,"")</f>
        <v>0</v>
      </c>
      <c r="I61" s="22">
        <f>IFERROR(Calculations!$AB$620,"")</f>
        <v>0</v>
      </c>
      <c r="J61" s="22">
        <f>IFERROR(Calculations!$AC$620,"")</f>
        <v>0</v>
      </c>
      <c r="K61" s="22">
        <f>IFERROR(Calculations!$AD$620,"")</f>
        <v>0</v>
      </c>
      <c r="L61" s="22">
        <f>IFERROR(Calculations!$AE$620,"")</f>
        <v>0</v>
      </c>
      <c r="M61" s="22">
        <f>IFERROR(Calculations!$AF$620,"")</f>
        <v>0</v>
      </c>
      <c r="N61" s="22">
        <f>IFERROR(Calculations!$AG$620,"")</f>
        <v>0</v>
      </c>
      <c r="O61" s="22">
        <f>IFERROR(Calculations!$AH$620,"")</f>
        <v>0</v>
      </c>
    </row>
    <row r="62" spans="2:19">
      <c r="B62" s="12">
        <f>IF(Calculations!$U$621="","",Calculations!$U$621)</f>
        <v>0</v>
      </c>
      <c r="C62" s="22">
        <f>IFERROR(Calculations!$V$621,"")</f>
        <v>0</v>
      </c>
      <c r="D62" s="22">
        <f>IFERROR(Calculations!$W$621,"")</f>
        <v>0</v>
      </c>
      <c r="E62" s="22">
        <f>IFERROR(Calculations!$X$621,"")</f>
        <v>0</v>
      </c>
      <c r="F62" s="22">
        <f>IFERROR(Calculations!$Y$621,"")</f>
        <v>0</v>
      </c>
      <c r="G62" s="22">
        <f>IFERROR(Calculations!$Z$621,"")</f>
        <v>0</v>
      </c>
      <c r="H62" s="22">
        <f>IFERROR(Calculations!$AA$621,"")</f>
        <v>0</v>
      </c>
      <c r="I62" s="22">
        <f>IFERROR(Calculations!$AB$621,"")</f>
        <v>0</v>
      </c>
      <c r="J62" s="22">
        <f>IFERROR(Calculations!$AC$621,"")</f>
        <v>0</v>
      </c>
      <c r="K62" s="22">
        <f>IFERROR(Calculations!$AD$621,"")</f>
        <v>0</v>
      </c>
      <c r="L62" s="22">
        <f>IFERROR(Calculations!$AE$621,"")</f>
        <v>0</v>
      </c>
      <c r="M62" s="22">
        <f>IFERROR(Calculations!$AF$621,"")</f>
        <v>0</v>
      </c>
      <c r="N62" s="22">
        <f>IFERROR(Calculations!$AG$621,"")</f>
        <v>0</v>
      </c>
      <c r="O62" s="22">
        <f>IFERROR(Calculations!$AH$621,"")</f>
        <v>0</v>
      </c>
    </row>
    <row r="63" spans="2:19">
      <c r="B63" s="12">
        <f>IF(Calculations!$U$622="","",Calculations!$U$622)</f>
        <v>0</v>
      </c>
      <c r="C63" s="22">
        <f>IFERROR(Calculations!$V$622,"")</f>
        <v>0</v>
      </c>
      <c r="D63" s="22">
        <f>IFERROR(Calculations!$W$622,"")</f>
        <v>0</v>
      </c>
      <c r="E63" s="22">
        <f>IFERROR(Calculations!$X$622,"")</f>
        <v>0</v>
      </c>
      <c r="F63" s="22">
        <f>IFERROR(Calculations!$Y$622,"")</f>
        <v>0</v>
      </c>
      <c r="G63" s="22">
        <f>IFERROR(Calculations!$Z$622,"")</f>
        <v>0</v>
      </c>
      <c r="H63" s="22">
        <f>IFERROR(Calculations!$AA$622,"")</f>
        <v>0</v>
      </c>
      <c r="I63" s="22">
        <f>IFERROR(Calculations!$AB$622,"")</f>
        <v>0</v>
      </c>
      <c r="J63" s="22">
        <f>IFERROR(Calculations!$AC$622,"")</f>
        <v>0</v>
      </c>
      <c r="K63" s="22">
        <f>IFERROR(Calculations!$AD$622,"")</f>
        <v>0</v>
      </c>
      <c r="L63" s="22">
        <f>IFERROR(Calculations!$AE$622,"")</f>
        <v>0</v>
      </c>
      <c r="M63" s="22">
        <f>IFERROR(Calculations!$AF$622,"")</f>
        <v>0</v>
      </c>
      <c r="N63" s="22">
        <f>IFERROR(Calculations!$AG$622,"")</f>
        <v>0</v>
      </c>
      <c r="O63" s="22">
        <f>IFERROR(Calculations!$AH$622,"")</f>
        <v>0</v>
      </c>
    </row>
    <row r="64" spans="2:19">
      <c r="B64" s="12">
        <f>IF(Calculations!$U$623="","",Calculations!$U$623)</f>
        <v>0</v>
      </c>
      <c r="C64" s="22">
        <f>IFERROR(Calculations!$V$623,"")</f>
        <v>0</v>
      </c>
      <c r="D64" s="22">
        <f>IFERROR(Calculations!$W$623,"")</f>
        <v>0</v>
      </c>
      <c r="E64" s="22">
        <f>IFERROR(Calculations!$X$623,"")</f>
        <v>0</v>
      </c>
      <c r="F64" s="22">
        <f>IFERROR(Calculations!$Y$623,"")</f>
        <v>0</v>
      </c>
      <c r="G64" s="22">
        <f>IFERROR(Calculations!$Z$623,"")</f>
        <v>0</v>
      </c>
      <c r="H64" s="22">
        <f>IFERROR(Calculations!$AA$623,"")</f>
        <v>0</v>
      </c>
      <c r="I64" s="22">
        <f>IFERROR(Calculations!$AB$623,"")</f>
        <v>0</v>
      </c>
      <c r="J64" s="22">
        <f>IFERROR(Calculations!$AC$623,"")</f>
        <v>0</v>
      </c>
      <c r="K64" s="22">
        <f>IFERROR(Calculations!$AD$623,"")</f>
        <v>0</v>
      </c>
      <c r="L64" s="22">
        <f>IFERROR(Calculations!$AE$623,"")</f>
        <v>0</v>
      </c>
      <c r="M64" s="22">
        <f>IFERROR(Calculations!$AF$623,"")</f>
        <v>0</v>
      </c>
      <c r="N64" s="22">
        <f>IFERROR(Calculations!$AG$623,"")</f>
        <v>0</v>
      </c>
      <c r="O64" s="22">
        <f>IFERROR(Calculations!$AH$623,"")</f>
        <v>0</v>
      </c>
    </row>
    <row r="65" spans="2:15">
      <c r="B65" s="12">
        <f>IF(Calculations!$U$624="","",Calculations!$U$624)</f>
        <v>0</v>
      </c>
      <c r="C65" s="22">
        <f>IFERROR(Calculations!$V$624,"")</f>
        <v>0</v>
      </c>
      <c r="D65" s="22">
        <f>IFERROR(Calculations!$W$624,"")</f>
        <v>0</v>
      </c>
      <c r="E65" s="22">
        <f>IFERROR(Calculations!$X$624,"")</f>
        <v>0</v>
      </c>
      <c r="F65" s="22">
        <f>IFERROR(Calculations!$Y$624,"")</f>
        <v>0</v>
      </c>
      <c r="G65" s="22">
        <f>IFERROR(Calculations!$Z$624,"")</f>
        <v>0</v>
      </c>
      <c r="H65" s="22">
        <f>IFERROR(Calculations!$AA$624,"")</f>
        <v>0</v>
      </c>
      <c r="I65" s="22">
        <f>IFERROR(Calculations!$AB$624,"")</f>
        <v>0</v>
      </c>
      <c r="J65" s="22">
        <f>IFERROR(Calculations!$AC$624,"")</f>
        <v>0</v>
      </c>
      <c r="K65" s="22">
        <f>IFERROR(Calculations!$AD$624,"")</f>
        <v>0</v>
      </c>
      <c r="L65" s="22">
        <f>IFERROR(Calculations!$AE$624,"")</f>
        <v>0</v>
      </c>
      <c r="M65" s="22">
        <f>IFERROR(Calculations!$AF$624,"")</f>
        <v>0</v>
      </c>
      <c r="N65" s="22">
        <f>IFERROR(Calculations!$AG$624,"")</f>
        <v>0</v>
      </c>
      <c r="O65" s="22">
        <f>IFERROR(Calculations!$AH$624,"")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2106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2107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Calculations!$N$645</f>
        <v>0</v>
      </c>
      <c r="C14" s="37"/>
      <c r="D14" s="37"/>
      <c r="E14" s="37"/>
      <c r="F14" s="38">
        <f>Calculations!$N$646</f>
        <v>0</v>
      </c>
      <c r="G14" s="38"/>
      <c r="H14" s="38"/>
      <c r="I14" s="38"/>
      <c r="J14" s="37">
        <f>Calculations!$N$647</f>
        <v>0</v>
      </c>
      <c r="K14" s="37"/>
      <c r="L14" s="37"/>
      <c r="M14" s="37"/>
      <c r="N14" s="37">
        <f>Calculations!$N$648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2108</v>
      </c>
      <c r="C19" s="35"/>
      <c r="D19" s="35"/>
      <c r="E19" s="35"/>
      <c r="F19" s="35" t="s">
        <v>2109</v>
      </c>
      <c r="G19" s="35"/>
      <c r="H19" s="35"/>
      <c r="I19" s="35"/>
    </row>
    <row r="20" spans="2:19">
      <c r="B20" s="37">
        <f>Calculations!$N$649</f>
        <v>0</v>
      </c>
      <c r="C20" s="37"/>
      <c r="D20" s="37"/>
      <c r="E20" s="37"/>
      <c r="F20" s="37">
        <f>Calculations!$N$650</f>
        <v>0</v>
      </c>
      <c r="G20" s="37"/>
      <c r="H20" s="37"/>
      <c r="I20" s="37"/>
    </row>
    <row r="21" spans="2:19">
      <c r="B21" s="37"/>
      <c r="C21" s="37"/>
      <c r="D21" s="37"/>
      <c r="E21" s="37"/>
      <c r="F21" s="37"/>
      <c r="G21" s="37"/>
      <c r="H21" s="37"/>
      <c r="I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IFERROR(Calculations!$P$645,"")</f>
        <v>0</v>
      </c>
      <c r="C43" s="22">
        <f>IFERROR(Calculations!$Q$645,"")</f>
        <v>0</v>
      </c>
      <c r="D43" s="23">
        <f>IFERROR(Calculations!$R$645,"")</f>
        <v>0</v>
      </c>
      <c r="E43" s="22">
        <f>IFERROR(Calculations!$S$645,"")</f>
        <v>0</v>
      </c>
    </row>
    <row r="44" spans="2:19">
      <c r="B44" s="12">
        <f>IFERROR(Calculations!$P$646,"")</f>
        <v>0</v>
      </c>
      <c r="C44" s="22">
        <f>IFERROR(Calculations!$Q$646,"")</f>
        <v>0</v>
      </c>
      <c r="D44" s="23">
        <f>IFERROR(Calculations!$R$646,"")</f>
        <v>0</v>
      </c>
      <c r="E44" s="22">
        <f>IFERROR(Calculations!$S$646,"")</f>
        <v>0</v>
      </c>
    </row>
    <row r="45" spans="2:19">
      <c r="B45" s="12">
        <f>IFERROR(Calculations!$P$647,"")</f>
        <v>0</v>
      </c>
      <c r="C45" s="22">
        <f>IFERROR(Calculations!$Q$647,"")</f>
        <v>0</v>
      </c>
      <c r="D45" s="23">
        <f>IFERROR(Calculations!$R$647,"")</f>
        <v>0</v>
      </c>
      <c r="E45" s="22">
        <f>IFERROR(Calculations!$S$647,"")</f>
        <v>0</v>
      </c>
    </row>
    <row r="46" spans="2:19">
      <c r="B46" s="12">
        <f>IFERROR(Calculations!$P$648,"")</f>
        <v>0</v>
      </c>
      <c r="C46" s="22">
        <f>IFERROR(Calculations!$Q$648,"")</f>
        <v>0</v>
      </c>
      <c r="D46" s="23">
        <f>IFERROR(Calculations!$R$648,"")</f>
        <v>0</v>
      </c>
      <c r="E46" s="22">
        <f>IFERROR(Calculations!$S$648,"")</f>
        <v>0</v>
      </c>
    </row>
    <row r="47" spans="2:19">
      <c r="B47" s="12">
        <f>IFERROR(Calculations!$P$649,"")</f>
        <v>0</v>
      </c>
      <c r="C47" s="22">
        <f>IFERROR(Calculations!$Q$649,"")</f>
        <v>0</v>
      </c>
      <c r="D47" s="23">
        <f>IFERROR(Calculations!$R$649,"")</f>
        <v>0</v>
      </c>
      <c r="E47" s="22">
        <f>IFERROR(Calculations!$S$649,"")</f>
        <v>0</v>
      </c>
    </row>
    <row r="48" spans="2:19">
      <c r="B48" s="12">
        <f>IFERROR(Calculations!$P$650,"")</f>
        <v>0</v>
      </c>
      <c r="C48" s="22">
        <f>IFERROR(Calculations!$Q$650,"")</f>
        <v>0</v>
      </c>
      <c r="D48" s="23">
        <f>IFERROR(Calculations!$R$650,"")</f>
        <v>0</v>
      </c>
      <c r="E48" s="22">
        <f>IFERROR(Calculations!$S$650,"")</f>
        <v>0</v>
      </c>
    </row>
    <row r="49" spans="2:19">
      <c r="B49" s="12">
        <f>IFERROR(Calculations!$P$651,"")</f>
        <v>0</v>
      </c>
      <c r="C49" s="22">
        <f>IFERROR(Calculations!$Q$651,"")</f>
        <v>0</v>
      </c>
      <c r="D49" s="23">
        <f>IFERROR(Calculations!$R$651,"")</f>
        <v>0</v>
      </c>
      <c r="E49" s="22">
        <f>IFERROR(Calculations!$S$651,"")</f>
        <v>0</v>
      </c>
    </row>
    <row r="50" spans="2:19">
      <c r="B50" s="12">
        <f>IFERROR(Calculations!$P$652,"")</f>
        <v>0</v>
      </c>
      <c r="C50" s="22">
        <f>IFERROR(Calculations!$Q$652,"")</f>
        <v>0</v>
      </c>
      <c r="D50" s="23">
        <f>IFERROR(Calculations!$R$652,"")</f>
        <v>0</v>
      </c>
      <c r="E50" s="22">
        <f>IFERROR(Calculations!$S$652,"")</f>
        <v>0</v>
      </c>
    </row>
    <row r="51" spans="2:19">
      <c r="B51" s="12">
        <f>IFERROR(Calculations!$P$653,"")</f>
        <v>0</v>
      </c>
      <c r="C51" s="22">
        <f>IFERROR(Calculations!$Q$653,"")</f>
        <v>0</v>
      </c>
      <c r="D51" s="23">
        <f>IFERROR(Calculations!$R$653,"")</f>
        <v>0</v>
      </c>
      <c r="E51" s="22">
        <f>IFERROR(Calculations!$S$653,"")</f>
        <v>0</v>
      </c>
    </row>
    <row r="52" spans="2:19">
      <c r="B52" s="12">
        <f>IFERROR(Calculations!$P$654,"")</f>
        <v>0</v>
      </c>
      <c r="C52" s="22">
        <f>IFERROR(Calculations!$Q$654,"")</f>
        <v>0</v>
      </c>
      <c r="D52" s="23">
        <f>IFERROR(Calculations!$R$654,"")</f>
        <v>0</v>
      </c>
      <c r="E52" s="22">
        <f>IFERROR(Calculations!$S$654,"")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IF(Calculations!$U$645="","",Calculations!$U$645)</f>
        <v>0</v>
      </c>
      <c r="C60" s="22">
        <f>IFERROR(Calculations!$V$645,"")</f>
        <v>0</v>
      </c>
      <c r="D60" s="22">
        <f>IFERROR(Calculations!$W$645,"")</f>
        <v>0</v>
      </c>
      <c r="E60" s="22">
        <f>IFERROR(Calculations!$X$645,"")</f>
        <v>0</v>
      </c>
      <c r="F60" s="22">
        <f>IFERROR(Calculations!$Y$645,"")</f>
        <v>0</v>
      </c>
      <c r="G60" s="22">
        <f>IFERROR(Calculations!$Z$645,"")</f>
        <v>0</v>
      </c>
      <c r="H60" s="22">
        <f>IFERROR(Calculations!$AA$645,"")</f>
        <v>0</v>
      </c>
      <c r="I60" s="22">
        <f>IFERROR(Calculations!$AB$645,"")</f>
        <v>0</v>
      </c>
      <c r="J60" s="22">
        <f>IFERROR(Calculations!$AC$645,"")</f>
        <v>0</v>
      </c>
      <c r="K60" s="22">
        <f>IFERROR(Calculations!$AD$645,"")</f>
        <v>0</v>
      </c>
      <c r="L60" s="22">
        <f>IFERROR(Calculations!$AE$645,"")</f>
        <v>0</v>
      </c>
      <c r="M60" s="22">
        <f>IFERROR(Calculations!$AF$645,"")</f>
        <v>0</v>
      </c>
      <c r="N60" s="22">
        <f>IFERROR(Calculations!$AG$645,"")</f>
        <v>0</v>
      </c>
      <c r="O60" s="22">
        <f>IFERROR(Calculations!$AH$645,"")</f>
        <v>0</v>
      </c>
    </row>
    <row r="61" spans="2:19">
      <c r="B61" s="12">
        <f>IF(Calculations!$U$646="","",Calculations!$U$646)</f>
        <v>0</v>
      </c>
      <c r="C61" s="22">
        <f>IFERROR(Calculations!$V$646,"")</f>
        <v>0</v>
      </c>
      <c r="D61" s="22">
        <f>IFERROR(Calculations!$W$646,"")</f>
        <v>0</v>
      </c>
      <c r="E61" s="22">
        <f>IFERROR(Calculations!$X$646,"")</f>
        <v>0</v>
      </c>
      <c r="F61" s="22">
        <f>IFERROR(Calculations!$Y$646,"")</f>
        <v>0</v>
      </c>
      <c r="G61" s="22">
        <f>IFERROR(Calculations!$Z$646,"")</f>
        <v>0</v>
      </c>
      <c r="H61" s="22">
        <f>IFERROR(Calculations!$AA$646,"")</f>
        <v>0</v>
      </c>
      <c r="I61" s="22">
        <f>IFERROR(Calculations!$AB$646,"")</f>
        <v>0</v>
      </c>
      <c r="J61" s="22">
        <f>IFERROR(Calculations!$AC$646,"")</f>
        <v>0</v>
      </c>
      <c r="K61" s="22">
        <f>IFERROR(Calculations!$AD$646,"")</f>
        <v>0</v>
      </c>
      <c r="L61" s="22">
        <f>IFERROR(Calculations!$AE$646,"")</f>
        <v>0</v>
      </c>
      <c r="M61" s="22">
        <f>IFERROR(Calculations!$AF$646,"")</f>
        <v>0</v>
      </c>
      <c r="N61" s="22">
        <f>IFERROR(Calculations!$AG$646,"")</f>
        <v>0</v>
      </c>
      <c r="O61" s="22">
        <f>IFERROR(Calculations!$AH$646,"")</f>
        <v>0</v>
      </c>
    </row>
    <row r="62" spans="2:19">
      <c r="B62" s="12">
        <f>IF(Calculations!$U$647="","",Calculations!$U$647)</f>
        <v>0</v>
      </c>
      <c r="C62" s="22">
        <f>IFERROR(Calculations!$V$647,"")</f>
        <v>0</v>
      </c>
      <c r="D62" s="22">
        <f>IFERROR(Calculations!$W$647,"")</f>
        <v>0</v>
      </c>
      <c r="E62" s="22">
        <f>IFERROR(Calculations!$X$647,"")</f>
        <v>0</v>
      </c>
      <c r="F62" s="22">
        <f>IFERROR(Calculations!$Y$647,"")</f>
        <v>0</v>
      </c>
      <c r="G62" s="22">
        <f>IFERROR(Calculations!$Z$647,"")</f>
        <v>0</v>
      </c>
      <c r="H62" s="22">
        <f>IFERROR(Calculations!$AA$647,"")</f>
        <v>0</v>
      </c>
      <c r="I62" s="22">
        <f>IFERROR(Calculations!$AB$647,"")</f>
        <v>0</v>
      </c>
      <c r="J62" s="22">
        <f>IFERROR(Calculations!$AC$647,"")</f>
        <v>0</v>
      </c>
      <c r="K62" s="22">
        <f>IFERROR(Calculations!$AD$647,"")</f>
        <v>0</v>
      </c>
      <c r="L62" s="22">
        <f>IFERROR(Calculations!$AE$647,"")</f>
        <v>0</v>
      </c>
      <c r="M62" s="22">
        <f>IFERROR(Calculations!$AF$647,"")</f>
        <v>0</v>
      </c>
      <c r="N62" s="22">
        <f>IFERROR(Calculations!$AG$647,"")</f>
        <v>0</v>
      </c>
      <c r="O62" s="22">
        <f>IFERROR(Calculations!$AH$647,"")</f>
        <v>0</v>
      </c>
    </row>
    <row r="63" spans="2:19">
      <c r="B63" s="12">
        <f>IF(Calculations!$U$648="","",Calculations!$U$648)</f>
        <v>0</v>
      </c>
      <c r="C63" s="22">
        <f>IFERROR(Calculations!$V$648,"")</f>
        <v>0</v>
      </c>
      <c r="D63" s="22">
        <f>IFERROR(Calculations!$W$648,"")</f>
        <v>0</v>
      </c>
      <c r="E63" s="22">
        <f>IFERROR(Calculations!$X$648,"")</f>
        <v>0</v>
      </c>
      <c r="F63" s="22">
        <f>IFERROR(Calculations!$Y$648,"")</f>
        <v>0</v>
      </c>
      <c r="G63" s="22">
        <f>IFERROR(Calculations!$Z$648,"")</f>
        <v>0</v>
      </c>
      <c r="H63" s="22">
        <f>IFERROR(Calculations!$AA$648,"")</f>
        <v>0</v>
      </c>
      <c r="I63" s="22">
        <f>IFERROR(Calculations!$AB$648,"")</f>
        <v>0</v>
      </c>
      <c r="J63" s="22">
        <f>IFERROR(Calculations!$AC$648,"")</f>
        <v>0</v>
      </c>
      <c r="K63" s="22">
        <f>IFERROR(Calculations!$AD$648,"")</f>
        <v>0</v>
      </c>
      <c r="L63" s="22">
        <f>IFERROR(Calculations!$AE$648,"")</f>
        <v>0</v>
      </c>
      <c r="M63" s="22">
        <f>IFERROR(Calculations!$AF$648,"")</f>
        <v>0</v>
      </c>
      <c r="N63" s="22">
        <f>IFERROR(Calculations!$AG$648,"")</f>
        <v>0</v>
      </c>
      <c r="O63" s="22">
        <f>IFERROR(Calculations!$AH$648,"")</f>
        <v>0</v>
      </c>
    </row>
    <row r="64" spans="2:19">
      <c r="B64" s="12">
        <f>IF(Calculations!$U$649="","",Calculations!$U$649)</f>
        <v>0</v>
      </c>
      <c r="C64" s="22">
        <f>IFERROR(Calculations!$V$649,"")</f>
        <v>0</v>
      </c>
      <c r="D64" s="22">
        <f>IFERROR(Calculations!$W$649,"")</f>
        <v>0</v>
      </c>
      <c r="E64" s="22">
        <f>IFERROR(Calculations!$X$649,"")</f>
        <v>0</v>
      </c>
      <c r="F64" s="22">
        <f>IFERROR(Calculations!$Y$649,"")</f>
        <v>0</v>
      </c>
      <c r="G64" s="22">
        <f>IFERROR(Calculations!$Z$649,"")</f>
        <v>0</v>
      </c>
      <c r="H64" s="22">
        <f>IFERROR(Calculations!$AA$649,"")</f>
        <v>0</v>
      </c>
      <c r="I64" s="22">
        <f>IFERROR(Calculations!$AB$649,"")</f>
        <v>0</v>
      </c>
      <c r="J64" s="22">
        <f>IFERROR(Calculations!$AC$649,"")</f>
        <v>0</v>
      </c>
      <c r="K64" s="22">
        <f>IFERROR(Calculations!$AD$649,"")</f>
        <v>0</v>
      </c>
      <c r="L64" s="22">
        <f>IFERROR(Calculations!$AE$649,"")</f>
        <v>0</v>
      </c>
      <c r="M64" s="22">
        <f>IFERROR(Calculations!$AF$649,"")</f>
        <v>0</v>
      </c>
      <c r="N64" s="22">
        <f>IFERROR(Calculations!$AG$649,"")</f>
        <v>0</v>
      </c>
      <c r="O64" s="22">
        <f>IFERROR(Calculations!$AH$649,"")</f>
        <v>0</v>
      </c>
    </row>
    <row r="65" spans="2:15">
      <c r="B65" s="12">
        <f>IF(Calculations!$U$650="","",Calculations!$U$650)</f>
        <v>0</v>
      </c>
      <c r="C65" s="22">
        <f>IFERROR(Calculations!$V$650,"")</f>
        <v>0</v>
      </c>
      <c r="D65" s="22">
        <f>IFERROR(Calculations!$W$650,"")</f>
        <v>0</v>
      </c>
      <c r="E65" s="22">
        <f>IFERROR(Calculations!$X$650,"")</f>
        <v>0</v>
      </c>
      <c r="F65" s="22">
        <f>IFERROR(Calculations!$Y$650,"")</f>
        <v>0</v>
      </c>
      <c r="G65" s="22">
        <f>IFERROR(Calculations!$Z$650,"")</f>
        <v>0</v>
      </c>
      <c r="H65" s="22">
        <f>IFERROR(Calculations!$AA$650,"")</f>
        <v>0</v>
      </c>
      <c r="I65" s="22">
        <f>IFERROR(Calculations!$AB$650,"")</f>
        <v>0</v>
      </c>
      <c r="J65" s="22">
        <f>IFERROR(Calculations!$AC$650,"")</f>
        <v>0</v>
      </c>
      <c r="K65" s="22">
        <f>IFERROR(Calculations!$AD$650,"")</f>
        <v>0</v>
      </c>
      <c r="L65" s="22">
        <f>IFERROR(Calculations!$AE$650,"")</f>
        <v>0</v>
      </c>
      <c r="M65" s="22">
        <f>IFERROR(Calculations!$AF$650,"")</f>
        <v>0</v>
      </c>
      <c r="N65" s="22">
        <f>IFERROR(Calculations!$AG$650,"")</f>
        <v>0</v>
      </c>
      <c r="O65" s="22">
        <f>IFERROR(Calculations!$AH$650,"")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2110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2111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Calculations!$N$671</f>
        <v>0</v>
      </c>
      <c r="C14" s="37"/>
      <c r="D14" s="37"/>
      <c r="E14" s="37"/>
      <c r="F14" s="38">
        <f>Calculations!$N$672</f>
        <v>0</v>
      </c>
      <c r="G14" s="38"/>
      <c r="H14" s="38"/>
      <c r="I14" s="38"/>
      <c r="J14" s="37">
        <f>Calculations!$N$673</f>
        <v>0</v>
      </c>
      <c r="K14" s="37"/>
      <c r="L14" s="37"/>
      <c r="M14" s="37"/>
      <c r="N14" s="37">
        <f>Calculations!$N$674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2112</v>
      </c>
      <c r="C19" s="35"/>
      <c r="D19" s="35"/>
      <c r="E19" s="35"/>
    </row>
    <row r="20" spans="2:19">
      <c r="B20" s="37">
        <f>Calculations!$N$675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2048</v>
      </c>
      <c r="C22" s="39"/>
      <c r="D22" s="39"/>
      <c r="E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IFERROR(Calculations!$P$671,"")</f>
        <v>0</v>
      </c>
      <c r="C43" s="22">
        <f>IFERROR(Calculations!$Q$671,"")</f>
        <v>0</v>
      </c>
      <c r="D43" s="23">
        <f>IFERROR(Calculations!$R$671,"")</f>
        <v>0</v>
      </c>
      <c r="E43" s="22">
        <f>IFERROR(Calculations!$S$671,"")</f>
        <v>0</v>
      </c>
    </row>
    <row r="44" spans="2:19">
      <c r="B44" s="12">
        <f>IFERROR(Calculations!$P$672,"")</f>
        <v>0</v>
      </c>
      <c r="C44" s="22">
        <f>IFERROR(Calculations!$Q$672,"")</f>
        <v>0</v>
      </c>
      <c r="D44" s="23">
        <f>IFERROR(Calculations!$R$672,"")</f>
        <v>0</v>
      </c>
      <c r="E44" s="22">
        <f>IFERROR(Calculations!$S$672,"")</f>
        <v>0</v>
      </c>
    </row>
    <row r="45" spans="2:19">
      <c r="B45" s="12">
        <f>IFERROR(Calculations!$P$673,"")</f>
        <v>0</v>
      </c>
      <c r="C45" s="22">
        <f>IFERROR(Calculations!$Q$673,"")</f>
        <v>0</v>
      </c>
      <c r="D45" s="23">
        <f>IFERROR(Calculations!$R$673,"")</f>
        <v>0</v>
      </c>
      <c r="E45" s="22">
        <f>IFERROR(Calculations!$S$673,"")</f>
        <v>0</v>
      </c>
    </row>
    <row r="46" spans="2:19">
      <c r="B46" s="12">
        <f>IFERROR(Calculations!$P$674,"")</f>
        <v>0</v>
      </c>
      <c r="C46" s="22">
        <f>IFERROR(Calculations!$Q$674,"")</f>
        <v>0</v>
      </c>
      <c r="D46" s="23">
        <f>IFERROR(Calculations!$R$674,"")</f>
        <v>0</v>
      </c>
      <c r="E46" s="22">
        <f>IFERROR(Calculations!$S$674,"")</f>
        <v>0</v>
      </c>
    </row>
    <row r="47" spans="2:19">
      <c r="B47" s="12">
        <f>IFERROR(Calculations!$P$675,"")</f>
        <v>0</v>
      </c>
      <c r="C47" s="22">
        <f>IFERROR(Calculations!$Q$675,"")</f>
        <v>0</v>
      </c>
      <c r="D47" s="23">
        <f>IFERROR(Calculations!$R$675,"")</f>
        <v>0</v>
      </c>
      <c r="E47" s="22">
        <f>IFERROR(Calculations!$S$675,"")</f>
        <v>0</v>
      </c>
    </row>
    <row r="48" spans="2:19">
      <c r="B48" s="12">
        <f>IFERROR(Calculations!$P$676,"")</f>
        <v>0</v>
      </c>
      <c r="C48" s="22">
        <f>IFERROR(Calculations!$Q$676,"")</f>
        <v>0</v>
      </c>
      <c r="D48" s="23">
        <f>IFERROR(Calculations!$R$676,"")</f>
        <v>0</v>
      </c>
      <c r="E48" s="22">
        <f>IFERROR(Calculations!$S$676,"")</f>
        <v>0</v>
      </c>
    </row>
    <row r="49" spans="2:19">
      <c r="B49" s="12">
        <f>IFERROR(Calculations!$P$677,"")</f>
        <v>0</v>
      </c>
      <c r="C49" s="22">
        <f>IFERROR(Calculations!$Q$677,"")</f>
        <v>0</v>
      </c>
      <c r="D49" s="23">
        <f>IFERROR(Calculations!$R$677,"")</f>
        <v>0</v>
      </c>
      <c r="E49" s="22">
        <f>IFERROR(Calculations!$S$677,"")</f>
        <v>0</v>
      </c>
    </row>
    <row r="50" spans="2:19">
      <c r="B50" s="12">
        <f>IFERROR(Calculations!$P$678,"")</f>
        <v>0</v>
      </c>
      <c r="C50" s="22">
        <f>IFERROR(Calculations!$Q$678,"")</f>
        <v>0</v>
      </c>
      <c r="D50" s="23">
        <f>IFERROR(Calculations!$R$678,"")</f>
        <v>0</v>
      </c>
      <c r="E50" s="22">
        <f>IFERROR(Calculations!$S$678,"")</f>
        <v>0</v>
      </c>
    </row>
    <row r="51" spans="2:19">
      <c r="B51" s="12">
        <f>IFERROR(Calculations!$P$679,"")</f>
        <v>0</v>
      </c>
      <c r="C51" s="22">
        <f>IFERROR(Calculations!$Q$679,"")</f>
        <v>0</v>
      </c>
      <c r="D51" s="23">
        <f>IFERROR(Calculations!$R$679,"")</f>
        <v>0</v>
      </c>
      <c r="E51" s="22">
        <f>IFERROR(Calculations!$S$679,"")</f>
        <v>0</v>
      </c>
    </row>
    <row r="52" spans="2:19">
      <c r="B52" s="12">
        <f>IFERROR(Calculations!$P$680,"")</f>
        <v>0</v>
      </c>
      <c r="C52" s="22">
        <f>IFERROR(Calculations!$Q$680,"")</f>
        <v>0</v>
      </c>
      <c r="D52" s="23">
        <f>IFERROR(Calculations!$R$680,"")</f>
        <v>0</v>
      </c>
      <c r="E52" s="22">
        <f>IFERROR(Calculations!$S$680,"")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IF(Calculations!$U$671="","",Calculations!$U$671)</f>
        <v>0</v>
      </c>
      <c r="C60" s="22">
        <f>IFERROR(Calculations!$V$671,"")</f>
        <v>0</v>
      </c>
      <c r="D60" s="22">
        <f>IFERROR(Calculations!$W$671,"")</f>
        <v>0</v>
      </c>
      <c r="E60" s="22">
        <f>IFERROR(Calculations!$X$671,"")</f>
        <v>0</v>
      </c>
      <c r="F60" s="22">
        <f>IFERROR(Calculations!$Y$671,"")</f>
        <v>0</v>
      </c>
      <c r="G60" s="22">
        <f>IFERROR(Calculations!$Z$671,"")</f>
        <v>0</v>
      </c>
      <c r="H60" s="22">
        <f>IFERROR(Calculations!$AA$671,"")</f>
        <v>0</v>
      </c>
      <c r="I60" s="22">
        <f>IFERROR(Calculations!$AB$671,"")</f>
        <v>0</v>
      </c>
      <c r="J60" s="22">
        <f>IFERROR(Calculations!$AC$671,"")</f>
        <v>0</v>
      </c>
      <c r="K60" s="22">
        <f>IFERROR(Calculations!$AD$671,"")</f>
        <v>0</v>
      </c>
      <c r="L60" s="22">
        <f>IFERROR(Calculations!$AE$671,"")</f>
        <v>0</v>
      </c>
      <c r="M60" s="22">
        <f>IFERROR(Calculations!$AF$671,"")</f>
        <v>0</v>
      </c>
      <c r="N60" s="22">
        <f>IFERROR(Calculations!$AG$671,"")</f>
        <v>0</v>
      </c>
      <c r="O60" s="22">
        <f>IFERROR(Calculations!$AH$671,"")</f>
        <v>0</v>
      </c>
    </row>
    <row r="61" spans="2:19">
      <c r="B61" s="12">
        <f>IF(Calculations!$U$672="","",Calculations!$U$672)</f>
        <v>0</v>
      </c>
      <c r="C61" s="22">
        <f>IFERROR(Calculations!$V$672,"")</f>
        <v>0</v>
      </c>
      <c r="D61" s="22">
        <f>IFERROR(Calculations!$W$672,"")</f>
        <v>0</v>
      </c>
      <c r="E61" s="22">
        <f>IFERROR(Calculations!$X$672,"")</f>
        <v>0</v>
      </c>
      <c r="F61" s="22">
        <f>IFERROR(Calculations!$Y$672,"")</f>
        <v>0</v>
      </c>
      <c r="G61" s="22">
        <f>IFERROR(Calculations!$Z$672,"")</f>
        <v>0</v>
      </c>
      <c r="H61" s="22">
        <f>IFERROR(Calculations!$AA$672,"")</f>
        <v>0</v>
      </c>
      <c r="I61" s="22">
        <f>IFERROR(Calculations!$AB$672,"")</f>
        <v>0</v>
      </c>
      <c r="J61" s="22">
        <f>IFERROR(Calculations!$AC$672,"")</f>
        <v>0</v>
      </c>
      <c r="K61" s="22">
        <f>IFERROR(Calculations!$AD$672,"")</f>
        <v>0</v>
      </c>
      <c r="L61" s="22">
        <f>IFERROR(Calculations!$AE$672,"")</f>
        <v>0</v>
      </c>
      <c r="M61" s="22">
        <f>IFERROR(Calculations!$AF$672,"")</f>
        <v>0</v>
      </c>
      <c r="N61" s="22">
        <f>IFERROR(Calculations!$AG$672,"")</f>
        <v>0</v>
      </c>
      <c r="O61" s="22">
        <f>IFERROR(Calculations!$AH$672,"")</f>
        <v>0</v>
      </c>
    </row>
    <row r="62" spans="2:19">
      <c r="B62" s="12">
        <f>IF(Calculations!$U$673="","",Calculations!$U$673)</f>
        <v>0</v>
      </c>
      <c r="C62" s="22">
        <f>IFERROR(Calculations!$V$673,"")</f>
        <v>0</v>
      </c>
      <c r="D62" s="22">
        <f>IFERROR(Calculations!$W$673,"")</f>
        <v>0</v>
      </c>
      <c r="E62" s="22">
        <f>IFERROR(Calculations!$X$673,"")</f>
        <v>0</v>
      </c>
      <c r="F62" s="22">
        <f>IFERROR(Calculations!$Y$673,"")</f>
        <v>0</v>
      </c>
      <c r="G62" s="22">
        <f>IFERROR(Calculations!$Z$673,"")</f>
        <v>0</v>
      </c>
      <c r="H62" s="22">
        <f>IFERROR(Calculations!$AA$673,"")</f>
        <v>0</v>
      </c>
      <c r="I62" s="22">
        <f>IFERROR(Calculations!$AB$673,"")</f>
        <v>0</v>
      </c>
      <c r="J62" s="22">
        <f>IFERROR(Calculations!$AC$673,"")</f>
        <v>0</v>
      </c>
      <c r="K62" s="22">
        <f>IFERROR(Calculations!$AD$673,"")</f>
        <v>0</v>
      </c>
      <c r="L62" s="22">
        <f>IFERROR(Calculations!$AE$673,"")</f>
        <v>0</v>
      </c>
      <c r="M62" s="22">
        <f>IFERROR(Calculations!$AF$673,"")</f>
        <v>0</v>
      </c>
      <c r="N62" s="22">
        <f>IFERROR(Calculations!$AG$673,"")</f>
        <v>0</v>
      </c>
      <c r="O62" s="22">
        <f>IFERROR(Calculations!$AH$673,"")</f>
        <v>0</v>
      </c>
    </row>
    <row r="63" spans="2:19">
      <c r="B63" s="12">
        <f>IF(Calculations!$U$674="","",Calculations!$U$674)</f>
        <v>0</v>
      </c>
      <c r="C63" s="22">
        <f>IFERROR(Calculations!$V$674,"")</f>
        <v>0</v>
      </c>
      <c r="D63" s="22">
        <f>IFERROR(Calculations!$W$674,"")</f>
        <v>0</v>
      </c>
      <c r="E63" s="22">
        <f>IFERROR(Calculations!$X$674,"")</f>
        <v>0</v>
      </c>
      <c r="F63" s="22">
        <f>IFERROR(Calculations!$Y$674,"")</f>
        <v>0</v>
      </c>
      <c r="G63" s="22">
        <f>IFERROR(Calculations!$Z$674,"")</f>
        <v>0</v>
      </c>
      <c r="H63" s="22">
        <f>IFERROR(Calculations!$AA$674,"")</f>
        <v>0</v>
      </c>
      <c r="I63" s="22">
        <f>IFERROR(Calculations!$AB$674,"")</f>
        <v>0</v>
      </c>
      <c r="J63" s="22">
        <f>IFERROR(Calculations!$AC$674,"")</f>
        <v>0</v>
      </c>
      <c r="K63" s="22">
        <f>IFERROR(Calculations!$AD$674,"")</f>
        <v>0</v>
      </c>
      <c r="L63" s="22">
        <f>IFERROR(Calculations!$AE$674,"")</f>
        <v>0</v>
      </c>
      <c r="M63" s="22">
        <f>IFERROR(Calculations!$AF$674,"")</f>
        <v>0</v>
      </c>
      <c r="N63" s="22">
        <f>IFERROR(Calculations!$AG$674,"")</f>
        <v>0</v>
      </c>
      <c r="O63" s="22">
        <f>IFERROR(Calculations!$AH$674,"")</f>
        <v>0</v>
      </c>
    </row>
    <row r="64" spans="2:19">
      <c r="B64" s="12">
        <f>IF(Calculations!$U$675="","",Calculations!$U$675)</f>
        <v>0</v>
      </c>
      <c r="C64" s="22">
        <f>IFERROR(Calculations!$V$675,"")</f>
        <v>0</v>
      </c>
      <c r="D64" s="22">
        <f>IFERROR(Calculations!$W$675,"")</f>
        <v>0</v>
      </c>
      <c r="E64" s="22">
        <f>IFERROR(Calculations!$X$675,"")</f>
        <v>0</v>
      </c>
      <c r="F64" s="22">
        <f>IFERROR(Calculations!$Y$675,"")</f>
        <v>0</v>
      </c>
      <c r="G64" s="22">
        <f>IFERROR(Calculations!$Z$675,"")</f>
        <v>0</v>
      </c>
      <c r="H64" s="22">
        <f>IFERROR(Calculations!$AA$675,"")</f>
        <v>0</v>
      </c>
      <c r="I64" s="22">
        <f>IFERROR(Calculations!$AB$675,"")</f>
        <v>0</v>
      </c>
      <c r="J64" s="22">
        <f>IFERROR(Calculations!$AC$675,"")</f>
        <v>0</v>
      </c>
      <c r="K64" s="22">
        <f>IFERROR(Calculations!$AD$675,"")</f>
        <v>0</v>
      </c>
      <c r="L64" s="22">
        <f>IFERROR(Calculations!$AE$675,"")</f>
        <v>0</v>
      </c>
      <c r="M64" s="22">
        <f>IFERROR(Calculations!$AF$675,"")</f>
        <v>0</v>
      </c>
      <c r="N64" s="22">
        <f>IFERROR(Calculations!$AG$675,"")</f>
        <v>0</v>
      </c>
      <c r="O64" s="22">
        <f>IFERROR(Calculations!$AH$675,"")</f>
        <v>0</v>
      </c>
    </row>
    <row r="65" spans="2:15">
      <c r="B65" s="12">
        <f>IF(Calculations!$U$676="","",Calculations!$U$676)</f>
        <v>0</v>
      </c>
      <c r="C65" s="22">
        <f>IFERROR(Calculations!$V$676,"")</f>
        <v>0</v>
      </c>
      <c r="D65" s="22">
        <f>IFERROR(Calculations!$W$676,"")</f>
        <v>0</v>
      </c>
      <c r="E65" s="22">
        <f>IFERROR(Calculations!$X$676,"")</f>
        <v>0</v>
      </c>
      <c r="F65" s="22">
        <f>IFERROR(Calculations!$Y$676,"")</f>
        <v>0</v>
      </c>
      <c r="G65" s="22">
        <f>IFERROR(Calculations!$Z$676,"")</f>
        <v>0</v>
      </c>
      <c r="H65" s="22">
        <f>IFERROR(Calculations!$AA$676,"")</f>
        <v>0</v>
      </c>
      <c r="I65" s="22">
        <f>IFERROR(Calculations!$AB$676,"")</f>
        <v>0</v>
      </c>
      <c r="J65" s="22">
        <f>IFERROR(Calculations!$AC$676,"")</f>
        <v>0</v>
      </c>
      <c r="K65" s="22">
        <f>IFERROR(Calculations!$AD$676,"")</f>
        <v>0</v>
      </c>
      <c r="L65" s="22">
        <f>IFERROR(Calculations!$AE$676,"")</f>
        <v>0</v>
      </c>
      <c r="M65" s="22">
        <f>IFERROR(Calculations!$AF$676,"")</f>
        <v>0</v>
      </c>
      <c r="N65" s="22">
        <f>IFERROR(Calculations!$AG$676,"")</f>
        <v>0</v>
      </c>
      <c r="O65" s="22">
        <f>IFERROR(Calculations!$AH$676,"")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  <pageSetUpPr fitToPage="1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2113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2114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2115</v>
      </c>
      <c r="G13" s="35"/>
      <c r="H13" s="35"/>
      <c r="I13" s="35"/>
      <c r="J13" s="35" t="s">
        <v>2116</v>
      </c>
      <c r="K13" s="35"/>
      <c r="L13" s="35"/>
      <c r="M13" s="35"/>
      <c r="N13" s="35" t="s">
        <v>2117</v>
      </c>
      <c r="O13" s="35"/>
      <c r="P13" s="35"/>
      <c r="Q13" s="35"/>
    </row>
    <row r="14" spans="2:19">
      <c r="B14" s="37">
        <f>Calculations!$N$697</f>
        <v>0</v>
      </c>
      <c r="C14" s="37"/>
      <c r="D14" s="37"/>
      <c r="E14" s="37"/>
      <c r="F14" s="37">
        <f>Calculations!$N$698</f>
        <v>0</v>
      </c>
      <c r="G14" s="37"/>
      <c r="H14" s="37"/>
      <c r="I14" s="37"/>
      <c r="J14" s="37">
        <f>Calculations!$N$699</f>
        <v>0</v>
      </c>
      <c r="K14" s="37"/>
      <c r="L14" s="37"/>
      <c r="M14" s="37"/>
      <c r="N14" s="37">
        <f>Calculations!$N$700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>
      <c r="B18" s="10" t="s">
        <v>2052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2054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 t="s">
        <v>129</v>
      </c>
      <c r="C36" s="11" t="s">
        <v>1808</v>
      </c>
      <c r="D36" s="11" t="s">
        <v>1872</v>
      </c>
      <c r="E36" s="11" t="s">
        <v>1872</v>
      </c>
    </row>
    <row r="37" spans="2:19">
      <c r="B37" s="12">
        <f>IFERROR(Calculations!$P$697,"")</f>
        <v>0</v>
      </c>
      <c r="C37" s="22">
        <f>IFERROR(Calculations!$Q$697,"")</f>
        <v>0</v>
      </c>
      <c r="D37" s="22">
        <f>IFERROR(Calculations!$R$697,"")</f>
        <v>0</v>
      </c>
      <c r="E37" s="22">
        <f>IFERROR(Calculations!$S$697,"")</f>
        <v>0</v>
      </c>
    </row>
    <row r="38" spans="2:19">
      <c r="B38" s="12">
        <f>IFERROR(Calculations!$P$698,"")</f>
        <v>0</v>
      </c>
      <c r="C38" s="22">
        <f>IFERROR(Calculations!$Q$698,"")</f>
        <v>0</v>
      </c>
      <c r="D38" s="22">
        <f>IFERROR(Calculations!$R$698,"")</f>
        <v>0</v>
      </c>
      <c r="E38" s="22">
        <f>IFERROR(Calculations!$S$698,"")</f>
        <v>0</v>
      </c>
    </row>
    <row r="39" spans="2:19">
      <c r="B39" s="12">
        <f>IFERROR(Calculations!$P$699,"")</f>
        <v>0</v>
      </c>
      <c r="C39" s="22">
        <f>IFERROR(Calculations!$Q$699,"")</f>
        <v>0</v>
      </c>
      <c r="D39" s="22">
        <f>IFERROR(Calculations!$R$699,"")</f>
        <v>0</v>
      </c>
      <c r="E39" s="22">
        <f>IFERROR(Calculations!$S$699,"")</f>
        <v>0</v>
      </c>
    </row>
    <row r="40" spans="2:19">
      <c r="B40" s="12">
        <f>IFERROR(Calculations!$P$700,"")</f>
        <v>0</v>
      </c>
      <c r="C40" s="22">
        <f>IFERROR(Calculations!$Q$700,"")</f>
        <v>0</v>
      </c>
      <c r="D40" s="22">
        <f>IFERROR(Calculations!$R$700,"")</f>
        <v>0</v>
      </c>
      <c r="E40" s="22">
        <f>IFERROR(Calculations!$S$700,"")</f>
        <v>0</v>
      </c>
    </row>
    <row r="41" spans="2:19">
      <c r="B41" s="12">
        <f>IFERROR(Calculations!$P$701,"")</f>
        <v>0</v>
      </c>
      <c r="C41" s="22">
        <f>IFERROR(Calculations!$Q$701,"")</f>
        <v>0</v>
      </c>
      <c r="D41" s="22">
        <f>IFERROR(Calculations!$R$701,"")</f>
        <v>0</v>
      </c>
      <c r="E41" s="22">
        <f>IFERROR(Calculations!$S$701,"")</f>
        <v>0</v>
      </c>
    </row>
    <row r="42" spans="2:19">
      <c r="B42" s="12">
        <f>IFERROR(Calculations!$P$702,"")</f>
        <v>0</v>
      </c>
      <c r="C42" s="22">
        <f>IFERROR(Calculations!$Q$702,"")</f>
        <v>0</v>
      </c>
      <c r="D42" s="22">
        <f>IFERROR(Calculations!$R$702,"")</f>
        <v>0</v>
      </c>
      <c r="E42" s="22">
        <f>IFERROR(Calculations!$S$702,"")</f>
        <v>0</v>
      </c>
    </row>
    <row r="43" spans="2:19">
      <c r="B43" s="12">
        <f>IFERROR(Calculations!$P$703,"")</f>
        <v>0</v>
      </c>
      <c r="C43" s="22">
        <f>IFERROR(Calculations!$Q$703,"")</f>
        <v>0</v>
      </c>
      <c r="D43" s="22">
        <f>IFERROR(Calculations!$R$703,"")</f>
        <v>0</v>
      </c>
      <c r="E43" s="22">
        <f>IFERROR(Calculations!$S$703,"")</f>
        <v>0</v>
      </c>
    </row>
    <row r="44" spans="2:19">
      <c r="B44" s="12">
        <f>IFERROR(Calculations!$P$704,"")</f>
        <v>0</v>
      </c>
      <c r="C44" s="22">
        <f>IFERROR(Calculations!$Q$704,"")</f>
        <v>0</v>
      </c>
      <c r="D44" s="22">
        <f>IFERROR(Calculations!$R$704,"")</f>
        <v>0</v>
      </c>
      <c r="E44" s="22">
        <f>IFERROR(Calculations!$S$704,"")</f>
        <v>0</v>
      </c>
    </row>
    <row r="45" spans="2:19">
      <c r="B45" s="12">
        <f>IFERROR(Calculations!$P$705,"")</f>
        <v>0</v>
      </c>
      <c r="C45" s="22">
        <f>IFERROR(Calculations!$Q$705,"")</f>
        <v>0</v>
      </c>
      <c r="D45" s="22">
        <f>IFERROR(Calculations!$R$705,"")</f>
        <v>0</v>
      </c>
      <c r="E45" s="22">
        <f>IFERROR(Calculations!$S$705,"")</f>
        <v>0</v>
      </c>
    </row>
    <row r="46" spans="2:19">
      <c r="B46" s="12">
        <f>IFERROR(Calculations!$P$706,"")</f>
        <v>0</v>
      </c>
      <c r="C46" s="22">
        <f>IFERROR(Calculations!$Q$706,"")</f>
        <v>0</v>
      </c>
      <c r="D46" s="22">
        <f>IFERROR(Calculations!$R$706,"")</f>
        <v>0</v>
      </c>
      <c r="E46" s="22">
        <f>IFERROR(Calculations!$S$706,"")</f>
        <v>0</v>
      </c>
    </row>
    <row r="52" spans="2:19">
      <c r="B52" s="10" t="s">
        <v>2055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1873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1874</v>
      </c>
    </row>
    <row r="54" spans="2:19">
      <c r="B54" s="12">
        <f>IF(Calculations!$U$697="","",Calculations!$U$697)</f>
        <v>0</v>
      </c>
      <c r="C54" s="22">
        <f>IFERROR(Calculations!$V$697,"")</f>
        <v>0</v>
      </c>
      <c r="D54" s="22">
        <f>IFERROR(Calculations!$W$697,"")</f>
        <v>0</v>
      </c>
      <c r="E54" s="22">
        <f>IFERROR(Calculations!$X$697,"")</f>
        <v>0</v>
      </c>
      <c r="F54" s="22">
        <f>IFERROR(Calculations!$Y$697,"")</f>
        <v>0</v>
      </c>
      <c r="G54" s="22">
        <f>IFERROR(Calculations!$Z$697,"")</f>
        <v>0</v>
      </c>
      <c r="H54" s="22">
        <f>IFERROR(Calculations!$AA$697,"")</f>
        <v>0</v>
      </c>
      <c r="I54" s="22">
        <f>IFERROR(Calculations!$AB$697,"")</f>
        <v>0</v>
      </c>
      <c r="J54" s="22">
        <f>IFERROR(Calculations!$AC$697,"")</f>
        <v>0</v>
      </c>
      <c r="K54" s="22">
        <f>IFERROR(Calculations!$AD$697,"")</f>
        <v>0</v>
      </c>
      <c r="L54" s="22">
        <f>IFERROR(Calculations!$AE$697,"")</f>
        <v>0</v>
      </c>
      <c r="M54" s="22">
        <f>IFERROR(Calculations!$AF$697,"")</f>
        <v>0</v>
      </c>
      <c r="N54" s="22">
        <f>IFERROR(Calculations!$AG$697,"")</f>
        <v>0</v>
      </c>
      <c r="O54" s="22">
        <f>IFERROR(Calculations!$AH$697,"")</f>
        <v>0</v>
      </c>
    </row>
    <row r="55" spans="2:19">
      <c r="B55" s="12">
        <f>IF(Calculations!$U$698="","",Calculations!$U$698)</f>
        <v>0</v>
      </c>
      <c r="C55" s="22">
        <f>IFERROR(Calculations!$V$698,"")</f>
        <v>0</v>
      </c>
      <c r="D55" s="22">
        <f>IFERROR(Calculations!$W$698,"")</f>
        <v>0</v>
      </c>
      <c r="E55" s="22">
        <f>IFERROR(Calculations!$X$698,"")</f>
        <v>0</v>
      </c>
      <c r="F55" s="22">
        <f>IFERROR(Calculations!$Y$698,"")</f>
        <v>0</v>
      </c>
      <c r="G55" s="22">
        <f>IFERROR(Calculations!$Z$698,"")</f>
        <v>0</v>
      </c>
      <c r="H55" s="22">
        <f>IFERROR(Calculations!$AA$698,"")</f>
        <v>0</v>
      </c>
      <c r="I55" s="22">
        <f>IFERROR(Calculations!$AB$698,"")</f>
        <v>0</v>
      </c>
      <c r="J55" s="22">
        <f>IFERROR(Calculations!$AC$698,"")</f>
        <v>0</v>
      </c>
      <c r="K55" s="22">
        <f>IFERROR(Calculations!$AD$698,"")</f>
        <v>0</v>
      </c>
      <c r="L55" s="22">
        <f>IFERROR(Calculations!$AE$698,"")</f>
        <v>0</v>
      </c>
      <c r="M55" s="22">
        <f>IFERROR(Calculations!$AF$698,"")</f>
        <v>0</v>
      </c>
      <c r="N55" s="22">
        <f>IFERROR(Calculations!$AG$698,"")</f>
        <v>0</v>
      </c>
      <c r="O55" s="22">
        <f>IFERROR(Calculations!$AH$698,"")</f>
        <v>0</v>
      </c>
    </row>
    <row r="56" spans="2:19">
      <c r="B56" s="12">
        <f>IF(Calculations!$U$699="","",Calculations!$U$699)</f>
        <v>0</v>
      </c>
      <c r="C56" s="22">
        <f>IFERROR(Calculations!$V$699,"")</f>
        <v>0</v>
      </c>
      <c r="D56" s="22">
        <f>IFERROR(Calculations!$W$699,"")</f>
        <v>0</v>
      </c>
      <c r="E56" s="22">
        <f>IFERROR(Calculations!$X$699,"")</f>
        <v>0</v>
      </c>
      <c r="F56" s="22">
        <f>IFERROR(Calculations!$Y$699,"")</f>
        <v>0</v>
      </c>
      <c r="G56" s="22">
        <f>IFERROR(Calculations!$Z$699,"")</f>
        <v>0</v>
      </c>
      <c r="H56" s="22">
        <f>IFERROR(Calculations!$AA$699,"")</f>
        <v>0</v>
      </c>
      <c r="I56" s="22">
        <f>IFERROR(Calculations!$AB$699,"")</f>
        <v>0</v>
      </c>
      <c r="J56" s="22">
        <f>IFERROR(Calculations!$AC$699,"")</f>
        <v>0</v>
      </c>
      <c r="K56" s="22">
        <f>IFERROR(Calculations!$AD$699,"")</f>
        <v>0</v>
      </c>
      <c r="L56" s="22">
        <f>IFERROR(Calculations!$AE$699,"")</f>
        <v>0</v>
      </c>
      <c r="M56" s="22">
        <f>IFERROR(Calculations!$AF$699,"")</f>
        <v>0</v>
      </c>
      <c r="N56" s="22">
        <f>IFERROR(Calculations!$AG$699,"")</f>
        <v>0</v>
      </c>
      <c r="O56" s="22">
        <f>IFERROR(Calculations!$AH$699,"")</f>
        <v>0</v>
      </c>
    </row>
    <row r="57" spans="2:19">
      <c r="B57" s="12">
        <f>IF(Calculations!$U$700="","",Calculations!$U$700)</f>
        <v>0</v>
      </c>
      <c r="C57" s="22">
        <f>IFERROR(Calculations!$V$700,"")</f>
        <v>0</v>
      </c>
      <c r="D57" s="22">
        <f>IFERROR(Calculations!$W$700,"")</f>
        <v>0</v>
      </c>
      <c r="E57" s="22">
        <f>IFERROR(Calculations!$X$700,"")</f>
        <v>0</v>
      </c>
      <c r="F57" s="22">
        <f>IFERROR(Calculations!$Y$700,"")</f>
        <v>0</v>
      </c>
      <c r="G57" s="22">
        <f>IFERROR(Calculations!$Z$700,"")</f>
        <v>0</v>
      </c>
      <c r="H57" s="22">
        <f>IFERROR(Calculations!$AA$700,"")</f>
        <v>0</v>
      </c>
      <c r="I57" s="22">
        <f>IFERROR(Calculations!$AB$700,"")</f>
        <v>0</v>
      </c>
      <c r="J57" s="22">
        <f>IFERROR(Calculations!$AC$700,"")</f>
        <v>0</v>
      </c>
      <c r="K57" s="22">
        <f>IFERROR(Calculations!$AD$700,"")</f>
        <v>0</v>
      </c>
      <c r="L57" s="22">
        <f>IFERROR(Calculations!$AE$700,"")</f>
        <v>0</v>
      </c>
      <c r="M57" s="22">
        <f>IFERROR(Calculations!$AF$700,"")</f>
        <v>0</v>
      </c>
      <c r="N57" s="22">
        <f>IFERROR(Calculations!$AG$700,"")</f>
        <v>0</v>
      </c>
      <c r="O57" s="22">
        <f>IFERROR(Calculations!$AH$700,"")</f>
        <v>0</v>
      </c>
    </row>
    <row r="58" spans="2:19">
      <c r="B58" s="12">
        <f>IF(Calculations!$U$701="","",Calculations!$U$701)</f>
        <v>0</v>
      </c>
      <c r="C58" s="22">
        <f>IFERROR(Calculations!$V$701,"")</f>
        <v>0</v>
      </c>
      <c r="D58" s="22">
        <f>IFERROR(Calculations!$W$701,"")</f>
        <v>0</v>
      </c>
      <c r="E58" s="22">
        <f>IFERROR(Calculations!$X$701,"")</f>
        <v>0</v>
      </c>
      <c r="F58" s="22">
        <f>IFERROR(Calculations!$Y$701,"")</f>
        <v>0</v>
      </c>
      <c r="G58" s="22">
        <f>IFERROR(Calculations!$Z$701,"")</f>
        <v>0</v>
      </c>
      <c r="H58" s="22">
        <f>IFERROR(Calculations!$AA$701,"")</f>
        <v>0</v>
      </c>
      <c r="I58" s="22">
        <f>IFERROR(Calculations!$AB$701,"")</f>
        <v>0</v>
      </c>
      <c r="J58" s="22">
        <f>IFERROR(Calculations!$AC$701,"")</f>
        <v>0</v>
      </c>
      <c r="K58" s="22">
        <f>IFERROR(Calculations!$AD$701,"")</f>
        <v>0</v>
      </c>
      <c r="L58" s="22">
        <f>IFERROR(Calculations!$AE$701,"")</f>
        <v>0</v>
      </c>
      <c r="M58" s="22">
        <f>IFERROR(Calculations!$AF$701,"")</f>
        <v>0</v>
      </c>
      <c r="N58" s="22">
        <f>IFERROR(Calculations!$AG$701,"")</f>
        <v>0</v>
      </c>
      <c r="O58" s="22">
        <f>IFERROR(Calculations!$AH$701,"")</f>
        <v>0</v>
      </c>
    </row>
    <row r="59" spans="2:19">
      <c r="B59" s="12">
        <f>IF(Calculations!$U$702="","",Calculations!$U$702)</f>
        <v>0</v>
      </c>
      <c r="C59" s="22">
        <f>IFERROR(Calculations!$V$702,"")</f>
        <v>0</v>
      </c>
      <c r="D59" s="22">
        <f>IFERROR(Calculations!$W$702,"")</f>
        <v>0</v>
      </c>
      <c r="E59" s="22">
        <f>IFERROR(Calculations!$X$702,"")</f>
        <v>0</v>
      </c>
      <c r="F59" s="22">
        <f>IFERROR(Calculations!$Y$702,"")</f>
        <v>0</v>
      </c>
      <c r="G59" s="22">
        <f>IFERROR(Calculations!$Z$702,"")</f>
        <v>0</v>
      </c>
      <c r="H59" s="22">
        <f>IFERROR(Calculations!$AA$702,"")</f>
        <v>0</v>
      </c>
      <c r="I59" s="22">
        <f>IFERROR(Calculations!$AB$702,"")</f>
        <v>0</v>
      </c>
      <c r="J59" s="22">
        <f>IFERROR(Calculations!$AC$702,"")</f>
        <v>0</v>
      </c>
      <c r="K59" s="22">
        <f>IFERROR(Calculations!$AD$702,"")</f>
        <v>0</v>
      </c>
      <c r="L59" s="22">
        <f>IFERROR(Calculations!$AE$702,"")</f>
        <v>0</v>
      </c>
      <c r="M59" s="22">
        <f>IFERROR(Calculations!$AF$702,"")</f>
        <v>0</v>
      </c>
      <c r="N59" s="22">
        <f>IFERROR(Calculations!$AG$702,"")</f>
        <v>0</v>
      </c>
      <c r="O59" s="22">
        <f>IFERROR(Calculations!$AH$702,"")</f>
        <v>0</v>
      </c>
    </row>
  </sheetData>
  <mergeCells count="2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52:S52"/>
  </mergeCells>
  <conditionalFormatting sqref="C37:C46">
    <cfRule type="dataBar" priority="1">
      <dataBar>
        <cfvo type="min" val="0"/>
        <cfvo type="max" val="0"/>
        <color rgb="FF0B6EA8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2118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2119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Calculations!$N$723</f>
        <v>0</v>
      </c>
      <c r="C14" s="37"/>
      <c r="D14" s="37"/>
      <c r="E14" s="37"/>
      <c r="F14" s="38">
        <f>Calculations!$N$724</f>
        <v>0</v>
      </c>
      <c r="G14" s="38"/>
      <c r="H14" s="38"/>
      <c r="I14" s="38"/>
      <c r="J14" s="37">
        <f>Calculations!$N$725</f>
        <v>0</v>
      </c>
      <c r="K14" s="37"/>
      <c r="L14" s="37"/>
      <c r="M14" s="37"/>
      <c r="N14" s="37">
        <f>Calculations!$N$726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2120</v>
      </c>
      <c r="C19" s="35"/>
      <c r="D19" s="35"/>
      <c r="E19" s="35"/>
    </row>
    <row r="20" spans="2:19">
      <c r="B20" s="37">
        <f>Calculations!$N$727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2048</v>
      </c>
      <c r="C22" s="39"/>
      <c r="D22" s="39"/>
      <c r="E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IFERROR(Calculations!$P$723,"")</f>
        <v>0</v>
      </c>
      <c r="C43" s="22">
        <f>IFERROR(Calculations!$Q$723,"")</f>
        <v>0</v>
      </c>
      <c r="D43" s="23">
        <f>IFERROR(Calculations!$R$723,"")</f>
        <v>0</v>
      </c>
      <c r="E43" s="22">
        <f>IFERROR(Calculations!$S$723,"")</f>
        <v>0</v>
      </c>
    </row>
    <row r="44" spans="2:19">
      <c r="B44" s="12">
        <f>IFERROR(Calculations!$P$724,"")</f>
        <v>0</v>
      </c>
      <c r="C44" s="22">
        <f>IFERROR(Calculations!$Q$724,"")</f>
        <v>0</v>
      </c>
      <c r="D44" s="23">
        <f>IFERROR(Calculations!$R$724,"")</f>
        <v>0</v>
      </c>
      <c r="E44" s="22">
        <f>IFERROR(Calculations!$S$724,"")</f>
        <v>0</v>
      </c>
    </row>
    <row r="45" spans="2:19">
      <c r="B45" s="12">
        <f>IFERROR(Calculations!$P$725,"")</f>
        <v>0</v>
      </c>
      <c r="C45" s="22">
        <f>IFERROR(Calculations!$Q$725,"")</f>
        <v>0</v>
      </c>
      <c r="D45" s="23">
        <f>IFERROR(Calculations!$R$725,"")</f>
        <v>0</v>
      </c>
      <c r="E45" s="22">
        <f>IFERROR(Calculations!$S$725,"")</f>
        <v>0</v>
      </c>
    </row>
    <row r="46" spans="2:19">
      <c r="B46" s="12">
        <f>IFERROR(Calculations!$P$726,"")</f>
        <v>0</v>
      </c>
      <c r="C46" s="22">
        <f>IFERROR(Calculations!$Q$726,"")</f>
        <v>0</v>
      </c>
      <c r="D46" s="23">
        <f>IFERROR(Calculations!$R$726,"")</f>
        <v>0</v>
      </c>
      <c r="E46" s="22">
        <f>IFERROR(Calculations!$S$726,"")</f>
        <v>0</v>
      </c>
    </row>
    <row r="47" spans="2:19">
      <c r="B47" s="12">
        <f>IFERROR(Calculations!$P$727,"")</f>
        <v>0</v>
      </c>
      <c r="C47" s="22">
        <f>IFERROR(Calculations!$Q$727,"")</f>
        <v>0</v>
      </c>
      <c r="D47" s="23">
        <f>IFERROR(Calculations!$R$727,"")</f>
        <v>0</v>
      </c>
      <c r="E47" s="22">
        <f>IFERROR(Calculations!$S$727,"")</f>
        <v>0</v>
      </c>
    </row>
    <row r="48" spans="2:19">
      <c r="B48" s="12">
        <f>IFERROR(Calculations!$P$728,"")</f>
        <v>0</v>
      </c>
      <c r="C48" s="22">
        <f>IFERROR(Calculations!$Q$728,"")</f>
        <v>0</v>
      </c>
      <c r="D48" s="23">
        <f>IFERROR(Calculations!$R$728,"")</f>
        <v>0</v>
      </c>
      <c r="E48" s="22">
        <f>IFERROR(Calculations!$S$728,"")</f>
        <v>0</v>
      </c>
    </row>
    <row r="49" spans="2:19">
      <c r="B49" s="12">
        <f>IFERROR(Calculations!$P$729,"")</f>
        <v>0</v>
      </c>
      <c r="C49" s="22">
        <f>IFERROR(Calculations!$Q$729,"")</f>
        <v>0</v>
      </c>
      <c r="D49" s="23">
        <f>IFERROR(Calculations!$R$729,"")</f>
        <v>0</v>
      </c>
      <c r="E49" s="22">
        <f>IFERROR(Calculations!$S$729,"")</f>
        <v>0</v>
      </c>
    </row>
    <row r="50" spans="2:19">
      <c r="B50" s="12">
        <f>IFERROR(Calculations!$P$730,"")</f>
        <v>0</v>
      </c>
      <c r="C50" s="22">
        <f>IFERROR(Calculations!$Q$730,"")</f>
        <v>0</v>
      </c>
      <c r="D50" s="23">
        <f>IFERROR(Calculations!$R$730,"")</f>
        <v>0</v>
      </c>
      <c r="E50" s="22">
        <f>IFERROR(Calculations!$S$730,"")</f>
        <v>0</v>
      </c>
    </row>
    <row r="51" spans="2:19">
      <c r="B51" s="12">
        <f>IFERROR(Calculations!$P$731,"")</f>
        <v>0</v>
      </c>
      <c r="C51" s="22">
        <f>IFERROR(Calculations!$Q$731,"")</f>
        <v>0</v>
      </c>
      <c r="D51" s="23">
        <f>IFERROR(Calculations!$R$731,"")</f>
        <v>0</v>
      </c>
      <c r="E51" s="22">
        <f>IFERROR(Calculations!$S$731,"")</f>
        <v>0</v>
      </c>
    </row>
    <row r="52" spans="2:19">
      <c r="B52" s="12">
        <f>IFERROR(Calculations!$P$732,"")</f>
        <v>0</v>
      </c>
      <c r="C52" s="22">
        <f>IFERROR(Calculations!$Q$732,"")</f>
        <v>0</v>
      </c>
      <c r="D52" s="23">
        <f>IFERROR(Calculations!$R$732,"")</f>
        <v>0</v>
      </c>
      <c r="E52" s="22">
        <f>IFERROR(Calculations!$S$732,"")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IF(Calculations!$U$723="","",Calculations!$U$723)</f>
        <v>0</v>
      </c>
      <c r="C60" s="22">
        <f>IFERROR(Calculations!$V$723,"")</f>
        <v>0</v>
      </c>
      <c r="D60" s="22">
        <f>IFERROR(Calculations!$W$723,"")</f>
        <v>0</v>
      </c>
      <c r="E60" s="22">
        <f>IFERROR(Calculations!$X$723,"")</f>
        <v>0</v>
      </c>
      <c r="F60" s="22">
        <f>IFERROR(Calculations!$Y$723,"")</f>
        <v>0</v>
      </c>
      <c r="G60" s="22">
        <f>IFERROR(Calculations!$Z$723,"")</f>
        <v>0</v>
      </c>
      <c r="H60" s="22">
        <f>IFERROR(Calculations!$AA$723,"")</f>
        <v>0</v>
      </c>
      <c r="I60" s="22">
        <f>IFERROR(Calculations!$AB$723,"")</f>
        <v>0</v>
      </c>
      <c r="J60" s="22">
        <f>IFERROR(Calculations!$AC$723,"")</f>
        <v>0</v>
      </c>
      <c r="K60" s="22">
        <f>IFERROR(Calculations!$AD$723,"")</f>
        <v>0</v>
      </c>
      <c r="L60" s="22">
        <f>IFERROR(Calculations!$AE$723,"")</f>
        <v>0</v>
      </c>
      <c r="M60" s="22">
        <f>IFERROR(Calculations!$AF$723,"")</f>
        <v>0</v>
      </c>
      <c r="N60" s="22">
        <f>IFERROR(Calculations!$AG$723,"")</f>
        <v>0</v>
      </c>
      <c r="O60" s="22">
        <f>IFERROR(Calculations!$AH$723,"")</f>
        <v>0</v>
      </c>
    </row>
    <row r="61" spans="2:19">
      <c r="B61" s="12">
        <f>IF(Calculations!$U$724="","",Calculations!$U$724)</f>
        <v>0</v>
      </c>
      <c r="C61" s="22">
        <f>IFERROR(Calculations!$V$724,"")</f>
        <v>0</v>
      </c>
      <c r="D61" s="22">
        <f>IFERROR(Calculations!$W$724,"")</f>
        <v>0</v>
      </c>
      <c r="E61" s="22">
        <f>IFERROR(Calculations!$X$724,"")</f>
        <v>0</v>
      </c>
      <c r="F61" s="22">
        <f>IFERROR(Calculations!$Y$724,"")</f>
        <v>0</v>
      </c>
      <c r="G61" s="22">
        <f>IFERROR(Calculations!$Z$724,"")</f>
        <v>0</v>
      </c>
      <c r="H61" s="22">
        <f>IFERROR(Calculations!$AA$724,"")</f>
        <v>0</v>
      </c>
      <c r="I61" s="22">
        <f>IFERROR(Calculations!$AB$724,"")</f>
        <v>0</v>
      </c>
      <c r="J61" s="22">
        <f>IFERROR(Calculations!$AC$724,"")</f>
        <v>0</v>
      </c>
      <c r="K61" s="22">
        <f>IFERROR(Calculations!$AD$724,"")</f>
        <v>0</v>
      </c>
      <c r="L61" s="22">
        <f>IFERROR(Calculations!$AE$724,"")</f>
        <v>0</v>
      </c>
      <c r="M61" s="22">
        <f>IFERROR(Calculations!$AF$724,"")</f>
        <v>0</v>
      </c>
      <c r="N61" s="22">
        <f>IFERROR(Calculations!$AG$724,"")</f>
        <v>0</v>
      </c>
      <c r="O61" s="22">
        <f>IFERROR(Calculations!$AH$724,"")</f>
        <v>0</v>
      </c>
    </row>
    <row r="62" spans="2:19">
      <c r="B62" s="12">
        <f>IF(Calculations!$U$725="","",Calculations!$U$725)</f>
        <v>0</v>
      </c>
      <c r="C62" s="22">
        <f>IFERROR(Calculations!$V$725,"")</f>
        <v>0</v>
      </c>
      <c r="D62" s="22">
        <f>IFERROR(Calculations!$W$725,"")</f>
        <v>0</v>
      </c>
      <c r="E62" s="22">
        <f>IFERROR(Calculations!$X$725,"")</f>
        <v>0</v>
      </c>
      <c r="F62" s="22">
        <f>IFERROR(Calculations!$Y$725,"")</f>
        <v>0</v>
      </c>
      <c r="G62" s="22">
        <f>IFERROR(Calculations!$Z$725,"")</f>
        <v>0</v>
      </c>
      <c r="H62" s="22">
        <f>IFERROR(Calculations!$AA$725,"")</f>
        <v>0</v>
      </c>
      <c r="I62" s="22">
        <f>IFERROR(Calculations!$AB$725,"")</f>
        <v>0</v>
      </c>
      <c r="J62" s="22">
        <f>IFERROR(Calculations!$AC$725,"")</f>
        <v>0</v>
      </c>
      <c r="K62" s="22">
        <f>IFERROR(Calculations!$AD$725,"")</f>
        <v>0</v>
      </c>
      <c r="L62" s="22">
        <f>IFERROR(Calculations!$AE$725,"")</f>
        <v>0</v>
      </c>
      <c r="M62" s="22">
        <f>IFERROR(Calculations!$AF$725,"")</f>
        <v>0</v>
      </c>
      <c r="N62" s="22">
        <f>IFERROR(Calculations!$AG$725,"")</f>
        <v>0</v>
      </c>
      <c r="O62" s="22">
        <f>IFERROR(Calculations!$AH$725,"")</f>
        <v>0</v>
      </c>
    </row>
    <row r="63" spans="2:19">
      <c r="B63" s="12">
        <f>IF(Calculations!$U$726="","",Calculations!$U$726)</f>
        <v>0</v>
      </c>
      <c r="C63" s="22">
        <f>IFERROR(Calculations!$V$726,"")</f>
        <v>0</v>
      </c>
      <c r="D63" s="22">
        <f>IFERROR(Calculations!$W$726,"")</f>
        <v>0</v>
      </c>
      <c r="E63" s="22">
        <f>IFERROR(Calculations!$X$726,"")</f>
        <v>0</v>
      </c>
      <c r="F63" s="22">
        <f>IFERROR(Calculations!$Y$726,"")</f>
        <v>0</v>
      </c>
      <c r="G63" s="22">
        <f>IFERROR(Calculations!$Z$726,"")</f>
        <v>0</v>
      </c>
      <c r="H63" s="22">
        <f>IFERROR(Calculations!$AA$726,"")</f>
        <v>0</v>
      </c>
      <c r="I63" s="22">
        <f>IFERROR(Calculations!$AB$726,"")</f>
        <v>0</v>
      </c>
      <c r="J63" s="22">
        <f>IFERROR(Calculations!$AC$726,"")</f>
        <v>0</v>
      </c>
      <c r="K63" s="22">
        <f>IFERROR(Calculations!$AD$726,"")</f>
        <v>0</v>
      </c>
      <c r="L63" s="22">
        <f>IFERROR(Calculations!$AE$726,"")</f>
        <v>0</v>
      </c>
      <c r="M63" s="22">
        <f>IFERROR(Calculations!$AF$726,"")</f>
        <v>0</v>
      </c>
      <c r="N63" s="22">
        <f>IFERROR(Calculations!$AG$726,"")</f>
        <v>0</v>
      </c>
      <c r="O63" s="22">
        <f>IFERROR(Calculations!$AH$726,"")</f>
        <v>0</v>
      </c>
    </row>
    <row r="64" spans="2:19">
      <c r="B64" s="12">
        <f>IF(Calculations!$U$727="","",Calculations!$U$727)</f>
        <v>0</v>
      </c>
      <c r="C64" s="22">
        <f>IFERROR(Calculations!$V$727,"")</f>
        <v>0</v>
      </c>
      <c r="D64" s="22">
        <f>IFERROR(Calculations!$W$727,"")</f>
        <v>0</v>
      </c>
      <c r="E64" s="22">
        <f>IFERROR(Calculations!$X$727,"")</f>
        <v>0</v>
      </c>
      <c r="F64" s="22">
        <f>IFERROR(Calculations!$Y$727,"")</f>
        <v>0</v>
      </c>
      <c r="G64" s="22">
        <f>IFERROR(Calculations!$Z$727,"")</f>
        <v>0</v>
      </c>
      <c r="H64" s="22">
        <f>IFERROR(Calculations!$AA$727,"")</f>
        <v>0</v>
      </c>
      <c r="I64" s="22">
        <f>IFERROR(Calculations!$AB$727,"")</f>
        <v>0</v>
      </c>
      <c r="J64" s="22">
        <f>IFERROR(Calculations!$AC$727,"")</f>
        <v>0</v>
      </c>
      <c r="K64" s="22">
        <f>IFERROR(Calculations!$AD$727,"")</f>
        <v>0</v>
      </c>
      <c r="L64" s="22">
        <f>IFERROR(Calculations!$AE$727,"")</f>
        <v>0</v>
      </c>
      <c r="M64" s="22">
        <f>IFERROR(Calculations!$AF$727,"")</f>
        <v>0</v>
      </c>
      <c r="N64" s="22">
        <f>IFERROR(Calculations!$AG$727,"")</f>
        <v>0</v>
      </c>
      <c r="O64" s="22">
        <f>IFERROR(Calculations!$AH$727,"")</f>
        <v>0</v>
      </c>
    </row>
    <row r="65" spans="2:15">
      <c r="B65" s="12">
        <f>IF(Calculations!$U$728="","",Calculations!$U$728)</f>
        <v>0</v>
      </c>
      <c r="C65" s="22">
        <f>IFERROR(Calculations!$V$728,"")</f>
        <v>0</v>
      </c>
      <c r="D65" s="22">
        <f>IFERROR(Calculations!$W$728,"")</f>
        <v>0</v>
      </c>
      <c r="E65" s="22">
        <f>IFERROR(Calculations!$X$728,"")</f>
        <v>0</v>
      </c>
      <c r="F65" s="22">
        <f>IFERROR(Calculations!$Y$728,"")</f>
        <v>0</v>
      </c>
      <c r="G65" s="22">
        <f>IFERROR(Calculations!$Z$728,"")</f>
        <v>0</v>
      </c>
      <c r="H65" s="22">
        <f>IFERROR(Calculations!$AA$728,"")</f>
        <v>0</v>
      </c>
      <c r="I65" s="22">
        <f>IFERROR(Calculations!$AB$728,"")</f>
        <v>0</v>
      </c>
      <c r="J65" s="22">
        <f>IFERROR(Calculations!$AC$728,"")</f>
        <v>0</v>
      </c>
      <c r="K65" s="22">
        <f>IFERROR(Calculations!$AD$728,"")</f>
        <v>0</v>
      </c>
      <c r="L65" s="22">
        <f>IFERROR(Calculations!$AE$728,"")</f>
        <v>0</v>
      </c>
      <c r="M65" s="22">
        <f>IFERROR(Calculations!$AF$728,"")</f>
        <v>0</v>
      </c>
      <c r="N65" s="22">
        <f>IFERROR(Calculations!$AG$728,"")</f>
        <v>0</v>
      </c>
      <c r="O65" s="22">
        <f>IFERROR(Calculations!$AH$728,"")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  <pageSetUpPr fitToPage="1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2121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2122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2123</v>
      </c>
      <c r="K13" s="35"/>
      <c r="L13" s="35"/>
      <c r="M13" s="35"/>
      <c r="N13" s="35" t="s">
        <v>2124</v>
      </c>
      <c r="O13" s="35"/>
      <c r="P13" s="35"/>
      <c r="Q13" s="35"/>
    </row>
    <row r="14" spans="2:19">
      <c r="B14" s="37">
        <f>Calculations!$N$749</f>
        <v>0</v>
      </c>
      <c r="C14" s="37"/>
      <c r="D14" s="37"/>
      <c r="E14" s="37"/>
      <c r="F14" s="38">
        <f>Calculations!$N$750</f>
        <v>0</v>
      </c>
      <c r="G14" s="38"/>
      <c r="H14" s="38"/>
      <c r="I14" s="38"/>
      <c r="J14" s="38">
        <f>Calculations!$N$751</f>
        <v>0</v>
      </c>
      <c r="K14" s="38"/>
      <c r="L14" s="38"/>
      <c r="M14" s="38"/>
      <c r="N14" s="37">
        <f>Calculations!$N$752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8"/>
      <c r="K15" s="38"/>
      <c r="L15" s="38"/>
      <c r="M15" s="38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>
      <c r="B18" s="10" t="s">
        <v>2052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2054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 t="s">
        <v>129</v>
      </c>
      <c r="C36" s="11" t="s">
        <v>1808</v>
      </c>
      <c r="D36" s="11" t="s">
        <v>1879</v>
      </c>
      <c r="E36" s="11" t="s">
        <v>1853</v>
      </c>
    </row>
    <row r="37" spans="2:19">
      <c r="B37" s="12">
        <f>IFERROR(Calculations!$P$749,"")</f>
        <v>0</v>
      </c>
      <c r="C37" s="22">
        <f>IFERROR(Calculations!$Q$749,"")</f>
        <v>0</v>
      </c>
      <c r="D37" s="23">
        <f>IFERROR(Calculations!$R$749,"")</f>
        <v>0</v>
      </c>
      <c r="E37" s="23">
        <f>IFERROR(Calculations!$S$749,"")</f>
        <v>0</v>
      </c>
    </row>
    <row r="38" spans="2:19">
      <c r="B38" s="12">
        <f>IFERROR(Calculations!$P$750,"")</f>
        <v>0</v>
      </c>
      <c r="C38" s="22">
        <f>IFERROR(Calculations!$Q$750,"")</f>
        <v>0</v>
      </c>
      <c r="D38" s="23">
        <f>IFERROR(Calculations!$R$750,"")</f>
        <v>0</v>
      </c>
      <c r="E38" s="23">
        <f>IFERROR(Calculations!$S$750,"")</f>
        <v>0</v>
      </c>
    </row>
    <row r="39" spans="2:19">
      <c r="B39" s="12">
        <f>IFERROR(Calculations!$P$751,"")</f>
        <v>0</v>
      </c>
      <c r="C39" s="22">
        <f>IFERROR(Calculations!$Q$751,"")</f>
        <v>0</v>
      </c>
      <c r="D39" s="23">
        <f>IFERROR(Calculations!$R$751,"")</f>
        <v>0</v>
      </c>
      <c r="E39" s="23">
        <f>IFERROR(Calculations!$S$751,"")</f>
        <v>0</v>
      </c>
    </row>
    <row r="40" spans="2:19">
      <c r="B40" s="12">
        <f>IFERROR(Calculations!$P$752,"")</f>
        <v>0</v>
      </c>
      <c r="C40" s="22">
        <f>IFERROR(Calculations!$Q$752,"")</f>
        <v>0</v>
      </c>
      <c r="D40" s="23">
        <f>IFERROR(Calculations!$R$752,"")</f>
        <v>0</v>
      </c>
      <c r="E40" s="23">
        <f>IFERROR(Calculations!$S$752,"")</f>
        <v>0</v>
      </c>
    </row>
    <row r="41" spans="2:19">
      <c r="B41" s="12">
        <f>IFERROR(Calculations!$P$753,"")</f>
        <v>0</v>
      </c>
      <c r="C41" s="22">
        <f>IFERROR(Calculations!$Q$753,"")</f>
        <v>0</v>
      </c>
      <c r="D41" s="23">
        <f>IFERROR(Calculations!$R$753,"")</f>
        <v>0</v>
      </c>
      <c r="E41" s="23">
        <f>IFERROR(Calculations!$S$753,"")</f>
        <v>0</v>
      </c>
    </row>
    <row r="42" spans="2:19">
      <c r="B42" s="12">
        <f>IFERROR(Calculations!$P$754,"")</f>
        <v>0</v>
      </c>
      <c r="C42" s="22">
        <f>IFERROR(Calculations!$Q$754,"")</f>
        <v>0</v>
      </c>
      <c r="D42" s="23">
        <f>IFERROR(Calculations!$R$754,"")</f>
        <v>0</v>
      </c>
      <c r="E42" s="23">
        <f>IFERROR(Calculations!$S$754,"")</f>
        <v>0</v>
      </c>
    </row>
    <row r="43" spans="2:19">
      <c r="B43" s="12">
        <f>IFERROR(Calculations!$P$755,"")</f>
        <v>0</v>
      </c>
      <c r="C43" s="22">
        <f>IFERROR(Calculations!$Q$755,"")</f>
        <v>0</v>
      </c>
      <c r="D43" s="23">
        <f>IFERROR(Calculations!$R$755,"")</f>
        <v>0</v>
      </c>
      <c r="E43" s="23">
        <f>IFERROR(Calculations!$S$755,"")</f>
        <v>0</v>
      </c>
    </row>
    <row r="44" spans="2:19">
      <c r="B44" s="12">
        <f>IFERROR(Calculations!$P$756,"")</f>
        <v>0</v>
      </c>
      <c r="C44" s="22">
        <f>IFERROR(Calculations!$Q$756,"")</f>
        <v>0</v>
      </c>
      <c r="D44" s="23">
        <f>IFERROR(Calculations!$R$756,"")</f>
        <v>0</v>
      </c>
      <c r="E44" s="23">
        <f>IFERROR(Calculations!$S$756,"")</f>
        <v>0</v>
      </c>
    </row>
    <row r="45" spans="2:19">
      <c r="B45" s="12">
        <f>IFERROR(Calculations!$P$757,"")</f>
        <v>0</v>
      </c>
      <c r="C45" s="22">
        <f>IFERROR(Calculations!$Q$757,"")</f>
        <v>0</v>
      </c>
      <c r="D45" s="23">
        <f>IFERROR(Calculations!$R$757,"")</f>
        <v>0</v>
      </c>
      <c r="E45" s="23">
        <f>IFERROR(Calculations!$S$757,"")</f>
        <v>0</v>
      </c>
    </row>
    <row r="46" spans="2:19">
      <c r="B46" s="12">
        <f>IFERROR(Calculations!$P$758,"")</f>
        <v>0</v>
      </c>
      <c r="C46" s="22">
        <f>IFERROR(Calculations!$Q$758,"")</f>
        <v>0</v>
      </c>
      <c r="D46" s="23">
        <f>IFERROR(Calculations!$R$758,"")</f>
        <v>0</v>
      </c>
      <c r="E46" s="23">
        <f>IFERROR(Calculations!$S$758,"")</f>
        <v>0</v>
      </c>
    </row>
    <row r="52" spans="2:19">
      <c r="B52" s="10" t="s">
        <v>2055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1873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1874</v>
      </c>
    </row>
    <row r="54" spans="2:19">
      <c r="B54" s="12">
        <f>IF(Calculations!$U$749="","",Calculations!$U$749)</f>
        <v>0</v>
      </c>
      <c r="C54" s="22">
        <f>IFERROR(Calculations!$V$749,"")</f>
        <v>0</v>
      </c>
      <c r="D54" s="22">
        <f>IFERROR(Calculations!$W$749,"")</f>
        <v>0</v>
      </c>
      <c r="E54" s="22">
        <f>IFERROR(Calculations!$X$749,"")</f>
        <v>0</v>
      </c>
      <c r="F54" s="22">
        <f>IFERROR(Calculations!$Y$749,"")</f>
        <v>0</v>
      </c>
      <c r="G54" s="22">
        <f>IFERROR(Calculations!$Z$749,"")</f>
        <v>0</v>
      </c>
      <c r="H54" s="22">
        <f>IFERROR(Calculations!$AA$749,"")</f>
        <v>0</v>
      </c>
      <c r="I54" s="22">
        <f>IFERROR(Calculations!$AB$749,"")</f>
        <v>0</v>
      </c>
      <c r="J54" s="22">
        <f>IFERROR(Calculations!$AC$749,"")</f>
        <v>0</v>
      </c>
      <c r="K54" s="22">
        <f>IFERROR(Calculations!$AD$749,"")</f>
        <v>0</v>
      </c>
      <c r="L54" s="22">
        <f>IFERROR(Calculations!$AE$749,"")</f>
        <v>0</v>
      </c>
      <c r="M54" s="22">
        <f>IFERROR(Calculations!$AF$749,"")</f>
        <v>0</v>
      </c>
      <c r="N54" s="22">
        <f>IFERROR(Calculations!$AG$749,"")</f>
        <v>0</v>
      </c>
      <c r="O54" s="22">
        <f>IFERROR(Calculations!$AH$749,"")</f>
        <v>0</v>
      </c>
    </row>
    <row r="55" spans="2:19">
      <c r="B55" s="12">
        <f>IF(Calculations!$U$750="","",Calculations!$U$750)</f>
        <v>0</v>
      </c>
      <c r="C55" s="22">
        <f>IFERROR(Calculations!$V$750,"")</f>
        <v>0</v>
      </c>
      <c r="D55" s="22">
        <f>IFERROR(Calculations!$W$750,"")</f>
        <v>0</v>
      </c>
      <c r="E55" s="22">
        <f>IFERROR(Calculations!$X$750,"")</f>
        <v>0</v>
      </c>
      <c r="F55" s="22">
        <f>IFERROR(Calculations!$Y$750,"")</f>
        <v>0</v>
      </c>
      <c r="G55" s="22">
        <f>IFERROR(Calculations!$Z$750,"")</f>
        <v>0</v>
      </c>
      <c r="H55" s="22">
        <f>IFERROR(Calculations!$AA$750,"")</f>
        <v>0</v>
      </c>
      <c r="I55" s="22">
        <f>IFERROR(Calculations!$AB$750,"")</f>
        <v>0</v>
      </c>
      <c r="J55" s="22">
        <f>IFERROR(Calculations!$AC$750,"")</f>
        <v>0</v>
      </c>
      <c r="K55" s="22">
        <f>IFERROR(Calculations!$AD$750,"")</f>
        <v>0</v>
      </c>
      <c r="L55" s="22">
        <f>IFERROR(Calculations!$AE$750,"")</f>
        <v>0</v>
      </c>
      <c r="M55" s="22">
        <f>IFERROR(Calculations!$AF$750,"")</f>
        <v>0</v>
      </c>
      <c r="N55" s="22">
        <f>IFERROR(Calculations!$AG$750,"")</f>
        <v>0</v>
      </c>
      <c r="O55" s="22">
        <f>IFERROR(Calculations!$AH$750,"")</f>
        <v>0</v>
      </c>
    </row>
    <row r="56" spans="2:19">
      <c r="B56" s="12">
        <f>IF(Calculations!$U$751="","",Calculations!$U$751)</f>
        <v>0</v>
      </c>
      <c r="C56" s="22">
        <f>IFERROR(Calculations!$V$751,"")</f>
        <v>0</v>
      </c>
      <c r="D56" s="22">
        <f>IFERROR(Calculations!$W$751,"")</f>
        <v>0</v>
      </c>
      <c r="E56" s="22">
        <f>IFERROR(Calculations!$X$751,"")</f>
        <v>0</v>
      </c>
      <c r="F56" s="22">
        <f>IFERROR(Calculations!$Y$751,"")</f>
        <v>0</v>
      </c>
      <c r="G56" s="22">
        <f>IFERROR(Calculations!$Z$751,"")</f>
        <v>0</v>
      </c>
      <c r="H56" s="22">
        <f>IFERROR(Calculations!$AA$751,"")</f>
        <v>0</v>
      </c>
      <c r="I56" s="22">
        <f>IFERROR(Calculations!$AB$751,"")</f>
        <v>0</v>
      </c>
      <c r="J56" s="22">
        <f>IFERROR(Calculations!$AC$751,"")</f>
        <v>0</v>
      </c>
      <c r="K56" s="22">
        <f>IFERROR(Calculations!$AD$751,"")</f>
        <v>0</v>
      </c>
      <c r="L56" s="22">
        <f>IFERROR(Calculations!$AE$751,"")</f>
        <v>0</v>
      </c>
      <c r="M56" s="22">
        <f>IFERROR(Calculations!$AF$751,"")</f>
        <v>0</v>
      </c>
      <c r="N56" s="22">
        <f>IFERROR(Calculations!$AG$751,"")</f>
        <v>0</v>
      </c>
      <c r="O56" s="22">
        <f>IFERROR(Calculations!$AH$751,"")</f>
        <v>0</v>
      </c>
    </row>
    <row r="57" spans="2:19">
      <c r="B57" s="12">
        <f>IF(Calculations!$U$752="","",Calculations!$U$752)</f>
        <v>0</v>
      </c>
      <c r="C57" s="22">
        <f>IFERROR(Calculations!$V$752,"")</f>
        <v>0</v>
      </c>
      <c r="D57" s="22">
        <f>IFERROR(Calculations!$W$752,"")</f>
        <v>0</v>
      </c>
      <c r="E57" s="22">
        <f>IFERROR(Calculations!$X$752,"")</f>
        <v>0</v>
      </c>
      <c r="F57" s="22">
        <f>IFERROR(Calculations!$Y$752,"")</f>
        <v>0</v>
      </c>
      <c r="G57" s="22">
        <f>IFERROR(Calculations!$Z$752,"")</f>
        <v>0</v>
      </c>
      <c r="H57" s="22">
        <f>IFERROR(Calculations!$AA$752,"")</f>
        <v>0</v>
      </c>
      <c r="I57" s="22">
        <f>IFERROR(Calculations!$AB$752,"")</f>
        <v>0</v>
      </c>
      <c r="J57" s="22">
        <f>IFERROR(Calculations!$AC$752,"")</f>
        <v>0</v>
      </c>
      <c r="K57" s="22">
        <f>IFERROR(Calculations!$AD$752,"")</f>
        <v>0</v>
      </c>
      <c r="L57" s="22">
        <f>IFERROR(Calculations!$AE$752,"")</f>
        <v>0</v>
      </c>
      <c r="M57" s="22">
        <f>IFERROR(Calculations!$AF$752,"")</f>
        <v>0</v>
      </c>
      <c r="N57" s="22">
        <f>IFERROR(Calculations!$AG$752,"")</f>
        <v>0</v>
      </c>
      <c r="O57" s="22">
        <f>IFERROR(Calculations!$AH$752,"")</f>
        <v>0</v>
      </c>
    </row>
    <row r="58" spans="2:19">
      <c r="B58" s="12">
        <f>IF(Calculations!$U$753="","",Calculations!$U$753)</f>
        <v>0</v>
      </c>
      <c r="C58" s="22">
        <f>IFERROR(Calculations!$V$753,"")</f>
        <v>0</v>
      </c>
      <c r="D58" s="22">
        <f>IFERROR(Calculations!$W$753,"")</f>
        <v>0</v>
      </c>
      <c r="E58" s="22">
        <f>IFERROR(Calculations!$X$753,"")</f>
        <v>0</v>
      </c>
      <c r="F58" s="22">
        <f>IFERROR(Calculations!$Y$753,"")</f>
        <v>0</v>
      </c>
      <c r="G58" s="22">
        <f>IFERROR(Calculations!$Z$753,"")</f>
        <v>0</v>
      </c>
      <c r="H58" s="22">
        <f>IFERROR(Calculations!$AA$753,"")</f>
        <v>0</v>
      </c>
      <c r="I58" s="22">
        <f>IFERROR(Calculations!$AB$753,"")</f>
        <v>0</v>
      </c>
      <c r="J58" s="22">
        <f>IFERROR(Calculations!$AC$753,"")</f>
        <v>0</v>
      </c>
      <c r="K58" s="22">
        <f>IFERROR(Calculations!$AD$753,"")</f>
        <v>0</v>
      </c>
      <c r="L58" s="22">
        <f>IFERROR(Calculations!$AE$753,"")</f>
        <v>0</v>
      </c>
      <c r="M58" s="22">
        <f>IFERROR(Calculations!$AF$753,"")</f>
        <v>0</v>
      </c>
      <c r="N58" s="22">
        <f>IFERROR(Calculations!$AG$753,"")</f>
        <v>0</v>
      </c>
      <c r="O58" s="22">
        <f>IFERROR(Calculations!$AH$753,"")</f>
        <v>0</v>
      </c>
    </row>
    <row r="59" spans="2:19">
      <c r="B59" s="12">
        <f>IF(Calculations!$U$754="","",Calculations!$U$754)</f>
        <v>0</v>
      </c>
      <c r="C59" s="22">
        <f>IFERROR(Calculations!$V$754,"")</f>
        <v>0</v>
      </c>
      <c r="D59" s="22">
        <f>IFERROR(Calculations!$W$754,"")</f>
        <v>0</v>
      </c>
      <c r="E59" s="22">
        <f>IFERROR(Calculations!$X$754,"")</f>
        <v>0</v>
      </c>
      <c r="F59" s="22">
        <f>IFERROR(Calculations!$Y$754,"")</f>
        <v>0</v>
      </c>
      <c r="G59" s="22">
        <f>IFERROR(Calculations!$Z$754,"")</f>
        <v>0</v>
      </c>
      <c r="H59" s="22">
        <f>IFERROR(Calculations!$AA$754,"")</f>
        <v>0</v>
      </c>
      <c r="I59" s="22">
        <f>IFERROR(Calculations!$AB$754,"")</f>
        <v>0</v>
      </c>
      <c r="J59" s="22">
        <f>IFERROR(Calculations!$AC$754,"")</f>
        <v>0</v>
      </c>
      <c r="K59" s="22">
        <f>IFERROR(Calculations!$AD$754,"")</f>
        <v>0</v>
      </c>
      <c r="L59" s="22">
        <f>IFERROR(Calculations!$AE$754,"")</f>
        <v>0</v>
      </c>
      <c r="M59" s="22">
        <f>IFERROR(Calculations!$AF$754,"")</f>
        <v>0</v>
      </c>
      <c r="N59" s="22">
        <f>IFERROR(Calculations!$AG$754,"")</f>
        <v>0</v>
      </c>
      <c r="O59" s="22">
        <f>IFERROR(Calculations!$AH$754,"")</f>
        <v>0</v>
      </c>
    </row>
  </sheetData>
  <mergeCells count="2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52:S52"/>
  </mergeCells>
  <conditionalFormatting sqref="C37:C46">
    <cfRule type="dataBar" priority="1">
      <dataBar>
        <cfvo type="min" val="0"/>
        <cfvo type="max" val="0"/>
        <color rgb="FF0B6EA8"/>
      </dataBar>
    </cfRule>
  </conditionalFormatting>
  <conditionalFormatting sqref="C55:N55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56:N56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2125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2126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Calculations!$N$775</f>
        <v>0</v>
      </c>
      <c r="C14" s="37"/>
      <c r="D14" s="37"/>
      <c r="E14" s="37"/>
      <c r="F14" s="38">
        <f>Calculations!$N$776</f>
        <v>0</v>
      </c>
      <c r="G14" s="38"/>
      <c r="H14" s="38"/>
      <c r="I14" s="38"/>
      <c r="J14" s="37">
        <f>Calculations!$N$777</f>
        <v>0</v>
      </c>
      <c r="K14" s="37"/>
      <c r="L14" s="37"/>
      <c r="M14" s="37"/>
      <c r="N14" s="37">
        <f>Calculations!$N$778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2127</v>
      </c>
      <c r="C19" s="35"/>
      <c r="D19" s="35"/>
      <c r="E19" s="35"/>
      <c r="F19" s="35" t="s">
        <v>2087</v>
      </c>
      <c r="G19" s="35"/>
      <c r="H19" s="35"/>
      <c r="I19" s="35"/>
    </row>
    <row r="20" spans="2:19">
      <c r="B20" s="37">
        <f>Calculations!$N$779</f>
        <v>0</v>
      </c>
      <c r="C20" s="37"/>
      <c r="D20" s="37"/>
      <c r="E20" s="37"/>
      <c r="F20" s="37">
        <f>Calculations!$N$780</f>
        <v>0</v>
      </c>
      <c r="G20" s="37"/>
      <c r="H20" s="37"/>
      <c r="I20" s="37"/>
    </row>
    <row r="21" spans="2:19">
      <c r="B21" s="37"/>
      <c r="C21" s="37"/>
      <c r="D21" s="37"/>
      <c r="E21" s="37"/>
      <c r="F21" s="37"/>
      <c r="G21" s="37"/>
      <c r="H21" s="37"/>
      <c r="I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IFERROR(Calculations!$P$775,"")</f>
        <v>0</v>
      </c>
      <c r="C43" s="22">
        <f>IFERROR(Calculations!$Q$775,"")</f>
        <v>0</v>
      </c>
      <c r="D43" s="23">
        <f>IFERROR(Calculations!$R$775,"")</f>
        <v>0</v>
      </c>
      <c r="E43" s="22">
        <f>IFERROR(Calculations!$S$775,"")</f>
        <v>0</v>
      </c>
    </row>
    <row r="44" spans="2:19">
      <c r="B44" s="12">
        <f>IFERROR(Calculations!$P$776,"")</f>
        <v>0</v>
      </c>
      <c r="C44" s="22">
        <f>IFERROR(Calculations!$Q$776,"")</f>
        <v>0</v>
      </c>
      <c r="D44" s="23">
        <f>IFERROR(Calculations!$R$776,"")</f>
        <v>0</v>
      </c>
      <c r="E44" s="22">
        <f>IFERROR(Calculations!$S$776,"")</f>
        <v>0</v>
      </c>
    </row>
    <row r="45" spans="2:19">
      <c r="B45" s="12">
        <f>IFERROR(Calculations!$P$777,"")</f>
        <v>0</v>
      </c>
      <c r="C45" s="22">
        <f>IFERROR(Calculations!$Q$777,"")</f>
        <v>0</v>
      </c>
      <c r="D45" s="23">
        <f>IFERROR(Calculations!$R$777,"")</f>
        <v>0</v>
      </c>
      <c r="E45" s="22">
        <f>IFERROR(Calculations!$S$777,"")</f>
        <v>0</v>
      </c>
    </row>
    <row r="46" spans="2:19">
      <c r="B46" s="12">
        <f>IFERROR(Calculations!$P$778,"")</f>
        <v>0</v>
      </c>
      <c r="C46" s="22">
        <f>IFERROR(Calculations!$Q$778,"")</f>
        <v>0</v>
      </c>
      <c r="D46" s="23">
        <f>IFERROR(Calculations!$R$778,"")</f>
        <v>0</v>
      </c>
      <c r="E46" s="22">
        <f>IFERROR(Calculations!$S$778,"")</f>
        <v>0</v>
      </c>
    </row>
    <row r="47" spans="2:19">
      <c r="B47" s="12">
        <f>IFERROR(Calculations!$P$779,"")</f>
        <v>0</v>
      </c>
      <c r="C47" s="22">
        <f>IFERROR(Calculations!$Q$779,"")</f>
        <v>0</v>
      </c>
      <c r="D47" s="23">
        <f>IFERROR(Calculations!$R$779,"")</f>
        <v>0</v>
      </c>
      <c r="E47" s="22">
        <f>IFERROR(Calculations!$S$779,"")</f>
        <v>0</v>
      </c>
    </row>
    <row r="48" spans="2:19">
      <c r="B48" s="12">
        <f>IFERROR(Calculations!$P$780,"")</f>
        <v>0</v>
      </c>
      <c r="C48" s="22">
        <f>IFERROR(Calculations!$Q$780,"")</f>
        <v>0</v>
      </c>
      <c r="D48" s="23">
        <f>IFERROR(Calculations!$R$780,"")</f>
        <v>0</v>
      </c>
      <c r="E48" s="22">
        <f>IFERROR(Calculations!$S$780,"")</f>
        <v>0</v>
      </c>
    </row>
    <row r="49" spans="2:19">
      <c r="B49" s="12">
        <f>IFERROR(Calculations!$P$781,"")</f>
        <v>0</v>
      </c>
      <c r="C49" s="22">
        <f>IFERROR(Calculations!$Q$781,"")</f>
        <v>0</v>
      </c>
      <c r="D49" s="23">
        <f>IFERROR(Calculations!$R$781,"")</f>
        <v>0</v>
      </c>
      <c r="E49" s="22">
        <f>IFERROR(Calculations!$S$781,"")</f>
        <v>0</v>
      </c>
    </row>
    <row r="50" spans="2:19">
      <c r="B50" s="12">
        <f>IFERROR(Calculations!$P$782,"")</f>
        <v>0</v>
      </c>
      <c r="C50" s="22">
        <f>IFERROR(Calculations!$Q$782,"")</f>
        <v>0</v>
      </c>
      <c r="D50" s="23">
        <f>IFERROR(Calculations!$R$782,"")</f>
        <v>0</v>
      </c>
      <c r="E50" s="22">
        <f>IFERROR(Calculations!$S$782,"")</f>
        <v>0</v>
      </c>
    </row>
    <row r="51" spans="2:19">
      <c r="B51" s="12">
        <f>IFERROR(Calculations!$P$783,"")</f>
        <v>0</v>
      </c>
      <c r="C51" s="22">
        <f>IFERROR(Calculations!$Q$783,"")</f>
        <v>0</v>
      </c>
      <c r="D51" s="23">
        <f>IFERROR(Calculations!$R$783,"")</f>
        <v>0</v>
      </c>
      <c r="E51" s="22">
        <f>IFERROR(Calculations!$S$783,"")</f>
        <v>0</v>
      </c>
    </row>
    <row r="52" spans="2:19">
      <c r="B52" s="12">
        <f>IFERROR(Calculations!$P$784,"")</f>
        <v>0</v>
      </c>
      <c r="C52" s="22">
        <f>IFERROR(Calculations!$Q$784,"")</f>
        <v>0</v>
      </c>
      <c r="D52" s="23">
        <f>IFERROR(Calculations!$R$784,"")</f>
        <v>0</v>
      </c>
      <c r="E52" s="22">
        <f>IFERROR(Calculations!$S$784,"")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IF(Calculations!$U$775="","",Calculations!$U$775)</f>
        <v>0</v>
      </c>
      <c r="C60" s="22">
        <f>IFERROR(Calculations!$V$775,"")</f>
        <v>0</v>
      </c>
      <c r="D60" s="22">
        <f>IFERROR(Calculations!$W$775,"")</f>
        <v>0</v>
      </c>
      <c r="E60" s="22">
        <f>IFERROR(Calculations!$X$775,"")</f>
        <v>0</v>
      </c>
      <c r="F60" s="22">
        <f>IFERROR(Calculations!$Y$775,"")</f>
        <v>0</v>
      </c>
      <c r="G60" s="22">
        <f>IFERROR(Calculations!$Z$775,"")</f>
        <v>0</v>
      </c>
      <c r="H60" s="22">
        <f>IFERROR(Calculations!$AA$775,"")</f>
        <v>0</v>
      </c>
      <c r="I60" s="22">
        <f>IFERROR(Calculations!$AB$775,"")</f>
        <v>0</v>
      </c>
      <c r="J60" s="22">
        <f>IFERROR(Calculations!$AC$775,"")</f>
        <v>0</v>
      </c>
      <c r="K60" s="22">
        <f>IFERROR(Calculations!$AD$775,"")</f>
        <v>0</v>
      </c>
      <c r="L60" s="22">
        <f>IFERROR(Calculations!$AE$775,"")</f>
        <v>0</v>
      </c>
      <c r="M60" s="22">
        <f>IFERROR(Calculations!$AF$775,"")</f>
        <v>0</v>
      </c>
      <c r="N60" s="22">
        <f>IFERROR(Calculations!$AG$775,"")</f>
        <v>0</v>
      </c>
      <c r="O60" s="22">
        <f>IFERROR(Calculations!$AH$775,"")</f>
        <v>0</v>
      </c>
    </row>
    <row r="61" spans="2:19">
      <c r="B61" s="12">
        <f>IF(Calculations!$U$776="","",Calculations!$U$776)</f>
        <v>0</v>
      </c>
      <c r="C61" s="22">
        <f>IFERROR(Calculations!$V$776,"")</f>
        <v>0</v>
      </c>
      <c r="D61" s="22">
        <f>IFERROR(Calculations!$W$776,"")</f>
        <v>0</v>
      </c>
      <c r="E61" s="22">
        <f>IFERROR(Calculations!$X$776,"")</f>
        <v>0</v>
      </c>
      <c r="F61" s="22">
        <f>IFERROR(Calculations!$Y$776,"")</f>
        <v>0</v>
      </c>
      <c r="G61" s="22">
        <f>IFERROR(Calculations!$Z$776,"")</f>
        <v>0</v>
      </c>
      <c r="H61" s="22">
        <f>IFERROR(Calculations!$AA$776,"")</f>
        <v>0</v>
      </c>
      <c r="I61" s="22">
        <f>IFERROR(Calculations!$AB$776,"")</f>
        <v>0</v>
      </c>
      <c r="J61" s="22">
        <f>IFERROR(Calculations!$AC$776,"")</f>
        <v>0</v>
      </c>
      <c r="K61" s="22">
        <f>IFERROR(Calculations!$AD$776,"")</f>
        <v>0</v>
      </c>
      <c r="L61" s="22">
        <f>IFERROR(Calculations!$AE$776,"")</f>
        <v>0</v>
      </c>
      <c r="M61" s="22">
        <f>IFERROR(Calculations!$AF$776,"")</f>
        <v>0</v>
      </c>
      <c r="N61" s="22">
        <f>IFERROR(Calculations!$AG$776,"")</f>
        <v>0</v>
      </c>
      <c r="O61" s="22">
        <f>IFERROR(Calculations!$AH$776,"")</f>
        <v>0</v>
      </c>
    </row>
    <row r="62" spans="2:19">
      <c r="B62" s="12">
        <f>IF(Calculations!$U$777="","",Calculations!$U$777)</f>
        <v>0</v>
      </c>
      <c r="C62" s="22">
        <f>IFERROR(Calculations!$V$777,"")</f>
        <v>0</v>
      </c>
      <c r="D62" s="22">
        <f>IFERROR(Calculations!$W$777,"")</f>
        <v>0</v>
      </c>
      <c r="E62" s="22">
        <f>IFERROR(Calculations!$X$777,"")</f>
        <v>0</v>
      </c>
      <c r="F62" s="22">
        <f>IFERROR(Calculations!$Y$777,"")</f>
        <v>0</v>
      </c>
      <c r="G62" s="22">
        <f>IFERROR(Calculations!$Z$777,"")</f>
        <v>0</v>
      </c>
      <c r="H62" s="22">
        <f>IFERROR(Calculations!$AA$777,"")</f>
        <v>0</v>
      </c>
      <c r="I62" s="22">
        <f>IFERROR(Calculations!$AB$777,"")</f>
        <v>0</v>
      </c>
      <c r="J62" s="22">
        <f>IFERROR(Calculations!$AC$777,"")</f>
        <v>0</v>
      </c>
      <c r="K62" s="22">
        <f>IFERROR(Calculations!$AD$777,"")</f>
        <v>0</v>
      </c>
      <c r="L62" s="22">
        <f>IFERROR(Calculations!$AE$777,"")</f>
        <v>0</v>
      </c>
      <c r="M62" s="22">
        <f>IFERROR(Calculations!$AF$777,"")</f>
        <v>0</v>
      </c>
      <c r="N62" s="22">
        <f>IFERROR(Calculations!$AG$777,"")</f>
        <v>0</v>
      </c>
      <c r="O62" s="22">
        <f>IFERROR(Calculations!$AH$777,"")</f>
        <v>0</v>
      </c>
    </row>
    <row r="63" spans="2:19">
      <c r="B63" s="12">
        <f>IF(Calculations!$U$778="","",Calculations!$U$778)</f>
        <v>0</v>
      </c>
      <c r="C63" s="22">
        <f>IFERROR(Calculations!$V$778,"")</f>
        <v>0</v>
      </c>
      <c r="D63" s="22">
        <f>IFERROR(Calculations!$W$778,"")</f>
        <v>0</v>
      </c>
      <c r="E63" s="22">
        <f>IFERROR(Calculations!$X$778,"")</f>
        <v>0</v>
      </c>
      <c r="F63" s="22">
        <f>IFERROR(Calculations!$Y$778,"")</f>
        <v>0</v>
      </c>
      <c r="G63" s="22">
        <f>IFERROR(Calculations!$Z$778,"")</f>
        <v>0</v>
      </c>
      <c r="H63" s="22">
        <f>IFERROR(Calculations!$AA$778,"")</f>
        <v>0</v>
      </c>
      <c r="I63" s="22">
        <f>IFERROR(Calculations!$AB$778,"")</f>
        <v>0</v>
      </c>
      <c r="J63" s="22">
        <f>IFERROR(Calculations!$AC$778,"")</f>
        <v>0</v>
      </c>
      <c r="K63" s="22">
        <f>IFERROR(Calculations!$AD$778,"")</f>
        <v>0</v>
      </c>
      <c r="L63" s="22">
        <f>IFERROR(Calculations!$AE$778,"")</f>
        <v>0</v>
      </c>
      <c r="M63" s="22">
        <f>IFERROR(Calculations!$AF$778,"")</f>
        <v>0</v>
      </c>
      <c r="N63" s="22">
        <f>IFERROR(Calculations!$AG$778,"")</f>
        <v>0</v>
      </c>
      <c r="O63" s="22">
        <f>IFERROR(Calculations!$AH$778,"")</f>
        <v>0</v>
      </c>
    </row>
    <row r="64" spans="2:19">
      <c r="B64" s="12">
        <f>IF(Calculations!$U$779="","",Calculations!$U$779)</f>
        <v>0</v>
      </c>
      <c r="C64" s="22">
        <f>IFERROR(Calculations!$V$779,"")</f>
        <v>0</v>
      </c>
      <c r="D64" s="22">
        <f>IFERROR(Calculations!$W$779,"")</f>
        <v>0</v>
      </c>
      <c r="E64" s="22">
        <f>IFERROR(Calculations!$X$779,"")</f>
        <v>0</v>
      </c>
      <c r="F64" s="22">
        <f>IFERROR(Calculations!$Y$779,"")</f>
        <v>0</v>
      </c>
      <c r="G64" s="22">
        <f>IFERROR(Calculations!$Z$779,"")</f>
        <v>0</v>
      </c>
      <c r="H64" s="22">
        <f>IFERROR(Calculations!$AA$779,"")</f>
        <v>0</v>
      </c>
      <c r="I64" s="22">
        <f>IFERROR(Calculations!$AB$779,"")</f>
        <v>0</v>
      </c>
      <c r="J64" s="22">
        <f>IFERROR(Calculations!$AC$779,"")</f>
        <v>0</v>
      </c>
      <c r="K64" s="22">
        <f>IFERROR(Calculations!$AD$779,"")</f>
        <v>0</v>
      </c>
      <c r="L64" s="22">
        <f>IFERROR(Calculations!$AE$779,"")</f>
        <v>0</v>
      </c>
      <c r="M64" s="22">
        <f>IFERROR(Calculations!$AF$779,"")</f>
        <v>0</v>
      </c>
      <c r="N64" s="22">
        <f>IFERROR(Calculations!$AG$779,"")</f>
        <v>0</v>
      </c>
      <c r="O64" s="22">
        <f>IFERROR(Calculations!$AH$779,"")</f>
        <v>0</v>
      </c>
    </row>
    <row r="65" spans="2:15">
      <c r="B65" s="12">
        <f>IF(Calculations!$U$780="","",Calculations!$U$780)</f>
        <v>0</v>
      </c>
      <c r="C65" s="22">
        <f>IFERROR(Calculations!$V$780,"")</f>
        <v>0</v>
      </c>
      <c r="D65" s="22">
        <f>IFERROR(Calculations!$W$780,"")</f>
        <v>0</v>
      </c>
      <c r="E65" s="22">
        <f>IFERROR(Calculations!$X$780,"")</f>
        <v>0</v>
      </c>
      <c r="F65" s="22">
        <f>IFERROR(Calculations!$Y$780,"")</f>
        <v>0</v>
      </c>
      <c r="G65" s="22">
        <f>IFERROR(Calculations!$Z$780,"")</f>
        <v>0</v>
      </c>
      <c r="H65" s="22">
        <f>IFERROR(Calculations!$AA$780,"")</f>
        <v>0</v>
      </c>
      <c r="I65" s="22">
        <f>IFERROR(Calculations!$AB$780,"")</f>
        <v>0</v>
      </c>
      <c r="J65" s="22">
        <f>IFERROR(Calculations!$AC$780,"")</f>
        <v>0</v>
      </c>
      <c r="K65" s="22">
        <f>IFERROR(Calculations!$AD$780,"")</f>
        <v>0</v>
      </c>
      <c r="L65" s="22">
        <f>IFERROR(Calculations!$AE$780,"")</f>
        <v>0</v>
      </c>
      <c r="M65" s="22">
        <f>IFERROR(Calculations!$AF$780,"")</f>
        <v>0</v>
      </c>
      <c r="N65" s="22">
        <f>IFERROR(Calculations!$AG$780,"")</f>
        <v>0</v>
      </c>
      <c r="O65" s="22">
        <f>IFERROR(Calculations!$AH$780,"")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2128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2129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Calculations!$N$801</f>
        <v>0</v>
      </c>
      <c r="C14" s="37"/>
      <c r="D14" s="37"/>
      <c r="E14" s="37"/>
      <c r="F14" s="38">
        <f>Calculations!$N$802</f>
        <v>0</v>
      </c>
      <c r="G14" s="38"/>
      <c r="H14" s="38"/>
      <c r="I14" s="38"/>
      <c r="J14" s="37">
        <f>Calculations!$N$803</f>
        <v>0</v>
      </c>
      <c r="K14" s="37"/>
      <c r="L14" s="37"/>
      <c r="M14" s="37"/>
      <c r="N14" s="37">
        <f>Calculations!$N$804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2116</v>
      </c>
      <c r="C19" s="35"/>
      <c r="D19" s="35"/>
      <c r="E19" s="35"/>
    </row>
    <row r="20" spans="2:19">
      <c r="B20" s="37">
        <f>Calculations!$N$805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2048</v>
      </c>
      <c r="C22" s="39"/>
      <c r="D22" s="39"/>
      <c r="E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IFERROR(Calculations!$P$801,"")</f>
        <v>0</v>
      </c>
      <c r="C43" s="22">
        <f>IFERROR(Calculations!$Q$801,"")</f>
        <v>0</v>
      </c>
      <c r="D43" s="23">
        <f>IFERROR(Calculations!$R$801,"")</f>
        <v>0</v>
      </c>
      <c r="E43" s="22">
        <f>IFERROR(Calculations!$S$801,"")</f>
        <v>0</v>
      </c>
    </row>
    <row r="44" spans="2:19">
      <c r="B44" s="12">
        <f>IFERROR(Calculations!$P$802,"")</f>
        <v>0</v>
      </c>
      <c r="C44" s="22">
        <f>IFERROR(Calculations!$Q$802,"")</f>
        <v>0</v>
      </c>
      <c r="D44" s="23">
        <f>IFERROR(Calculations!$R$802,"")</f>
        <v>0</v>
      </c>
      <c r="E44" s="22">
        <f>IFERROR(Calculations!$S$802,"")</f>
        <v>0</v>
      </c>
    </row>
    <row r="45" spans="2:19">
      <c r="B45" s="12">
        <f>IFERROR(Calculations!$P$803,"")</f>
        <v>0</v>
      </c>
      <c r="C45" s="22">
        <f>IFERROR(Calculations!$Q$803,"")</f>
        <v>0</v>
      </c>
      <c r="D45" s="23">
        <f>IFERROR(Calculations!$R$803,"")</f>
        <v>0</v>
      </c>
      <c r="E45" s="22">
        <f>IFERROR(Calculations!$S$803,"")</f>
        <v>0</v>
      </c>
    </row>
    <row r="46" spans="2:19">
      <c r="B46" s="12">
        <f>IFERROR(Calculations!$P$804,"")</f>
        <v>0</v>
      </c>
      <c r="C46" s="22">
        <f>IFERROR(Calculations!$Q$804,"")</f>
        <v>0</v>
      </c>
      <c r="D46" s="23">
        <f>IFERROR(Calculations!$R$804,"")</f>
        <v>0</v>
      </c>
      <c r="E46" s="22">
        <f>IFERROR(Calculations!$S$804,"")</f>
        <v>0</v>
      </c>
    </row>
    <row r="47" spans="2:19">
      <c r="B47" s="12">
        <f>IFERROR(Calculations!$P$805,"")</f>
        <v>0</v>
      </c>
      <c r="C47" s="22">
        <f>IFERROR(Calculations!$Q$805,"")</f>
        <v>0</v>
      </c>
      <c r="D47" s="23">
        <f>IFERROR(Calculations!$R$805,"")</f>
        <v>0</v>
      </c>
      <c r="E47" s="22">
        <f>IFERROR(Calculations!$S$805,"")</f>
        <v>0</v>
      </c>
    </row>
    <row r="48" spans="2:19">
      <c r="B48" s="12">
        <f>IFERROR(Calculations!$P$806,"")</f>
        <v>0</v>
      </c>
      <c r="C48" s="22">
        <f>IFERROR(Calculations!$Q$806,"")</f>
        <v>0</v>
      </c>
      <c r="D48" s="23">
        <f>IFERROR(Calculations!$R$806,"")</f>
        <v>0</v>
      </c>
      <c r="E48" s="22">
        <f>IFERROR(Calculations!$S$806,"")</f>
        <v>0</v>
      </c>
    </row>
    <row r="49" spans="2:19">
      <c r="B49" s="12">
        <f>IFERROR(Calculations!$P$807,"")</f>
        <v>0</v>
      </c>
      <c r="C49" s="22">
        <f>IFERROR(Calculations!$Q$807,"")</f>
        <v>0</v>
      </c>
      <c r="D49" s="23">
        <f>IFERROR(Calculations!$R$807,"")</f>
        <v>0</v>
      </c>
      <c r="E49" s="22">
        <f>IFERROR(Calculations!$S$807,"")</f>
        <v>0</v>
      </c>
    </row>
    <row r="50" spans="2:19">
      <c r="B50" s="12">
        <f>IFERROR(Calculations!$P$808,"")</f>
        <v>0</v>
      </c>
      <c r="C50" s="22">
        <f>IFERROR(Calculations!$Q$808,"")</f>
        <v>0</v>
      </c>
      <c r="D50" s="23">
        <f>IFERROR(Calculations!$R$808,"")</f>
        <v>0</v>
      </c>
      <c r="E50" s="22">
        <f>IFERROR(Calculations!$S$808,"")</f>
        <v>0</v>
      </c>
    </row>
    <row r="51" spans="2:19">
      <c r="B51" s="12">
        <f>IFERROR(Calculations!$P$809,"")</f>
        <v>0</v>
      </c>
      <c r="C51" s="22">
        <f>IFERROR(Calculations!$Q$809,"")</f>
        <v>0</v>
      </c>
      <c r="D51" s="23">
        <f>IFERROR(Calculations!$R$809,"")</f>
        <v>0</v>
      </c>
      <c r="E51" s="22">
        <f>IFERROR(Calculations!$S$809,"")</f>
        <v>0</v>
      </c>
    </row>
    <row r="52" spans="2:19">
      <c r="B52" s="12">
        <f>IFERROR(Calculations!$P$810,"")</f>
        <v>0</v>
      </c>
      <c r="C52" s="22">
        <f>IFERROR(Calculations!$Q$810,"")</f>
        <v>0</v>
      </c>
      <c r="D52" s="23">
        <f>IFERROR(Calculations!$R$810,"")</f>
        <v>0</v>
      </c>
      <c r="E52" s="22">
        <f>IFERROR(Calculations!$S$810,"")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IF(Calculations!$U$801="","",Calculations!$U$801)</f>
        <v>0</v>
      </c>
      <c r="C60" s="22">
        <f>IFERROR(Calculations!$V$801,"")</f>
        <v>0</v>
      </c>
      <c r="D60" s="22">
        <f>IFERROR(Calculations!$W$801,"")</f>
        <v>0</v>
      </c>
      <c r="E60" s="22">
        <f>IFERROR(Calculations!$X$801,"")</f>
        <v>0</v>
      </c>
      <c r="F60" s="22">
        <f>IFERROR(Calculations!$Y$801,"")</f>
        <v>0</v>
      </c>
      <c r="G60" s="22">
        <f>IFERROR(Calculations!$Z$801,"")</f>
        <v>0</v>
      </c>
      <c r="H60" s="22">
        <f>IFERROR(Calculations!$AA$801,"")</f>
        <v>0</v>
      </c>
      <c r="I60" s="22">
        <f>IFERROR(Calculations!$AB$801,"")</f>
        <v>0</v>
      </c>
      <c r="J60" s="22">
        <f>IFERROR(Calculations!$AC$801,"")</f>
        <v>0</v>
      </c>
      <c r="K60" s="22">
        <f>IFERROR(Calculations!$AD$801,"")</f>
        <v>0</v>
      </c>
      <c r="L60" s="22">
        <f>IFERROR(Calculations!$AE$801,"")</f>
        <v>0</v>
      </c>
      <c r="M60" s="22">
        <f>IFERROR(Calculations!$AF$801,"")</f>
        <v>0</v>
      </c>
      <c r="N60" s="22">
        <f>IFERROR(Calculations!$AG$801,"")</f>
        <v>0</v>
      </c>
      <c r="O60" s="22">
        <f>IFERROR(Calculations!$AH$801,"")</f>
        <v>0</v>
      </c>
    </row>
    <row r="61" spans="2:19">
      <c r="B61" s="12">
        <f>IF(Calculations!$U$802="","",Calculations!$U$802)</f>
        <v>0</v>
      </c>
      <c r="C61" s="22">
        <f>IFERROR(Calculations!$V$802,"")</f>
        <v>0</v>
      </c>
      <c r="D61" s="22">
        <f>IFERROR(Calculations!$W$802,"")</f>
        <v>0</v>
      </c>
      <c r="E61" s="22">
        <f>IFERROR(Calculations!$X$802,"")</f>
        <v>0</v>
      </c>
      <c r="F61" s="22">
        <f>IFERROR(Calculations!$Y$802,"")</f>
        <v>0</v>
      </c>
      <c r="G61" s="22">
        <f>IFERROR(Calculations!$Z$802,"")</f>
        <v>0</v>
      </c>
      <c r="H61" s="22">
        <f>IFERROR(Calculations!$AA$802,"")</f>
        <v>0</v>
      </c>
      <c r="I61" s="22">
        <f>IFERROR(Calculations!$AB$802,"")</f>
        <v>0</v>
      </c>
      <c r="J61" s="22">
        <f>IFERROR(Calculations!$AC$802,"")</f>
        <v>0</v>
      </c>
      <c r="K61" s="22">
        <f>IFERROR(Calculations!$AD$802,"")</f>
        <v>0</v>
      </c>
      <c r="L61" s="22">
        <f>IFERROR(Calculations!$AE$802,"")</f>
        <v>0</v>
      </c>
      <c r="M61" s="22">
        <f>IFERROR(Calculations!$AF$802,"")</f>
        <v>0</v>
      </c>
      <c r="N61" s="22">
        <f>IFERROR(Calculations!$AG$802,"")</f>
        <v>0</v>
      </c>
      <c r="O61" s="22">
        <f>IFERROR(Calculations!$AH$802,"")</f>
        <v>0</v>
      </c>
    </row>
    <row r="62" spans="2:19">
      <c r="B62" s="12">
        <f>IF(Calculations!$U$803="","",Calculations!$U$803)</f>
        <v>0</v>
      </c>
      <c r="C62" s="22">
        <f>IFERROR(Calculations!$V$803,"")</f>
        <v>0</v>
      </c>
      <c r="D62" s="22">
        <f>IFERROR(Calculations!$W$803,"")</f>
        <v>0</v>
      </c>
      <c r="E62" s="22">
        <f>IFERROR(Calculations!$X$803,"")</f>
        <v>0</v>
      </c>
      <c r="F62" s="22">
        <f>IFERROR(Calculations!$Y$803,"")</f>
        <v>0</v>
      </c>
      <c r="G62" s="22">
        <f>IFERROR(Calculations!$Z$803,"")</f>
        <v>0</v>
      </c>
      <c r="H62" s="22">
        <f>IFERROR(Calculations!$AA$803,"")</f>
        <v>0</v>
      </c>
      <c r="I62" s="22">
        <f>IFERROR(Calculations!$AB$803,"")</f>
        <v>0</v>
      </c>
      <c r="J62" s="22">
        <f>IFERROR(Calculations!$AC$803,"")</f>
        <v>0</v>
      </c>
      <c r="K62" s="22">
        <f>IFERROR(Calculations!$AD$803,"")</f>
        <v>0</v>
      </c>
      <c r="L62" s="22">
        <f>IFERROR(Calculations!$AE$803,"")</f>
        <v>0</v>
      </c>
      <c r="M62" s="22">
        <f>IFERROR(Calculations!$AF$803,"")</f>
        <v>0</v>
      </c>
      <c r="N62" s="22">
        <f>IFERROR(Calculations!$AG$803,"")</f>
        <v>0</v>
      </c>
      <c r="O62" s="22">
        <f>IFERROR(Calculations!$AH$803,"")</f>
        <v>0</v>
      </c>
    </row>
    <row r="63" spans="2:19">
      <c r="B63" s="12">
        <f>IF(Calculations!$U$804="","",Calculations!$U$804)</f>
        <v>0</v>
      </c>
      <c r="C63" s="22">
        <f>IFERROR(Calculations!$V$804,"")</f>
        <v>0</v>
      </c>
      <c r="D63" s="22">
        <f>IFERROR(Calculations!$W$804,"")</f>
        <v>0</v>
      </c>
      <c r="E63" s="22">
        <f>IFERROR(Calculations!$X$804,"")</f>
        <v>0</v>
      </c>
      <c r="F63" s="22">
        <f>IFERROR(Calculations!$Y$804,"")</f>
        <v>0</v>
      </c>
      <c r="G63" s="22">
        <f>IFERROR(Calculations!$Z$804,"")</f>
        <v>0</v>
      </c>
      <c r="H63" s="22">
        <f>IFERROR(Calculations!$AA$804,"")</f>
        <v>0</v>
      </c>
      <c r="I63" s="22">
        <f>IFERROR(Calculations!$AB$804,"")</f>
        <v>0</v>
      </c>
      <c r="J63" s="22">
        <f>IFERROR(Calculations!$AC$804,"")</f>
        <v>0</v>
      </c>
      <c r="K63" s="22">
        <f>IFERROR(Calculations!$AD$804,"")</f>
        <v>0</v>
      </c>
      <c r="L63" s="22">
        <f>IFERROR(Calculations!$AE$804,"")</f>
        <v>0</v>
      </c>
      <c r="M63" s="22">
        <f>IFERROR(Calculations!$AF$804,"")</f>
        <v>0</v>
      </c>
      <c r="N63" s="22">
        <f>IFERROR(Calculations!$AG$804,"")</f>
        <v>0</v>
      </c>
      <c r="O63" s="22">
        <f>IFERROR(Calculations!$AH$804,"")</f>
        <v>0</v>
      </c>
    </row>
    <row r="64" spans="2:19">
      <c r="B64" s="12">
        <f>IF(Calculations!$U$805="","",Calculations!$U$805)</f>
        <v>0</v>
      </c>
      <c r="C64" s="22">
        <f>IFERROR(Calculations!$V$805,"")</f>
        <v>0</v>
      </c>
      <c r="D64" s="22">
        <f>IFERROR(Calculations!$W$805,"")</f>
        <v>0</v>
      </c>
      <c r="E64" s="22">
        <f>IFERROR(Calculations!$X$805,"")</f>
        <v>0</v>
      </c>
      <c r="F64" s="22">
        <f>IFERROR(Calculations!$Y$805,"")</f>
        <v>0</v>
      </c>
      <c r="G64" s="22">
        <f>IFERROR(Calculations!$Z$805,"")</f>
        <v>0</v>
      </c>
      <c r="H64" s="22">
        <f>IFERROR(Calculations!$AA$805,"")</f>
        <v>0</v>
      </c>
      <c r="I64" s="22">
        <f>IFERROR(Calculations!$AB$805,"")</f>
        <v>0</v>
      </c>
      <c r="J64" s="22">
        <f>IFERROR(Calculations!$AC$805,"")</f>
        <v>0</v>
      </c>
      <c r="K64" s="22">
        <f>IFERROR(Calculations!$AD$805,"")</f>
        <v>0</v>
      </c>
      <c r="L64" s="22">
        <f>IFERROR(Calculations!$AE$805,"")</f>
        <v>0</v>
      </c>
      <c r="M64" s="22">
        <f>IFERROR(Calculations!$AF$805,"")</f>
        <v>0</v>
      </c>
      <c r="N64" s="22">
        <f>IFERROR(Calculations!$AG$805,"")</f>
        <v>0</v>
      </c>
      <c r="O64" s="22">
        <f>IFERROR(Calculations!$AH$805,"")</f>
        <v>0</v>
      </c>
    </row>
    <row r="65" spans="2:15">
      <c r="B65" s="12">
        <f>IF(Calculations!$U$806="","",Calculations!$U$806)</f>
        <v>0</v>
      </c>
      <c r="C65" s="22">
        <f>IFERROR(Calculations!$V$806,"")</f>
        <v>0</v>
      </c>
      <c r="D65" s="22">
        <f>IFERROR(Calculations!$W$806,"")</f>
        <v>0</v>
      </c>
      <c r="E65" s="22">
        <f>IFERROR(Calculations!$X$806,"")</f>
        <v>0</v>
      </c>
      <c r="F65" s="22">
        <f>IFERROR(Calculations!$Y$806,"")</f>
        <v>0</v>
      </c>
      <c r="G65" s="22">
        <f>IFERROR(Calculations!$Z$806,"")</f>
        <v>0</v>
      </c>
      <c r="H65" s="22">
        <f>IFERROR(Calculations!$AA$806,"")</f>
        <v>0</v>
      </c>
      <c r="I65" s="22">
        <f>IFERROR(Calculations!$AB$806,"")</f>
        <v>0</v>
      </c>
      <c r="J65" s="22">
        <f>IFERROR(Calculations!$AC$806,"")</f>
        <v>0</v>
      </c>
      <c r="K65" s="22">
        <f>IFERROR(Calculations!$AD$806,"")</f>
        <v>0</v>
      </c>
      <c r="L65" s="22">
        <f>IFERROR(Calculations!$AE$806,"")</f>
        <v>0</v>
      </c>
      <c r="M65" s="22">
        <f>IFERROR(Calculations!$AF$806,"")</f>
        <v>0</v>
      </c>
      <c r="N65" s="22">
        <f>IFERROR(Calculations!$AG$806,"")</f>
        <v>0</v>
      </c>
      <c r="O65" s="22">
        <f>IFERROR(Calculations!$AH$806,"")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2130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2131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Calculations!$N$827</f>
        <v>0</v>
      </c>
      <c r="C14" s="37"/>
      <c r="D14" s="37"/>
      <c r="E14" s="37"/>
      <c r="F14" s="38">
        <f>Calculations!$N$828</f>
        <v>0</v>
      </c>
      <c r="G14" s="38"/>
      <c r="H14" s="38"/>
      <c r="I14" s="38"/>
      <c r="J14" s="37">
        <f>Calculations!$N$829</f>
        <v>0</v>
      </c>
      <c r="K14" s="37"/>
      <c r="L14" s="37"/>
      <c r="M14" s="37"/>
      <c r="N14" s="37">
        <f>Calculations!$N$830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2070</v>
      </c>
      <c r="C19" s="35"/>
      <c r="D19" s="35"/>
      <c r="E19" s="35"/>
    </row>
    <row r="20" spans="2:19">
      <c r="B20" s="37">
        <f>Calculations!$N$831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2048</v>
      </c>
      <c r="C22" s="39"/>
      <c r="D22" s="39"/>
      <c r="E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IFERROR(Calculations!$P$827,"")</f>
        <v>0</v>
      </c>
      <c r="C43" s="22">
        <f>IFERROR(Calculations!$Q$827,"")</f>
        <v>0</v>
      </c>
      <c r="D43" s="23">
        <f>IFERROR(Calculations!$R$827,"")</f>
        <v>0</v>
      </c>
      <c r="E43" s="22">
        <f>IFERROR(Calculations!$S$827,"")</f>
        <v>0</v>
      </c>
    </row>
    <row r="44" spans="2:19">
      <c r="B44" s="12">
        <f>IFERROR(Calculations!$P$828,"")</f>
        <v>0</v>
      </c>
      <c r="C44" s="22">
        <f>IFERROR(Calculations!$Q$828,"")</f>
        <v>0</v>
      </c>
      <c r="D44" s="23">
        <f>IFERROR(Calculations!$R$828,"")</f>
        <v>0</v>
      </c>
      <c r="E44" s="22">
        <f>IFERROR(Calculations!$S$828,"")</f>
        <v>0</v>
      </c>
    </row>
    <row r="45" spans="2:19">
      <c r="B45" s="12">
        <f>IFERROR(Calculations!$P$829,"")</f>
        <v>0</v>
      </c>
      <c r="C45" s="22">
        <f>IFERROR(Calculations!$Q$829,"")</f>
        <v>0</v>
      </c>
      <c r="D45" s="23">
        <f>IFERROR(Calculations!$R$829,"")</f>
        <v>0</v>
      </c>
      <c r="E45" s="22">
        <f>IFERROR(Calculations!$S$829,"")</f>
        <v>0</v>
      </c>
    </row>
    <row r="46" spans="2:19">
      <c r="B46" s="12">
        <f>IFERROR(Calculations!$P$830,"")</f>
        <v>0</v>
      </c>
      <c r="C46" s="22">
        <f>IFERROR(Calculations!$Q$830,"")</f>
        <v>0</v>
      </c>
      <c r="D46" s="23">
        <f>IFERROR(Calculations!$R$830,"")</f>
        <v>0</v>
      </c>
      <c r="E46" s="22">
        <f>IFERROR(Calculations!$S$830,"")</f>
        <v>0</v>
      </c>
    </row>
    <row r="47" spans="2:19">
      <c r="B47" s="12">
        <f>IFERROR(Calculations!$P$831,"")</f>
        <v>0</v>
      </c>
      <c r="C47" s="22">
        <f>IFERROR(Calculations!$Q$831,"")</f>
        <v>0</v>
      </c>
      <c r="D47" s="23">
        <f>IFERROR(Calculations!$R$831,"")</f>
        <v>0</v>
      </c>
      <c r="E47" s="22">
        <f>IFERROR(Calculations!$S$831,"")</f>
        <v>0</v>
      </c>
    </row>
    <row r="48" spans="2:19">
      <c r="B48" s="12">
        <f>IFERROR(Calculations!$P$832,"")</f>
        <v>0</v>
      </c>
      <c r="C48" s="22">
        <f>IFERROR(Calculations!$Q$832,"")</f>
        <v>0</v>
      </c>
      <c r="D48" s="23">
        <f>IFERROR(Calculations!$R$832,"")</f>
        <v>0</v>
      </c>
      <c r="E48" s="22">
        <f>IFERROR(Calculations!$S$832,"")</f>
        <v>0</v>
      </c>
    </row>
    <row r="49" spans="2:19">
      <c r="B49" s="12">
        <f>IFERROR(Calculations!$P$833,"")</f>
        <v>0</v>
      </c>
      <c r="C49" s="22">
        <f>IFERROR(Calculations!$Q$833,"")</f>
        <v>0</v>
      </c>
      <c r="D49" s="23">
        <f>IFERROR(Calculations!$R$833,"")</f>
        <v>0</v>
      </c>
      <c r="E49" s="22">
        <f>IFERROR(Calculations!$S$833,"")</f>
        <v>0</v>
      </c>
    </row>
    <row r="50" spans="2:19">
      <c r="B50" s="12">
        <f>IFERROR(Calculations!$P$834,"")</f>
        <v>0</v>
      </c>
      <c r="C50" s="22">
        <f>IFERROR(Calculations!$Q$834,"")</f>
        <v>0</v>
      </c>
      <c r="D50" s="23">
        <f>IFERROR(Calculations!$R$834,"")</f>
        <v>0</v>
      </c>
      <c r="E50" s="22">
        <f>IFERROR(Calculations!$S$834,"")</f>
        <v>0</v>
      </c>
    </row>
    <row r="51" spans="2:19">
      <c r="B51" s="12">
        <f>IFERROR(Calculations!$P$835,"")</f>
        <v>0</v>
      </c>
      <c r="C51" s="22">
        <f>IFERROR(Calculations!$Q$835,"")</f>
        <v>0</v>
      </c>
      <c r="D51" s="23">
        <f>IFERROR(Calculations!$R$835,"")</f>
        <v>0</v>
      </c>
      <c r="E51" s="22">
        <f>IFERROR(Calculations!$S$835,"")</f>
        <v>0</v>
      </c>
    </row>
    <row r="52" spans="2:19">
      <c r="B52" s="12">
        <f>IFERROR(Calculations!$P$836,"")</f>
        <v>0</v>
      </c>
      <c r="C52" s="22">
        <f>IFERROR(Calculations!$Q$836,"")</f>
        <v>0</v>
      </c>
      <c r="D52" s="23">
        <f>IFERROR(Calculations!$R$836,"")</f>
        <v>0</v>
      </c>
      <c r="E52" s="22">
        <f>IFERROR(Calculations!$S$836,"")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IF(Calculations!$U$827="","",Calculations!$U$827)</f>
        <v>0</v>
      </c>
      <c r="C60" s="22">
        <f>IFERROR(Calculations!$V$827,"")</f>
        <v>0</v>
      </c>
      <c r="D60" s="22">
        <f>IFERROR(Calculations!$W$827,"")</f>
        <v>0</v>
      </c>
      <c r="E60" s="22">
        <f>IFERROR(Calculations!$X$827,"")</f>
        <v>0</v>
      </c>
      <c r="F60" s="22">
        <f>IFERROR(Calculations!$Y$827,"")</f>
        <v>0</v>
      </c>
      <c r="G60" s="22">
        <f>IFERROR(Calculations!$Z$827,"")</f>
        <v>0</v>
      </c>
      <c r="H60" s="22">
        <f>IFERROR(Calculations!$AA$827,"")</f>
        <v>0</v>
      </c>
      <c r="I60" s="22">
        <f>IFERROR(Calculations!$AB$827,"")</f>
        <v>0</v>
      </c>
      <c r="J60" s="22">
        <f>IFERROR(Calculations!$AC$827,"")</f>
        <v>0</v>
      </c>
      <c r="K60" s="22">
        <f>IFERROR(Calculations!$AD$827,"")</f>
        <v>0</v>
      </c>
      <c r="L60" s="22">
        <f>IFERROR(Calculations!$AE$827,"")</f>
        <v>0</v>
      </c>
      <c r="M60" s="22">
        <f>IFERROR(Calculations!$AF$827,"")</f>
        <v>0</v>
      </c>
      <c r="N60" s="22">
        <f>IFERROR(Calculations!$AG$827,"")</f>
        <v>0</v>
      </c>
      <c r="O60" s="22">
        <f>IFERROR(Calculations!$AH$827,"")</f>
        <v>0</v>
      </c>
    </row>
    <row r="61" spans="2:19">
      <c r="B61" s="12">
        <f>IF(Calculations!$U$828="","",Calculations!$U$828)</f>
        <v>0</v>
      </c>
      <c r="C61" s="22">
        <f>IFERROR(Calculations!$V$828,"")</f>
        <v>0</v>
      </c>
      <c r="D61" s="22">
        <f>IFERROR(Calculations!$W$828,"")</f>
        <v>0</v>
      </c>
      <c r="E61" s="22">
        <f>IFERROR(Calculations!$X$828,"")</f>
        <v>0</v>
      </c>
      <c r="F61" s="22">
        <f>IFERROR(Calculations!$Y$828,"")</f>
        <v>0</v>
      </c>
      <c r="G61" s="22">
        <f>IFERROR(Calculations!$Z$828,"")</f>
        <v>0</v>
      </c>
      <c r="H61" s="22">
        <f>IFERROR(Calculations!$AA$828,"")</f>
        <v>0</v>
      </c>
      <c r="I61" s="22">
        <f>IFERROR(Calculations!$AB$828,"")</f>
        <v>0</v>
      </c>
      <c r="J61" s="22">
        <f>IFERROR(Calculations!$AC$828,"")</f>
        <v>0</v>
      </c>
      <c r="K61" s="22">
        <f>IFERROR(Calculations!$AD$828,"")</f>
        <v>0</v>
      </c>
      <c r="L61" s="22">
        <f>IFERROR(Calculations!$AE$828,"")</f>
        <v>0</v>
      </c>
      <c r="M61" s="22">
        <f>IFERROR(Calculations!$AF$828,"")</f>
        <v>0</v>
      </c>
      <c r="N61" s="22">
        <f>IFERROR(Calculations!$AG$828,"")</f>
        <v>0</v>
      </c>
      <c r="O61" s="22">
        <f>IFERROR(Calculations!$AH$828,"")</f>
        <v>0</v>
      </c>
    </row>
    <row r="62" spans="2:19">
      <c r="B62" s="12">
        <f>IF(Calculations!$U$829="","",Calculations!$U$829)</f>
        <v>0</v>
      </c>
      <c r="C62" s="22">
        <f>IFERROR(Calculations!$V$829,"")</f>
        <v>0</v>
      </c>
      <c r="D62" s="22">
        <f>IFERROR(Calculations!$W$829,"")</f>
        <v>0</v>
      </c>
      <c r="E62" s="22">
        <f>IFERROR(Calculations!$X$829,"")</f>
        <v>0</v>
      </c>
      <c r="F62" s="22">
        <f>IFERROR(Calculations!$Y$829,"")</f>
        <v>0</v>
      </c>
      <c r="G62" s="22">
        <f>IFERROR(Calculations!$Z$829,"")</f>
        <v>0</v>
      </c>
      <c r="H62" s="22">
        <f>IFERROR(Calculations!$AA$829,"")</f>
        <v>0</v>
      </c>
      <c r="I62" s="22">
        <f>IFERROR(Calculations!$AB$829,"")</f>
        <v>0</v>
      </c>
      <c r="J62" s="22">
        <f>IFERROR(Calculations!$AC$829,"")</f>
        <v>0</v>
      </c>
      <c r="K62" s="22">
        <f>IFERROR(Calculations!$AD$829,"")</f>
        <v>0</v>
      </c>
      <c r="L62" s="22">
        <f>IFERROR(Calculations!$AE$829,"")</f>
        <v>0</v>
      </c>
      <c r="M62" s="22">
        <f>IFERROR(Calculations!$AF$829,"")</f>
        <v>0</v>
      </c>
      <c r="N62" s="22">
        <f>IFERROR(Calculations!$AG$829,"")</f>
        <v>0</v>
      </c>
      <c r="O62" s="22">
        <f>IFERROR(Calculations!$AH$829,"")</f>
        <v>0</v>
      </c>
    </row>
    <row r="63" spans="2:19">
      <c r="B63" s="12">
        <f>IF(Calculations!$U$830="","",Calculations!$U$830)</f>
        <v>0</v>
      </c>
      <c r="C63" s="22">
        <f>IFERROR(Calculations!$V$830,"")</f>
        <v>0</v>
      </c>
      <c r="D63" s="22">
        <f>IFERROR(Calculations!$W$830,"")</f>
        <v>0</v>
      </c>
      <c r="E63" s="22">
        <f>IFERROR(Calculations!$X$830,"")</f>
        <v>0</v>
      </c>
      <c r="F63" s="22">
        <f>IFERROR(Calculations!$Y$830,"")</f>
        <v>0</v>
      </c>
      <c r="G63" s="22">
        <f>IFERROR(Calculations!$Z$830,"")</f>
        <v>0</v>
      </c>
      <c r="H63" s="22">
        <f>IFERROR(Calculations!$AA$830,"")</f>
        <v>0</v>
      </c>
      <c r="I63" s="22">
        <f>IFERROR(Calculations!$AB$830,"")</f>
        <v>0</v>
      </c>
      <c r="J63" s="22">
        <f>IFERROR(Calculations!$AC$830,"")</f>
        <v>0</v>
      </c>
      <c r="K63" s="22">
        <f>IFERROR(Calculations!$AD$830,"")</f>
        <v>0</v>
      </c>
      <c r="L63" s="22">
        <f>IFERROR(Calculations!$AE$830,"")</f>
        <v>0</v>
      </c>
      <c r="M63" s="22">
        <f>IFERROR(Calculations!$AF$830,"")</f>
        <v>0</v>
      </c>
      <c r="N63" s="22">
        <f>IFERROR(Calculations!$AG$830,"")</f>
        <v>0</v>
      </c>
      <c r="O63" s="22">
        <f>IFERROR(Calculations!$AH$830,"")</f>
        <v>0</v>
      </c>
    </row>
    <row r="64" spans="2:19">
      <c r="B64" s="12">
        <f>IF(Calculations!$U$831="","",Calculations!$U$831)</f>
        <v>0</v>
      </c>
      <c r="C64" s="22">
        <f>IFERROR(Calculations!$V$831,"")</f>
        <v>0</v>
      </c>
      <c r="D64" s="22">
        <f>IFERROR(Calculations!$W$831,"")</f>
        <v>0</v>
      </c>
      <c r="E64" s="22">
        <f>IFERROR(Calculations!$X$831,"")</f>
        <v>0</v>
      </c>
      <c r="F64" s="22">
        <f>IFERROR(Calculations!$Y$831,"")</f>
        <v>0</v>
      </c>
      <c r="G64" s="22">
        <f>IFERROR(Calculations!$Z$831,"")</f>
        <v>0</v>
      </c>
      <c r="H64" s="22">
        <f>IFERROR(Calculations!$AA$831,"")</f>
        <v>0</v>
      </c>
      <c r="I64" s="22">
        <f>IFERROR(Calculations!$AB$831,"")</f>
        <v>0</v>
      </c>
      <c r="J64" s="22">
        <f>IFERROR(Calculations!$AC$831,"")</f>
        <v>0</v>
      </c>
      <c r="K64" s="22">
        <f>IFERROR(Calculations!$AD$831,"")</f>
        <v>0</v>
      </c>
      <c r="L64" s="22">
        <f>IFERROR(Calculations!$AE$831,"")</f>
        <v>0</v>
      </c>
      <c r="M64" s="22">
        <f>IFERROR(Calculations!$AF$831,"")</f>
        <v>0</v>
      </c>
      <c r="N64" s="22">
        <f>IFERROR(Calculations!$AG$831,"")</f>
        <v>0</v>
      </c>
      <c r="O64" s="22">
        <f>IFERROR(Calculations!$AH$831,"")</f>
        <v>0</v>
      </c>
    </row>
    <row r="65" spans="2:15">
      <c r="B65" s="12">
        <f>IF(Calculations!$U$832="","",Calculations!$U$832)</f>
        <v>0</v>
      </c>
      <c r="C65" s="22">
        <f>IFERROR(Calculations!$V$832,"")</f>
        <v>0</v>
      </c>
      <c r="D65" s="22">
        <f>IFERROR(Calculations!$W$832,"")</f>
        <v>0</v>
      </c>
      <c r="E65" s="22">
        <f>IFERROR(Calculations!$X$832,"")</f>
        <v>0</v>
      </c>
      <c r="F65" s="22">
        <f>IFERROR(Calculations!$Y$832,"")</f>
        <v>0</v>
      </c>
      <c r="G65" s="22">
        <f>IFERROR(Calculations!$Z$832,"")</f>
        <v>0</v>
      </c>
      <c r="H65" s="22">
        <f>IFERROR(Calculations!$AA$832,"")</f>
        <v>0</v>
      </c>
      <c r="I65" s="22">
        <f>IFERROR(Calculations!$AB$832,"")</f>
        <v>0</v>
      </c>
      <c r="J65" s="22">
        <f>IFERROR(Calculations!$AC$832,"")</f>
        <v>0</v>
      </c>
      <c r="K65" s="22">
        <f>IFERROR(Calculations!$AD$832,"")</f>
        <v>0</v>
      </c>
      <c r="L65" s="22">
        <f>IFERROR(Calculations!$AE$832,"")</f>
        <v>0</v>
      </c>
      <c r="M65" s="22">
        <f>IFERROR(Calculations!$AF$832,"")</f>
        <v>0</v>
      </c>
      <c r="N65" s="22">
        <f>IFERROR(Calculations!$AG$832,"")</f>
        <v>0</v>
      </c>
      <c r="O65" s="22">
        <f>IFERROR(Calculations!$AH$832,"")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2132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2133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Calculations!$N$853</f>
        <v>0</v>
      </c>
      <c r="C14" s="37"/>
      <c r="D14" s="37"/>
      <c r="E14" s="37"/>
      <c r="F14" s="38">
        <f>Calculations!$N$854</f>
        <v>0</v>
      </c>
      <c r="G14" s="38"/>
      <c r="H14" s="38"/>
      <c r="I14" s="38"/>
      <c r="J14" s="37">
        <f>Calculations!$N$855</f>
        <v>0</v>
      </c>
      <c r="K14" s="37"/>
      <c r="L14" s="37"/>
      <c r="M14" s="37"/>
      <c r="N14" s="37">
        <f>Calculations!$N$856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2070</v>
      </c>
      <c r="C19" s="35"/>
      <c r="D19" s="35"/>
      <c r="E19" s="35"/>
    </row>
    <row r="20" spans="2:19">
      <c r="B20" s="37">
        <f>Calculations!$N$857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2048</v>
      </c>
      <c r="C22" s="39"/>
      <c r="D22" s="39"/>
      <c r="E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IFERROR(Calculations!$P$853,"")</f>
        <v>0</v>
      </c>
      <c r="C43" s="22">
        <f>IFERROR(Calculations!$Q$853,"")</f>
        <v>0</v>
      </c>
      <c r="D43" s="23">
        <f>IFERROR(Calculations!$R$853,"")</f>
        <v>0</v>
      </c>
      <c r="E43" s="22">
        <f>IFERROR(Calculations!$S$853,"")</f>
        <v>0</v>
      </c>
    </row>
    <row r="44" spans="2:19">
      <c r="B44" s="12">
        <f>IFERROR(Calculations!$P$854,"")</f>
        <v>0</v>
      </c>
      <c r="C44" s="22">
        <f>IFERROR(Calculations!$Q$854,"")</f>
        <v>0</v>
      </c>
      <c r="D44" s="23">
        <f>IFERROR(Calculations!$R$854,"")</f>
        <v>0</v>
      </c>
      <c r="E44" s="22">
        <f>IFERROR(Calculations!$S$854,"")</f>
        <v>0</v>
      </c>
    </row>
    <row r="45" spans="2:19">
      <c r="B45" s="12">
        <f>IFERROR(Calculations!$P$855,"")</f>
        <v>0</v>
      </c>
      <c r="C45" s="22">
        <f>IFERROR(Calculations!$Q$855,"")</f>
        <v>0</v>
      </c>
      <c r="D45" s="23">
        <f>IFERROR(Calculations!$R$855,"")</f>
        <v>0</v>
      </c>
      <c r="E45" s="22">
        <f>IFERROR(Calculations!$S$855,"")</f>
        <v>0</v>
      </c>
    </row>
    <row r="46" spans="2:19">
      <c r="B46" s="12">
        <f>IFERROR(Calculations!$P$856,"")</f>
        <v>0</v>
      </c>
      <c r="C46" s="22">
        <f>IFERROR(Calculations!$Q$856,"")</f>
        <v>0</v>
      </c>
      <c r="D46" s="23">
        <f>IFERROR(Calculations!$R$856,"")</f>
        <v>0</v>
      </c>
      <c r="E46" s="22">
        <f>IFERROR(Calculations!$S$856,"")</f>
        <v>0</v>
      </c>
    </row>
    <row r="47" spans="2:19">
      <c r="B47" s="12">
        <f>IFERROR(Calculations!$P$857,"")</f>
        <v>0</v>
      </c>
      <c r="C47" s="22">
        <f>IFERROR(Calculations!$Q$857,"")</f>
        <v>0</v>
      </c>
      <c r="D47" s="23">
        <f>IFERROR(Calculations!$R$857,"")</f>
        <v>0</v>
      </c>
      <c r="E47" s="22">
        <f>IFERROR(Calculations!$S$857,"")</f>
        <v>0</v>
      </c>
    </row>
    <row r="48" spans="2:19">
      <c r="B48" s="12">
        <f>IFERROR(Calculations!$P$858,"")</f>
        <v>0</v>
      </c>
      <c r="C48" s="22">
        <f>IFERROR(Calculations!$Q$858,"")</f>
        <v>0</v>
      </c>
      <c r="D48" s="23">
        <f>IFERROR(Calculations!$R$858,"")</f>
        <v>0</v>
      </c>
      <c r="E48" s="22">
        <f>IFERROR(Calculations!$S$858,"")</f>
        <v>0</v>
      </c>
    </row>
    <row r="49" spans="2:19">
      <c r="B49" s="12">
        <f>IFERROR(Calculations!$P$859,"")</f>
        <v>0</v>
      </c>
      <c r="C49" s="22">
        <f>IFERROR(Calculations!$Q$859,"")</f>
        <v>0</v>
      </c>
      <c r="D49" s="23">
        <f>IFERROR(Calculations!$R$859,"")</f>
        <v>0</v>
      </c>
      <c r="E49" s="22">
        <f>IFERROR(Calculations!$S$859,"")</f>
        <v>0</v>
      </c>
    </row>
    <row r="50" spans="2:19">
      <c r="B50" s="12">
        <f>IFERROR(Calculations!$P$860,"")</f>
        <v>0</v>
      </c>
      <c r="C50" s="22">
        <f>IFERROR(Calculations!$Q$860,"")</f>
        <v>0</v>
      </c>
      <c r="D50" s="23">
        <f>IFERROR(Calculations!$R$860,"")</f>
        <v>0</v>
      </c>
      <c r="E50" s="22">
        <f>IFERROR(Calculations!$S$860,"")</f>
        <v>0</v>
      </c>
    </row>
    <row r="51" spans="2:19">
      <c r="B51" s="12">
        <f>IFERROR(Calculations!$P$861,"")</f>
        <v>0</v>
      </c>
      <c r="C51" s="22">
        <f>IFERROR(Calculations!$Q$861,"")</f>
        <v>0</v>
      </c>
      <c r="D51" s="23">
        <f>IFERROR(Calculations!$R$861,"")</f>
        <v>0</v>
      </c>
      <c r="E51" s="22">
        <f>IFERROR(Calculations!$S$861,"")</f>
        <v>0</v>
      </c>
    </row>
    <row r="52" spans="2:19">
      <c r="B52" s="12">
        <f>IFERROR(Calculations!$P$862,"")</f>
        <v>0</v>
      </c>
      <c r="C52" s="22">
        <f>IFERROR(Calculations!$Q$862,"")</f>
        <v>0</v>
      </c>
      <c r="D52" s="23">
        <f>IFERROR(Calculations!$R$862,"")</f>
        <v>0</v>
      </c>
      <c r="E52" s="22">
        <f>IFERROR(Calculations!$S$862,"")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IF(Calculations!$U$853="","",Calculations!$U$853)</f>
        <v>0</v>
      </c>
      <c r="C60" s="22">
        <f>IFERROR(Calculations!$V$853,"")</f>
        <v>0</v>
      </c>
      <c r="D60" s="22">
        <f>IFERROR(Calculations!$W$853,"")</f>
        <v>0</v>
      </c>
      <c r="E60" s="22">
        <f>IFERROR(Calculations!$X$853,"")</f>
        <v>0</v>
      </c>
      <c r="F60" s="22">
        <f>IFERROR(Calculations!$Y$853,"")</f>
        <v>0</v>
      </c>
      <c r="G60" s="22">
        <f>IFERROR(Calculations!$Z$853,"")</f>
        <v>0</v>
      </c>
      <c r="H60" s="22">
        <f>IFERROR(Calculations!$AA$853,"")</f>
        <v>0</v>
      </c>
      <c r="I60" s="22">
        <f>IFERROR(Calculations!$AB$853,"")</f>
        <v>0</v>
      </c>
      <c r="J60" s="22">
        <f>IFERROR(Calculations!$AC$853,"")</f>
        <v>0</v>
      </c>
      <c r="K60" s="22">
        <f>IFERROR(Calculations!$AD$853,"")</f>
        <v>0</v>
      </c>
      <c r="L60" s="22">
        <f>IFERROR(Calculations!$AE$853,"")</f>
        <v>0</v>
      </c>
      <c r="M60" s="22">
        <f>IFERROR(Calculations!$AF$853,"")</f>
        <v>0</v>
      </c>
      <c r="N60" s="22">
        <f>IFERROR(Calculations!$AG$853,"")</f>
        <v>0</v>
      </c>
      <c r="O60" s="22">
        <f>IFERROR(Calculations!$AH$853,"")</f>
        <v>0</v>
      </c>
    </row>
    <row r="61" spans="2:19">
      <c r="B61" s="12">
        <f>IF(Calculations!$U$854="","",Calculations!$U$854)</f>
        <v>0</v>
      </c>
      <c r="C61" s="22">
        <f>IFERROR(Calculations!$V$854,"")</f>
        <v>0</v>
      </c>
      <c r="D61" s="22">
        <f>IFERROR(Calculations!$W$854,"")</f>
        <v>0</v>
      </c>
      <c r="E61" s="22">
        <f>IFERROR(Calculations!$X$854,"")</f>
        <v>0</v>
      </c>
      <c r="F61" s="22">
        <f>IFERROR(Calculations!$Y$854,"")</f>
        <v>0</v>
      </c>
      <c r="G61" s="22">
        <f>IFERROR(Calculations!$Z$854,"")</f>
        <v>0</v>
      </c>
      <c r="H61" s="22">
        <f>IFERROR(Calculations!$AA$854,"")</f>
        <v>0</v>
      </c>
      <c r="I61" s="22">
        <f>IFERROR(Calculations!$AB$854,"")</f>
        <v>0</v>
      </c>
      <c r="J61" s="22">
        <f>IFERROR(Calculations!$AC$854,"")</f>
        <v>0</v>
      </c>
      <c r="K61" s="22">
        <f>IFERROR(Calculations!$AD$854,"")</f>
        <v>0</v>
      </c>
      <c r="L61" s="22">
        <f>IFERROR(Calculations!$AE$854,"")</f>
        <v>0</v>
      </c>
      <c r="M61" s="22">
        <f>IFERROR(Calculations!$AF$854,"")</f>
        <v>0</v>
      </c>
      <c r="N61" s="22">
        <f>IFERROR(Calculations!$AG$854,"")</f>
        <v>0</v>
      </c>
      <c r="O61" s="22">
        <f>IFERROR(Calculations!$AH$854,"")</f>
        <v>0</v>
      </c>
    </row>
    <row r="62" spans="2:19">
      <c r="B62" s="12">
        <f>IF(Calculations!$U$855="","",Calculations!$U$855)</f>
        <v>0</v>
      </c>
      <c r="C62" s="22">
        <f>IFERROR(Calculations!$V$855,"")</f>
        <v>0</v>
      </c>
      <c r="D62" s="22">
        <f>IFERROR(Calculations!$W$855,"")</f>
        <v>0</v>
      </c>
      <c r="E62" s="22">
        <f>IFERROR(Calculations!$X$855,"")</f>
        <v>0</v>
      </c>
      <c r="F62" s="22">
        <f>IFERROR(Calculations!$Y$855,"")</f>
        <v>0</v>
      </c>
      <c r="G62" s="22">
        <f>IFERROR(Calculations!$Z$855,"")</f>
        <v>0</v>
      </c>
      <c r="H62" s="22">
        <f>IFERROR(Calculations!$AA$855,"")</f>
        <v>0</v>
      </c>
      <c r="I62" s="22">
        <f>IFERROR(Calculations!$AB$855,"")</f>
        <v>0</v>
      </c>
      <c r="J62" s="22">
        <f>IFERROR(Calculations!$AC$855,"")</f>
        <v>0</v>
      </c>
      <c r="K62" s="22">
        <f>IFERROR(Calculations!$AD$855,"")</f>
        <v>0</v>
      </c>
      <c r="L62" s="22">
        <f>IFERROR(Calculations!$AE$855,"")</f>
        <v>0</v>
      </c>
      <c r="M62" s="22">
        <f>IFERROR(Calculations!$AF$855,"")</f>
        <v>0</v>
      </c>
      <c r="N62" s="22">
        <f>IFERROR(Calculations!$AG$855,"")</f>
        <v>0</v>
      </c>
      <c r="O62" s="22">
        <f>IFERROR(Calculations!$AH$855,"")</f>
        <v>0</v>
      </c>
    </row>
    <row r="63" spans="2:19">
      <c r="B63" s="12">
        <f>IF(Calculations!$U$856="","",Calculations!$U$856)</f>
        <v>0</v>
      </c>
      <c r="C63" s="22">
        <f>IFERROR(Calculations!$V$856,"")</f>
        <v>0</v>
      </c>
      <c r="D63" s="22">
        <f>IFERROR(Calculations!$W$856,"")</f>
        <v>0</v>
      </c>
      <c r="E63" s="22">
        <f>IFERROR(Calculations!$X$856,"")</f>
        <v>0</v>
      </c>
      <c r="F63" s="22">
        <f>IFERROR(Calculations!$Y$856,"")</f>
        <v>0</v>
      </c>
      <c r="G63" s="22">
        <f>IFERROR(Calculations!$Z$856,"")</f>
        <v>0</v>
      </c>
      <c r="H63" s="22">
        <f>IFERROR(Calculations!$AA$856,"")</f>
        <v>0</v>
      </c>
      <c r="I63" s="22">
        <f>IFERROR(Calculations!$AB$856,"")</f>
        <v>0</v>
      </c>
      <c r="J63" s="22">
        <f>IFERROR(Calculations!$AC$856,"")</f>
        <v>0</v>
      </c>
      <c r="K63" s="22">
        <f>IFERROR(Calculations!$AD$856,"")</f>
        <v>0</v>
      </c>
      <c r="L63" s="22">
        <f>IFERROR(Calculations!$AE$856,"")</f>
        <v>0</v>
      </c>
      <c r="M63" s="22">
        <f>IFERROR(Calculations!$AF$856,"")</f>
        <v>0</v>
      </c>
      <c r="N63" s="22">
        <f>IFERROR(Calculations!$AG$856,"")</f>
        <v>0</v>
      </c>
      <c r="O63" s="22">
        <f>IFERROR(Calculations!$AH$856,"")</f>
        <v>0</v>
      </c>
    </row>
    <row r="64" spans="2:19">
      <c r="B64" s="12">
        <f>IF(Calculations!$U$857="","",Calculations!$U$857)</f>
        <v>0</v>
      </c>
      <c r="C64" s="22">
        <f>IFERROR(Calculations!$V$857,"")</f>
        <v>0</v>
      </c>
      <c r="D64" s="22">
        <f>IFERROR(Calculations!$W$857,"")</f>
        <v>0</v>
      </c>
      <c r="E64" s="22">
        <f>IFERROR(Calculations!$X$857,"")</f>
        <v>0</v>
      </c>
      <c r="F64" s="22">
        <f>IFERROR(Calculations!$Y$857,"")</f>
        <v>0</v>
      </c>
      <c r="G64" s="22">
        <f>IFERROR(Calculations!$Z$857,"")</f>
        <v>0</v>
      </c>
      <c r="H64" s="22">
        <f>IFERROR(Calculations!$AA$857,"")</f>
        <v>0</v>
      </c>
      <c r="I64" s="22">
        <f>IFERROR(Calculations!$AB$857,"")</f>
        <v>0</v>
      </c>
      <c r="J64" s="22">
        <f>IFERROR(Calculations!$AC$857,"")</f>
        <v>0</v>
      </c>
      <c r="K64" s="22">
        <f>IFERROR(Calculations!$AD$857,"")</f>
        <v>0</v>
      </c>
      <c r="L64" s="22">
        <f>IFERROR(Calculations!$AE$857,"")</f>
        <v>0</v>
      </c>
      <c r="M64" s="22">
        <f>IFERROR(Calculations!$AF$857,"")</f>
        <v>0</v>
      </c>
      <c r="N64" s="22">
        <f>IFERROR(Calculations!$AG$857,"")</f>
        <v>0</v>
      </c>
      <c r="O64" s="22">
        <f>IFERROR(Calculations!$AH$857,"")</f>
        <v>0</v>
      </c>
    </row>
    <row r="65" spans="2:15">
      <c r="B65" s="12">
        <f>IF(Calculations!$U$858="","",Calculations!$U$858)</f>
        <v>0</v>
      </c>
      <c r="C65" s="22">
        <f>IFERROR(Calculations!$V$858,"")</f>
        <v>0</v>
      </c>
      <c r="D65" s="22">
        <f>IFERROR(Calculations!$W$858,"")</f>
        <v>0</v>
      </c>
      <c r="E65" s="22">
        <f>IFERROR(Calculations!$X$858,"")</f>
        <v>0</v>
      </c>
      <c r="F65" s="22">
        <f>IFERROR(Calculations!$Y$858,"")</f>
        <v>0</v>
      </c>
      <c r="G65" s="22">
        <f>IFERROR(Calculations!$Z$858,"")</f>
        <v>0</v>
      </c>
      <c r="H65" s="22">
        <f>IFERROR(Calculations!$AA$858,"")</f>
        <v>0</v>
      </c>
      <c r="I65" s="22">
        <f>IFERROR(Calculations!$AB$858,"")</f>
        <v>0</v>
      </c>
      <c r="J65" s="22">
        <f>IFERROR(Calculations!$AC$858,"")</f>
        <v>0</v>
      </c>
      <c r="K65" s="22">
        <f>IFERROR(Calculations!$AD$858,"")</f>
        <v>0</v>
      </c>
      <c r="L65" s="22">
        <f>IFERROR(Calculations!$AE$858,"")</f>
        <v>0</v>
      </c>
      <c r="M65" s="22">
        <f>IFERROR(Calculations!$AF$858,"")</f>
        <v>0</v>
      </c>
      <c r="N65" s="22">
        <f>IFERROR(Calculations!$AG$858,"")</f>
        <v>0</v>
      </c>
      <c r="O65" s="22">
        <f>IFERROR(Calculations!$AH$858,"")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2134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1972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1932</v>
      </c>
      <c r="Q7" s="31">
        <f>LastRefresh</f>
        <v>0</v>
      </c>
    </row>
    <row r="9" spans="2:19">
      <c r="B9" s="50" t="s">
        <v>1973</v>
      </c>
      <c r="C9" s="50" t="s">
        <v>1974</v>
      </c>
      <c r="D9" s="50" t="s">
        <v>1975</v>
      </c>
      <c r="E9" s="50"/>
      <c r="F9" s="50" t="s">
        <v>2045</v>
      </c>
      <c r="G9" s="50"/>
      <c r="H9" s="50"/>
    </row>
    <row r="11" spans="2:19">
      <c r="B11" s="10" t="s">
        <v>2046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2047</v>
      </c>
      <c r="C13" s="35"/>
      <c r="D13" s="35"/>
      <c r="E13" s="35"/>
      <c r="F13" s="35" t="s">
        <v>2058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2064</v>
      </c>
      <c r="O13" s="35"/>
      <c r="P13" s="35"/>
      <c r="Q13" s="35"/>
    </row>
    <row r="14" spans="2:19">
      <c r="B14" s="37">
        <f>Calculations!$N$879</f>
        <v>0</v>
      </c>
      <c r="C14" s="37"/>
      <c r="D14" s="37"/>
      <c r="E14" s="37"/>
      <c r="F14" s="38">
        <f>Calculations!$N$880</f>
        <v>0</v>
      </c>
      <c r="G14" s="38"/>
      <c r="H14" s="38"/>
      <c r="I14" s="38"/>
      <c r="J14" s="37">
        <f>Calculations!$N$881</f>
        <v>0</v>
      </c>
      <c r="K14" s="37"/>
      <c r="L14" s="37"/>
      <c r="M14" s="37"/>
      <c r="N14" s="37">
        <f>Calculations!$N$882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2048</v>
      </c>
      <c r="C16" s="39"/>
      <c r="D16" s="39"/>
      <c r="E16" s="39"/>
      <c r="F16" s="39" t="s">
        <v>2048</v>
      </c>
      <c r="G16" s="39"/>
      <c r="H16" s="39"/>
      <c r="I16" s="39"/>
      <c r="J16" s="39" t="s">
        <v>2048</v>
      </c>
      <c r="K16" s="39"/>
      <c r="L16" s="39"/>
      <c r="M16" s="39"/>
      <c r="N16" s="39" t="s">
        <v>2048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2136</v>
      </c>
      <c r="C19" s="35"/>
      <c r="D19" s="35"/>
      <c r="E19" s="35"/>
      <c r="F19" s="35" t="s">
        <v>1981</v>
      </c>
      <c r="G19" s="35"/>
      <c r="H19" s="35"/>
      <c r="I19" s="35"/>
    </row>
    <row r="20" spans="2:19">
      <c r="B20" s="37">
        <f>Calculations!$N$883</f>
        <v>0</v>
      </c>
      <c r="C20" s="37"/>
      <c r="D20" s="37"/>
      <c r="E20" s="37"/>
      <c r="F20" s="37">
        <f>Calculations!$N$884</f>
        <v>0</v>
      </c>
      <c r="G20" s="37"/>
      <c r="H20" s="37"/>
      <c r="I20" s="37"/>
    </row>
    <row r="21" spans="2:19">
      <c r="B21" s="37"/>
      <c r="C21" s="37"/>
      <c r="D21" s="37"/>
      <c r="E21" s="37"/>
      <c r="F21" s="37"/>
      <c r="G21" s="37"/>
      <c r="H21" s="37"/>
      <c r="I21" s="37"/>
    </row>
    <row r="22" spans="2:19">
      <c r="B22" s="39" t="s">
        <v>2048</v>
      </c>
      <c r="C22" s="39"/>
      <c r="D22" s="39"/>
      <c r="E22" s="39"/>
      <c r="F22" s="39" t="s">
        <v>2048</v>
      </c>
      <c r="G22" s="39"/>
      <c r="H22" s="39"/>
      <c r="I22" s="39"/>
    </row>
    <row r="24" spans="2:19">
      <c r="B24" s="10" t="s">
        <v>2052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2054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1808</v>
      </c>
      <c r="D42" s="11" t="s">
        <v>1879</v>
      </c>
      <c r="E42" s="11" t="s">
        <v>1872</v>
      </c>
    </row>
    <row r="43" spans="2:19">
      <c r="B43" s="12">
        <f>IFERROR(Calculations!$P$879,"")</f>
        <v>0</v>
      </c>
      <c r="C43" s="22">
        <f>IFERROR(Calculations!$Q$879,"")</f>
        <v>0</v>
      </c>
      <c r="D43" s="23">
        <f>IFERROR(Calculations!$R$879,"")</f>
        <v>0</v>
      </c>
      <c r="E43" s="22">
        <f>IFERROR(Calculations!$S$879,"")</f>
        <v>0</v>
      </c>
    </row>
    <row r="44" spans="2:19">
      <c r="B44" s="12">
        <f>IFERROR(Calculations!$P$880,"")</f>
        <v>0</v>
      </c>
      <c r="C44" s="22">
        <f>IFERROR(Calculations!$Q$880,"")</f>
        <v>0</v>
      </c>
      <c r="D44" s="23">
        <f>IFERROR(Calculations!$R$880,"")</f>
        <v>0</v>
      </c>
      <c r="E44" s="22">
        <f>IFERROR(Calculations!$S$880,"")</f>
        <v>0</v>
      </c>
    </row>
    <row r="45" spans="2:19">
      <c r="B45" s="12">
        <f>IFERROR(Calculations!$P$881,"")</f>
        <v>0</v>
      </c>
      <c r="C45" s="22">
        <f>IFERROR(Calculations!$Q$881,"")</f>
        <v>0</v>
      </c>
      <c r="D45" s="23">
        <f>IFERROR(Calculations!$R$881,"")</f>
        <v>0</v>
      </c>
      <c r="E45" s="22">
        <f>IFERROR(Calculations!$S$881,"")</f>
        <v>0</v>
      </c>
    </row>
    <row r="46" spans="2:19">
      <c r="B46" s="12">
        <f>IFERROR(Calculations!$P$882,"")</f>
        <v>0</v>
      </c>
      <c r="C46" s="22">
        <f>IFERROR(Calculations!$Q$882,"")</f>
        <v>0</v>
      </c>
      <c r="D46" s="23">
        <f>IFERROR(Calculations!$R$882,"")</f>
        <v>0</v>
      </c>
      <c r="E46" s="22">
        <f>IFERROR(Calculations!$S$882,"")</f>
        <v>0</v>
      </c>
    </row>
    <row r="47" spans="2:19">
      <c r="B47" s="12">
        <f>IFERROR(Calculations!$P$883,"")</f>
        <v>0</v>
      </c>
      <c r="C47" s="22">
        <f>IFERROR(Calculations!$Q$883,"")</f>
        <v>0</v>
      </c>
      <c r="D47" s="23">
        <f>IFERROR(Calculations!$R$883,"")</f>
        <v>0</v>
      </c>
      <c r="E47" s="22">
        <f>IFERROR(Calculations!$S$883,"")</f>
        <v>0</v>
      </c>
    </row>
    <row r="48" spans="2:19">
      <c r="B48" s="12">
        <f>IFERROR(Calculations!$P$884,"")</f>
        <v>0</v>
      </c>
      <c r="C48" s="22">
        <f>IFERROR(Calculations!$Q$884,"")</f>
        <v>0</v>
      </c>
      <c r="D48" s="23">
        <f>IFERROR(Calculations!$R$884,"")</f>
        <v>0</v>
      </c>
      <c r="E48" s="22">
        <f>IFERROR(Calculations!$S$884,"")</f>
        <v>0</v>
      </c>
    </row>
    <row r="49" spans="2:19">
      <c r="B49" s="12">
        <f>IFERROR(Calculations!$P$885,"")</f>
        <v>0</v>
      </c>
      <c r="C49" s="22">
        <f>IFERROR(Calculations!$Q$885,"")</f>
        <v>0</v>
      </c>
      <c r="D49" s="23">
        <f>IFERROR(Calculations!$R$885,"")</f>
        <v>0</v>
      </c>
      <c r="E49" s="22">
        <f>IFERROR(Calculations!$S$885,"")</f>
        <v>0</v>
      </c>
    </row>
    <row r="50" spans="2:19">
      <c r="B50" s="12">
        <f>IFERROR(Calculations!$P$886,"")</f>
        <v>0</v>
      </c>
      <c r="C50" s="22">
        <f>IFERROR(Calculations!$Q$886,"")</f>
        <v>0</v>
      </c>
      <c r="D50" s="23">
        <f>IFERROR(Calculations!$R$886,"")</f>
        <v>0</v>
      </c>
      <c r="E50" s="22">
        <f>IFERROR(Calculations!$S$886,"")</f>
        <v>0</v>
      </c>
    </row>
    <row r="51" spans="2:19">
      <c r="B51" s="12">
        <f>IFERROR(Calculations!$P$887,"")</f>
        <v>0</v>
      </c>
      <c r="C51" s="22">
        <f>IFERROR(Calculations!$Q$887,"")</f>
        <v>0</v>
      </c>
      <c r="D51" s="23">
        <f>IFERROR(Calculations!$R$887,"")</f>
        <v>0</v>
      </c>
      <c r="E51" s="22">
        <f>IFERROR(Calculations!$S$887,"")</f>
        <v>0</v>
      </c>
    </row>
    <row r="52" spans="2:19">
      <c r="B52" s="12">
        <f>IFERROR(Calculations!$P$888,"")</f>
        <v>0</v>
      </c>
      <c r="C52" s="22">
        <f>IFERROR(Calculations!$Q$888,"")</f>
        <v>0</v>
      </c>
      <c r="D52" s="23">
        <f>IFERROR(Calculations!$R$888,"")</f>
        <v>0</v>
      </c>
      <c r="E52" s="22">
        <f>IFERROR(Calculations!$S$888,"")</f>
        <v>0</v>
      </c>
    </row>
    <row r="58" spans="2:19">
      <c r="B58" s="10" t="s">
        <v>2055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1873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1874</v>
      </c>
    </row>
    <row r="60" spans="2:19">
      <c r="B60" s="12">
        <f>IF(Calculations!$U$879="","",Calculations!$U$879)</f>
        <v>0</v>
      </c>
      <c r="C60" s="22">
        <f>IFERROR(Calculations!$V$879,"")</f>
        <v>0</v>
      </c>
      <c r="D60" s="22">
        <f>IFERROR(Calculations!$W$879,"")</f>
        <v>0</v>
      </c>
      <c r="E60" s="22">
        <f>IFERROR(Calculations!$X$879,"")</f>
        <v>0</v>
      </c>
      <c r="F60" s="22">
        <f>IFERROR(Calculations!$Y$879,"")</f>
        <v>0</v>
      </c>
      <c r="G60" s="22">
        <f>IFERROR(Calculations!$Z$879,"")</f>
        <v>0</v>
      </c>
      <c r="H60" s="22">
        <f>IFERROR(Calculations!$AA$879,"")</f>
        <v>0</v>
      </c>
      <c r="I60" s="22">
        <f>IFERROR(Calculations!$AB$879,"")</f>
        <v>0</v>
      </c>
      <c r="J60" s="22">
        <f>IFERROR(Calculations!$AC$879,"")</f>
        <v>0</v>
      </c>
      <c r="K60" s="22">
        <f>IFERROR(Calculations!$AD$879,"")</f>
        <v>0</v>
      </c>
      <c r="L60" s="22">
        <f>IFERROR(Calculations!$AE$879,"")</f>
        <v>0</v>
      </c>
      <c r="M60" s="22">
        <f>IFERROR(Calculations!$AF$879,"")</f>
        <v>0</v>
      </c>
      <c r="N60" s="22">
        <f>IFERROR(Calculations!$AG$879,"")</f>
        <v>0</v>
      </c>
      <c r="O60" s="22">
        <f>IFERROR(Calculations!$AH$879,"")</f>
        <v>0</v>
      </c>
    </row>
    <row r="61" spans="2:19">
      <c r="B61" s="12">
        <f>IF(Calculations!$U$880="","",Calculations!$U$880)</f>
        <v>0</v>
      </c>
      <c r="C61" s="22">
        <f>IFERROR(Calculations!$V$880,"")</f>
        <v>0</v>
      </c>
      <c r="D61" s="22">
        <f>IFERROR(Calculations!$W$880,"")</f>
        <v>0</v>
      </c>
      <c r="E61" s="22">
        <f>IFERROR(Calculations!$X$880,"")</f>
        <v>0</v>
      </c>
      <c r="F61" s="22">
        <f>IFERROR(Calculations!$Y$880,"")</f>
        <v>0</v>
      </c>
      <c r="G61" s="22">
        <f>IFERROR(Calculations!$Z$880,"")</f>
        <v>0</v>
      </c>
      <c r="H61" s="22">
        <f>IFERROR(Calculations!$AA$880,"")</f>
        <v>0</v>
      </c>
      <c r="I61" s="22">
        <f>IFERROR(Calculations!$AB$880,"")</f>
        <v>0</v>
      </c>
      <c r="J61" s="22">
        <f>IFERROR(Calculations!$AC$880,"")</f>
        <v>0</v>
      </c>
      <c r="K61" s="22">
        <f>IFERROR(Calculations!$AD$880,"")</f>
        <v>0</v>
      </c>
      <c r="L61" s="22">
        <f>IFERROR(Calculations!$AE$880,"")</f>
        <v>0</v>
      </c>
      <c r="M61" s="22">
        <f>IFERROR(Calculations!$AF$880,"")</f>
        <v>0</v>
      </c>
      <c r="N61" s="22">
        <f>IFERROR(Calculations!$AG$880,"")</f>
        <v>0</v>
      </c>
      <c r="O61" s="22">
        <f>IFERROR(Calculations!$AH$880,"")</f>
        <v>0</v>
      </c>
    </row>
    <row r="62" spans="2:19">
      <c r="B62" s="12">
        <f>IF(Calculations!$U$881="","",Calculations!$U$881)</f>
        <v>0</v>
      </c>
      <c r="C62" s="22">
        <f>IFERROR(Calculations!$V$881,"")</f>
        <v>0</v>
      </c>
      <c r="D62" s="22">
        <f>IFERROR(Calculations!$W$881,"")</f>
        <v>0</v>
      </c>
      <c r="E62" s="22">
        <f>IFERROR(Calculations!$X$881,"")</f>
        <v>0</v>
      </c>
      <c r="F62" s="22">
        <f>IFERROR(Calculations!$Y$881,"")</f>
        <v>0</v>
      </c>
      <c r="G62" s="22">
        <f>IFERROR(Calculations!$Z$881,"")</f>
        <v>0</v>
      </c>
      <c r="H62" s="22">
        <f>IFERROR(Calculations!$AA$881,"")</f>
        <v>0</v>
      </c>
      <c r="I62" s="22">
        <f>IFERROR(Calculations!$AB$881,"")</f>
        <v>0</v>
      </c>
      <c r="J62" s="22">
        <f>IFERROR(Calculations!$AC$881,"")</f>
        <v>0</v>
      </c>
      <c r="K62" s="22">
        <f>IFERROR(Calculations!$AD$881,"")</f>
        <v>0</v>
      </c>
      <c r="L62" s="22">
        <f>IFERROR(Calculations!$AE$881,"")</f>
        <v>0</v>
      </c>
      <c r="M62" s="22">
        <f>IFERROR(Calculations!$AF$881,"")</f>
        <v>0</v>
      </c>
      <c r="N62" s="22">
        <f>IFERROR(Calculations!$AG$881,"")</f>
        <v>0</v>
      </c>
      <c r="O62" s="22">
        <f>IFERROR(Calculations!$AH$881,"")</f>
        <v>0</v>
      </c>
    </row>
    <row r="63" spans="2:19">
      <c r="B63" s="12">
        <f>IF(Calculations!$U$882="","",Calculations!$U$882)</f>
        <v>0</v>
      </c>
      <c r="C63" s="22">
        <f>IFERROR(Calculations!$V$882,"")</f>
        <v>0</v>
      </c>
      <c r="D63" s="22">
        <f>IFERROR(Calculations!$W$882,"")</f>
        <v>0</v>
      </c>
      <c r="E63" s="22">
        <f>IFERROR(Calculations!$X$882,"")</f>
        <v>0</v>
      </c>
      <c r="F63" s="22">
        <f>IFERROR(Calculations!$Y$882,"")</f>
        <v>0</v>
      </c>
      <c r="G63" s="22">
        <f>IFERROR(Calculations!$Z$882,"")</f>
        <v>0</v>
      </c>
      <c r="H63" s="22">
        <f>IFERROR(Calculations!$AA$882,"")</f>
        <v>0</v>
      </c>
      <c r="I63" s="22">
        <f>IFERROR(Calculations!$AB$882,"")</f>
        <v>0</v>
      </c>
      <c r="J63" s="22">
        <f>IFERROR(Calculations!$AC$882,"")</f>
        <v>0</v>
      </c>
      <c r="K63" s="22">
        <f>IFERROR(Calculations!$AD$882,"")</f>
        <v>0</v>
      </c>
      <c r="L63" s="22">
        <f>IFERROR(Calculations!$AE$882,"")</f>
        <v>0</v>
      </c>
      <c r="M63" s="22">
        <f>IFERROR(Calculations!$AF$882,"")</f>
        <v>0</v>
      </c>
      <c r="N63" s="22">
        <f>IFERROR(Calculations!$AG$882,"")</f>
        <v>0</v>
      </c>
      <c r="O63" s="22">
        <f>IFERROR(Calculations!$AH$882,"")</f>
        <v>0</v>
      </c>
    </row>
    <row r="64" spans="2:19">
      <c r="B64" s="12">
        <f>IF(Calculations!$U$883="","",Calculations!$U$883)</f>
        <v>0</v>
      </c>
      <c r="C64" s="22">
        <f>IFERROR(Calculations!$V$883,"")</f>
        <v>0</v>
      </c>
      <c r="D64" s="22">
        <f>IFERROR(Calculations!$W$883,"")</f>
        <v>0</v>
      </c>
      <c r="E64" s="22">
        <f>IFERROR(Calculations!$X$883,"")</f>
        <v>0</v>
      </c>
      <c r="F64" s="22">
        <f>IFERROR(Calculations!$Y$883,"")</f>
        <v>0</v>
      </c>
      <c r="G64" s="22">
        <f>IFERROR(Calculations!$Z$883,"")</f>
        <v>0</v>
      </c>
      <c r="H64" s="22">
        <f>IFERROR(Calculations!$AA$883,"")</f>
        <v>0</v>
      </c>
      <c r="I64" s="22">
        <f>IFERROR(Calculations!$AB$883,"")</f>
        <v>0</v>
      </c>
      <c r="J64" s="22">
        <f>IFERROR(Calculations!$AC$883,"")</f>
        <v>0</v>
      </c>
      <c r="K64" s="22">
        <f>IFERROR(Calculations!$AD$883,"")</f>
        <v>0</v>
      </c>
      <c r="L64" s="22">
        <f>IFERROR(Calculations!$AE$883,"")</f>
        <v>0</v>
      </c>
      <c r="M64" s="22">
        <f>IFERROR(Calculations!$AF$883,"")</f>
        <v>0</v>
      </c>
      <c r="N64" s="22">
        <f>IFERROR(Calculations!$AG$883,"")</f>
        <v>0</v>
      </c>
      <c r="O64" s="22">
        <f>IFERROR(Calculations!$AH$883,"")</f>
        <v>0</v>
      </c>
    </row>
    <row r="65" spans="2:15">
      <c r="B65" s="12">
        <f>IF(Calculations!$U$884="","",Calculations!$U$884)</f>
        <v>0</v>
      </c>
      <c r="C65" s="22">
        <f>IFERROR(Calculations!$V$884,"")</f>
        <v>0</v>
      </c>
      <c r="D65" s="22">
        <f>IFERROR(Calculations!$W$884,"")</f>
        <v>0</v>
      </c>
      <c r="E65" s="22">
        <f>IFERROR(Calculations!$X$884,"")</f>
        <v>0</v>
      </c>
      <c r="F65" s="22">
        <f>IFERROR(Calculations!$Y$884,"")</f>
        <v>0</v>
      </c>
      <c r="G65" s="22">
        <f>IFERROR(Calculations!$Z$884,"")</f>
        <v>0</v>
      </c>
      <c r="H65" s="22">
        <f>IFERROR(Calculations!$AA$884,"")</f>
        <v>0</v>
      </c>
      <c r="I65" s="22">
        <f>IFERROR(Calculations!$AB$884,"")</f>
        <v>0</v>
      </c>
      <c r="J65" s="22">
        <f>IFERROR(Calculations!$AC$884,"")</f>
        <v>0</v>
      </c>
      <c r="K65" s="22">
        <f>IFERROR(Calculations!$AD$884,"")</f>
        <v>0</v>
      </c>
      <c r="L65" s="22">
        <f>IFERROR(Calculations!$AE$884,"")</f>
        <v>0</v>
      </c>
      <c r="M65" s="22">
        <f>IFERROR(Calculations!$AF$884,"")</f>
        <v>0</v>
      </c>
      <c r="N65" s="22">
        <f>IFERROR(Calculations!$AG$884,"")</f>
        <v>0</v>
      </c>
      <c r="O65" s="22">
        <f>IFERROR(Calculations!$AH$884,"")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193</vt:i4>
      </vt:variant>
    </vt:vector>
  </HeadingPairs>
  <TitlesOfParts>
    <vt:vector size="249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Cover Page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Recordable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2026-07-12T13:39:22Z</dcterms:created>
  <dcterms:modified xsi:type="dcterms:W3CDTF">2026-07-12T13:39:22Z</dcterms:modified>
</cp:coreProperties>
</file>