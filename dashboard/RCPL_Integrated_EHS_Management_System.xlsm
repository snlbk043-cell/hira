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Home" sheetId="29" r:id="rId29"/>
    <sheet name="Executive Dashboard" sheetId="30" r:id="rId30"/>
    <sheet name="Leadership Review" sheetId="31" r:id="rId31"/>
    <sheet name="Dash · Toolbox Talks" sheetId="32" r:id="rId32"/>
    <sheet name="Dash · JSA Risk Assessment" sheetId="33" r:id="rId33"/>
    <sheet name="Dash · Training" sheetId="34" r:id="rId34"/>
    <sheet name="Dash · HSE Observations" sheetId="35" r:id="rId35"/>
    <sheet name="Dash · Workplace Inspections" sheetId="36" r:id="rId36"/>
    <sheet name="Dash · Equipment Inspections" sheetId="37" r:id="rId37"/>
    <sheet name="Dash · Safety Walkthroughs" sheetId="38" r:id="rId38"/>
    <sheet name="Dash · Safety Meetings" sheetId="39" r:id="rId39"/>
    <sheet name="Dash · Safety Bulletins" sheetId="40" r:id="rId40"/>
    <sheet name="Dash · Emergency Drills" sheetId="41" r:id="rId41"/>
    <sheet name="Dash · Internal Audits" sheetId="42" r:id="rId42"/>
    <sheet name="Dash · External Audits" sheetId="43" r:id="rId43"/>
    <sheet name="Dash · Management Visits" sheetId="44" r:id="rId44"/>
    <sheet name="Dash · Management Reviews" sheetId="45" r:id="rId45"/>
    <sheet name="Dash · Disciplinary Actions" sheetId="46" r:id="rId46"/>
    <sheet name="Dash · Safety Awards" sheetId="47" r:id="rId47"/>
    <sheet name="Dash · Stop Work Authority" sheetId="48" r:id="rId48"/>
    <sheet name="Dash · Alcohol Tests" sheetId="49" r:id="rId49"/>
    <sheet name="Dash · PTW Audits" sheetId="50" r:id="rId50"/>
    <sheet name="Dash · Corrective Actions" sheetId="51" r:id="rId51"/>
    <sheet name="Dash · NC Management" sheetId="52" r:id="rId52"/>
    <sheet name="Dash · Unsafe Acts" sheetId="53" r:id="rId53"/>
    <sheet name="Dash · Unsafe Conditions" sheetId="54" r:id="rId54"/>
    <sheet name="Dash · Incident" sheetId="55" r:id="rId55"/>
  </sheets>
  <definedNames>
    <definedName name="AmberBand">Settings!$C$21</definedName>
    <definedName name="CAClosure">Calculations!$AH$31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udits">Calculations!$AK$28</definedName>
    <definedName name="gdCAClosure">Calculations!$AK$31</definedName>
    <definedName name="gdDisciplinary">Calculations!$AK$20</definedName>
    <definedName name="gdEmergencyDrills">Calculations!$AK$30</definedName>
    <definedName name="gdFirstAid">Calculations!$AK$18</definedName>
    <definedName name="gdHSEObservations">Calculations!$AK$24</definedName>
    <definedName name="gdInspections">Calculations!$AK$27</definedName>
    <definedName name="gdLostDays">Calculations!$AK$19</definedName>
    <definedName name="gdLTIFatality">Calculations!$AK$16</definedName>
    <definedName name="gdLTIFR">Calculations!$AK$13</definedName>
    <definedName name="gdNearMiss">Calculations!$AK$17</definedName>
    <definedName name="gdObsClosure">Calculations!$AK$25</definedName>
    <definedName name="gdOpenNCs">Calculations!$AK$21</definedName>
    <definedName name="gdPTWCompliance">Calculations!$AK$29</definedName>
    <definedName name="gdRecordable">Calculations!$AK$15</definedName>
    <definedName name="gdToolboxTalks">Calculations!$AK$26</definedName>
    <definedName name="gdTotalIncidents">Calculations!$AK$14</definedName>
    <definedName name="gdTrainingCompliance">Calculations!$AK$23</definedName>
    <definedName name="gdTrainings">Calculations!$AK$22</definedName>
    <definedName name="gdTRIR">Calculations!$AK$12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Calculations!$AH$19</definedName>
    <definedName name="LTIfat">Calculations!$AH$16</definedName>
    <definedName name="LTIFR">Calculations!$AH$13</definedName>
    <definedName name="LTIFRmult">Settings!$C$14</definedName>
    <definedName name="Manhours">Settings!$C$12</definedName>
    <definedName name="mCrit">Calculations!$C$6</definedName>
    <definedName name="mCrit">IF(SelMonth="All","&lt;&gt;",SelMonth)</definedName>
    <definedName name="NearMiss">Calculations!$AH$17</definedName>
    <definedName name="ObsClosure">Calculations!$AH$25</definedName>
    <definedName name="PTWauditComp">Calculations!$AH$29</definedName>
    <definedName name="Recordable">Calculations!$AH$15</definedName>
    <definedName name="SelDept">'Executive Dashboard'!$G$12</definedName>
    <definedName name="SelMonth">'Executive Dashboard'!$K$12</definedName>
    <definedName name="SelPeriod">'Executive Dashboard'!$C$12</definedName>
    <definedName name="TgtCA">Settings!$C$19</definedName>
    <definedName name="TgtObs">Settings!$C$17</definedName>
    <definedName name="TgtTrain">Settings!$C$18</definedName>
    <definedName name="TgtTRIR">Settings!$C$20</definedName>
    <definedName name="TotalInc">Calculations!$AH$14</definedName>
    <definedName name="TrainCompliance">Calculations!$AH$23</definedName>
    <definedName name="TRIR">Calculations!$AH$12</definedName>
    <definedName name="TRIRmult">Settings!$C$13</definedName>
  </definedNames>
  <calcPr calcId="124519" fullCalcOnLoad="1"/>
</workbook>
</file>

<file path=xl/sharedStrings.xml><?xml version="1.0" encoding="utf-8"?>
<sst xmlns="http://schemas.openxmlformats.org/spreadsheetml/2006/main" count="13295" uniqueCount="1889">
  <si>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</si>
  <si>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</si>
  <si>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</si>
  <si>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</si>
  <si>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</si>
  <si>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</si>
  <si>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</si>
  <si>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</si>
  <si>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</si>
  <si>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</si>
  <si>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</si>
  <si>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</si>
  <si>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</si>
  <si>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</si>
  <si>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</si>
  <si>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</si>
  <si>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</si>
  <si>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</si>
  <si>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</si>
  <si>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</si>
  <si>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</si>
  <si>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</si>
  <si>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</si>
  <si>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</si>
  <si>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</si>
  <si>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</si>
  <si>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</si>
  <si>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</si>
  <si>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</si>
  <si>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</si>
  <si>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</si>
  <si>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</si>
  <si>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</si>
  <si>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</si>
  <si>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</si>
  <si>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</si>
  <si>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</si>
  <si>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</si>
  <si>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</si>
  <si>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</si>
  <si>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</si>
  <si>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</si>
  <si>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</si>
  <si>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</si>
  <si>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</si>
  <si>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</si>
  <si>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</si>
  <si>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</si>
  <si>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</si>
  <si>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</si>
  <si>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</si>
  <si>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</si>
  <si>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</si>
  <si>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</si>
  <si>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</si>
  <si>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</si>
  <si>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</si>
  <si>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</si>
  <si>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</si>
  <si>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</si>
  <si>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</si>
  <si>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</si>
  <si>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</si>
  <si>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</si>
  <si>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</si>
  <si>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</si>
  <si>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</si>
  <si>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</si>
  <si>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</si>
  <si>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</si>
  <si>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</si>
  <si>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</si>
  <si>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</si>
  <si>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</si>
  <si>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</si>
  <si>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</si>
  <si>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</si>
  <si>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</si>
  <si>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</si>
  <si>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</si>
  <si>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</si>
  <si>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</si>
  <si>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</si>
  <si>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</si>
  <si>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</si>
  <si>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</si>
  <si>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</si>
  <si>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</si>
  <si>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</si>
  <si>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</si>
  <si>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</si>
  <si>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</si>
  <si>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</si>
  <si>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</si>
  <si>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</si>
  <si>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</si>
  <si>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</si>
  <si>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</si>
  <si>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</si>
  <si>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</si>
  <si>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</si>
  <si>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</si>
  <si>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</si>
  <si>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</si>
  <si>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</si>
  <si>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</si>
  <si>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</si>
  <si>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</si>
  <si>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</si>
  <si>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</si>
  <si>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</si>
  <si>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</si>
  <si>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</si>
  <si>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</si>
  <si>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</si>
  <si>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</si>
  <si>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</si>
  <si>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</si>
  <si>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</si>
  <si>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</si>
  <si>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</si>
  <si>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</si>
  <si>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</si>
  <si>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</si>
  <si>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</si>
  <si>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</si>
  <si>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</si>
  <si>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</si>
  <si>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</si>
  <si>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</si>
  <si>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</si>
  <si>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</si>
  <si>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</si>
  <si>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</si>
  <si>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</si>
  <si>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</si>
  <si>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</si>
  <si>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</si>
  <si>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</si>
  <si>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</si>
  <si>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</si>
  <si>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JSA-1003</t>
  </si>
  <si>
    <t>Medium</t>
  </si>
  <si>
    <t>HIRA</t>
  </si>
  <si>
    <t>Pending Review</t>
  </si>
  <si>
    <t>Non-Compliant</t>
  </si>
  <si>
    <t>JSA-1013</t>
  </si>
  <si>
    <t>Rejected</t>
  </si>
  <si>
    <t>Partially Compliant</t>
  </si>
  <si>
    <t>JSA-1018</t>
  </si>
  <si>
    <t>HAZOP</t>
  </si>
  <si>
    <t>JSA-1001</t>
  </si>
  <si>
    <t>Approved</t>
  </si>
  <si>
    <t>JSA-1016</t>
  </si>
  <si>
    <t>Low</t>
  </si>
  <si>
    <t>Revision Required</t>
  </si>
  <si>
    <t>JSA-1019</t>
  </si>
  <si>
    <t>Bow Tie</t>
  </si>
  <si>
    <t>JSA-1023</t>
  </si>
  <si>
    <t>High</t>
  </si>
  <si>
    <t>Task RA</t>
  </si>
  <si>
    <t>JSA-1030</t>
  </si>
  <si>
    <t>Critical</t>
  </si>
  <si>
    <t>What-If</t>
  </si>
  <si>
    <t>JSA-1037</t>
  </si>
  <si>
    <t>Compliant</t>
  </si>
  <si>
    <t>JSA-1002</t>
  </si>
  <si>
    <t>JSA-1005</t>
  </si>
  <si>
    <t>JSA-1020</t>
  </si>
  <si>
    <t>JSA</t>
  </si>
  <si>
    <t>JSA-1027</t>
  </si>
  <si>
    <t>JSA-1041</t>
  </si>
  <si>
    <t>JSA-1033</t>
  </si>
  <si>
    <t>JSA-1012</t>
  </si>
  <si>
    <t>JSA-1029</t>
  </si>
  <si>
    <t>JSA-1009</t>
  </si>
  <si>
    <t>JSA-1017</t>
  </si>
  <si>
    <t>JSA-1025</t>
  </si>
  <si>
    <t>JSA-1038</t>
  </si>
  <si>
    <t>JSA-1006</t>
  </si>
  <si>
    <t>JSA-1031</t>
  </si>
  <si>
    <t>JSA-1046</t>
  </si>
  <si>
    <t>JSA-1032</t>
  </si>
  <si>
    <t>JSA-1034</t>
  </si>
  <si>
    <t>JSA-1045</t>
  </si>
  <si>
    <t>JSA-1007</t>
  </si>
  <si>
    <t>JSA-1011</t>
  </si>
  <si>
    <t>JSA-1024</t>
  </si>
  <si>
    <t>JSA-1040</t>
  </si>
  <si>
    <t>JSA-1004</t>
  </si>
  <si>
    <t>JSA-1008</t>
  </si>
  <si>
    <t>JSA-1010</t>
  </si>
  <si>
    <t>JSA-1014</t>
  </si>
  <si>
    <t>JSA-1015</t>
  </si>
  <si>
    <t>JSA-1021</t>
  </si>
  <si>
    <t>JSA-1043</t>
  </si>
  <si>
    <t>JSA-1044</t>
  </si>
  <si>
    <t>JSA-1047</t>
  </si>
  <si>
    <t>JSA-1022</t>
  </si>
  <si>
    <t>JSA-1026</t>
  </si>
  <si>
    <t>JSA-1028</t>
  </si>
  <si>
    <t>JSA-1035</t>
  </si>
  <si>
    <t>JSA-1036</t>
  </si>
  <si>
    <t>JSA-1039</t>
  </si>
  <si>
    <t>JSA-1042</t>
  </si>
  <si>
    <t>JSA-1048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</si>
  <si>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</si>
  <si>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</si>
  <si>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</si>
  <si>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</si>
  <si>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</si>
  <si>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</si>
  <si>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</si>
  <si>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</si>
  <si>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</si>
  <si>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</si>
  <si>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</si>
  <si>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</si>
  <si>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</si>
  <si>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</si>
  <si>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</si>
  <si>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</si>
  <si>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</si>
  <si>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</si>
  <si>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</si>
  <si>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</si>
  <si>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</si>
  <si>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</si>
  <si>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</si>
  <si>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</si>
  <si>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</si>
  <si>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TRN-1004</t>
  </si>
  <si>
    <t>TRN-1007</t>
  </si>
  <si>
    <t>Refresher</t>
  </si>
  <si>
    <t>TRN-1016</t>
  </si>
  <si>
    <t>Scheduled</t>
  </si>
  <si>
    <t>TRN-1024</t>
  </si>
  <si>
    <t>Induction</t>
  </si>
  <si>
    <t>Overdue</t>
  </si>
  <si>
    <t>TRN-1041</t>
  </si>
  <si>
    <t>External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</si>
  <si>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</si>
  <si>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</si>
  <si>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</si>
  <si>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</si>
  <si>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</si>
  <si>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</si>
  <si>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</si>
  <si>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</si>
  <si>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</si>
  <si>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</si>
  <si>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</si>
  <si>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</si>
  <si>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</si>
  <si>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In Progress</t>
  </si>
  <si>
    <t>TRN-1023</t>
  </si>
  <si>
    <t>TRN-1030</t>
  </si>
  <si>
    <t>TRN-1036</t>
  </si>
  <si>
    <t>TRN-1017</t>
  </si>
  <si>
    <t>TRN-1021</t>
  </si>
  <si>
    <t>TRN-1028</t>
  </si>
  <si>
    <t>TRN-1043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</si>
  <si>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</si>
  <si>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</si>
  <si>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</si>
  <si>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</si>
  <si>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</si>
  <si>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</si>
  <si>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</si>
  <si>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</si>
  <si>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</si>
  <si>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</si>
  <si>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TRN-1002</t>
  </si>
  <si>
    <t>TRN-1001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</si>
  <si>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</si>
  <si>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</si>
  <si>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</si>
  <si>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</si>
  <si>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</si>
  <si>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</si>
  <si>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</si>
  <si>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</si>
  <si>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</si>
  <si>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</si>
  <si>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</si>
  <si>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</si>
  <si>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</si>
  <si>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</si>
  <si>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</si>
  <si>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</si>
  <si>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</si>
  <si>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</si>
  <si>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Safe Act</t>
  </si>
  <si>
    <t>Closed</t>
  </si>
  <si>
    <t>Verbal Warning</t>
  </si>
  <si>
    <t>OBS-1016</t>
  </si>
  <si>
    <t>Unsafe Condition</t>
  </si>
  <si>
    <t>Open</t>
  </si>
  <si>
    <t>Written Warning</t>
  </si>
  <si>
    <t>OBS-1018</t>
  </si>
  <si>
    <t>Unsafe Act</t>
  </si>
  <si>
    <t>OBS-1021</t>
  </si>
  <si>
    <t>Safe Condition</t>
  </si>
  <si>
    <t>Fine</t>
  </si>
  <si>
    <t>OBS-1023</t>
  </si>
  <si>
    <t>OBS-1032</t>
  </si>
  <si>
    <t>OBS-1039</t>
  </si>
  <si>
    <t>OBS-1043</t>
  </si>
  <si>
    <t>OBS-1046</t>
  </si>
  <si>
    <t>OBS-1002</t>
  </si>
  <si>
    <t>Suspension</t>
  </si>
  <si>
    <t>OBS-1011</t>
  </si>
  <si>
    <t>OBS-1013</t>
  </si>
  <si>
    <t>Retraining</t>
  </si>
  <si>
    <t>OBS-1031</t>
  </si>
  <si>
    <t>OBS-1007</t>
  </si>
  <si>
    <t>OBS-1024</t>
  </si>
  <si>
    <t>OBS-1001</t>
  </si>
  <si>
    <t>OBS-1010</t>
  </si>
  <si>
    <t>OBS-1028</t>
  </si>
  <si>
    <t>OBS-1038</t>
  </si>
  <si>
    <t>OBS-1048</t>
  </si>
  <si>
    <t>OBS-1012</t>
  </si>
  <si>
    <t>OBS-1020</t>
  </si>
  <si>
    <t>OBS-1033</t>
  </si>
  <si>
    <t>OBS-1041</t>
  </si>
  <si>
    <t>OBS-1026</t>
  </si>
  <si>
    <t>OBS-1030</t>
  </si>
  <si>
    <t>OBS-1034</t>
  </si>
  <si>
    <t>OBS-1003</t>
  </si>
  <si>
    <t>OBS-1025</t>
  </si>
  <si>
    <t>OBS-1036</t>
  </si>
  <si>
    <t>OBS-1040</t>
  </si>
  <si>
    <t>OBS-1042</t>
  </si>
  <si>
    <t>OBS-1022</t>
  </si>
  <si>
    <t>OBS-1035</t>
  </si>
  <si>
    <t>OBS-1014</t>
  </si>
  <si>
    <t>OBS-1044</t>
  </si>
  <si>
    <t>OBS-1009</t>
  </si>
  <si>
    <t>OBS-1017</t>
  </si>
  <si>
    <t>OBS-1019</t>
  </si>
  <si>
    <t>OBS-1027</t>
  </si>
  <si>
    <t>OBS-1045</t>
  </si>
  <si>
    <t>OBS-1006</t>
  </si>
  <si>
    <t>OBS-1004</t>
  </si>
  <si>
    <t>OBS-1005</t>
  </si>
  <si>
    <t>OBS-1015</t>
  </si>
  <si>
    <t>OBS-1029</t>
  </si>
  <si>
    <t>OBS-1037</t>
  </si>
  <si>
    <t>OBS-1047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</si>
  <si>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</si>
  <si>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</si>
  <si>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</si>
  <si>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</si>
  <si>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</si>
  <si>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</si>
  <si>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</si>
  <si>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</si>
  <si>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</si>
  <si>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</si>
  <si>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</si>
  <si>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</si>
  <si>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</si>
  <si>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</si>
  <si>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</si>
  <si>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</si>
  <si>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</si>
  <si>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</si>
  <si>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</si>
  <si>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</si>
  <si>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WPI-1001</t>
  </si>
  <si>
    <t>WPI-1034</t>
  </si>
  <si>
    <t>WPI-1044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</si>
  <si>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</si>
  <si>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</si>
  <si>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</si>
  <si>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</si>
  <si>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</si>
  <si>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</si>
  <si>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</si>
  <si>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</si>
  <si>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</si>
  <si>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</si>
  <si>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</si>
  <si>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</si>
  <si>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</si>
  <si>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</si>
  <si>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</si>
  <si>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</si>
  <si>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</si>
  <si>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</si>
  <si>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</si>
  <si>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</si>
  <si>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</si>
  <si>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</si>
  <si>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</si>
  <si>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</si>
  <si>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</si>
  <si>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WPI-1002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</si>
  <si>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</si>
  <si>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</si>
  <si>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</si>
  <si>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</si>
  <si>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</si>
  <si>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</si>
  <si>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</si>
  <si>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</si>
  <si>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</si>
  <si>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</si>
  <si>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</si>
  <si>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</si>
  <si>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</si>
  <si>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</si>
  <si>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</si>
  <si>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</si>
  <si>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</si>
  <si>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</si>
  <si>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</si>
  <si>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</si>
  <si>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</si>
  <si>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</si>
  <si>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</si>
  <si>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</si>
  <si>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</si>
  <si>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</si>
  <si>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</si>
  <si>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</si>
  <si>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</si>
  <si>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</si>
  <si>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</si>
  <si>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</si>
  <si>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</si>
  <si>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</si>
  <si>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</si>
  <si>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</si>
  <si>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</si>
  <si>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</si>
  <si>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</si>
  <si>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</si>
  <si>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</si>
  <si>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</si>
  <si>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</si>
  <si>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</si>
  <si>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</si>
  <si>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</si>
  <si>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</si>
  <si>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</si>
  <si>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</si>
  <si>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</si>
  <si>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</si>
  <si>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</si>
  <si>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</si>
  <si>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</si>
  <si>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</si>
  <si>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</si>
  <si>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</si>
  <si>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</si>
  <si>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</si>
  <si>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</si>
  <si>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</si>
  <si>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</si>
  <si>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</si>
  <si>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</si>
  <si>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</si>
  <si>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</si>
  <si>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</si>
  <si>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</si>
  <si>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</si>
  <si>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</si>
  <si>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</si>
  <si>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</si>
  <si>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</si>
  <si>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</si>
  <si>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</si>
  <si>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</si>
  <si>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</si>
  <si>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</si>
  <si>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</si>
  <si>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</si>
  <si>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</si>
  <si>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</si>
  <si>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</si>
  <si>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</si>
  <si>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</si>
  <si>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</si>
  <si>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</si>
  <si>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</si>
  <si>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</si>
  <si>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</si>
  <si>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</si>
  <si>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</si>
  <si>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</si>
  <si>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</si>
  <si>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</si>
  <si>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</si>
  <si>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</si>
  <si>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</si>
  <si>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</si>
  <si>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</si>
  <si>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</si>
  <si>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</si>
  <si>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</si>
  <si>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</si>
  <si>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</si>
  <si>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</si>
  <si>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</si>
  <si>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</si>
  <si>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</si>
  <si>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</si>
  <si>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</si>
  <si>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</si>
  <si>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</si>
  <si>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</si>
  <si>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</si>
  <si>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</si>
  <si>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</si>
  <si>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</si>
  <si>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</si>
  <si>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</si>
  <si>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</si>
  <si>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</si>
  <si>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</si>
  <si>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</si>
  <si>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</si>
  <si>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</si>
  <si>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</si>
  <si>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</si>
  <si>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</si>
  <si>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</si>
  <si>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</si>
  <si>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</si>
  <si>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</si>
  <si>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</si>
  <si>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</si>
  <si>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</si>
  <si>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</si>
  <si>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</si>
  <si>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</si>
  <si>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</si>
  <si>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</si>
  <si>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</si>
  <si>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</si>
  <si>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</si>
  <si>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</si>
  <si>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</si>
  <si>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</si>
  <si>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</si>
  <si>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</si>
  <si>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</si>
  <si>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</si>
  <si>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</si>
  <si>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</si>
  <si>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</si>
  <si>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</si>
  <si>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</si>
  <si>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</si>
  <si>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</si>
  <si>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</si>
  <si>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</si>
  <si>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</si>
  <si>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</si>
  <si>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</si>
  <si>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</si>
  <si>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</si>
  <si>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</si>
  <si>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</si>
  <si>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</si>
  <si>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</si>
  <si>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</si>
  <si>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</si>
  <si>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</si>
  <si>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</si>
  <si>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</si>
  <si>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</si>
  <si>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</si>
  <si>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</si>
  <si>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</si>
  <si>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</si>
  <si>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</si>
  <si>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</si>
  <si>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</si>
  <si>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</si>
  <si>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</si>
  <si>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</si>
  <si>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</si>
  <si>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</si>
  <si>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SB-1038</t>
  </si>
  <si>
    <t>SB-1041</t>
  </si>
  <si>
    <t>Safety Alert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</si>
  <si>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</si>
  <si>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</si>
  <si>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</si>
  <si>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</si>
  <si>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</si>
  <si>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</si>
  <si>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</si>
  <si>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</si>
  <si>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</si>
  <si>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</si>
  <si>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</si>
  <si>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</si>
  <si>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</si>
  <si>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</si>
  <si>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</si>
  <si>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</si>
  <si>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</si>
  <si>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</si>
  <si>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</si>
  <si>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</si>
  <si>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</si>
  <si>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</si>
  <si>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</si>
  <si>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</si>
  <si>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</si>
  <si>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</si>
  <si>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</si>
  <si>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</si>
  <si>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</si>
  <si>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</si>
  <si>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</si>
  <si>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</si>
  <si>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</si>
  <si>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</si>
  <si>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</si>
  <si>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</si>
  <si>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</si>
  <si>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</si>
  <si>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</si>
  <si>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</si>
  <si>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</si>
  <si>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</si>
  <si>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</si>
  <si>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</si>
  <si>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</si>
  <si>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</si>
  <si>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</si>
  <si>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</si>
  <si>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</si>
  <si>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</si>
  <si>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</si>
  <si>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</si>
  <si>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</si>
  <si>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</si>
  <si>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</si>
  <si>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</si>
  <si>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</si>
  <si>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</si>
  <si>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</si>
  <si>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</si>
  <si>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</si>
  <si>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</si>
  <si>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</si>
  <si>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</si>
  <si>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</si>
  <si>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</si>
  <si>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</si>
  <si>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</si>
  <si>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</si>
  <si>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</si>
  <si>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</si>
  <si>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</si>
  <si>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</si>
  <si>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</si>
  <si>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</si>
  <si>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</si>
  <si>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</si>
  <si>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</si>
  <si>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</si>
  <si>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</si>
  <si>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</si>
  <si>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</si>
  <si>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</si>
  <si>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</si>
  <si>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</si>
  <si>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</si>
  <si>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</si>
  <si>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</si>
  <si>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</si>
  <si>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</si>
  <si>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</si>
  <si>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</si>
  <si>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</si>
  <si>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</si>
  <si>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</si>
  <si>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</si>
  <si>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</si>
  <si>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</si>
  <si>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</si>
  <si>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</si>
  <si>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</si>
  <si>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</si>
  <si>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</si>
  <si>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</si>
  <si>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</si>
  <si>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</si>
  <si>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</si>
  <si>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</si>
  <si>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</si>
  <si>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</si>
  <si>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</si>
  <si>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</si>
  <si>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</si>
  <si>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</si>
  <si>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</si>
  <si>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</si>
  <si>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</si>
  <si>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</si>
  <si>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</si>
  <si>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</si>
  <si>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</si>
  <si>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</si>
  <si>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</si>
  <si>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</si>
  <si>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</si>
  <si>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</si>
  <si>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</si>
  <si>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</si>
  <si>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</si>
  <si>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</si>
  <si>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</si>
  <si>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</si>
  <si>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</si>
  <si>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</si>
  <si>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</si>
  <si>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</si>
  <si>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</si>
  <si>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</si>
  <si>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</si>
  <si>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</si>
  <si>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</si>
  <si>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</si>
  <si>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</si>
  <si>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</si>
  <si>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</si>
  <si>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</si>
  <si>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</si>
  <si>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</si>
  <si>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</si>
  <si>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</si>
  <si>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</si>
  <si>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</si>
  <si>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</si>
  <si>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</si>
  <si>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</si>
  <si>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</si>
  <si>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</si>
  <si>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</si>
  <si>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</si>
  <si>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</si>
  <si>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</si>
  <si>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</si>
  <si>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</si>
  <si>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</si>
  <si>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</si>
  <si>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</si>
  <si>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</si>
  <si>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</si>
  <si>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</si>
  <si>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</si>
  <si>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</si>
  <si>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</si>
  <si>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</si>
  <si>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</si>
  <si>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</si>
  <si>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</si>
  <si>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</si>
  <si>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</si>
  <si>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</si>
  <si>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</si>
  <si>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</si>
  <si>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</si>
  <si>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</si>
  <si>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</si>
  <si>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</si>
  <si>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</si>
  <si>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</si>
  <si>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</si>
  <si>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</si>
  <si>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</si>
  <si>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</si>
  <si>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</si>
  <si>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</si>
  <si>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</si>
  <si>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</si>
  <si>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</si>
  <si>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</si>
  <si>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</si>
  <si>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</si>
  <si>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</si>
  <si>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</si>
  <si>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</si>
  <si>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</si>
  <si>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</si>
  <si>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</si>
  <si>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</si>
  <si>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</si>
  <si>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</si>
  <si>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</si>
  <si>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</si>
  <si>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</si>
  <si>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</si>
  <si>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</si>
  <si>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</si>
  <si>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</si>
  <si>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</si>
  <si>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</si>
  <si>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</si>
  <si>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</si>
  <si>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</si>
  <si>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</si>
  <si>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</si>
  <si>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</si>
  <si>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</si>
  <si>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</si>
  <si>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</si>
  <si>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</si>
  <si>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</si>
  <si>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</si>
  <si>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</si>
  <si>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</si>
  <si>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</si>
  <si>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</si>
  <si>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</si>
  <si>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</si>
  <si>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</si>
  <si>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</si>
  <si>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</si>
  <si>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</si>
  <si>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</si>
  <si>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</si>
  <si>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</si>
  <si>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</si>
  <si>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</si>
  <si>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</si>
  <si>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</si>
  <si>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</si>
  <si>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</si>
  <si>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</si>
  <si>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</si>
  <si>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</si>
  <si>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</si>
  <si>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</si>
  <si>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</si>
  <si>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</si>
  <si>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</si>
  <si>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</si>
  <si>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</si>
  <si>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</si>
  <si>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</si>
  <si>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</si>
  <si>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</si>
  <si>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</si>
  <si>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</si>
  <si>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</si>
  <si>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</si>
  <si>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</si>
  <si>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</si>
  <si>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</si>
  <si>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</si>
  <si>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</si>
  <si>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</si>
  <si>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</si>
  <si>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</si>
  <si>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</si>
  <si>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</si>
  <si>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</si>
  <si>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</si>
  <si>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</si>
  <si>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</si>
  <si>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</si>
  <si>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</si>
  <si>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</si>
  <si>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</si>
  <si>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</si>
  <si>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</si>
  <si>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</si>
  <si>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</si>
  <si>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</si>
  <si>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</si>
  <si>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</si>
  <si>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</si>
  <si>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</si>
  <si>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</si>
  <si>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</si>
  <si>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</si>
  <si>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</si>
  <si>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</si>
  <si>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</si>
  <si>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</si>
  <si>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</si>
  <si>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</si>
  <si>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</si>
  <si>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</si>
  <si>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</si>
  <si>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</si>
  <si>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</si>
  <si>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</si>
  <si>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</si>
  <si>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</si>
  <si>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</si>
  <si>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</si>
  <si>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</si>
  <si>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</si>
  <si>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</si>
  <si>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</si>
  <si>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</si>
  <si>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</si>
  <si>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</si>
  <si>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</si>
  <si>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</si>
  <si>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</si>
  <si>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</si>
  <si>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</si>
  <si>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</si>
  <si>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</si>
  <si>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</si>
  <si>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</si>
  <si>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</si>
  <si>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</si>
  <si>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</si>
  <si>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</si>
  <si>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</si>
  <si>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</si>
  <si>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</si>
  <si>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</si>
  <si>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</si>
  <si>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</si>
  <si>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</si>
  <si>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</si>
  <si>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</si>
  <si>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</si>
  <si>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</si>
  <si>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</si>
  <si>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</si>
  <si>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</si>
  <si>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</si>
  <si>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</si>
  <si>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DA-1006</t>
  </si>
  <si>
    <t>Permit Violation</t>
  </si>
  <si>
    <t>1st Offense</t>
  </si>
  <si>
    <t>DA-1009</t>
  </si>
  <si>
    <t>DA-1044</t>
  </si>
  <si>
    <t>PPE Violation</t>
  </si>
  <si>
    <t>DA-1004</t>
  </si>
  <si>
    <t>2nd Offense</t>
  </si>
  <si>
    <t>DA-1029</t>
  </si>
  <si>
    <t>Reckless Behavior</t>
  </si>
  <si>
    <t>3rd Offense</t>
  </si>
  <si>
    <t>DA-1002</t>
  </si>
  <si>
    <t>DA-1025</t>
  </si>
  <si>
    <t>DA-1032</t>
  </si>
  <si>
    <t>Safety Rule Breach</t>
  </si>
  <si>
    <t>DA-1010</t>
  </si>
  <si>
    <t>DA-1013</t>
  </si>
  <si>
    <t>Substance Abuse</t>
  </si>
  <si>
    <t>DA-1014</t>
  </si>
  <si>
    <t>DA-1022</t>
  </si>
  <si>
    <t>DA-1034</t>
  </si>
  <si>
    <t>Unauthorized Work</t>
  </si>
  <si>
    <t>DA-1037</t>
  </si>
  <si>
    <t>DA-1041</t>
  </si>
  <si>
    <t>DA-1043</t>
  </si>
  <si>
    <t>DA-1011</t>
  </si>
  <si>
    <t>DA-1012</t>
  </si>
  <si>
    <t>DA-1031</t>
  </si>
  <si>
    <t>DA-1047</t>
  </si>
  <si>
    <t>DA-1017</t>
  </si>
  <si>
    <t>DA-1021</t>
  </si>
  <si>
    <t>DA-1030</t>
  </si>
  <si>
    <t>DA-1003</t>
  </si>
  <si>
    <t>DA-1018</t>
  </si>
  <si>
    <t>DA-1023</t>
  </si>
  <si>
    <t>DA-1039</t>
  </si>
  <si>
    <t>DA-1045</t>
  </si>
  <si>
    <t>DA-1048</t>
  </si>
  <si>
    <t>DA-1019</t>
  </si>
  <si>
    <t>DA-1026</t>
  </si>
  <si>
    <t>DA-1028</t>
  </si>
  <si>
    <t>DA-1035</t>
  </si>
  <si>
    <t>DA-1038</t>
  </si>
  <si>
    <t>DA-1040</t>
  </si>
  <si>
    <t>DA-1001</t>
  </si>
  <si>
    <t>DA-1005</t>
  </si>
  <si>
    <t>DA-1007</t>
  </si>
  <si>
    <t>DA-1008</t>
  </si>
  <si>
    <t>DA-1020</t>
  </si>
  <si>
    <t>DA-1027</t>
  </si>
  <si>
    <t>DA-1042</t>
  </si>
  <si>
    <t>DA-1015</t>
  </si>
  <si>
    <t>DA-1033</t>
  </si>
  <si>
    <t>DA-1036</t>
  </si>
  <si>
    <t>DA-1046</t>
  </si>
  <si>
    <t>DA-1016</t>
  </si>
  <si>
    <t>DA-1024</t>
  </si>
  <si>
    <t>Case No.</t>
  </si>
  <si>
    <t>Violation Type</t>
  </si>
  <si>
    <t>Employee Name</t>
  </si>
  <si>
    <t>Offense Level</t>
  </si>
  <si>
    <t>🏆  SAFETY AWARDS — DATA ENTRY</t>
  </si>
  <si>
    <t>AW-1004</t>
  </si>
  <si>
    <t>Safety Innovation</t>
  </si>
  <si>
    <t>Gift Voucher</t>
  </si>
  <si>
    <t>AW-1021</t>
  </si>
  <si>
    <t>Zero Incident Award</t>
  </si>
  <si>
    <t>Trophy</t>
  </si>
  <si>
    <t>AW-1034</t>
  </si>
  <si>
    <t>Safe Worker of Month</t>
  </si>
  <si>
    <t>Cash Bonus</t>
  </si>
  <si>
    <t>AW-1008</t>
  </si>
  <si>
    <t>HSE Champion</t>
  </si>
  <si>
    <t>Recognition Letter</t>
  </si>
  <si>
    <t>AW-1014</t>
  </si>
  <si>
    <t>AW-1018</t>
  </si>
  <si>
    <t>AW-1024</t>
  </si>
  <si>
    <t>AW-1041</t>
  </si>
  <si>
    <t>Best Department</t>
  </si>
  <si>
    <t>AW-1020</t>
  </si>
  <si>
    <t>AW-1026</t>
  </si>
  <si>
    <t>AW-1028</t>
  </si>
  <si>
    <t>Best Safety Suggestion</t>
  </si>
  <si>
    <t>AW-1001</t>
  </si>
  <si>
    <t>AW-1013</t>
  </si>
  <si>
    <t>Certificate</t>
  </si>
  <si>
    <t>AW-1016</t>
  </si>
  <si>
    <t>AW-1019</t>
  </si>
  <si>
    <t>AW-1022</t>
  </si>
  <si>
    <t>AW-1035</t>
  </si>
  <si>
    <t>AW-1044</t>
  </si>
  <si>
    <t>AW-1003</t>
  </si>
  <si>
    <t>AW-1005</t>
  </si>
  <si>
    <t>AW-1038</t>
  </si>
  <si>
    <t>AW-1042</t>
  </si>
  <si>
    <t>AW-1006</t>
  </si>
  <si>
    <t>AW-1010</t>
  </si>
  <si>
    <t>AW-1017</t>
  </si>
  <si>
    <t>AW-1029</t>
  </si>
  <si>
    <t>AW-1032</t>
  </si>
  <si>
    <t>AW-1047</t>
  </si>
  <si>
    <t>AW-1007</t>
  </si>
  <si>
    <t>AW-1025</t>
  </si>
  <si>
    <t>AW-1027</t>
  </si>
  <si>
    <t>AW-1015</t>
  </si>
  <si>
    <t>AW-1040</t>
  </si>
  <si>
    <t>AW-1045</t>
  </si>
  <si>
    <t>AW-1048</t>
  </si>
  <si>
    <t>AW-1009</t>
  </si>
  <si>
    <t>AW-1039</t>
  </si>
  <si>
    <t>AW-1002</t>
  </si>
  <si>
    <t>AW-1030</t>
  </si>
  <si>
    <t>AW-1031</t>
  </si>
  <si>
    <t>AW-1033</t>
  </si>
  <si>
    <t>AW-1036</t>
  </si>
  <si>
    <t>AW-1037</t>
  </si>
  <si>
    <t>AW-1046</t>
  </si>
  <si>
    <t>AW-1011</t>
  </si>
  <si>
    <t>AW-1012</t>
  </si>
  <si>
    <t>AW-1023</t>
  </si>
  <si>
    <t>AW-1043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</si>
  <si>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</si>
  <si>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</si>
  <si>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</si>
  <si>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</si>
  <si>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</si>
  <si>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</si>
  <si>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SWA-1001</t>
  </si>
  <si>
    <t>Under Investigation</t>
  </si>
  <si>
    <t>SWA-1015</t>
  </si>
  <si>
    <t>Permanent Fix Applied</t>
  </si>
  <si>
    <t>SWA-1024</t>
  </si>
  <si>
    <t>SWA-1029</t>
  </si>
  <si>
    <t>Resolved</t>
  </si>
  <si>
    <t>SWA-1037</t>
  </si>
  <si>
    <t>SWA-1047</t>
  </si>
  <si>
    <t>SWA-1013</t>
  </si>
  <si>
    <t>SWA-1018</t>
  </si>
  <si>
    <t>SWA-1026</t>
  </si>
  <si>
    <t>SWA-1027</t>
  </si>
  <si>
    <t>SWA-1007</t>
  </si>
  <si>
    <t>SWA-1032</t>
  </si>
  <si>
    <t>SWA-1039</t>
  </si>
  <si>
    <t>SWA-1044</t>
  </si>
  <si>
    <t>SWA-1046</t>
  </si>
  <si>
    <t>SWA-1002</t>
  </si>
  <si>
    <t>SWA-1023</t>
  </si>
  <si>
    <t>SWA-1017</t>
  </si>
  <si>
    <t>SWA-1038</t>
  </si>
  <si>
    <t>SWA-1040</t>
  </si>
  <si>
    <t>SWA-1048</t>
  </si>
  <si>
    <t>SWA-1004</t>
  </si>
  <si>
    <t>SWA-1008</t>
  </si>
  <si>
    <t>SWA-1010</t>
  </si>
  <si>
    <t>SWA-1011</t>
  </si>
  <si>
    <t>SWA-1012</t>
  </si>
  <si>
    <t>SWA-1020</t>
  </si>
  <si>
    <t>SWA-1022</t>
  </si>
  <si>
    <t>SWA-1034</t>
  </si>
  <si>
    <t>SWA-1035</t>
  </si>
  <si>
    <t>SWA-1036</t>
  </si>
  <si>
    <t>SWA-1014</t>
  </si>
  <si>
    <t>SWA-1019</t>
  </si>
  <si>
    <t>SWA-1031</t>
  </si>
  <si>
    <t>SWA-1041</t>
  </si>
  <si>
    <t>SWA-1016</t>
  </si>
  <si>
    <t>SWA-1042</t>
  </si>
  <si>
    <t>SWA-1043</t>
  </si>
  <si>
    <t>SWA-1009</t>
  </si>
  <si>
    <t>SWA-1033</t>
  </si>
  <si>
    <t>SWA-1003</t>
  </si>
  <si>
    <t>SWA-1006</t>
  </si>
  <si>
    <t>SWA-1021</t>
  </si>
  <si>
    <t>SWA-1045</t>
  </si>
  <si>
    <t>SWA-1005</t>
  </si>
  <si>
    <t>SWA-1025</t>
  </si>
  <si>
    <t>SWA-1028</t>
  </si>
  <si>
    <t>SWA-1030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</si>
  <si>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</si>
  <si>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</si>
  <si>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</si>
  <si>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</si>
  <si>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</si>
  <si>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</si>
  <si>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</si>
  <si>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</si>
  <si>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</si>
  <si>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</si>
  <si>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Reasonable Suspicion</t>
  </si>
  <si>
    <t>Negative</t>
  </si>
  <si>
    <t>AT-1013</t>
  </si>
  <si>
    <t>Positive</t>
  </si>
  <si>
    <t>AT-1026</t>
  </si>
  <si>
    <t>Random</t>
  </si>
  <si>
    <t>AT-1003</t>
  </si>
  <si>
    <t>AT-1012</t>
  </si>
  <si>
    <t>Post-Incident</t>
  </si>
  <si>
    <t>AT-1014</t>
  </si>
  <si>
    <t>Pre-Shift</t>
  </si>
  <si>
    <t>AT-1040</t>
  </si>
  <si>
    <t>AT-1015</t>
  </si>
  <si>
    <t>AT-1018</t>
  </si>
  <si>
    <t>AT-1020</t>
  </si>
  <si>
    <t>AT-1007</t>
  </si>
  <si>
    <t>AT-1038</t>
  </si>
  <si>
    <t>AT-1044</t>
  </si>
  <si>
    <t>AT-1005</t>
  </si>
  <si>
    <t>AT-1010</t>
  </si>
  <si>
    <t>AT-1025</t>
  </si>
  <si>
    <t>AT-1027</t>
  </si>
  <si>
    <t>AT-1036</t>
  </si>
  <si>
    <t>AT-1039</t>
  </si>
  <si>
    <t>AT-1019</t>
  </si>
  <si>
    <t>AT-1037</t>
  </si>
  <si>
    <t>AT-1001</t>
  </si>
  <si>
    <t>AT-1009</t>
  </si>
  <si>
    <t>AT-1016</t>
  </si>
  <si>
    <t>AT-1030</t>
  </si>
  <si>
    <t>AT-1031</t>
  </si>
  <si>
    <t>AT-1048</t>
  </si>
  <si>
    <t>AT-1017</t>
  </si>
  <si>
    <t>AT-1028</t>
  </si>
  <si>
    <t>AT-1042</t>
  </si>
  <si>
    <t>AT-1008</t>
  </si>
  <si>
    <t>AT-1033</t>
  </si>
  <si>
    <t>AT-1046</t>
  </si>
  <si>
    <t>AT-1006</t>
  </si>
  <si>
    <t>AT-1011</t>
  </si>
  <si>
    <t>AT-1032</t>
  </si>
  <si>
    <t>AT-1034</t>
  </si>
  <si>
    <t>AT-1035</t>
  </si>
  <si>
    <t>AT-1041</t>
  </si>
  <si>
    <t>AT-1004</t>
  </si>
  <si>
    <t>AT-1029</t>
  </si>
  <si>
    <t>AT-1043</t>
  </si>
  <si>
    <t>AT-1045</t>
  </si>
  <si>
    <t>AT-1047</t>
  </si>
  <si>
    <t>AT-1021</t>
  </si>
  <si>
    <t>AT-1022</t>
  </si>
  <si>
    <t>AT-1023</t>
  </si>
  <si>
    <t>AT-1024</t>
  </si>
  <si>
    <t>Test ID</t>
  </si>
  <si>
    <t>Employee Tested</t>
  </si>
  <si>
    <t>Test Type</t>
  </si>
  <si>
    <t>Result</t>
  </si>
  <si>
    <t>Tested By</t>
  </si>
  <si>
    <t>📝  PTW AUDITS — DATA ENTRY</t>
  </si>
  <si>
    <t>PTA-1004</t>
  </si>
  <si>
    <t>Cold Work</t>
  </si>
  <si>
    <t>PTA-1029</t>
  </si>
  <si>
    <t>Lifting</t>
  </si>
  <si>
    <t>PTA-1044</t>
  </si>
  <si>
    <t>PTA-1026</t>
  </si>
  <si>
    <t>PTA-1031</t>
  </si>
  <si>
    <t>PTA-1048</t>
  </si>
  <si>
    <t>PTA-1019</t>
  </si>
  <si>
    <t>PTA-1034</t>
  </si>
  <si>
    <t>PTA-1001</t>
  </si>
  <si>
    <t>PTA-1002</t>
  </si>
  <si>
    <t>Working at Height</t>
  </si>
  <si>
    <t>PTA-1008</t>
  </si>
  <si>
    <t>PTA-1009</t>
  </si>
  <si>
    <t>PTA-1012</t>
  </si>
  <si>
    <t>PTA-1018</t>
  </si>
  <si>
    <t>PTA-1032</t>
  </si>
  <si>
    <t>Electrical</t>
  </si>
  <si>
    <t>PTA-1045</t>
  </si>
  <si>
    <t>PTA-1013</t>
  </si>
  <si>
    <t>Excavation</t>
  </si>
  <si>
    <t>PTA-1021</t>
  </si>
  <si>
    <t>PTA-1023</t>
  </si>
  <si>
    <t>PTA-1024</t>
  </si>
  <si>
    <t>PTA-1036</t>
  </si>
  <si>
    <t>PTA-1047</t>
  </si>
  <si>
    <t>PTA-1014</t>
  </si>
  <si>
    <t>PTA-1028</t>
  </si>
  <si>
    <t>PTA-1030</t>
  </si>
  <si>
    <t>PTA-1039</t>
  </si>
  <si>
    <t>PTA-1006</t>
  </si>
  <si>
    <t>PTA-1016</t>
  </si>
  <si>
    <t>PTA-1020</t>
  </si>
  <si>
    <t>PTA-1037</t>
  </si>
  <si>
    <t>PTA-1007</t>
  </si>
  <si>
    <t>PTA-1027</t>
  </si>
  <si>
    <t>PTA-1046</t>
  </si>
  <si>
    <t>PTA-1042</t>
  </si>
  <si>
    <t>PTA-1043</t>
  </si>
  <si>
    <t>PTA-1010</t>
  </si>
  <si>
    <t>PTA-1011</t>
  </si>
  <si>
    <t>PTA-1025</t>
  </si>
  <si>
    <t>PTA-1038</t>
  </si>
  <si>
    <t>PTA-1040</t>
  </si>
  <si>
    <t>PTA-1041</t>
  </si>
  <si>
    <t>PTA-1017</t>
  </si>
  <si>
    <t>PTA-1022</t>
  </si>
  <si>
    <t>PTA-1003</t>
  </si>
  <si>
    <t>PTA-1005</t>
  </si>
  <si>
    <t>PTA-1015</t>
  </si>
  <si>
    <t>PTA-1033</t>
  </si>
  <si>
    <t>PTA-1035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</si>
  <si>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</si>
  <si>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</si>
  <si>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</si>
  <si>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</si>
  <si>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</si>
  <si>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</si>
  <si>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</si>
  <si>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</si>
  <si>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CA-1013</t>
  </si>
  <si>
    <t>Observation</t>
  </si>
  <si>
    <t>CA-1015</t>
  </si>
  <si>
    <t>Drill Finding</t>
  </si>
  <si>
    <t>CA-1024</t>
  </si>
  <si>
    <t>Management Review</t>
  </si>
  <si>
    <t>CA-1030</t>
  </si>
  <si>
    <t>Audit Finding</t>
  </si>
  <si>
    <t>CA-1035</t>
  </si>
  <si>
    <t>Inspection Finding</t>
  </si>
  <si>
    <t>CA-1020</t>
  </si>
  <si>
    <t>CA-1039</t>
  </si>
  <si>
    <t>Incident Follow-up</t>
  </si>
  <si>
    <t>CA-1003</t>
  </si>
  <si>
    <t>CA-1012</t>
  </si>
  <si>
    <t>CA-1034</t>
  </si>
  <si>
    <t>CA-1038</t>
  </si>
  <si>
    <t>CA-1041</t>
  </si>
  <si>
    <t>CA-1042</t>
  </si>
  <si>
    <t>CA-1007</t>
  </si>
  <si>
    <t>CA-1011</t>
  </si>
  <si>
    <t>CA-1018</t>
  </si>
  <si>
    <t>CA-1044</t>
  </si>
  <si>
    <t>CA-1004</t>
  </si>
  <si>
    <t>CA-1005</t>
  </si>
  <si>
    <t>CA-1010</t>
  </si>
  <si>
    <t>CA-1021</t>
  </si>
  <si>
    <t>CA-1048</t>
  </si>
  <si>
    <t>CA-1002</t>
  </si>
  <si>
    <t>CA-1025</t>
  </si>
  <si>
    <t>CA-1027</t>
  </si>
  <si>
    <t>CA-1040</t>
  </si>
  <si>
    <t>CA-1006</t>
  </si>
  <si>
    <t>CA-1009</t>
  </si>
  <si>
    <t>CA-1022</t>
  </si>
  <si>
    <t>CA-1036</t>
  </si>
  <si>
    <t>CA-1047</t>
  </si>
  <si>
    <t>CA-1001</t>
  </si>
  <si>
    <t>CA-1043</t>
  </si>
  <si>
    <t>CA-1008</t>
  </si>
  <si>
    <t>CA-1014</t>
  </si>
  <si>
    <t>CA-1023</t>
  </si>
  <si>
    <t>CA-1026</t>
  </si>
  <si>
    <t>CA-1033</t>
  </si>
  <si>
    <t>CA-1031</t>
  </si>
  <si>
    <t>CA-1032</t>
  </si>
  <si>
    <t>CA-1037</t>
  </si>
  <si>
    <t>CA-1045</t>
  </si>
  <si>
    <t>CA-1017</t>
  </si>
  <si>
    <t>CA-1029</t>
  </si>
  <si>
    <t>CA-1016</t>
  </si>
  <si>
    <t>CA-1019</t>
  </si>
  <si>
    <t>CA-1028</t>
  </si>
  <si>
    <t>CA-1046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</si>
  <si>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</si>
  <si>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</si>
  <si>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</si>
  <si>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</si>
  <si>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</si>
  <si>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</si>
  <si>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</si>
  <si>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</si>
  <si>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NC-1022</t>
  </si>
  <si>
    <t>NC-1039</t>
  </si>
  <si>
    <t>NC-1041</t>
  </si>
  <si>
    <t>PPE Not Used</t>
  </si>
  <si>
    <t>NC-1003</t>
  </si>
  <si>
    <t>Poor Housekeeping</t>
  </si>
  <si>
    <t>NC-1007</t>
  </si>
  <si>
    <t>NC-1014</t>
  </si>
  <si>
    <t>Inadequate Procedure</t>
  </si>
  <si>
    <t>NC-1029</t>
  </si>
  <si>
    <t>NC-1027</t>
  </si>
  <si>
    <t>Human Error</t>
  </si>
  <si>
    <t>NC-1030</t>
  </si>
  <si>
    <t>NC-1043</t>
  </si>
  <si>
    <t>NC-1005</t>
  </si>
  <si>
    <t>NC-1012</t>
  </si>
  <si>
    <t>NC-1018</t>
  </si>
  <si>
    <t>NC-1020</t>
  </si>
  <si>
    <t>NC-1034</t>
  </si>
  <si>
    <t>NC-1038</t>
  </si>
  <si>
    <t>NC-1046</t>
  </si>
  <si>
    <t>NC-1011</t>
  </si>
  <si>
    <t>NC-1031</t>
  </si>
  <si>
    <t>Equipment Failure</t>
  </si>
  <si>
    <t>NC-1004</t>
  </si>
  <si>
    <t>NC-1010</t>
  </si>
  <si>
    <t>NC-1019</t>
  </si>
  <si>
    <t>NC-1036</t>
  </si>
  <si>
    <t>NC-1040</t>
  </si>
  <si>
    <t>NC-1017</t>
  </si>
  <si>
    <t>Lack of Training</t>
  </si>
  <si>
    <t>NC-1026</t>
  </si>
  <si>
    <t>NC-1047</t>
  </si>
  <si>
    <t>NC-1048</t>
  </si>
  <si>
    <t>NC-1002</t>
  </si>
  <si>
    <t>NC-1013</t>
  </si>
  <si>
    <t>NC-1016</t>
  </si>
  <si>
    <t>NC-1035</t>
  </si>
  <si>
    <t>NC-1042</t>
  </si>
  <si>
    <t>NC-1008</t>
  </si>
  <si>
    <t>NC-1023</t>
  </si>
  <si>
    <t>NC-1033</t>
  </si>
  <si>
    <t>NC-1037</t>
  </si>
  <si>
    <t>NC-1045</t>
  </si>
  <si>
    <t>NC-1006</t>
  </si>
  <si>
    <t>NC-1021</t>
  </si>
  <si>
    <t>NC-1024</t>
  </si>
  <si>
    <t>NC-1032</t>
  </si>
  <si>
    <t>NC-1009</t>
  </si>
  <si>
    <t>NC-1015</t>
  </si>
  <si>
    <t>NC-1044</t>
  </si>
  <si>
    <t>NC-1001</t>
  </si>
  <si>
    <t>NC-1025</t>
  </si>
  <si>
    <t>NC-1028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</si>
  <si>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</si>
  <si>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</si>
  <si>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</si>
  <si>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</si>
  <si>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</si>
  <si>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</si>
  <si>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UA-1007</t>
  </si>
  <si>
    <t>UA-1011</t>
  </si>
  <si>
    <t>UA-1014</t>
  </si>
  <si>
    <t>UA-1017</t>
  </si>
  <si>
    <t>UA-1028</t>
  </si>
  <si>
    <t>UA-1035</t>
  </si>
  <si>
    <t>UA-1038</t>
  </si>
  <si>
    <t>UA-1001</t>
  </si>
  <si>
    <t>UA-1006</t>
  </si>
  <si>
    <t>UA-1022</t>
  </si>
  <si>
    <t>UA-1027</t>
  </si>
  <si>
    <t>UA-1048</t>
  </si>
  <si>
    <t>UA-1016</t>
  </si>
  <si>
    <t>UA-1019</t>
  </si>
  <si>
    <t>UA-1002</t>
  </si>
  <si>
    <t>UA-1009</t>
  </si>
  <si>
    <t>UA-1013</t>
  </si>
  <si>
    <t>UA-1020</t>
  </si>
  <si>
    <t>UA-1024</t>
  </si>
  <si>
    <t>UA-1025</t>
  </si>
  <si>
    <t>UA-1032</t>
  </si>
  <si>
    <t>UA-1039</t>
  </si>
  <si>
    <t>UA-1041</t>
  </si>
  <si>
    <t>UA-1045</t>
  </si>
  <si>
    <t>UA-1003</t>
  </si>
  <si>
    <t>UA-1005</t>
  </si>
  <si>
    <t>UA-1026</t>
  </si>
  <si>
    <t>UA-1030</t>
  </si>
  <si>
    <t>UA-1031</t>
  </si>
  <si>
    <t>UA-1037</t>
  </si>
  <si>
    <t>UA-1040</t>
  </si>
  <si>
    <t>UA-1008</t>
  </si>
  <si>
    <t>UA-1021</t>
  </si>
  <si>
    <t>UA-1036</t>
  </si>
  <si>
    <t>UA-1046</t>
  </si>
  <si>
    <t>UA-1047</t>
  </si>
  <si>
    <t>UA-1015</t>
  </si>
  <si>
    <t>UA-1029</t>
  </si>
  <si>
    <t>UA-1044</t>
  </si>
  <si>
    <t>UA-1010</t>
  </si>
  <si>
    <t>UA-1012</t>
  </si>
  <si>
    <t>UA-1023</t>
  </si>
  <si>
    <t>UA-1004</t>
  </si>
  <si>
    <t>UA-1018</t>
  </si>
  <si>
    <t>UA-1043</t>
  </si>
  <si>
    <t>UA-1033</t>
  </si>
  <si>
    <t>UA-1034</t>
  </si>
  <si>
    <t>UA-1042</t>
  </si>
  <si>
    <t>Report No.</t>
  </si>
  <si>
    <t>Reported By</t>
  </si>
  <si>
    <t>Immediate Action</t>
  </si>
  <si>
    <t>⛔  UNSAFE CONDITIONS — DATA ENTRY</t>
  </si>
  <si>
    <t>UC-1039</t>
  </si>
  <si>
    <t>UC-1044</t>
  </si>
  <si>
    <t>UC-1004</t>
  </si>
  <si>
    <t>UC-1045</t>
  </si>
  <si>
    <t>UC-1047</t>
  </si>
  <si>
    <t>UC-1011</t>
  </si>
  <si>
    <t>UC-1033</t>
  </si>
  <si>
    <t>UC-1041</t>
  </si>
  <si>
    <t>UC-1006</t>
  </si>
  <si>
    <t>UC-1008</t>
  </si>
  <si>
    <t>UC-1010</t>
  </si>
  <si>
    <t>UC-1022</t>
  </si>
  <si>
    <t>UC-1040</t>
  </si>
  <si>
    <t>UC-1034</t>
  </si>
  <si>
    <t>UC-1005</t>
  </si>
  <si>
    <t>UC-1009</t>
  </si>
  <si>
    <t>UC-1027</t>
  </si>
  <si>
    <t>UC-1038</t>
  </si>
  <si>
    <t>UC-1012</t>
  </si>
  <si>
    <t>UC-1013</t>
  </si>
  <si>
    <t>UC-1014</t>
  </si>
  <si>
    <t>UC-1023</t>
  </si>
  <si>
    <t>UC-1024</t>
  </si>
  <si>
    <t>UC-1025</t>
  </si>
  <si>
    <t>UC-1046</t>
  </si>
  <si>
    <t>UC-1018</t>
  </si>
  <si>
    <t>UC-1019</t>
  </si>
  <si>
    <t>UC-1026</t>
  </si>
  <si>
    <t>UC-1028</t>
  </si>
  <si>
    <t>UC-1031</t>
  </si>
  <si>
    <t>UC-1037</t>
  </si>
  <si>
    <t>UC-1042</t>
  </si>
  <si>
    <t>UC-1043</t>
  </si>
  <si>
    <t>UC-1001</t>
  </si>
  <si>
    <t>UC-1007</t>
  </si>
  <si>
    <t>UC-1020</t>
  </si>
  <si>
    <t>UC-1021</t>
  </si>
  <si>
    <t>UC-1048</t>
  </si>
  <si>
    <t>UC-1003</t>
  </si>
  <si>
    <t>UC-1015</t>
  </si>
  <si>
    <t>UC-1029</t>
  </si>
  <si>
    <t>UC-1030</t>
  </si>
  <si>
    <t>UC-1032</t>
  </si>
  <si>
    <t>UC-1035</t>
  </si>
  <si>
    <t>UC-1016</t>
  </si>
  <si>
    <t>UC-1036</t>
  </si>
  <si>
    <t>UC-1002</t>
  </si>
  <si>
    <t>UC-1017</t>
  </si>
  <si>
    <t>🔥  INCIDENT — DATA ENTRY</t>
  </si>
  <si>
    <t>INC-1004</t>
  </si>
  <si>
    <t>W4</t>
  </si>
  <si>
    <t>Q1</t>
  </si>
  <si>
    <t>FY2026-2027</t>
  </si>
  <si>
    <t>PET Line</t>
  </si>
  <si>
    <t>Shift C</t>
  </si>
  <si>
    <t>Vehicle</t>
  </si>
  <si>
    <t>Near Miss</t>
  </si>
  <si>
    <t>Employee</t>
  </si>
  <si>
    <t>Multiple</t>
  </si>
  <si>
    <t>INC-1024</t>
  </si>
  <si>
    <t>W1</t>
  </si>
  <si>
    <t>Line 3</t>
  </si>
  <si>
    <t>Environmental</t>
  </si>
  <si>
    <t>Visitor</t>
  </si>
  <si>
    <t>Foot/Leg</t>
  </si>
  <si>
    <t>INC-1025</t>
  </si>
  <si>
    <t>W3</t>
  </si>
  <si>
    <t>Line 4</t>
  </si>
  <si>
    <t>Injury/Illness</t>
  </si>
  <si>
    <t>First Aid</t>
  </si>
  <si>
    <t>Third Party</t>
  </si>
  <si>
    <t>INC-1010</t>
  </si>
  <si>
    <t>INC-1012</t>
  </si>
  <si>
    <t>Can Line</t>
  </si>
  <si>
    <t>Fire</t>
  </si>
  <si>
    <t>Torso</t>
  </si>
  <si>
    <t>INC-1014</t>
  </si>
  <si>
    <t>Property Damage</t>
  </si>
  <si>
    <t>INC-1018</t>
  </si>
  <si>
    <t>INC-1044</t>
  </si>
  <si>
    <t>W2</t>
  </si>
  <si>
    <t>Line 1</t>
  </si>
  <si>
    <t>Shift B</t>
  </si>
  <si>
    <t>Hand/Finger</t>
  </si>
  <si>
    <t>INC-1007</t>
  </si>
  <si>
    <t>Arm</t>
  </si>
  <si>
    <t>INC-1026</t>
  </si>
  <si>
    <t>INC-1031</t>
  </si>
  <si>
    <t>INC-1021</t>
  </si>
  <si>
    <t>Q2</t>
  </si>
  <si>
    <t>Shift A</t>
  </si>
  <si>
    <t>INC-1028</t>
  </si>
  <si>
    <t>Medical Treatment</t>
  </si>
  <si>
    <t>INC-1040</t>
  </si>
  <si>
    <t>INC-1043</t>
  </si>
  <si>
    <t>Back</t>
  </si>
  <si>
    <t>INC-1008</t>
  </si>
  <si>
    <t>Restricted Work</t>
  </si>
  <si>
    <t>INC-1013</t>
  </si>
  <si>
    <t>Eye</t>
  </si>
  <si>
    <t>INC-1022</t>
  </si>
  <si>
    <t>INC-1030</t>
  </si>
  <si>
    <t>Line 2</t>
  </si>
  <si>
    <t>INC-1034</t>
  </si>
  <si>
    <t>INC-1036</t>
  </si>
  <si>
    <t>Fatality</t>
  </si>
  <si>
    <t>INC-1037</t>
  </si>
  <si>
    <t>INC-1039</t>
  </si>
  <si>
    <t>INC-1041</t>
  </si>
  <si>
    <t>INC-1045</t>
  </si>
  <si>
    <t>INC-1046</t>
  </si>
  <si>
    <t>INC-1003</t>
  </si>
  <si>
    <t>INC-1019</t>
  </si>
  <si>
    <t>INC-1027</t>
  </si>
  <si>
    <t>INC-1009</t>
  </si>
  <si>
    <t>Q3</t>
  </si>
  <si>
    <t>INC-1047</t>
  </si>
  <si>
    <t>INC-1006</t>
  </si>
  <si>
    <t>INC-1011</t>
  </si>
  <si>
    <t>INC-1038</t>
  </si>
  <si>
    <t>INC-1042</t>
  </si>
  <si>
    <t>INC-1001</t>
  </si>
  <si>
    <t>INC-1005</t>
  </si>
  <si>
    <t>Head</t>
  </si>
  <si>
    <t>INC-1029</t>
  </si>
  <si>
    <t>INC-1032</t>
  </si>
  <si>
    <t>INC-1017</t>
  </si>
  <si>
    <t>Q4</t>
  </si>
  <si>
    <t>INC-1002</t>
  </si>
  <si>
    <t>INC-1015</t>
  </si>
  <si>
    <t>INC-1016</t>
  </si>
  <si>
    <t>INC-1020</t>
  </si>
  <si>
    <t>INC-1033</t>
  </si>
  <si>
    <t>INC-1035</t>
  </si>
  <si>
    <t>INC-1023</t>
  </si>
  <si>
    <t>Lost Time Injury</t>
  </si>
  <si>
    <t>INC-1048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</si>
  <si>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</si>
  <si>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</si>
  <si>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</si>
  <si>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</si>
  <si>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</si>
  <si>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</si>
  <si>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</si>
  <si>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</si>
  <si>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</si>
  <si>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</si>
  <si>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</si>
  <si>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</si>
  <si>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</si>
  <si>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</si>
  <si>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</si>
  <si>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</si>
  <si>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</si>
  <si>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</si>
  <si>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</si>
  <si>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</si>
  <si>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</si>
  <si>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</si>
  <si>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</si>
  <si>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</si>
  <si>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</si>
  <si>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</si>
  <si>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</si>
  <si>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</si>
  <si>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</si>
  <si>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</si>
  <si>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</si>
  <si>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</si>
  <si>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</si>
  <si>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</si>
  <si>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</si>
  <si>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</si>
  <si>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</si>
  <si>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Total Man-Hours Worked (annual)</t>
  </si>
  <si>
    <t>Avg employees × hours worked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</si>
  <si>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</si>
  <si>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</si>
  <si>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</si>
  <si>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</si>
  <si>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</si>
  <si>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</si>
  <si>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</si>
  <si>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</si>
  <si>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</si>
  <si>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TRIR Target (max acceptable)</t>
  </si>
  <si>
    <t>Green if actual ≤ target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</si>
  <si>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</si>
  <si>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</si>
  <si>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</si>
  <si>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</si>
  <si>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</si>
  <si>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</si>
  <si>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</si>
  <si>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</si>
  <si>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</si>
  <si>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</si>
  <si>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</si>
  <si>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</si>
  <si>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</si>
  <si>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</si>
  <si>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</si>
  <si>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</si>
  <si>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</si>
  <si>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</si>
  <si>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</si>
  <si>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</si>
  <si>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</si>
  <si>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</si>
  <si>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</si>
  <si>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</si>
  <si>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</si>
  <si>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</si>
  <si>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</si>
  <si>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</si>
  <si>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</si>
  <si>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</si>
  <si>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</si>
  <si>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</si>
  <si>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</si>
  <si>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</si>
  <si>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</si>
  <si>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</si>
  <si>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</si>
  <si>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</si>
  <si>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</si>
  <si>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</si>
  <si>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</si>
  <si>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</si>
  <si>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</si>
  <si>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</si>
  <si>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</si>
  <si>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</si>
  <si>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</si>
  <si>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</si>
  <si>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</si>
  <si>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</si>
  <si>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</si>
  <si>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</si>
  <si>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</si>
  <si>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</si>
  <si>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</si>
  <si>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</si>
  <si>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</si>
  <si>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</si>
  <si>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</si>
  <si>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</si>
  <si>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</si>
  <si>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</si>
  <si>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</si>
  <si>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</si>
  <si>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</si>
  <si>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</si>
  <si>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</si>
  <si>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</si>
  <si>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</si>
  <si>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</si>
  <si>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</si>
  <si>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Trainings</t>
  </si>
  <si>
    <t>Leading</t>
  </si>
  <si>
    <t>Training Compliance</t>
  </si>
  <si>
    <t>HSE Observations</t>
  </si>
  <si>
    <t>Obs Closure</t>
  </si>
  <si>
    <t>Toolbox Talks</t>
  </si>
  <si>
    <t>Inspections</t>
  </si>
  <si>
    <t>Audits</t>
  </si>
  <si>
    <t>PTW Compliance</t>
  </si>
  <si>
    <t>Emergency Drills</t>
  </si>
  <si>
    <t>CA Closure</t>
  </si>
  <si>
    <t>Gauge helpers</t>
  </si>
  <si>
    <t>Training</t>
  </si>
  <si>
    <t>PTW Audit</t>
  </si>
  <si>
    <t>Incident Pyramid (period)</t>
  </si>
  <si>
    <t>Count</t>
  </si>
  <si>
    <t>At-Risk Obs</t>
  </si>
  <si>
    <t>Leading Activity</t>
  </si>
  <si>
    <t>Toolbox</t>
  </si>
  <si>
    <t>Drills</t>
  </si>
  <si>
    <t>PTW Audits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</si>
  <si>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</si>
  <si>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</si>
  <si>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</si>
  <si>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</si>
  <si>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</si>
  <si>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</si>
  <si>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</si>
  <si>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</si>
  <si>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</si>
  <si>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</si>
  <si>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▸ Toolbox Talks</t>
  </si>
  <si>
    <t>Value</t>
  </si>
  <si>
    <t>Total Records</t>
  </si>
  <si>
    <t>Avg Attendance %</t>
  </si>
  <si>
    <t>▸ JSA Risk Assessment</t>
  </si>
  <si>
    <t>Closed / Completed %</t>
  </si>
  <si>
    <t>Open / Pending</t>
  </si>
  <si>
    <t>▸ Training</t>
  </si>
  <si>
    <t>▸ HSE Observations</t>
  </si>
  <si>
    <t>▸ Workplace Inspections</t>
  </si>
  <si>
    <t>Total Non-Conformances</t>
  </si>
  <si>
    <t>▸ Equipment Inspections</t>
  </si>
  <si>
    <t>▸ Safety Walkthroughs</t>
  </si>
  <si>
    <t>▸ Safety Meetings</t>
  </si>
  <si>
    <t>▸ Safety Bulletins</t>
  </si>
  <si>
    <t>Avg Reach %</t>
  </si>
  <si>
    <t>▸ Emergency Drills</t>
  </si>
  <si>
    <t>Avg Participation %</t>
  </si>
  <si>
    <t>▸ Internal Audits</t>
  </si>
  <si>
    <t>Total NCs</t>
  </si>
  <si>
    <t>▸ External Audits</t>
  </si>
  <si>
    <t>▸ Management Visits</t>
  </si>
  <si>
    <t>Avg Close-out %</t>
  </si>
  <si>
    <t>▸ Management Reviews</t>
  </si>
  <si>
    <t>▸ Disciplinary Actions</t>
  </si>
  <si>
    <t>▸ Safety Awards</t>
  </si>
  <si>
    <t>▸ Stop Work Authority</t>
  </si>
  <si>
    <t>▸ Alcohol Tests</t>
  </si>
  <si>
    <t>▸ PTW Audits</t>
  </si>
  <si>
    <t>Avg Compliance %</t>
  </si>
  <si>
    <t>▸ Corrective Actions</t>
  </si>
  <si>
    <t>▸ NC Management</t>
  </si>
  <si>
    <t>▸ Unsafe Acts</t>
  </si>
  <si>
    <t>▸ Unsafe Conditions</t>
  </si>
  <si>
    <t>▸ Incident</t>
  </si>
  <si>
    <t>Total Lost Days</t>
  </si>
  <si>
    <t>RCPL INTEGRATED EHS MANAGEMENT SYSTEM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</si>
  <si>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</si>
  <si>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</si>
  <si>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</si>
  <si>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</si>
  <si>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</si>
  <si>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REGISTER DASHBOARDS  (click to open)</t>
  </si>
  <si>
    <t>🗣️  Toolbox Talks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</si>
  <si>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</si>
  <si>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</si>
  <si>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</si>
  <si>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</si>
  <si>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</si>
  <si>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</si>
  <si>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</si>
  <si>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</si>
  <si>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</si>
  <si>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</si>
  <si>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</si>
  <si>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</si>
  <si>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</si>
  <si>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</si>
  <si>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</si>
  <si>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</si>
  <si>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</si>
  <si>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</si>
  <si>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</si>
  <si>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</si>
  <si>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</si>
  <si>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</si>
  <si>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</si>
  <si>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</si>
  <si>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</si>
  <si>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</si>
  <si>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</si>
  <si>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</si>
  <si>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</si>
  <si>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Corrective Actions</t>
  </si>
  <si>
    <t>Fully dynamic: every KPI, chart and RAG status recalculates automatically from the 24 registers. Set your man-hours &amp; targets on the Settings sheet, filter by Month/Department on the Executive Dashboard, add rows to any register and click ⟳ Refresh — no manual updates required.</t>
  </si>
  <si>
    <t>🏆  EXECUTIVE EHS DASHBOARD</t>
  </si>
  <si>
    <t>Corporate leading &amp; lagging indicators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</si>
  <si>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</si>
  <si>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</si>
  <si>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</si>
  <si>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</si>
  <si>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</si>
  <si>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Period</t>
  </si>
  <si>
    <t>Register Month</t>
  </si>
  <si>
    <t>Month = Jan…Dec vs previous month · Quarter Q1…Q4 vs previous quarter. Man-hours &amp; targets: Settings.</t>
  </si>
  <si>
    <t>🟥  LAGGING INDICATORS  —  reactive outcomes (lower is better)</t>
  </si>
  <si>
    <t>TOTAL INCIDENTS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</si>
  <si>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</si>
  <si>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</si>
  <si>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</si>
  <si>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</si>
  <si>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</si>
  <si>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</si>
  <si>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</si>
  <si>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🟩  LEADING INDICATORS  —  proactive activity &amp; prevention (higher is better)</t>
  </si>
  <si>
    <t>TRAININGS</t>
  </si>
  <si>
    <t>TRAINING COMPLIANCE</t>
  </si>
  <si>
    <t>HSE OBSERVATIONS</t>
  </si>
  <si>
    <t>OBS CLOSURE</t>
  </si>
  <si>
    <t>TOOLBOX TALKS</t>
  </si>
  <si>
    <t>INSPECTIONS</t>
  </si>
  <si>
    <t>AUDITS</t>
  </si>
  <si>
    <t>PTW COMPLIANCE</t>
  </si>
  <si>
    <t>EMERGENCY DRILLS</t>
  </si>
  <si>
    <t>CA CLOSURE</t>
  </si>
  <si>
    <t>LEADING vs LAGGING  ·  incident profile</t>
  </si>
  <si>
    <t>TRENDS &amp; COMPLIANCE</t>
  </si>
  <si>
    <t>RAG COMPLIANCE SCORECARD</t>
  </si>
  <si>
    <t>Metric</t>
  </si>
  <si>
    <t>Actual</t>
  </si>
  <si>
    <t>Target</t>
  </si>
  <si>
    <t>🧭  EXECUTIVE LEADERSHIP REVIEW</t>
  </si>
  <si>
    <t>Monthly corporate safety scorecard  ·  prepared for Plant Head</t>
  </si>
  <si>
    <t>CORPORATE SAFETY SCORECARD</t>
  </si>
  <si>
    <t>live · auto-calculated</t>
  </si>
  <si>
    <t>OBS CLOSURE %</t>
  </si>
  <si>
    <t>TRAINING %</t>
  </si>
  <si>
    <t>CA CLOSURE %</t>
  </si>
  <si>
    <t>INCIDENT PROFILE &amp; LEADING ACTIVITY</t>
  </si>
  <si>
    <t>🗣️  TOOLBOX TALKS DASHBOARD</t>
  </si>
  <si>
    <t>Live from the Toolbox Talks register  ·  filtered by Month &amp; Department</t>
  </si>
  <si>
    <t>◀ Register</t>
  </si>
  <si>
    <t>KEY METRICS</t>
  </si>
  <si>
    <t>TOTAL RECORDS</t>
  </si>
  <si>
    <t>AVG ATTENDANCE %</t>
  </si>
  <si>
    <t>ANALYTICS</t>
  </si>
  <si>
    <t>⚠️  JSA RISK ASSESSMENT DASHBOARD</t>
  </si>
  <si>
    <t>Live from the JSA Risk Assessment register  ·  filtered by Month &amp; Department</t>
  </si>
  <si>
    <t>CLOSED / COMPLETED %</t>
  </si>
  <si>
    <t>OPEN / PENDING</t>
  </si>
  <si>
    <t>🎓  TRAINING DASHBOARD</t>
  </si>
  <si>
    <t>Live from the Training register  ·  filtered by Month &amp; Department</t>
  </si>
  <si>
    <t>👁️  HSE OBSERVATIONS DASHBOARD</t>
  </si>
  <si>
    <t>Live from the HSE Observations register  ·  filtered by Month &amp; Department</t>
  </si>
  <si>
    <t>🔍  WORKPLACE INSPECTIONS DASHBOARD</t>
  </si>
  <si>
    <t>Live from the Workplace Inspections register  ·  filtered by Month &amp; Department</t>
  </si>
  <si>
    <t>TOTAL NON-CONFORMANCES</t>
  </si>
  <si>
    <t>🛠️  EQUIPMENT INSPECTIONS DASHBOARD</t>
  </si>
  <si>
    <t>Live from the Equipment Inspections register  ·  filtered by Month &amp; Department</t>
  </si>
  <si>
    <t>🚶  SAFETY WALKTHROUGHS DASHBOARD</t>
  </si>
  <si>
    <t>Live from the Safety Walkthroughs register  ·  filtered by Month &amp; Department</t>
  </si>
  <si>
    <t>👥  SAFETY MEETINGS DASHBOARD</t>
  </si>
  <si>
    <t>Live from the Safety Meetings register  ·  filtered by Month &amp; Department</t>
  </si>
  <si>
    <t>📢  SAFETY BULLETINS DASHBOARD</t>
  </si>
  <si>
    <t>Live from the Safety Bulletins register  ·  filtered by Month &amp; Department</t>
  </si>
  <si>
    <t>AVG REACH %</t>
  </si>
  <si>
    <t>🚨  EMERGENCY DRILLS DASHBOARD</t>
  </si>
  <si>
    <t>Live from the Emergency Drills register  ·  filtered by Month &amp; Department</t>
  </si>
  <si>
    <t>AVG PARTICIPATION %</t>
  </si>
  <si>
    <t>📋  INTERNAL AUDITS DASHBOARD</t>
  </si>
  <si>
    <t>Live from the Internal Audits register  ·  filtered by Month &amp; Department</t>
  </si>
  <si>
    <t>TOTAL NCS</t>
  </si>
  <si>
    <t>🏛️  EXTERNAL AUDITS DASHBOARD</t>
  </si>
  <si>
    <t>Live from the External Audits register  ·  filtered by Month &amp; Department</t>
  </si>
  <si>
    <t>🤝  MANAGEMENT VISITS DASHBOARD</t>
  </si>
  <si>
    <t>Live from the Management Visits register  ·  filtered by Month &amp; Department</t>
  </si>
  <si>
    <t>AVG CLOSE-OUT %</t>
  </si>
  <si>
    <t>🧭  MANAGEMENT REVIEWS DASHBOARD</t>
  </si>
  <si>
    <t>Live from the Management Reviews register  ·  filtered by Month &amp; Department</t>
  </si>
  <si>
    <t>⚖️  DISCIPLINARY ACTIONS DASHBOARD</t>
  </si>
  <si>
    <t>Live from the Disciplinary Actions register  ·  filtered by Month &amp; Department</t>
  </si>
  <si>
    <t>🏆  SAFETY AWARDS DASHBOARD</t>
  </si>
  <si>
    <t>Live from the Safety Awards register  ·  filtered by Month &amp; Department</t>
  </si>
  <si>
    <t>✋  STOP WORK AUTHORITY DASHBOARD</t>
  </si>
  <si>
    <t>Live from the Stop Work Authority register  ·  filtered by Month &amp; Department</t>
  </si>
  <si>
    <t>🧪  ALCOHOL TESTS DASHBOARD</t>
  </si>
  <si>
    <t>Live from the Alcohol Tests register  ·  filtered by Month &amp; Department</t>
  </si>
  <si>
    <t>📝  PTW AUDITS DASHBOARD</t>
  </si>
  <si>
    <t>Live from the PTW Audits register  ·  filtered by Month &amp; Department</t>
  </si>
  <si>
    <t>AVG COMPLIANCE %</t>
  </si>
  <si>
    <t>🔧  CORRECTIVE ACTIONS DASHBOARD</t>
  </si>
  <si>
    <t>Live from the Corrective Actions register  ·  filtered by Month &amp; Department</t>
  </si>
  <si>
    <t>🚩  NC MANAGEMENT DASHBOARD</t>
  </si>
  <si>
    <t>Live from the NC Management register  ·  filtered by Month &amp; Department</t>
  </si>
  <si>
    <t>🚫  UNSAFE ACTS DASHBOARD</t>
  </si>
  <si>
    <t>Live from the Unsafe Acts register  ·  filtered by Month &amp; Department</t>
  </si>
  <si>
    <t>⛔  UNSAFE CONDITIONS DASHBOARD</t>
  </si>
  <si>
    <t>Live from the Unsafe Conditions register  ·  filtered by Month &amp; Department</t>
  </si>
  <si>
    <t>🔥  INCIDENT DASHBOARD</t>
  </si>
  <si>
    <t>Live from the Incident register  ·  filtered by Month &amp; Department</t>
  </si>
  <si>
    <t>TOTAL LOST DAYS</t>
  </si>
</sst>
</file>

<file path=xl/styles.xml><?xml version="1.0" encoding="utf-8"?>
<styleSheet xmlns="http://schemas.openxmlformats.org/spreadsheetml/2006/main">
  <numFmts count="5">
    <numFmt numFmtId="164" formatCode="dd-mmm-yy"/>
    <numFmt numFmtId="165" formatCode="0.0&quot;%&quot;"/>
    <numFmt numFmtId="166" formatCode="#,##0"/>
    <numFmt numFmtId="167" formatCode="dd-mmm-yyyy hh:mm"/>
    <numFmt numFmtId="168" formatCode="0.00"/>
  </numFmts>
  <fonts count="28">
    <font>
      <sz val="11"/>
      <color theme="1"/>
      <name val="Calibri"/>
      <family val="2"/>
      <scheme val="minor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theme="1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0"/>
      <color rgb="FF1F2937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9"/>
      <color rgb="FF0F3D6E"/>
      <name val="Segoe UI"/>
      <family val="2"/>
    </font>
    <font>
      <b/>
      <sz val="13"/>
      <color rgb="FFFFFFFF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8.5"/>
      <color rgb="FF15A34A"/>
      <name val="Segoe UI"/>
      <family val="2"/>
    </font>
    <font>
      <b/>
      <sz val="13"/>
      <color rgb="FF0F3D6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59E0B"/>
        <bgColor indexed="64"/>
      </patternFill>
    </fill>
  </fills>
  <borders count="10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65" fontId="3" fillId="4" borderId="1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5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6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/>
    <xf numFmtId="0" fontId="12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3" fillId="0" borderId="4" xfId="0" applyFont="1" applyBorder="1" applyAlignment="1">
      <alignment horizontal="center" vertical="center"/>
    </xf>
    <xf numFmtId="166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7" borderId="0" xfId="0" applyFill="1"/>
    <xf numFmtId="0" fontId="10" fillId="0" borderId="0" xfId="0" applyFont="1" applyAlignment="1">
      <alignment horizontal="right" vertical="center"/>
    </xf>
    <xf numFmtId="167" fontId="15" fillId="0" borderId="0" xfId="0" applyNumberFormat="1" applyFont="1" applyAlignment="1">
      <alignment horizontal="left" vertical="center"/>
    </xf>
    <xf numFmtId="0" fontId="16" fillId="2" borderId="6" xfId="0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left" vertical="center"/>
    </xf>
    <xf numFmtId="0" fontId="18" fillId="4" borderId="3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left" vertical="center"/>
    </xf>
    <xf numFmtId="0" fontId="6" fillId="5" borderId="3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left" vertical="center" indent="1"/>
    </xf>
    <xf numFmtId="0" fontId="0" fillId="9" borderId="0" xfId="0" applyFill="1"/>
    <xf numFmtId="0" fontId="23" fillId="8" borderId="7" xfId="0" applyFont="1" applyFill="1" applyBorder="1" applyAlignment="1">
      <alignment horizontal="left" vertical="center"/>
    </xf>
    <xf numFmtId="168" fontId="24" fillId="8" borderId="7" xfId="0" applyNumberFormat="1" applyFont="1" applyFill="1" applyBorder="1" applyAlignment="1">
      <alignment horizontal="left" vertical="center"/>
    </xf>
    <xf numFmtId="168" fontId="25" fillId="8" borderId="8" xfId="0" applyNumberFormat="1" applyFont="1" applyFill="1" applyBorder="1" applyAlignment="1">
      <alignment horizontal="right"/>
    </xf>
    <xf numFmtId="166" fontId="24" fillId="8" borderId="7" xfId="0" applyNumberFormat="1" applyFont="1" applyFill="1" applyBorder="1" applyAlignment="1">
      <alignment horizontal="left" vertical="center"/>
    </xf>
    <xf numFmtId="166" fontId="25" fillId="8" borderId="8" xfId="0" applyNumberFormat="1" applyFont="1" applyFill="1" applyBorder="1" applyAlignment="1">
      <alignment horizontal="right"/>
    </xf>
    <xf numFmtId="0" fontId="26" fillId="8" borderId="9" xfId="0" applyFont="1" applyFill="1" applyBorder="1" applyAlignment="1">
      <alignment horizontal="left" vertical="center"/>
    </xf>
    <xf numFmtId="0" fontId="22" fillId="10" borderId="0" xfId="0" applyFont="1" applyFill="1" applyAlignment="1">
      <alignment horizontal="left" vertical="center" indent="1"/>
    </xf>
    <xf numFmtId="0" fontId="0" fillId="10" borderId="0" xfId="0" applyFill="1"/>
    <xf numFmtId="165" fontId="24" fillId="8" borderId="7" xfId="0" applyNumberFormat="1" applyFont="1" applyFill="1" applyBorder="1" applyAlignment="1">
      <alignment horizontal="left" vertical="center"/>
    </xf>
    <xf numFmtId="165" fontId="25" fillId="8" borderId="8" xfId="0" applyNumberFormat="1" applyFont="1" applyFill="1" applyBorder="1" applyAlignment="1">
      <alignment horizontal="right"/>
    </xf>
    <xf numFmtId="165" fontId="27" fillId="0" borderId="0" xfId="0" applyNumberFormat="1" applyFont="1" applyAlignment="1">
      <alignment horizontal="center" vertical="center"/>
    </xf>
    <xf numFmtId="0" fontId="0" fillId="11" borderId="0" xfId="0" applyFill="1"/>
    <xf numFmtId="0" fontId="25" fillId="8" borderId="9" xfId="0" applyFont="1" applyFill="1" applyBorder="1" applyAlignment="1">
      <alignment horizontal="left" vertical="center"/>
    </xf>
    <xf numFmtId="0" fontId="0" fillId="5" borderId="0" xfId="0" applyFill="1"/>
  </cellXfs>
  <cellStyles count="1">
    <cellStyle name="Normal" xfId="0" builtinId="0"/>
  </cellStyles>
  <dxfs count="1"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(selected 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Calculations!$AM$20:$AM$28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Calculations!$AN$20:$AN$28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(selected 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Calculations!$AM$31:$AM$38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Calculations!$AN$31:$AN$38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20001"/>
        <c:axId val="50020002"/>
      </c:barChart>
      <c:catAx>
        <c:axId val="500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Calculations!$AM$11:$AM$17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Calculations!$AN$11:$AN$17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030001"/>
        <c:axId val="50030002"/>
      </c:barChart>
      <c:catAx>
        <c:axId val="500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Calculations!$AP$11:$AP$22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Calculations!$AQ$11:$AQ$22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40001"/>
        <c:axId val="50040002"/>
      </c:bar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Calculations!$AG$33:$AI$33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Calculations!$AG$34:$AI$34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Calculations!$AG$35:$AI$35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Calculations!$AG$36:$AI$36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Calculations!$AM$11:$AM$17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Calculations!$AN$11:$AN$17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Calculations!$AP$11:$AP$22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Calculations!$AQ$11:$AQ$22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00001"/>
        <c:axId val="50100002"/>
      </c:barChart>
      <c:catAx>
        <c:axId val="501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Calculations!$AM$20:$AM$28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Calculations!$AN$20:$AN$28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Calculations!$B$102:$B$113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Calculations!$C$102:$C$113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20001"/>
        <c:axId val="50120002"/>
      </c:barChart>
      <c:catAx>
        <c:axId val="501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Safety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Calculations!$E$102:$E$107</c:f>
              <c:strCache>
                <c:ptCount val="6"/>
                <c:pt idx="0">
                  <c:v>Ergonomics</c:v>
                </c:pt>
                <c:pt idx="1">
                  <c:v>Housekeeping</c:v>
                </c:pt>
                <c:pt idx="2">
                  <c:v>BBS</c:v>
                </c:pt>
                <c:pt idx="3">
                  <c:v>General</c:v>
                </c:pt>
                <c:pt idx="4">
                  <c:v>Process Safety</c:v>
                </c:pt>
                <c:pt idx="5">
                  <c:v>PPE</c:v>
                </c:pt>
              </c:strCache>
            </c:strRef>
          </c:cat>
          <c:val>
            <c:numRef>
              <c:f>Calculations!$F$102:$F$107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Calculations!$B$119:$B$130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Calculations!$C$119:$C$130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40001"/>
        <c:axId val="50140002"/>
      </c:barChart>
      <c:catAx>
        <c:axId val="501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40002"/>
        <c:crosses val="autoZero"/>
        <c:auto val="1"/>
        <c:lblAlgn val="ctr"/>
        <c:lblOffset val="100"/>
      </c:catAx>
      <c:valAx>
        <c:axId val="501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Calculations!$E$119:$E$122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Calculations!$F$119:$F$122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150001"/>
        <c:axId val="50150002"/>
      </c:barChart>
      <c:catAx>
        <c:axId val="501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50002"/>
        <c:crosses val="autoZero"/>
        <c:auto val="1"/>
        <c:lblAlgn val="ctr"/>
        <c:lblOffset val="100"/>
      </c:catAx>
      <c:valAx>
        <c:axId val="50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Calculations!$H$119:$H$122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Calculations!$I$119:$I$122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Calculations!$B$136:$B$147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Calculations!$C$136:$C$147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170001"/>
        <c:axId val="50170002"/>
      </c:barChart>
      <c:catAx>
        <c:axId val="501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70002"/>
        <c:crosses val="autoZero"/>
        <c:auto val="1"/>
        <c:lblAlgn val="ctr"/>
        <c:lblOffset val="100"/>
      </c:catAx>
      <c:valAx>
        <c:axId val="501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Calculations!$E$136:$E$141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Calculations!$F$136:$F$141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180001"/>
        <c:axId val="50180002"/>
      </c:barChart>
      <c:catAx>
        <c:axId val="50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80002"/>
        <c:crosses val="autoZero"/>
        <c:auto val="1"/>
        <c:lblAlgn val="ctr"/>
        <c:lblOffset val="100"/>
      </c:catAx>
      <c:valAx>
        <c:axId val="50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Calculations!$H$136:$H$139</c:f>
              <c:strCache>
                <c:ptCount val="4"/>
                <c:pt idx="0">
                  <c:v>Completed</c:v>
                </c:pt>
                <c:pt idx="1">
                  <c:v>Scheduled</c:v>
                </c:pt>
                <c:pt idx="2">
                  <c:v>Overdue</c:v>
                </c:pt>
                <c:pt idx="3">
                  <c:v>In Progress</c:v>
                </c:pt>
              </c:strCache>
            </c:strRef>
          </c:cat>
          <c:val>
            <c:numRef>
              <c:f>Calculations!$I$136:$I$139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Calculations!$B$153:$B$164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Calculations!$C$153:$C$164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00001"/>
        <c:axId val="50200002"/>
      </c:barChart>
      <c:catAx>
        <c:axId val="502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Observation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Calculations!$E$153:$E$156</c:f>
              <c:strCache>
                <c:ptCount val="4"/>
                <c:pt idx="0">
                  <c:v>Safe Act</c:v>
                </c:pt>
                <c:pt idx="1">
                  <c:v>Unsafe Act</c:v>
                </c:pt>
                <c:pt idx="2">
                  <c:v>Safe Condition</c:v>
                </c:pt>
                <c:pt idx="3">
                  <c:v>Unsafe Condition</c:v>
                </c:pt>
              </c:strCache>
            </c:strRef>
          </c:cat>
          <c:val>
            <c:numRef>
              <c:f>Calculations!$F$153:$F$156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Calculations!$H$153:$H$156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Calculations!$I$153:$I$156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Calculations!$B$170:$B$181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Calculations!$C$170:$C$181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30001"/>
        <c:axId val="50230002"/>
      </c:barChart>
      <c:catAx>
        <c:axId val="502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30002"/>
        <c:crosses val="autoZero"/>
        <c:auto val="1"/>
        <c:lblAlgn val="ctr"/>
        <c:lblOffset val="100"/>
      </c:catAx>
      <c:valAx>
        <c:axId val="502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Calculations!$E$170:$E$174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Calculations!$F$170:$F$174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240001"/>
        <c:axId val="50240002"/>
      </c:barChart>
      <c:catAx>
        <c:axId val="502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Calculations!$H$170:$H$173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Calculations!$I$170:$I$173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Calculations!$B$187:$B$198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Calculations!$C$187:$C$198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60001"/>
        <c:axId val="50260002"/>
      </c:barChart>
      <c:catAx>
        <c:axId val="50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Calculations!$E$187:$E$191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Calculations!$F$187:$F$191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Calculations!$H$187:$H$190</c:f>
              <c:strCache>
                <c:ptCount val="4"/>
                <c:pt idx="0">
                  <c:v>Closed</c:v>
                </c:pt>
                <c:pt idx="1">
                  <c:v>Overdue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Calculations!$I$187:$I$190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Calculations!$B$204:$B$215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Calculations!$C$204:$C$215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90001"/>
        <c:axId val="50290002"/>
      </c:bar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Calculations!$E$204:$E$208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Calculations!$F$204:$F$208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300001"/>
        <c:axId val="50300002"/>
      </c:barChart>
      <c:catAx>
        <c:axId val="503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Calculations!$H$204:$H$207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Calculations!$I$204:$I$207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Calculations!$B$221:$B$232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Calculations!$C$221:$C$232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20001"/>
        <c:axId val="50320002"/>
      </c:barChart>
      <c:catAx>
        <c:axId val="503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Frequency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Calculations!$E$221:$E$224</c:f>
              <c:strCache>
                <c:ptCount val="4"/>
                <c:pt idx="0">
                  <c:v>Weekly</c:v>
                </c:pt>
                <c:pt idx="1">
                  <c:v>Monthly</c:v>
                </c:pt>
                <c:pt idx="2">
                  <c:v>Quarterly</c:v>
                </c:pt>
                <c:pt idx="3">
                  <c:v>Annual</c:v>
                </c:pt>
              </c:strCache>
            </c:strRef>
          </c:cat>
          <c:val>
            <c:numRef>
              <c:f>Calculations!$F$221:$F$224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30001"/>
        <c:axId val="50330002"/>
      </c:barChart>
      <c:catAx>
        <c:axId val="50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Calculations!$B$238:$B$249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Calculations!$C$238:$C$249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40001"/>
        <c:axId val="50340002"/>
      </c:bar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Calculations!$E$238:$E$243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Calculations!$F$238:$F$243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50001"/>
        <c:axId val="50350002"/>
      </c:barChart>
      <c:catAx>
        <c:axId val="503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Calculations!$H$238:$H$241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Calculations!$I$238:$I$241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Calculations!$B$255:$B$266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Calculations!$C$255:$C$266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70001"/>
        <c:axId val="50370002"/>
      </c:barChart>
      <c:catAx>
        <c:axId val="503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Drill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Calculations!$E$255:$E$260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Calculations!$F$255:$F$260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80001"/>
        <c:axId val="50380002"/>
      </c:barChart>
      <c:catAx>
        <c:axId val="503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Calculations!$H$255:$H$258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Calculations!$I$255:$I$258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Calculations!$B$272:$B$283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Calculations!$C$272:$C$283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00001"/>
        <c:axId val="50400002"/>
      </c:bar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Calculations!$E$272:$E$277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Calculations!$F$272:$F$277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Calculations!$H$272:$H$275</c:f>
              <c:strCache>
                <c:ptCount val="4"/>
                <c:pt idx="0">
                  <c:v>Overdue</c:v>
                </c:pt>
                <c:pt idx="1">
                  <c:v>Closed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Calculations!$I$272:$I$275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Calculations!$B$289:$B$300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Calculations!$C$289:$C$300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30001"/>
        <c:axId val="50430002"/>
      </c:barChart>
      <c:catAx>
        <c:axId val="504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30002"/>
        <c:crosses val="autoZero"/>
        <c:auto val="1"/>
        <c:lblAlgn val="ctr"/>
        <c:lblOffset val="100"/>
      </c:catAx>
      <c:valAx>
        <c:axId val="504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Calculations!$E$289:$E$294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Calculations!$F$289:$F$294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40001"/>
        <c:axId val="50440002"/>
      </c:barChart>
      <c:catAx>
        <c:axId val="504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Calculations!$H$289:$H$292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Calculations!$I$289:$I$292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Calculations!$B$306:$B$317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Calculations!$C$306:$C$317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60001"/>
        <c:axId val="50460002"/>
      </c:barChart>
      <c:catAx>
        <c:axId val="504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Visit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Calculations!$E$306:$E$309</c:f>
              <c:strCache>
                <c:ptCount val="4"/>
                <c:pt idx="0">
                  <c:v>Site Walk</c:v>
                </c:pt>
                <c:pt idx="1">
                  <c:v>Plant Visit</c:v>
                </c:pt>
                <c:pt idx="2">
                  <c:v>Safety Observation</c:v>
                </c:pt>
                <c:pt idx="3">
                  <c:v>Project Visit</c:v>
                </c:pt>
              </c:strCache>
            </c:strRef>
          </c:cat>
          <c:val>
            <c:numRef>
              <c:f>Calculations!$F$306:$F$309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70001"/>
        <c:axId val="50470002"/>
      </c:barChart>
      <c:catAx>
        <c:axId val="504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Calculations!$H$306:$H$309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Calculations!$I$306:$I$309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Calculations!$B$323:$B$334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Calculations!$C$323:$C$334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Calculations!$H$323:$H$326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Calculations!$I$323:$I$326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Calculations!$B$340:$B$351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Calculations!$C$340:$C$351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10001"/>
        <c:axId val="50510002"/>
      </c:barChart>
      <c:catAx>
        <c:axId val="505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10002"/>
        <c:crosses val="autoZero"/>
        <c:auto val="1"/>
        <c:lblAlgn val="ctr"/>
        <c:lblOffset val="100"/>
      </c:catAx>
      <c:valAx>
        <c:axId val="505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Violation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Calculations!$E$340:$E$345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Calculations!$F$340:$F$345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Calculations!$H$340:$H$343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Calculations!$I$340:$I$343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Calculations!$B$357:$B$368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Calculations!$C$357:$C$368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40001"/>
        <c:axId val="50540002"/>
      </c:barChart>
      <c:catAx>
        <c:axId val="505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Award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Calculations!$E$357:$E$362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Calculations!$F$357:$F$362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550001"/>
        <c:axId val="50550002"/>
      </c:barChart>
      <c:catAx>
        <c:axId val="505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Calculations!$H$357:$H$360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Calculations!$I$357:$I$360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Calculations!$B$374:$B$385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Calculations!$C$374:$C$385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Calculations!$E$374:$E$377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Calculations!$F$374:$F$377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Calculations!$B$391:$B$402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Calculations!$C$391:$C$402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90001"/>
        <c:axId val="50590002"/>
      </c:barChart>
      <c:catAx>
        <c:axId val="505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90002"/>
        <c:crosses val="autoZero"/>
        <c:auto val="1"/>
        <c:lblAlgn val="ctr"/>
        <c:lblOffset val="100"/>
      </c:catAx>
      <c:valAx>
        <c:axId val="505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Test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Calculations!$E$391:$E$394</c:f>
              <c:strCache>
                <c:ptCount val="4"/>
                <c:pt idx="0">
                  <c:v>Pre-Shift</c:v>
                </c:pt>
                <c:pt idx="1">
                  <c:v>Random</c:v>
                </c:pt>
                <c:pt idx="2">
                  <c:v>Post-Incident</c:v>
                </c:pt>
                <c:pt idx="3">
                  <c:v>Reasonable Suspicion</c:v>
                </c:pt>
              </c:strCache>
            </c:strRef>
          </c:cat>
          <c:val>
            <c:numRef>
              <c:f>Calculations!$F$391:$F$394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00001"/>
        <c:axId val="50600002"/>
      </c:barChart>
      <c:catAx>
        <c:axId val="506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Calculations!$H$391:$H$394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Calculations!$I$391:$I$394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Calculations!$B$408:$B$419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Calculations!$C$408:$C$419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20001"/>
        <c:axId val="50620002"/>
      </c:barChart>
      <c:catAx>
        <c:axId val="506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Permit Type Audited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Calculations!$E$408:$E$414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Calculations!$F$408:$F$414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Calculations!$H$408:$H$410</c:f>
              <c:strCache>
                <c:ptCount val="3"/>
                <c:pt idx="0">
                  <c:v>Compliant</c:v>
                </c:pt>
                <c:pt idx="1">
                  <c:v>Non-Compliant</c:v>
                </c:pt>
                <c:pt idx="2">
                  <c:v>Partially Compliant</c:v>
                </c:pt>
              </c:strCache>
            </c:strRef>
          </c:cat>
          <c:val>
            <c:numRef>
              <c:f>Calculations!$I$408:$I$410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Calculations!$B$425:$B$436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Calculations!$C$425:$C$436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Source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Calculations!$E$425:$E$430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Calculations!$F$425:$F$430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Calculations!$H$425:$H$428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Calculations!$I$425:$I$428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Calculations!$B$442:$B$453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Calculations!$C$442:$C$453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80001"/>
        <c:axId val="50680002"/>
      </c:barChart>
      <c:catAx>
        <c:axId val="506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Calculations!$E$442:$E$445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Calculations!$F$442:$F$445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90001"/>
        <c:axId val="50690002"/>
      </c:barChart>
      <c:catAx>
        <c:axId val="506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Calculations!$H$442:$H$445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Calculations!$I$442:$I$445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Calculations!$B$459:$B$470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Calculations!$C$459:$C$470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10001"/>
        <c:axId val="50710002"/>
      </c:barChart>
      <c:catAx>
        <c:axId val="507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Calculations!$E$459:$E$462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Calculations!$F$459:$F$462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20001"/>
        <c:axId val="50720002"/>
      </c:barChart>
      <c:catAx>
        <c:axId val="507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Calculations!$H$459:$H$462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Calculations!$I$459:$I$462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Calculations!$B$476:$B$487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Calculations!$C$476:$C$487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40001"/>
        <c:axId val="50740002"/>
      </c:barChart>
      <c:catAx>
        <c:axId val="507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Calculations!$E$476:$E$479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Calculations!$F$476:$F$479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50001"/>
        <c:axId val="50750002"/>
      </c:barChart>
      <c:catAx>
        <c:axId val="507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50002"/>
        <c:crosses val="autoZero"/>
        <c:auto val="1"/>
        <c:lblAlgn val="ctr"/>
        <c:lblOffset val="100"/>
      </c:catAx>
      <c:valAx>
        <c:axId val="507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Calculations!$H$476:$H$479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Calculations!$I$476:$I$479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Calculations!$B$493:$B$504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Calculations!$C$493:$C$504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Classification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Calculations!$E$493:$E$498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Calculations!$F$493:$F$498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80001"/>
        <c:axId val="50780002"/>
      </c:barChart>
      <c:catAx>
        <c:axId val="507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Calculations!$H$493:$H$496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Calculations!$I$493:$I$496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Relationship Id="rId3" Type="http://schemas.openxmlformats.org/officeDocument/2006/relationships/chart" Target="../charts/chart11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.xml"/><Relationship Id="rId2" Type="http://schemas.openxmlformats.org/officeDocument/2006/relationships/chart" Target="../charts/chart13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4.xml"/><Relationship Id="rId2" Type="http://schemas.openxmlformats.org/officeDocument/2006/relationships/chart" Target="../charts/chart15.xml"/><Relationship Id="rId3" Type="http://schemas.openxmlformats.org/officeDocument/2006/relationships/chart" Target="../charts/chart16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Relationship Id="rId3" Type="http://schemas.openxmlformats.org/officeDocument/2006/relationships/chart" Target="../charts/chart19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Relationship Id="rId3" Type="http://schemas.openxmlformats.org/officeDocument/2006/relationships/chart" Target="../charts/chart22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29.xml"/><Relationship Id="rId2" Type="http://schemas.openxmlformats.org/officeDocument/2006/relationships/chart" Target="../charts/chart30.xml"/><Relationship Id="rId3" Type="http://schemas.openxmlformats.org/officeDocument/2006/relationships/chart" Target="../charts/chart31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32.xml"/><Relationship Id="rId2" Type="http://schemas.openxmlformats.org/officeDocument/2006/relationships/chart" Target="../charts/chart33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Relationship Id="rId3" Type="http://schemas.openxmlformats.org/officeDocument/2006/relationships/chart" Target="../charts/chart36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37.xml"/><Relationship Id="rId2" Type="http://schemas.openxmlformats.org/officeDocument/2006/relationships/chart" Target="../charts/chart38.xml"/><Relationship Id="rId3" Type="http://schemas.openxmlformats.org/officeDocument/2006/relationships/chart" Target="../charts/chart39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40.xml"/><Relationship Id="rId2" Type="http://schemas.openxmlformats.org/officeDocument/2006/relationships/chart" Target="../charts/chart41.xml"/><Relationship Id="rId3" Type="http://schemas.openxmlformats.org/officeDocument/2006/relationships/chart" Target="../charts/chart42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43.xml"/><Relationship Id="rId2" Type="http://schemas.openxmlformats.org/officeDocument/2006/relationships/chart" Target="../charts/chart44.xml"/><Relationship Id="rId3" Type="http://schemas.openxmlformats.org/officeDocument/2006/relationships/chart" Target="../charts/chart45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46.xml"/><Relationship Id="rId2" Type="http://schemas.openxmlformats.org/officeDocument/2006/relationships/chart" Target="../charts/chart47.xml"/><Relationship Id="rId3" Type="http://schemas.openxmlformats.org/officeDocument/2006/relationships/chart" Target="../charts/chart48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9.xml"/><Relationship Id="rId2" Type="http://schemas.openxmlformats.org/officeDocument/2006/relationships/chart" Target="../charts/chart50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51.xml"/><Relationship Id="rId2" Type="http://schemas.openxmlformats.org/officeDocument/2006/relationships/chart" Target="../charts/chart52.xml"/><Relationship Id="rId3" Type="http://schemas.openxmlformats.org/officeDocument/2006/relationships/chart" Target="../charts/chart53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54.xml"/><Relationship Id="rId2" Type="http://schemas.openxmlformats.org/officeDocument/2006/relationships/chart" Target="../charts/chart55.xml"/><Relationship Id="rId3" Type="http://schemas.openxmlformats.org/officeDocument/2006/relationships/chart" Target="../charts/chart56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9.xml"/><Relationship Id="rId2" Type="http://schemas.openxmlformats.org/officeDocument/2006/relationships/chart" Target="../charts/chart60.xml"/><Relationship Id="rId3" Type="http://schemas.openxmlformats.org/officeDocument/2006/relationships/chart" Target="../charts/chart61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2.xml"/><Relationship Id="rId2" Type="http://schemas.openxmlformats.org/officeDocument/2006/relationships/chart" Target="../charts/chart63.xml"/><Relationship Id="rId3" Type="http://schemas.openxmlformats.org/officeDocument/2006/relationships/chart" Target="../charts/chart64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5.xml"/><Relationship Id="rId2" Type="http://schemas.openxmlformats.org/officeDocument/2006/relationships/chart" Target="../charts/chart66.xml"/><Relationship Id="rId3" Type="http://schemas.openxmlformats.org/officeDocument/2006/relationships/chart" Target="../charts/chart67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8.xml"/><Relationship Id="rId2" Type="http://schemas.openxmlformats.org/officeDocument/2006/relationships/chart" Target="../charts/chart69.xml"/><Relationship Id="rId3" Type="http://schemas.openxmlformats.org/officeDocument/2006/relationships/chart" Target="../charts/chart70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71.xml"/><Relationship Id="rId2" Type="http://schemas.openxmlformats.org/officeDocument/2006/relationships/chart" Target="../charts/chart72.xml"/><Relationship Id="rId3" Type="http://schemas.openxmlformats.org/officeDocument/2006/relationships/chart" Target="../charts/chart73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74.xml"/><Relationship Id="rId2" Type="http://schemas.openxmlformats.org/officeDocument/2006/relationships/chart" Target="../charts/chart75.xml"/><Relationship Id="rId3" Type="http://schemas.openxmlformats.org/officeDocument/2006/relationships/chart" Target="../charts/chart76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77.xml"/><Relationship Id="rId2" Type="http://schemas.openxmlformats.org/officeDocument/2006/relationships/chart" Target="../charts/chart78.xml"/><Relationship Id="rId3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40</xdr:row>
      <xdr:rowOff>0</xdr:rowOff>
    </xdr:from>
    <xdr:to>
      <xdr:col>8</xdr:col>
      <xdr:colOff>161925</xdr:colOff>
      <xdr:row>55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40</xdr:row>
      <xdr:rowOff>0</xdr:rowOff>
    </xdr:from>
    <xdr:to>
      <xdr:col>14</xdr:col>
      <xdr:colOff>161925</xdr:colOff>
      <xdr:row>55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40</xdr:row>
      <xdr:rowOff>0</xdr:rowOff>
    </xdr:from>
    <xdr:to>
      <xdr:col>20</xdr:col>
      <xdr:colOff>190500</xdr:colOff>
      <xdr:row>55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9</xdr:col>
      <xdr:colOff>609600</xdr:colOff>
      <xdr:row>72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57</xdr:row>
      <xdr:rowOff>0</xdr:rowOff>
    </xdr:from>
    <xdr:to>
      <xdr:col>12</xdr:col>
      <xdr:colOff>466725</xdr:colOff>
      <xdr:row>66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57</xdr:row>
      <xdr:rowOff>0</xdr:rowOff>
    </xdr:from>
    <xdr:to>
      <xdr:col>15</xdr:col>
      <xdr:colOff>466725</xdr:colOff>
      <xdr:row>66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57</xdr:row>
      <xdr:rowOff>0</xdr:rowOff>
    </xdr:from>
    <xdr:to>
      <xdr:col>18</xdr:col>
      <xdr:colOff>466725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21</xdr:col>
      <xdr:colOff>523875</xdr:colOff>
      <xdr:row>66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52" totalsRowShown="0">
  <autoFilter ref="A3:O52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52" totalsRowShown="0">
  <autoFilter ref="A3:O52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52" totalsRowShown="0">
  <autoFilter ref="A3:P52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52" totalsRowShown="0">
  <autoFilter ref="A3:O52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52" totalsRowShown="0">
  <autoFilter ref="A3:O52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52" totalsRowShown="0">
  <autoFilter ref="A3:P52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52" totalsRowShown="0">
  <autoFilter ref="A3:N52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52" totalsRowShown="0">
  <autoFilter ref="A3:O52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52" totalsRowShown="0">
  <autoFilter ref="A3:P52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52" totalsRowShown="0">
  <autoFilter ref="A3:P52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52" totalsRowShown="0">
  <autoFilter ref="A3:N52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52" totalsRowShown="0">
  <autoFilter ref="A3:O52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52" totalsRowShown="0">
  <autoFilter ref="A3:K52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52" totalsRowShown="0">
  <autoFilter ref="A3:J52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52" totalsRowShown="0">
  <autoFilter ref="A3:M52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52" totalsRowShown="0">
  <autoFilter ref="A3:J52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52" totalsRowShown="0">
  <autoFilter ref="A3:N52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52" totalsRowShown="0">
  <autoFilter ref="A3:O52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52" totalsRowShown="0">
  <autoFilter ref="A3:N52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52" totalsRowShown="0">
  <autoFilter ref="A3:M52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52" totalsRowShown="0">
  <autoFilter ref="A3:M52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52" totalsRowShown="0">
  <autoFilter ref="A3:AD52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</sheetPr>
  <dimension ref="A1:Q51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customWidth="1"/>
    <col min="6" max="6" width="12.7109375" customWidth="1"/>
    <col min="7" max="7" width="10.7109375" customWidth="1"/>
    <col min="8" max="8" width="14.7109375" customWidth="1"/>
    <col min="9" max="10" width="18.7109375" customWidth="1"/>
    <col min="11" max="11" width="14.7109375" customWidth="1"/>
    <col min="12" max="12" width="16.7109375" customWidth="1"/>
    <col min="13" max="14" width="17.7109375" customWidth="1"/>
    <col min="15" max="15" width="15.7109375" customWidth="1"/>
  </cols>
  <sheetData>
    <row r="1" spans="1:17" ht="22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128</v>
      </c>
      <c r="F3" t="s">
        <v>129</v>
      </c>
      <c r="G3" t="s">
        <v>130</v>
      </c>
      <c r="H3" t="s">
        <v>131</v>
      </c>
      <c r="I3" t="s">
        <v>132</v>
      </c>
      <c r="J3" t="s">
        <v>133</v>
      </c>
      <c r="K3" t="s">
        <v>134</v>
      </c>
      <c r="L3" t="s">
        <v>135</v>
      </c>
      <c r="M3" t="s">
        <v>136</v>
      </c>
      <c r="N3" t="s">
        <v>137</v>
      </c>
      <c r="O3" t="s">
        <v>138</v>
      </c>
    </row>
    <row r="4" spans="1:17">
      <c r="A4" s="3">
        <v>1</v>
      </c>
      <c r="B4" s="3" t="s">
        <v>2</v>
      </c>
      <c r="C4" s="4">
        <v>46040</v>
      </c>
      <c r="D4" s="3" t="s">
        <v>3</v>
      </c>
      <c r="E4" s="5" t="s">
        <v>4</v>
      </c>
      <c r="F4" s="5" t="s">
        <v>5</v>
      </c>
      <c r="G4" s="3" t="s">
        <v>6</v>
      </c>
      <c r="H4" s="3" t="s">
        <v>7</v>
      </c>
      <c r="I4" s="3">
        <v>56</v>
      </c>
      <c r="J4" s="3">
        <v>17</v>
      </c>
      <c r="K4" s="6">
        <f>IFERROR(J4/I4*100,0)</f>
        <v>0</v>
      </c>
      <c r="L4" s="3">
        <v>35</v>
      </c>
      <c r="M4" s="3" t="s">
        <v>8</v>
      </c>
      <c r="N4" s="3" t="s">
        <v>9</v>
      </c>
      <c r="O4" s="3" t="s">
        <v>10</v>
      </c>
    </row>
    <row r="5" spans="1:17">
      <c r="A5" s="3">
        <v>2</v>
      </c>
      <c r="B5" s="3" t="s">
        <v>11</v>
      </c>
      <c r="C5" s="4">
        <v>46027</v>
      </c>
      <c r="D5" s="3" t="s">
        <v>3</v>
      </c>
      <c r="E5" s="5" t="s">
        <v>12</v>
      </c>
      <c r="F5" s="5" t="s">
        <v>13</v>
      </c>
      <c r="G5" s="3" t="s">
        <v>14</v>
      </c>
      <c r="H5" s="3" t="s">
        <v>15</v>
      </c>
      <c r="I5" s="3">
        <v>51</v>
      </c>
      <c r="J5" s="3">
        <v>29</v>
      </c>
      <c r="K5" s="6">
        <f>IFERROR(J5/I5*100,0)</f>
        <v>0</v>
      </c>
      <c r="L5" s="3">
        <v>18</v>
      </c>
      <c r="M5" s="3" t="s">
        <v>16</v>
      </c>
      <c r="N5" s="3" t="s">
        <v>9</v>
      </c>
      <c r="O5" s="3" t="s">
        <v>17</v>
      </c>
    </row>
    <row r="6" spans="1:17">
      <c r="A6" s="3">
        <v>3</v>
      </c>
      <c r="B6" s="3" t="s">
        <v>18</v>
      </c>
      <c r="C6" s="4">
        <v>46064</v>
      </c>
      <c r="D6" s="3" t="s">
        <v>19</v>
      </c>
      <c r="E6" s="5" t="s">
        <v>20</v>
      </c>
      <c r="F6" s="5" t="s">
        <v>13</v>
      </c>
      <c r="G6" s="3" t="s">
        <v>21</v>
      </c>
      <c r="H6" s="3" t="s">
        <v>22</v>
      </c>
      <c r="I6" s="3">
        <v>16</v>
      </c>
      <c r="J6" s="3">
        <v>24</v>
      </c>
      <c r="K6" s="6">
        <f>IFERROR(J6/I6*100,0)</f>
        <v>0</v>
      </c>
      <c r="L6" s="3">
        <v>91</v>
      </c>
      <c r="M6" s="3" t="s">
        <v>8</v>
      </c>
      <c r="N6" s="3" t="s">
        <v>23</v>
      </c>
      <c r="O6" s="3" t="s">
        <v>24</v>
      </c>
    </row>
    <row r="7" spans="1:17">
      <c r="A7" s="3">
        <v>4</v>
      </c>
      <c r="B7" s="3" t="s">
        <v>25</v>
      </c>
      <c r="C7" s="4">
        <v>46068</v>
      </c>
      <c r="D7" s="3" t="s">
        <v>19</v>
      </c>
      <c r="E7" s="5" t="s">
        <v>26</v>
      </c>
      <c r="F7" s="5" t="s">
        <v>27</v>
      </c>
      <c r="G7" s="3" t="s">
        <v>21</v>
      </c>
      <c r="H7" s="3" t="s">
        <v>28</v>
      </c>
      <c r="I7" s="3">
        <v>53</v>
      </c>
      <c r="J7" s="3">
        <v>30</v>
      </c>
      <c r="K7" s="6">
        <f>IFERROR(J7/I7*100,0)</f>
        <v>0</v>
      </c>
      <c r="L7" s="3">
        <v>41</v>
      </c>
      <c r="M7" s="3" t="s">
        <v>16</v>
      </c>
      <c r="N7" s="3" t="s">
        <v>23</v>
      </c>
      <c r="O7" s="3" t="s">
        <v>17</v>
      </c>
    </row>
    <row r="8" spans="1:17">
      <c r="A8" s="3">
        <v>5</v>
      </c>
      <c r="B8" s="3" t="s">
        <v>29</v>
      </c>
      <c r="C8" s="4">
        <v>46075</v>
      </c>
      <c r="D8" s="3" t="s">
        <v>19</v>
      </c>
      <c r="E8" s="5" t="s">
        <v>30</v>
      </c>
      <c r="F8" s="5" t="s">
        <v>27</v>
      </c>
      <c r="G8" s="3" t="s">
        <v>31</v>
      </c>
      <c r="H8" s="3" t="s">
        <v>32</v>
      </c>
      <c r="I8" s="3">
        <v>21</v>
      </c>
      <c r="J8" s="3">
        <v>51</v>
      </c>
      <c r="K8" s="6">
        <f>IFERROR(J8/I8*100,0)</f>
        <v>0</v>
      </c>
      <c r="L8" s="3">
        <v>95</v>
      </c>
      <c r="M8" s="3" t="s">
        <v>33</v>
      </c>
      <c r="N8" s="3" t="s">
        <v>23</v>
      </c>
      <c r="O8" s="3" t="s">
        <v>17</v>
      </c>
    </row>
    <row r="9" spans="1:17">
      <c r="A9" s="3">
        <v>6</v>
      </c>
      <c r="B9" s="3" t="s">
        <v>34</v>
      </c>
      <c r="C9" s="4">
        <v>46063</v>
      </c>
      <c r="D9" s="3" t="s">
        <v>19</v>
      </c>
      <c r="E9" s="5" t="s">
        <v>20</v>
      </c>
      <c r="F9" s="5" t="s">
        <v>5</v>
      </c>
      <c r="G9" s="3" t="s">
        <v>35</v>
      </c>
      <c r="H9" s="3" t="s">
        <v>36</v>
      </c>
      <c r="I9" s="3">
        <v>18</v>
      </c>
      <c r="J9" s="3">
        <v>55</v>
      </c>
      <c r="K9" s="6">
        <f>IFERROR(J9/I9*100,0)</f>
        <v>0</v>
      </c>
      <c r="L9" s="3">
        <v>109</v>
      </c>
      <c r="M9" s="3" t="s">
        <v>33</v>
      </c>
      <c r="N9" s="3" t="s">
        <v>9</v>
      </c>
      <c r="O9" s="3" t="s">
        <v>24</v>
      </c>
    </row>
    <row r="10" spans="1:17">
      <c r="A10" s="3">
        <v>7</v>
      </c>
      <c r="B10" s="3" t="s">
        <v>37</v>
      </c>
      <c r="C10" s="4">
        <v>46056</v>
      </c>
      <c r="D10" s="3" t="s">
        <v>19</v>
      </c>
      <c r="E10" s="5" t="s">
        <v>38</v>
      </c>
      <c r="F10" s="5" t="s">
        <v>39</v>
      </c>
      <c r="G10" s="3" t="s">
        <v>40</v>
      </c>
      <c r="H10" s="3" t="s">
        <v>41</v>
      </c>
      <c r="I10" s="3">
        <v>45</v>
      </c>
      <c r="J10" s="3">
        <v>26</v>
      </c>
      <c r="K10" s="6">
        <f>IFERROR(J10/I10*100,0)</f>
        <v>0</v>
      </c>
      <c r="L10" s="3">
        <v>54</v>
      </c>
      <c r="M10" s="3" t="s">
        <v>33</v>
      </c>
      <c r="N10" s="3" t="s">
        <v>9</v>
      </c>
      <c r="O10" s="3" t="s">
        <v>42</v>
      </c>
    </row>
    <row r="11" spans="1:17">
      <c r="A11" s="3">
        <v>8</v>
      </c>
      <c r="B11" s="3" t="s">
        <v>43</v>
      </c>
      <c r="C11" s="4">
        <v>46095</v>
      </c>
      <c r="D11" s="3" t="s">
        <v>44</v>
      </c>
      <c r="E11" s="5" t="s">
        <v>45</v>
      </c>
      <c r="F11" s="5" t="s">
        <v>46</v>
      </c>
      <c r="G11" s="3" t="s">
        <v>21</v>
      </c>
      <c r="H11" s="3" t="s">
        <v>36</v>
      </c>
      <c r="I11" s="3">
        <v>41</v>
      </c>
      <c r="J11" s="3">
        <v>33</v>
      </c>
      <c r="K11" s="6">
        <f>IFERROR(J11/I11*100,0)</f>
        <v>0</v>
      </c>
      <c r="L11" s="3">
        <v>27</v>
      </c>
      <c r="M11" s="3" t="s">
        <v>47</v>
      </c>
      <c r="N11" s="3" t="s">
        <v>23</v>
      </c>
      <c r="O11" s="3" t="s">
        <v>42</v>
      </c>
    </row>
    <row r="12" spans="1:17">
      <c r="A12" s="3">
        <v>9</v>
      </c>
      <c r="B12" s="3" t="s">
        <v>48</v>
      </c>
      <c r="C12" s="4">
        <v>46102</v>
      </c>
      <c r="D12" s="3" t="s">
        <v>44</v>
      </c>
      <c r="E12" s="5" t="s">
        <v>49</v>
      </c>
      <c r="F12" s="5" t="s">
        <v>50</v>
      </c>
      <c r="G12" s="3" t="s">
        <v>51</v>
      </c>
      <c r="H12" s="3" t="s">
        <v>7</v>
      </c>
      <c r="I12" s="3">
        <v>32</v>
      </c>
      <c r="J12" s="3">
        <v>43</v>
      </c>
      <c r="K12" s="6">
        <f>IFERROR(J12/I12*100,0)</f>
        <v>0</v>
      </c>
      <c r="L12" s="3">
        <v>104</v>
      </c>
      <c r="M12" s="3" t="s">
        <v>16</v>
      </c>
      <c r="N12" s="3" t="s">
        <v>9</v>
      </c>
      <c r="O12" s="3" t="s">
        <v>42</v>
      </c>
    </row>
    <row r="13" spans="1:17">
      <c r="A13" s="3">
        <v>10</v>
      </c>
      <c r="B13" s="3" t="s">
        <v>52</v>
      </c>
      <c r="C13" s="4">
        <v>46124</v>
      </c>
      <c r="D13" s="3" t="s">
        <v>53</v>
      </c>
      <c r="E13" s="5" t="s">
        <v>54</v>
      </c>
      <c r="F13" s="5" t="s">
        <v>5</v>
      </c>
      <c r="G13" s="3" t="s">
        <v>21</v>
      </c>
      <c r="H13" s="3" t="s">
        <v>28</v>
      </c>
      <c r="I13" s="3">
        <v>45</v>
      </c>
      <c r="J13" s="3">
        <v>40</v>
      </c>
      <c r="K13" s="6">
        <f>IFERROR(J13/I13*100,0)</f>
        <v>0</v>
      </c>
      <c r="L13" s="3">
        <v>115</v>
      </c>
      <c r="M13" s="3" t="s">
        <v>55</v>
      </c>
      <c r="N13" s="3" t="s">
        <v>23</v>
      </c>
      <c r="O13" s="3" t="s">
        <v>42</v>
      </c>
    </row>
    <row r="14" spans="1:17">
      <c r="A14" s="3">
        <v>11</v>
      </c>
      <c r="B14" s="3" t="s">
        <v>56</v>
      </c>
      <c r="C14" s="4">
        <v>46140</v>
      </c>
      <c r="D14" s="3" t="s">
        <v>53</v>
      </c>
      <c r="E14" s="5" t="s">
        <v>57</v>
      </c>
      <c r="F14" s="5" t="s">
        <v>58</v>
      </c>
      <c r="G14" s="3" t="s">
        <v>14</v>
      </c>
      <c r="H14" s="3" t="s">
        <v>7</v>
      </c>
      <c r="I14" s="3">
        <v>35</v>
      </c>
      <c r="J14" s="3">
        <v>34</v>
      </c>
      <c r="K14" s="6">
        <f>IFERROR(J14/I14*100,0)</f>
        <v>0</v>
      </c>
      <c r="L14" s="3">
        <v>83</v>
      </c>
      <c r="M14" s="3" t="s">
        <v>8</v>
      </c>
      <c r="N14" s="3" t="s">
        <v>9</v>
      </c>
      <c r="O14" s="3" t="s">
        <v>24</v>
      </c>
    </row>
    <row r="15" spans="1:17">
      <c r="A15" s="3">
        <v>12</v>
      </c>
      <c r="B15" s="3" t="s">
        <v>59</v>
      </c>
      <c r="C15" s="4">
        <v>46170</v>
      </c>
      <c r="D15" s="3" t="s">
        <v>60</v>
      </c>
      <c r="E15" s="5" t="s">
        <v>61</v>
      </c>
      <c r="F15" s="5" t="s">
        <v>50</v>
      </c>
      <c r="G15" s="3" t="s">
        <v>51</v>
      </c>
      <c r="H15" s="3" t="s">
        <v>62</v>
      </c>
      <c r="I15" s="3">
        <v>43</v>
      </c>
      <c r="J15" s="3">
        <v>11</v>
      </c>
      <c r="K15" s="6">
        <f>IFERROR(J15/I15*100,0)</f>
        <v>0</v>
      </c>
      <c r="L15" s="3">
        <v>88</v>
      </c>
      <c r="M15" s="3" t="s">
        <v>47</v>
      </c>
      <c r="N15" s="3" t="s">
        <v>9</v>
      </c>
      <c r="O15" s="3" t="s">
        <v>10</v>
      </c>
    </row>
    <row r="16" spans="1:17">
      <c r="A16" s="3">
        <v>13</v>
      </c>
      <c r="B16" s="3" t="s">
        <v>63</v>
      </c>
      <c r="C16" s="4">
        <v>46161</v>
      </c>
      <c r="D16" s="3" t="s">
        <v>60</v>
      </c>
      <c r="E16" s="5" t="s">
        <v>64</v>
      </c>
      <c r="F16" s="5" t="s">
        <v>65</v>
      </c>
      <c r="G16" s="3" t="s">
        <v>6</v>
      </c>
      <c r="H16" s="3" t="s">
        <v>66</v>
      </c>
      <c r="I16" s="3">
        <v>16</v>
      </c>
      <c r="J16" s="3">
        <v>60</v>
      </c>
      <c r="K16" s="6">
        <f>IFERROR(J16/I16*100,0)</f>
        <v>0</v>
      </c>
      <c r="L16" s="3">
        <v>48</v>
      </c>
      <c r="M16" s="3" t="s">
        <v>33</v>
      </c>
      <c r="N16" s="3" t="s">
        <v>23</v>
      </c>
      <c r="O16" s="3" t="s">
        <v>42</v>
      </c>
    </row>
    <row r="17" spans="1:15">
      <c r="A17" s="3">
        <v>14</v>
      </c>
      <c r="B17" s="3" t="s">
        <v>67</v>
      </c>
      <c r="C17" s="4">
        <v>46165</v>
      </c>
      <c r="D17" s="3" t="s">
        <v>60</v>
      </c>
      <c r="E17" s="5" t="s">
        <v>57</v>
      </c>
      <c r="F17" s="5" t="s">
        <v>5</v>
      </c>
      <c r="G17" s="3" t="s">
        <v>35</v>
      </c>
      <c r="H17" s="3" t="s">
        <v>68</v>
      </c>
      <c r="I17" s="3">
        <v>17</v>
      </c>
      <c r="J17" s="3">
        <v>29</v>
      </c>
      <c r="K17" s="6">
        <f>IFERROR(J17/I17*100,0)</f>
        <v>0</v>
      </c>
      <c r="L17" s="3">
        <v>113</v>
      </c>
      <c r="M17" s="3" t="s">
        <v>16</v>
      </c>
      <c r="N17" s="3" t="s">
        <v>23</v>
      </c>
      <c r="O17" s="3" t="s">
        <v>24</v>
      </c>
    </row>
    <row r="18" spans="1:15">
      <c r="A18" s="3">
        <v>15</v>
      </c>
      <c r="B18" s="3" t="s">
        <v>69</v>
      </c>
      <c r="C18" s="4">
        <v>46153</v>
      </c>
      <c r="D18" s="3" t="s">
        <v>60</v>
      </c>
      <c r="E18" s="5" t="s">
        <v>64</v>
      </c>
      <c r="F18" s="5" t="s">
        <v>39</v>
      </c>
      <c r="G18" s="3" t="s">
        <v>14</v>
      </c>
      <c r="H18" s="3" t="s">
        <v>70</v>
      </c>
      <c r="I18" s="3">
        <v>21</v>
      </c>
      <c r="J18" s="3">
        <v>45</v>
      </c>
      <c r="K18" s="6">
        <f>IFERROR(J18/I18*100,0)</f>
        <v>0</v>
      </c>
      <c r="L18" s="3">
        <v>19</v>
      </c>
      <c r="M18" s="3" t="s">
        <v>55</v>
      </c>
      <c r="N18" s="3" t="s">
        <v>23</v>
      </c>
      <c r="O18" s="3" t="s">
        <v>17</v>
      </c>
    </row>
    <row r="19" spans="1:15">
      <c r="A19" s="3">
        <v>16</v>
      </c>
      <c r="B19" s="3" t="s">
        <v>71</v>
      </c>
      <c r="C19" s="4">
        <v>46152</v>
      </c>
      <c r="D19" s="3" t="s">
        <v>60</v>
      </c>
      <c r="E19" s="5" t="s">
        <v>57</v>
      </c>
      <c r="F19" s="5" t="s">
        <v>13</v>
      </c>
      <c r="G19" s="3" t="s">
        <v>31</v>
      </c>
      <c r="H19" s="3" t="s">
        <v>66</v>
      </c>
      <c r="I19" s="3">
        <v>34</v>
      </c>
      <c r="J19" s="3">
        <v>22</v>
      </c>
      <c r="K19" s="6">
        <f>IFERROR(J19/I19*100,0)</f>
        <v>0</v>
      </c>
      <c r="L19" s="3">
        <v>110</v>
      </c>
      <c r="M19" s="3" t="s">
        <v>55</v>
      </c>
      <c r="N19" s="3" t="s">
        <v>9</v>
      </c>
      <c r="O19" s="3" t="s">
        <v>24</v>
      </c>
    </row>
    <row r="20" spans="1:15">
      <c r="A20" s="3">
        <v>17</v>
      </c>
      <c r="B20" s="3" t="s">
        <v>72</v>
      </c>
      <c r="C20" s="4">
        <v>46199</v>
      </c>
      <c r="D20" s="3" t="s">
        <v>73</v>
      </c>
      <c r="E20" s="5" t="s">
        <v>38</v>
      </c>
      <c r="F20" s="5" t="s">
        <v>50</v>
      </c>
      <c r="G20" s="3" t="s">
        <v>6</v>
      </c>
      <c r="H20" s="3" t="s">
        <v>15</v>
      </c>
      <c r="I20" s="3">
        <v>14</v>
      </c>
      <c r="J20" s="3">
        <v>56</v>
      </c>
      <c r="K20" s="6">
        <f>IFERROR(J20/I20*100,0)</f>
        <v>0</v>
      </c>
      <c r="L20" s="3">
        <v>58</v>
      </c>
      <c r="M20" s="3" t="s">
        <v>33</v>
      </c>
      <c r="N20" s="3" t="s">
        <v>23</v>
      </c>
      <c r="O20" s="3" t="s">
        <v>17</v>
      </c>
    </row>
    <row r="21" spans="1:15">
      <c r="A21" s="3">
        <v>18</v>
      </c>
      <c r="B21" s="3" t="s">
        <v>74</v>
      </c>
      <c r="C21" s="4">
        <v>46179</v>
      </c>
      <c r="D21" s="3" t="s">
        <v>73</v>
      </c>
      <c r="E21" s="5" t="s">
        <v>54</v>
      </c>
      <c r="F21" s="5" t="s">
        <v>65</v>
      </c>
      <c r="G21" s="3" t="s">
        <v>51</v>
      </c>
      <c r="H21" s="3" t="s">
        <v>68</v>
      </c>
      <c r="I21" s="3">
        <v>36</v>
      </c>
      <c r="J21" s="3">
        <v>28</v>
      </c>
      <c r="K21" s="6">
        <f>IFERROR(J21/I21*100,0)</f>
        <v>0</v>
      </c>
      <c r="L21" s="3">
        <v>74</v>
      </c>
      <c r="M21" s="3" t="s">
        <v>47</v>
      </c>
      <c r="N21" s="3" t="s">
        <v>23</v>
      </c>
      <c r="O21" s="3" t="s">
        <v>24</v>
      </c>
    </row>
    <row r="22" spans="1:15">
      <c r="A22" s="3">
        <v>19</v>
      </c>
      <c r="B22" s="3" t="s">
        <v>75</v>
      </c>
      <c r="C22" s="4">
        <v>46222</v>
      </c>
      <c r="D22" s="3" t="s">
        <v>76</v>
      </c>
      <c r="E22" s="5" t="s">
        <v>54</v>
      </c>
      <c r="F22" s="5" t="s">
        <v>13</v>
      </c>
      <c r="G22" s="3" t="s">
        <v>77</v>
      </c>
      <c r="H22" s="3" t="s">
        <v>78</v>
      </c>
      <c r="I22" s="3">
        <v>42</v>
      </c>
      <c r="J22" s="3">
        <v>58</v>
      </c>
      <c r="K22" s="6">
        <f>IFERROR(J22/I22*100,0)</f>
        <v>0</v>
      </c>
      <c r="L22" s="3">
        <v>91</v>
      </c>
      <c r="M22" s="3" t="s">
        <v>16</v>
      </c>
      <c r="N22" s="3" t="s">
        <v>23</v>
      </c>
      <c r="O22" s="3" t="s">
        <v>24</v>
      </c>
    </row>
    <row r="23" spans="1:15">
      <c r="A23" s="3">
        <v>20</v>
      </c>
      <c r="B23" s="3" t="s">
        <v>79</v>
      </c>
      <c r="C23" s="4">
        <v>46210</v>
      </c>
      <c r="D23" s="3" t="s">
        <v>76</v>
      </c>
      <c r="E23" s="5" t="s">
        <v>26</v>
      </c>
      <c r="F23" s="5" t="s">
        <v>65</v>
      </c>
      <c r="G23" s="3" t="s">
        <v>80</v>
      </c>
      <c r="H23" s="3" t="s">
        <v>7</v>
      </c>
      <c r="I23" s="3">
        <v>12</v>
      </c>
      <c r="J23" s="3">
        <v>19</v>
      </c>
      <c r="K23" s="6">
        <f>IFERROR(J23/I23*100,0)</f>
        <v>0</v>
      </c>
      <c r="L23" s="3">
        <v>98</v>
      </c>
      <c r="M23" s="3" t="s">
        <v>8</v>
      </c>
      <c r="N23" s="3" t="s">
        <v>23</v>
      </c>
      <c r="O23" s="3" t="s">
        <v>24</v>
      </c>
    </row>
    <row r="24" spans="1:15">
      <c r="A24" s="3">
        <v>21</v>
      </c>
      <c r="B24" s="3" t="s">
        <v>81</v>
      </c>
      <c r="C24" s="4">
        <v>46216</v>
      </c>
      <c r="D24" s="3" t="s">
        <v>76</v>
      </c>
      <c r="E24" s="5" t="s">
        <v>20</v>
      </c>
      <c r="F24" s="5" t="s">
        <v>39</v>
      </c>
      <c r="G24" s="3" t="s">
        <v>82</v>
      </c>
      <c r="H24" s="3" t="s">
        <v>78</v>
      </c>
      <c r="I24" s="3">
        <v>10</v>
      </c>
      <c r="J24" s="3">
        <v>16</v>
      </c>
      <c r="K24" s="6">
        <f>IFERROR(J24/I24*100,0)</f>
        <v>0</v>
      </c>
      <c r="L24" s="3">
        <v>64</v>
      </c>
      <c r="M24" s="3" t="s">
        <v>33</v>
      </c>
      <c r="N24" s="3" t="s">
        <v>9</v>
      </c>
      <c r="O24" s="3" t="s">
        <v>17</v>
      </c>
    </row>
    <row r="25" spans="1:15">
      <c r="A25" s="3">
        <v>22</v>
      </c>
      <c r="B25" s="3" t="s">
        <v>83</v>
      </c>
      <c r="C25" s="4">
        <v>46204</v>
      </c>
      <c r="D25" s="3" t="s">
        <v>76</v>
      </c>
      <c r="E25" s="5" t="s">
        <v>45</v>
      </c>
      <c r="F25" s="5" t="s">
        <v>27</v>
      </c>
      <c r="G25" s="3" t="s">
        <v>82</v>
      </c>
      <c r="H25" s="3" t="s">
        <v>7</v>
      </c>
      <c r="I25" s="3">
        <v>29</v>
      </c>
      <c r="J25" s="3">
        <v>17</v>
      </c>
      <c r="K25" s="6">
        <f>IFERROR(J25/I25*100,0)</f>
        <v>0</v>
      </c>
      <c r="L25" s="3">
        <v>27</v>
      </c>
      <c r="M25" s="3" t="s">
        <v>55</v>
      </c>
      <c r="N25" s="3" t="s">
        <v>23</v>
      </c>
      <c r="O25" s="3" t="s">
        <v>17</v>
      </c>
    </row>
    <row r="26" spans="1:15">
      <c r="A26" s="3">
        <v>23</v>
      </c>
      <c r="B26" s="3" t="s">
        <v>84</v>
      </c>
      <c r="C26" s="4">
        <v>46216</v>
      </c>
      <c r="D26" s="3" t="s">
        <v>76</v>
      </c>
      <c r="E26" s="5" t="s">
        <v>4</v>
      </c>
      <c r="F26" s="5" t="s">
        <v>50</v>
      </c>
      <c r="G26" s="3" t="s">
        <v>40</v>
      </c>
      <c r="H26" s="3" t="s">
        <v>15</v>
      </c>
      <c r="I26" s="3">
        <v>24</v>
      </c>
      <c r="J26" s="3">
        <v>59</v>
      </c>
      <c r="K26" s="6">
        <f>IFERROR(J26/I26*100,0)</f>
        <v>0</v>
      </c>
      <c r="L26" s="3">
        <v>31</v>
      </c>
      <c r="M26" s="3" t="s">
        <v>47</v>
      </c>
      <c r="N26" s="3" t="s">
        <v>9</v>
      </c>
      <c r="O26" s="3" t="s">
        <v>24</v>
      </c>
    </row>
    <row r="27" spans="1:15">
      <c r="A27" s="3">
        <v>24</v>
      </c>
      <c r="B27" s="3" t="s">
        <v>85</v>
      </c>
      <c r="C27" s="4">
        <v>46239</v>
      </c>
      <c r="D27" s="3" t="s">
        <v>86</v>
      </c>
      <c r="E27" s="5" t="s">
        <v>57</v>
      </c>
      <c r="F27" s="5" t="s">
        <v>58</v>
      </c>
      <c r="G27" s="3" t="s">
        <v>87</v>
      </c>
      <c r="H27" s="3" t="s">
        <v>22</v>
      </c>
      <c r="I27" s="3">
        <v>55</v>
      </c>
      <c r="J27" s="3">
        <v>33</v>
      </c>
      <c r="K27" s="6">
        <f>IFERROR(J27/I27*100,0)</f>
        <v>0</v>
      </c>
      <c r="L27" s="3">
        <v>61</v>
      </c>
      <c r="M27" s="3" t="s">
        <v>16</v>
      </c>
      <c r="N27" s="3" t="s">
        <v>23</v>
      </c>
      <c r="O27" s="3" t="s">
        <v>10</v>
      </c>
    </row>
    <row r="28" spans="1:15">
      <c r="A28" s="3">
        <v>25</v>
      </c>
      <c r="B28" s="3" t="s">
        <v>88</v>
      </c>
      <c r="C28" s="4">
        <v>46246</v>
      </c>
      <c r="D28" s="3" t="s">
        <v>86</v>
      </c>
      <c r="E28" s="5" t="s">
        <v>57</v>
      </c>
      <c r="F28" s="5" t="s">
        <v>89</v>
      </c>
      <c r="G28" s="3" t="s">
        <v>35</v>
      </c>
      <c r="H28" s="3" t="s">
        <v>28</v>
      </c>
      <c r="I28" s="3">
        <v>39</v>
      </c>
      <c r="J28" s="3">
        <v>42</v>
      </c>
      <c r="K28" s="6">
        <f>IFERROR(J28/I28*100,0)</f>
        <v>0</v>
      </c>
      <c r="L28" s="3">
        <v>113</v>
      </c>
      <c r="M28" s="3" t="s">
        <v>16</v>
      </c>
      <c r="N28" s="3" t="s">
        <v>23</v>
      </c>
      <c r="O28" s="3" t="s">
        <v>24</v>
      </c>
    </row>
    <row r="29" spans="1:15">
      <c r="A29" s="3">
        <v>26</v>
      </c>
      <c r="B29" s="3" t="s">
        <v>90</v>
      </c>
      <c r="C29" s="4">
        <v>46235</v>
      </c>
      <c r="D29" s="3" t="s">
        <v>86</v>
      </c>
      <c r="E29" s="5" t="s">
        <v>91</v>
      </c>
      <c r="F29" s="5" t="s">
        <v>92</v>
      </c>
      <c r="G29" s="3" t="s">
        <v>51</v>
      </c>
      <c r="H29" s="3" t="s">
        <v>93</v>
      </c>
      <c r="I29" s="3">
        <v>44</v>
      </c>
      <c r="J29" s="3">
        <v>15</v>
      </c>
      <c r="K29" s="6">
        <f>IFERROR(J29/I29*100,0)</f>
        <v>0</v>
      </c>
      <c r="L29" s="3">
        <v>93</v>
      </c>
      <c r="M29" s="3" t="s">
        <v>47</v>
      </c>
      <c r="N29" s="3" t="s">
        <v>9</v>
      </c>
      <c r="O29" s="3" t="s">
        <v>10</v>
      </c>
    </row>
    <row r="30" spans="1:15">
      <c r="A30" s="3">
        <v>27</v>
      </c>
      <c r="B30" s="3" t="s">
        <v>94</v>
      </c>
      <c r="C30" s="4">
        <v>46249</v>
      </c>
      <c r="D30" s="3" t="s">
        <v>86</v>
      </c>
      <c r="E30" s="5" t="s">
        <v>61</v>
      </c>
      <c r="F30" s="5" t="s">
        <v>58</v>
      </c>
      <c r="G30" s="3" t="s">
        <v>95</v>
      </c>
      <c r="H30" s="3" t="s">
        <v>66</v>
      </c>
      <c r="I30" s="3">
        <v>47</v>
      </c>
      <c r="J30" s="3">
        <v>43</v>
      </c>
      <c r="K30" s="6">
        <f>IFERROR(J30/I30*100,0)</f>
        <v>0</v>
      </c>
      <c r="L30" s="3">
        <v>41</v>
      </c>
      <c r="M30" s="3" t="s">
        <v>16</v>
      </c>
      <c r="N30" s="3" t="s">
        <v>23</v>
      </c>
      <c r="O30" s="3" t="s">
        <v>96</v>
      </c>
    </row>
    <row r="31" spans="1:15">
      <c r="A31" s="3">
        <v>28</v>
      </c>
      <c r="B31" s="3" t="s">
        <v>97</v>
      </c>
      <c r="C31" s="4">
        <v>46249</v>
      </c>
      <c r="D31" s="3" t="s">
        <v>86</v>
      </c>
      <c r="E31" s="5" t="s">
        <v>20</v>
      </c>
      <c r="F31" s="5" t="s">
        <v>92</v>
      </c>
      <c r="G31" s="3" t="s">
        <v>6</v>
      </c>
      <c r="H31" s="3" t="s">
        <v>68</v>
      </c>
      <c r="I31" s="3">
        <v>27</v>
      </c>
      <c r="J31" s="3">
        <v>16</v>
      </c>
      <c r="K31" s="6">
        <f>IFERROR(J31/I31*100,0)</f>
        <v>0</v>
      </c>
      <c r="L31" s="3">
        <v>42</v>
      </c>
      <c r="M31" s="3" t="s">
        <v>47</v>
      </c>
      <c r="N31" s="3" t="s">
        <v>9</v>
      </c>
      <c r="O31" s="3" t="s">
        <v>10</v>
      </c>
    </row>
    <row r="32" spans="1:15">
      <c r="A32" s="3">
        <v>29</v>
      </c>
      <c r="B32" s="3" t="s">
        <v>98</v>
      </c>
      <c r="C32" s="4">
        <v>46255</v>
      </c>
      <c r="D32" s="3" t="s">
        <v>86</v>
      </c>
      <c r="E32" s="5" t="s">
        <v>16</v>
      </c>
      <c r="F32" s="5" t="s">
        <v>5</v>
      </c>
      <c r="G32" s="3" t="s">
        <v>6</v>
      </c>
      <c r="H32" s="3" t="s">
        <v>68</v>
      </c>
      <c r="I32" s="3">
        <v>52</v>
      </c>
      <c r="J32" s="3">
        <v>21</v>
      </c>
      <c r="K32" s="6">
        <f>IFERROR(J32/I32*100,0)</f>
        <v>0</v>
      </c>
      <c r="L32" s="3">
        <v>18</v>
      </c>
      <c r="M32" s="3" t="s">
        <v>99</v>
      </c>
      <c r="N32" s="3" t="s">
        <v>9</v>
      </c>
      <c r="O32" s="3" t="s">
        <v>17</v>
      </c>
    </row>
    <row r="33" spans="1:15">
      <c r="A33" s="3">
        <v>30</v>
      </c>
      <c r="B33" s="3" t="s">
        <v>100</v>
      </c>
      <c r="C33" s="4">
        <v>46254</v>
      </c>
      <c r="D33" s="3" t="s">
        <v>86</v>
      </c>
      <c r="E33" s="5" t="s">
        <v>91</v>
      </c>
      <c r="F33" s="5" t="s">
        <v>58</v>
      </c>
      <c r="G33" s="3" t="s">
        <v>40</v>
      </c>
      <c r="H33" s="3" t="s">
        <v>41</v>
      </c>
      <c r="I33" s="3">
        <v>48</v>
      </c>
      <c r="J33" s="3">
        <v>23</v>
      </c>
      <c r="K33" s="6">
        <f>IFERROR(J33/I33*100,0)</f>
        <v>0</v>
      </c>
      <c r="L33" s="3">
        <v>91</v>
      </c>
      <c r="M33" s="3" t="s">
        <v>16</v>
      </c>
      <c r="N33" s="3" t="s">
        <v>23</v>
      </c>
      <c r="O33" s="3" t="s">
        <v>10</v>
      </c>
    </row>
    <row r="34" spans="1:15">
      <c r="A34" s="3">
        <v>31</v>
      </c>
      <c r="B34" s="3" t="s">
        <v>101</v>
      </c>
      <c r="C34" s="4">
        <v>46292</v>
      </c>
      <c r="D34" s="3" t="s">
        <v>102</v>
      </c>
      <c r="E34" s="5" t="s">
        <v>30</v>
      </c>
      <c r="F34" s="5" t="s">
        <v>46</v>
      </c>
      <c r="G34" s="3" t="s">
        <v>14</v>
      </c>
      <c r="H34" s="3" t="s">
        <v>28</v>
      </c>
      <c r="I34" s="3">
        <v>25</v>
      </c>
      <c r="J34" s="3">
        <v>10</v>
      </c>
      <c r="K34" s="6">
        <f>IFERROR(J34/I34*100,0)</f>
        <v>0</v>
      </c>
      <c r="L34" s="3">
        <v>93</v>
      </c>
      <c r="M34" s="3" t="s">
        <v>33</v>
      </c>
      <c r="N34" s="3" t="s">
        <v>9</v>
      </c>
      <c r="O34" s="3" t="s">
        <v>17</v>
      </c>
    </row>
    <row r="35" spans="1:15">
      <c r="A35" s="3">
        <v>32</v>
      </c>
      <c r="B35" s="3" t="s">
        <v>103</v>
      </c>
      <c r="C35" s="4">
        <v>46287</v>
      </c>
      <c r="D35" s="3" t="s">
        <v>102</v>
      </c>
      <c r="E35" s="5" t="s">
        <v>30</v>
      </c>
      <c r="F35" s="5" t="s">
        <v>58</v>
      </c>
      <c r="G35" s="3" t="s">
        <v>6</v>
      </c>
      <c r="H35" s="3" t="s">
        <v>104</v>
      </c>
      <c r="I35" s="3">
        <v>17</v>
      </c>
      <c r="J35" s="3">
        <v>49</v>
      </c>
      <c r="K35" s="6">
        <f>IFERROR(J35/I35*100,0)</f>
        <v>0</v>
      </c>
      <c r="L35" s="3">
        <v>106</v>
      </c>
      <c r="M35" s="3" t="s">
        <v>99</v>
      </c>
      <c r="N35" s="3" t="s">
        <v>9</v>
      </c>
      <c r="O35" s="3" t="s">
        <v>24</v>
      </c>
    </row>
    <row r="36" spans="1:15">
      <c r="A36" s="3">
        <v>33</v>
      </c>
      <c r="B36" s="3" t="s">
        <v>105</v>
      </c>
      <c r="C36" s="4">
        <v>46297</v>
      </c>
      <c r="D36" s="3" t="s">
        <v>106</v>
      </c>
      <c r="E36" s="5" t="s">
        <v>57</v>
      </c>
      <c r="F36" s="5" t="s">
        <v>13</v>
      </c>
      <c r="G36" s="3" t="s">
        <v>21</v>
      </c>
      <c r="H36" s="3" t="s">
        <v>68</v>
      </c>
      <c r="I36" s="3">
        <v>50</v>
      </c>
      <c r="J36" s="3">
        <v>32</v>
      </c>
      <c r="K36" s="6">
        <f>IFERROR(J36/I36*100,0)</f>
        <v>0</v>
      </c>
      <c r="L36" s="3">
        <v>34</v>
      </c>
      <c r="M36" s="3" t="s">
        <v>33</v>
      </c>
      <c r="N36" s="3" t="s">
        <v>23</v>
      </c>
      <c r="O36" s="3" t="s">
        <v>24</v>
      </c>
    </row>
    <row r="37" spans="1:15">
      <c r="A37" s="3">
        <v>34</v>
      </c>
      <c r="B37" s="3" t="s">
        <v>107</v>
      </c>
      <c r="C37" s="4">
        <v>46320</v>
      </c>
      <c r="D37" s="3" t="s">
        <v>106</v>
      </c>
      <c r="E37" s="5" t="s">
        <v>38</v>
      </c>
      <c r="F37" s="5" t="s">
        <v>46</v>
      </c>
      <c r="G37" s="3" t="s">
        <v>35</v>
      </c>
      <c r="H37" s="3" t="s">
        <v>66</v>
      </c>
      <c r="I37" s="3">
        <v>44</v>
      </c>
      <c r="J37" s="3">
        <v>24</v>
      </c>
      <c r="K37" s="6">
        <f>IFERROR(J37/I37*100,0)</f>
        <v>0</v>
      </c>
      <c r="L37" s="3">
        <v>75</v>
      </c>
      <c r="M37" s="3" t="s">
        <v>8</v>
      </c>
      <c r="N37" s="3" t="s">
        <v>9</v>
      </c>
      <c r="O37" s="3" t="s">
        <v>24</v>
      </c>
    </row>
    <row r="38" spans="1:15">
      <c r="A38" s="3">
        <v>35</v>
      </c>
      <c r="B38" s="3" t="s">
        <v>108</v>
      </c>
      <c r="C38" s="4">
        <v>46303</v>
      </c>
      <c r="D38" s="3" t="s">
        <v>106</v>
      </c>
      <c r="E38" s="5" t="s">
        <v>20</v>
      </c>
      <c r="F38" s="5" t="s">
        <v>92</v>
      </c>
      <c r="G38" s="3" t="s">
        <v>40</v>
      </c>
      <c r="H38" s="3" t="s">
        <v>7</v>
      </c>
      <c r="I38" s="3">
        <v>22</v>
      </c>
      <c r="J38" s="3">
        <v>51</v>
      </c>
      <c r="K38" s="6">
        <f>IFERROR(J38/I38*100,0)</f>
        <v>0</v>
      </c>
      <c r="L38" s="3">
        <v>37</v>
      </c>
      <c r="M38" s="3" t="s">
        <v>33</v>
      </c>
      <c r="N38" s="3" t="s">
        <v>9</v>
      </c>
      <c r="O38" s="3" t="s">
        <v>96</v>
      </c>
    </row>
    <row r="39" spans="1:15">
      <c r="A39" s="3">
        <v>36</v>
      </c>
      <c r="B39" s="3" t="s">
        <v>109</v>
      </c>
      <c r="C39" s="4">
        <v>46322</v>
      </c>
      <c r="D39" s="3" t="s">
        <v>106</v>
      </c>
      <c r="E39" s="5" t="s">
        <v>57</v>
      </c>
      <c r="F39" s="5" t="s">
        <v>92</v>
      </c>
      <c r="G39" s="3" t="s">
        <v>31</v>
      </c>
      <c r="H39" s="3" t="s">
        <v>66</v>
      </c>
      <c r="I39" s="3">
        <v>26</v>
      </c>
      <c r="J39" s="3">
        <v>26</v>
      </c>
      <c r="K39" s="6">
        <f>IFERROR(J39/I39*100,0)</f>
        <v>0</v>
      </c>
      <c r="L39" s="3">
        <v>23</v>
      </c>
      <c r="M39" s="3" t="s">
        <v>33</v>
      </c>
      <c r="N39" s="3" t="s">
        <v>23</v>
      </c>
      <c r="O39" s="3" t="s">
        <v>17</v>
      </c>
    </row>
    <row r="40" spans="1:15">
      <c r="A40" s="3">
        <v>37</v>
      </c>
      <c r="B40" s="3" t="s">
        <v>110</v>
      </c>
      <c r="C40" s="4">
        <v>46342</v>
      </c>
      <c r="D40" s="3" t="s">
        <v>111</v>
      </c>
      <c r="E40" s="5" t="s">
        <v>57</v>
      </c>
      <c r="F40" s="5" t="s">
        <v>13</v>
      </c>
      <c r="G40" s="3" t="s">
        <v>6</v>
      </c>
      <c r="H40" s="3" t="s">
        <v>78</v>
      </c>
      <c r="I40" s="3">
        <v>52</v>
      </c>
      <c r="J40" s="3">
        <v>29</v>
      </c>
      <c r="K40" s="6">
        <f>IFERROR(J40/I40*100,0)</f>
        <v>0</v>
      </c>
      <c r="L40" s="3">
        <v>85</v>
      </c>
      <c r="M40" s="3" t="s">
        <v>55</v>
      </c>
      <c r="N40" s="3" t="s">
        <v>23</v>
      </c>
      <c r="O40" s="3" t="s">
        <v>96</v>
      </c>
    </row>
    <row r="41" spans="1:15">
      <c r="A41" s="3">
        <v>38</v>
      </c>
      <c r="B41" s="3" t="s">
        <v>112</v>
      </c>
      <c r="C41" s="4">
        <v>46328</v>
      </c>
      <c r="D41" s="3" t="s">
        <v>111</v>
      </c>
      <c r="E41" s="5" t="s">
        <v>12</v>
      </c>
      <c r="F41" s="5" t="s">
        <v>65</v>
      </c>
      <c r="G41" s="3" t="s">
        <v>51</v>
      </c>
      <c r="H41" s="3" t="s">
        <v>68</v>
      </c>
      <c r="I41" s="3">
        <v>16</v>
      </c>
      <c r="J41" s="3">
        <v>38</v>
      </c>
      <c r="K41" s="6">
        <f>IFERROR(J41/I41*100,0)</f>
        <v>0</v>
      </c>
      <c r="L41" s="3">
        <v>103</v>
      </c>
      <c r="M41" s="3" t="s">
        <v>55</v>
      </c>
      <c r="N41" s="3" t="s">
        <v>23</v>
      </c>
      <c r="O41" s="3" t="s">
        <v>96</v>
      </c>
    </row>
    <row r="42" spans="1:15">
      <c r="A42" s="3">
        <v>39</v>
      </c>
      <c r="B42" s="3" t="s">
        <v>113</v>
      </c>
      <c r="C42" s="4">
        <v>46338</v>
      </c>
      <c r="D42" s="3" t="s">
        <v>111</v>
      </c>
      <c r="E42" s="5" t="s">
        <v>91</v>
      </c>
      <c r="F42" s="5" t="s">
        <v>27</v>
      </c>
      <c r="G42" s="3" t="s">
        <v>6</v>
      </c>
      <c r="H42" s="3" t="s">
        <v>28</v>
      </c>
      <c r="I42" s="3">
        <v>30</v>
      </c>
      <c r="J42" s="3">
        <v>53</v>
      </c>
      <c r="K42" s="6">
        <f>IFERROR(J42/I42*100,0)</f>
        <v>0</v>
      </c>
      <c r="L42" s="3">
        <v>53</v>
      </c>
      <c r="M42" s="3" t="s">
        <v>16</v>
      </c>
      <c r="N42" s="3" t="s">
        <v>23</v>
      </c>
      <c r="O42" s="3" t="s">
        <v>10</v>
      </c>
    </row>
    <row r="43" spans="1:15">
      <c r="A43" s="3">
        <v>40</v>
      </c>
      <c r="B43" s="3" t="s">
        <v>114</v>
      </c>
      <c r="C43" s="4">
        <v>46333</v>
      </c>
      <c r="D43" s="3" t="s">
        <v>111</v>
      </c>
      <c r="E43" s="5" t="s">
        <v>38</v>
      </c>
      <c r="F43" s="5" t="s">
        <v>46</v>
      </c>
      <c r="G43" s="3" t="s">
        <v>21</v>
      </c>
      <c r="H43" s="3" t="s">
        <v>7</v>
      </c>
      <c r="I43" s="3">
        <v>18</v>
      </c>
      <c r="J43" s="3">
        <v>51</v>
      </c>
      <c r="K43" s="6">
        <f>IFERROR(J43/I43*100,0)</f>
        <v>0</v>
      </c>
      <c r="L43" s="3">
        <v>82</v>
      </c>
      <c r="M43" s="3" t="s">
        <v>47</v>
      </c>
      <c r="N43" s="3" t="s">
        <v>9</v>
      </c>
      <c r="O43" s="3" t="s">
        <v>42</v>
      </c>
    </row>
    <row r="44" spans="1:15">
      <c r="A44" s="3">
        <v>41</v>
      </c>
      <c r="B44" s="3" t="s">
        <v>115</v>
      </c>
      <c r="C44" s="4">
        <v>46354</v>
      </c>
      <c r="D44" s="3" t="s">
        <v>111</v>
      </c>
      <c r="E44" s="5" t="s">
        <v>16</v>
      </c>
      <c r="F44" s="5" t="s">
        <v>39</v>
      </c>
      <c r="G44" s="3" t="s">
        <v>80</v>
      </c>
      <c r="H44" s="3" t="s">
        <v>78</v>
      </c>
      <c r="I44" s="3">
        <v>44</v>
      </c>
      <c r="J44" s="3">
        <v>36</v>
      </c>
      <c r="K44" s="6">
        <f>IFERROR(J44/I44*100,0)</f>
        <v>0</v>
      </c>
      <c r="L44" s="3">
        <v>25</v>
      </c>
      <c r="M44" s="3" t="s">
        <v>16</v>
      </c>
      <c r="N44" s="3" t="s">
        <v>23</v>
      </c>
      <c r="O44" s="3" t="s">
        <v>42</v>
      </c>
    </row>
    <row r="45" spans="1:15">
      <c r="A45" s="3">
        <v>42</v>
      </c>
      <c r="B45" s="3" t="s">
        <v>116</v>
      </c>
      <c r="C45" s="4">
        <v>46338</v>
      </c>
      <c r="D45" s="3" t="s">
        <v>111</v>
      </c>
      <c r="E45" s="5" t="s">
        <v>64</v>
      </c>
      <c r="F45" s="5" t="s">
        <v>13</v>
      </c>
      <c r="G45" s="3" t="s">
        <v>80</v>
      </c>
      <c r="H45" s="3" t="s">
        <v>78</v>
      </c>
      <c r="I45" s="3">
        <v>28</v>
      </c>
      <c r="J45" s="3">
        <v>32</v>
      </c>
      <c r="K45" s="6">
        <f>IFERROR(J45/I45*100,0)</f>
        <v>0</v>
      </c>
      <c r="L45" s="3">
        <v>22</v>
      </c>
      <c r="M45" s="3" t="s">
        <v>55</v>
      </c>
      <c r="N45" s="3" t="s">
        <v>23</v>
      </c>
      <c r="O45" s="3" t="s">
        <v>10</v>
      </c>
    </row>
    <row r="46" spans="1:15">
      <c r="A46" s="3">
        <v>43</v>
      </c>
      <c r="B46" s="3" t="s">
        <v>117</v>
      </c>
      <c r="C46" s="4">
        <v>46344</v>
      </c>
      <c r="D46" s="3" t="s">
        <v>111</v>
      </c>
      <c r="E46" s="5" t="s">
        <v>57</v>
      </c>
      <c r="F46" s="5" t="s">
        <v>50</v>
      </c>
      <c r="G46" s="3" t="s">
        <v>95</v>
      </c>
      <c r="H46" s="3" t="s">
        <v>104</v>
      </c>
      <c r="I46" s="3">
        <v>11</v>
      </c>
      <c r="J46" s="3">
        <v>11</v>
      </c>
      <c r="K46" s="6">
        <f>IFERROR(J46/I46*100,0)</f>
        <v>0</v>
      </c>
      <c r="L46" s="3">
        <v>50</v>
      </c>
      <c r="M46" s="3" t="s">
        <v>8</v>
      </c>
      <c r="N46" s="3" t="s">
        <v>23</v>
      </c>
      <c r="O46" s="3" t="s">
        <v>96</v>
      </c>
    </row>
    <row r="47" spans="1:15">
      <c r="A47" s="3">
        <v>44</v>
      </c>
      <c r="B47" s="3" t="s">
        <v>118</v>
      </c>
      <c r="C47" s="4">
        <v>46343</v>
      </c>
      <c r="D47" s="3" t="s">
        <v>111</v>
      </c>
      <c r="E47" s="5" t="s">
        <v>91</v>
      </c>
      <c r="F47" s="5" t="s">
        <v>5</v>
      </c>
      <c r="G47" s="3" t="s">
        <v>21</v>
      </c>
      <c r="H47" s="3" t="s">
        <v>22</v>
      </c>
      <c r="I47" s="3">
        <v>10</v>
      </c>
      <c r="J47" s="3">
        <v>50</v>
      </c>
      <c r="K47" s="6">
        <f>IFERROR(J47/I47*100,0)</f>
        <v>0</v>
      </c>
      <c r="L47" s="3">
        <v>46</v>
      </c>
      <c r="M47" s="3" t="s">
        <v>16</v>
      </c>
      <c r="N47" s="3" t="s">
        <v>9</v>
      </c>
      <c r="O47" s="3" t="s">
        <v>42</v>
      </c>
    </row>
    <row r="48" spans="1:15">
      <c r="A48" s="3">
        <v>45</v>
      </c>
      <c r="B48" s="3" t="s">
        <v>119</v>
      </c>
      <c r="C48" s="4">
        <v>46343</v>
      </c>
      <c r="D48" s="3" t="s">
        <v>111</v>
      </c>
      <c r="E48" s="5" t="s">
        <v>38</v>
      </c>
      <c r="F48" s="5" t="s">
        <v>39</v>
      </c>
      <c r="G48" s="3" t="s">
        <v>40</v>
      </c>
      <c r="H48" s="3" t="s">
        <v>32</v>
      </c>
      <c r="I48" s="3">
        <v>33</v>
      </c>
      <c r="J48" s="3">
        <v>60</v>
      </c>
      <c r="K48" s="6">
        <f>IFERROR(J48/I48*100,0)</f>
        <v>0</v>
      </c>
      <c r="L48" s="3">
        <v>44</v>
      </c>
      <c r="M48" s="3" t="s">
        <v>8</v>
      </c>
      <c r="N48" s="3" t="s">
        <v>23</v>
      </c>
      <c r="O48" s="3" t="s">
        <v>17</v>
      </c>
    </row>
    <row r="49" spans="1:15">
      <c r="A49" s="3">
        <v>46</v>
      </c>
      <c r="B49" s="3" t="s">
        <v>120</v>
      </c>
      <c r="C49" s="4">
        <v>46342</v>
      </c>
      <c r="D49" s="3" t="s">
        <v>111</v>
      </c>
      <c r="E49" s="5" t="s">
        <v>12</v>
      </c>
      <c r="F49" s="5" t="s">
        <v>50</v>
      </c>
      <c r="G49" s="3" t="s">
        <v>6</v>
      </c>
      <c r="H49" s="3" t="s">
        <v>66</v>
      </c>
      <c r="I49" s="3">
        <v>56</v>
      </c>
      <c r="J49" s="3">
        <v>43</v>
      </c>
      <c r="K49" s="6">
        <f>IFERROR(J49/I49*100,0)</f>
        <v>0</v>
      </c>
      <c r="L49" s="3">
        <v>18</v>
      </c>
      <c r="M49" s="3" t="s">
        <v>47</v>
      </c>
      <c r="N49" s="3" t="s">
        <v>23</v>
      </c>
      <c r="O49" s="3" t="s">
        <v>24</v>
      </c>
    </row>
    <row r="50" spans="1:15">
      <c r="A50" s="3">
        <v>47</v>
      </c>
      <c r="B50" s="3" t="s">
        <v>121</v>
      </c>
      <c r="C50" s="4">
        <v>46373</v>
      </c>
      <c r="D50" s="3" t="s">
        <v>122</v>
      </c>
      <c r="E50" s="5" t="s">
        <v>38</v>
      </c>
      <c r="F50" s="5" t="s">
        <v>92</v>
      </c>
      <c r="G50" s="3" t="s">
        <v>14</v>
      </c>
      <c r="H50" s="3" t="s">
        <v>78</v>
      </c>
      <c r="I50" s="3">
        <v>40</v>
      </c>
      <c r="J50" s="3">
        <v>19</v>
      </c>
      <c r="K50" s="6">
        <f>IFERROR(J50/I50*100,0)</f>
        <v>0</v>
      </c>
      <c r="L50" s="3">
        <v>76</v>
      </c>
      <c r="M50" s="3" t="s">
        <v>47</v>
      </c>
      <c r="N50" s="3" t="s">
        <v>9</v>
      </c>
      <c r="O50" s="3" t="s">
        <v>96</v>
      </c>
    </row>
    <row r="51" spans="1:15">
      <c r="A51" s="3">
        <v>48</v>
      </c>
      <c r="B51" s="3" t="s">
        <v>123</v>
      </c>
      <c r="C51" s="4">
        <v>46373</v>
      </c>
      <c r="D51" s="3" t="s">
        <v>122</v>
      </c>
      <c r="E51" s="5" t="s">
        <v>45</v>
      </c>
      <c r="F51" s="5" t="s">
        <v>65</v>
      </c>
      <c r="G51" s="3" t="s">
        <v>40</v>
      </c>
      <c r="H51" s="3" t="s">
        <v>15</v>
      </c>
      <c r="I51" s="3">
        <v>20</v>
      </c>
      <c r="J51" s="3">
        <v>18</v>
      </c>
      <c r="K51" s="6">
        <f>IFERROR(J51/I51*100,0)</f>
        <v>0</v>
      </c>
      <c r="L51" s="3">
        <v>115</v>
      </c>
      <c r="M51" s="3" t="s">
        <v>8</v>
      </c>
      <c r="N51" s="3" t="s">
        <v>23</v>
      </c>
      <c r="O51" s="3" t="s">
        <v>24</v>
      </c>
    </row>
  </sheetData>
  <mergeCells count="2">
    <mergeCell ref="A1:O1"/>
    <mergeCell ref="A2:O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5.7109375" customWidth="1"/>
    <col min="6" max="6" width="12.7109375" customWidth="1"/>
    <col min="7" max="7" width="10.7109375" customWidth="1"/>
    <col min="8" max="9" width="13.7109375" customWidth="1"/>
    <col min="10" max="10" width="12.7109375" customWidth="1"/>
    <col min="11" max="11" width="20.7109375" customWidth="1"/>
    <col min="12" max="13" width="17.7109375" customWidth="1"/>
    <col min="14" max="14" width="22.7109375" customWidth="1"/>
    <col min="15" max="15" width="12.7109375" customWidth="1"/>
  </cols>
  <sheetData>
    <row r="1" spans="1:17" ht="22" customHeight="1">
      <c r="A1" s="1" t="s">
        <v>140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206</v>
      </c>
      <c r="C3" t="s">
        <v>126</v>
      </c>
      <c r="D3" t="s">
        <v>127</v>
      </c>
      <c r="E3" t="s">
        <v>207</v>
      </c>
      <c r="F3" t="s">
        <v>129</v>
      </c>
      <c r="G3" t="s">
        <v>130</v>
      </c>
      <c r="H3" t="s">
        <v>208</v>
      </c>
      <c r="I3" t="s">
        <v>209</v>
      </c>
      <c r="J3" t="s">
        <v>210</v>
      </c>
      <c r="K3" t="s">
        <v>211</v>
      </c>
      <c r="L3" t="s">
        <v>212</v>
      </c>
      <c r="M3" t="s">
        <v>213</v>
      </c>
      <c r="N3" t="s">
        <v>214</v>
      </c>
      <c r="O3" t="s">
        <v>215</v>
      </c>
    </row>
    <row r="4" spans="1:17">
      <c r="A4" s="3">
        <v>1</v>
      </c>
      <c r="B4" s="3" t="s">
        <v>141</v>
      </c>
      <c r="C4" s="4">
        <v>46066</v>
      </c>
      <c r="D4" s="3" t="s">
        <v>19</v>
      </c>
      <c r="E4" s="5" t="s">
        <v>61</v>
      </c>
      <c r="F4" s="5" t="s">
        <v>65</v>
      </c>
      <c r="G4" s="3" t="s">
        <v>80</v>
      </c>
      <c r="H4" s="3" t="s">
        <v>15</v>
      </c>
      <c r="I4" s="3" t="s">
        <v>70</v>
      </c>
      <c r="J4" s="3" t="s">
        <v>142</v>
      </c>
      <c r="K4" s="3">
        <v>7</v>
      </c>
      <c r="L4" s="3" t="s">
        <v>143</v>
      </c>
      <c r="M4" s="3" t="s">
        <v>144</v>
      </c>
      <c r="N4" s="3" t="s">
        <v>26</v>
      </c>
      <c r="O4" s="3" t="s">
        <v>145</v>
      </c>
    </row>
    <row r="5" spans="1:17">
      <c r="A5" s="3">
        <v>2</v>
      </c>
      <c r="B5" s="3" t="s">
        <v>146</v>
      </c>
      <c r="C5" s="4">
        <v>46058</v>
      </c>
      <c r="D5" s="3" t="s">
        <v>19</v>
      </c>
      <c r="E5" s="5" t="s">
        <v>4</v>
      </c>
      <c r="F5" s="5" t="s">
        <v>5</v>
      </c>
      <c r="G5" s="3" t="s">
        <v>51</v>
      </c>
      <c r="H5" s="3" t="s">
        <v>104</v>
      </c>
      <c r="I5" s="3" t="s">
        <v>93</v>
      </c>
      <c r="J5" s="3" t="s">
        <v>142</v>
      </c>
      <c r="K5" s="3">
        <v>4</v>
      </c>
      <c r="L5" s="3" t="s">
        <v>143</v>
      </c>
      <c r="M5" s="3" t="s">
        <v>147</v>
      </c>
      <c r="N5" s="3" t="s">
        <v>38</v>
      </c>
      <c r="O5" s="3" t="s">
        <v>148</v>
      </c>
    </row>
    <row r="6" spans="1:17">
      <c r="A6" s="3">
        <v>3</v>
      </c>
      <c r="B6" s="3" t="s">
        <v>149</v>
      </c>
      <c r="C6" s="4">
        <v>46081</v>
      </c>
      <c r="D6" s="3" t="s">
        <v>19</v>
      </c>
      <c r="E6" s="5" t="s">
        <v>20</v>
      </c>
      <c r="F6" s="5" t="s">
        <v>13</v>
      </c>
      <c r="G6" s="3" t="s">
        <v>14</v>
      </c>
      <c r="H6" s="3" t="s">
        <v>41</v>
      </c>
      <c r="I6" s="3" t="s">
        <v>28</v>
      </c>
      <c r="J6" s="3" t="s">
        <v>142</v>
      </c>
      <c r="K6" s="3">
        <v>5</v>
      </c>
      <c r="L6" s="3" t="s">
        <v>150</v>
      </c>
      <c r="M6" s="3" t="s">
        <v>144</v>
      </c>
      <c r="N6" s="3" t="s">
        <v>45</v>
      </c>
      <c r="O6" s="3" t="s">
        <v>148</v>
      </c>
    </row>
    <row r="7" spans="1:17">
      <c r="A7" s="3">
        <v>4</v>
      </c>
      <c r="B7" s="3" t="s">
        <v>151</v>
      </c>
      <c r="C7" s="4">
        <v>46087</v>
      </c>
      <c r="D7" s="3" t="s">
        <v>44</v>
      </c>
      <c r="E7" s="5" t="s">
        <v>45</v>
      </c>
      <c r="F7" s="5" t="s">
        <v>27</v>
      </c>
      <c r="G7" s="3" t="s">
        <v>6</v>
      </c>
      <c r="H7" s="3" t="s">
        <v>15</v>
      </c>
      <c r="I7" s="3" t="s">
        <v>32</v>
      </c>
      <c r="J7" s="3" t="s">
        <v>142</v>
      </c>
      <c r="K7" s="3">
        <v>0</v>
      </c>
      <c r="L7" s="3" t="s">
        <v>150</v>
      </c>
      <c r="M7" s="3" t="s">
        <v>152</v>
      </c>
      <c r="N7" s="3" t="s">
        <v>12</v>
      </c>
      <c r="O7" s="3" t="s">
        <v>145</v>
      </c>
    </row>
    <row r="8" spans="1:17">
      <c r="A8" s="3">
        <v>5</v>
      </c>
      <c r="B8" s="3" t="s">
        <v>153</v>
      </c>
      <c r="C8" s="4">
        <v>46082</v>
      </c>
      <c r="D8" s="3" t="s">
        <v>44</v>
      </c>
      <c r="E8" s="5" t="s">
        <v>30</v>
      </c>
      <c r="F8" s="5" t="s">
        <v>46</v>
      </c>
      <c r="G8" s="3" t="s">
        <v>31</v>
      </c>
      <c r="H8" s="3" t="s">
        <v>36</v>
      </c>
      <c r="I8" s="3" t="s">
        <v>22</v>
      </c>
      <c r="J8" s="3" t="s">
        <v>154</v>
      </c>
      <c r="K8" s="3">
        <v>3</v>
      </c>
      <c r="L8" s="3" t="s">
        <v>150</v>
      </c>
      <c r="M8" s="3" t="s">
        <v>155</v>
      </c>
      <c r="N8" s="3" t="s">
        <v>20</v>
      </c>
      <c r="O8" s="3" t="s">
        <v>148</v>
      </c>
    </row>
    <row r="9" spans="1:17">
      <c r="A9" s="3">
        <v>6</v>
      </c>
      <c r="B9" s="3" t="s">
        <v>156</v>
      </c>
      <c r="C9" s="4">
        <v>46106</v>
      </c>
      <c r="D9" s="3" t="s">
        <v>44</v>
      </c>
      <c r="E9" s="5" t="s">
        <v>26</v>
      </c>
      <c r="F9" s="5" t="s">
        <v>65</v>
      </c>
      <c r="G9" s="3" t="s">
        <v>6</v>
      </c>
      <c r="H9" s="3" t="s">
        <v>62</v>
      </c>
      <c r="I9" s="3" t="s">
        <v>22</v>
      </c>
      <c r="J9" s="3" t="s">
        <v>142</v>
      </c>
      <c r="K9" s="3">
        <v>1</v>
      </c>
      <c r="L9" s="3" t="s">
        <v>157</v>
      </c>
      <c r="M9" s="3" t="s">
        <v>144</v>
      </c>
      <c r="N9" s="3" t="s">
        <v>91</v>
      </c>
      <c r="O9" s="3" t="s">
        <v>145</v>
      </c>
    </row>
    <row r="10" spans="1:17">
      <c r="A10" s="3">
        <v>7</v>
      </c>
      <c r="B10" s="3" t="s">
        <v>158</v>
      </c>
      <c r="C10" s="4">
        <v>46090</v>
      </c>
      <c r="D10" s="3" t="s">
        <v>44</v>
      </c>
      <c r="E10" s="5" t="s">
        <v>38</v>
      </c>
      <c r="F10" s="5" t="s">
        <v>13</v>
      </c>
      <c r="G10" s="3" t="s">
        <v>31</v>
      </c>
      <c r="H10" s="3" t="s">
        <v>66</v>
      </c>
      <c r="I10" s="3" t="s">
        <v>28</v>
      </c>
      <c r="J10" s="3" t="s">
        <v>159</v>
      </c>
      <c r="K10" s="3">
        <v>0</v>
      </c>
      <c r="L10" s="3" t="s">
        <v>160</v>
      </c>
      <c r="M10" s="3" t="s">
        <v>144</v>
      </c>
      <c r="N10" s="3" t="s">
        <v>16</v>
      </c>
      <c r="O10" s="3" t="s">
        <v>148</v>
      </c>
    </row>
    <row r="11" spans="1:17">
      <c r="A11" s="3">
        <v>8</v>
      </c>
      <c r="B11" s="3" t="s">
        <v>161</v>
      </c>
      <c r="C11" s="4">
        <v>46102</v>
      </c>
      <c r="D11" s="3" t="s">
        <v>44</v>
      </c>
      <c r="E11" s="5" t="s">
        <v>57</v>
      </c>
      <c r="F11" s="5" t="s">
        <v>65</v>
      </c>
      <c r="G11" s="3" t="s">
        <v>35</v>
      </c>
      <c r="H11" s="3" t="s">
        <v>41</v>
      </c>
      <c r="I11" s="3" t="s">
        <v>78</v>
      </c>
      <c r="J11" s="3" t="s">
        <v>162</v>
      </c>
      <c r="K11" s="3">
        <v>8</v>
      </c>
      <c r="L11" s="3" t="s">
        <v>163</v>
      </c>
      <c r="M11" s="3" t="s">
        <v>155</v>
      </c>
      <c r="N11" s="3" t="s">
        <v>26</v>
      </c>
      <c r="O11" s="3" t="s">
        <v>145</v>
      </c>
    </row>
    <row r="12" spans="1:17">
      <c r="A12" s="3">
        <v>9</v>
      </c>
      <c r="B12" s="3" t="s">
        <v>164</v>
      </c>
      <c r="C12" s="4">
        <v>46096</v>
      </c>
      <c r="D12" s="3" t="s">
        <v>44</v>
      </c>
      <c r="E12" s="5" t="s">
        <v>30</v>
      </c>
      <c r="F12" s="5" t="s">
        <v>89</v>
      </c>
      <c r="G12" s="3" t="s">
        <v>77</v>
      </c>
      <c r="H12" s="3" t="s">
        <v>93</v>
      </c>
      <c r="I12" s="3" t="s">
        <v>28</v>
      </c>
      <c r="J12" s="3" t="s">
        <v>142</v>
      </c>
      <c r="K12" s="3">
        <v>7</v>
      </c>
      <c r="L12" s="3" t="s">
        <v>157</v>
      </c>
      <c r="M12" s="3" t="s">
        <v>152</v>
      </c>
      <c r="N12" s="3" t="s">
        <v>54</v>
      </c>
      <c r="O12" s="3" t="s">
        <v>165</v>
      </c>
    </row>
    <row r="13" spans="1:17">
      <c r="A13" s="3">
        <v>10</v>
      </c>
      <c r="B13" s="3" t="s">
        <v>166</v>
      </c>
      <c r="C13" s="4">
        <v>46130</v>
      </c>
      <c r="D13" s="3" t="s">
        <v>53</v>
      </c>
      <c r="E13" s="5" t="s">
        <v>61</v>
      </c>
      <c r="F13" s="5" t="s">
        <v>39</v>
      </c>
      <c r="G13" s="3" t="s">
        <v>14</v>
      </c>
      <c r="H13" s="3" t="s">
        <v>104</v>
      </c>
      <c r="I13" s="3" t="s">
        <v>66</v>
      </c>
      <c r="J13" s="3" t="s">
        <v>159</v>
      </c>
      <c r="K13" s="3">
        <v>5</v>
      </c>
      <c r="L13" s="3" t="s">
        <v>163</v>
      </c>
      <c r="M13" s="3" t="s">
        <v>152</v>
      </c>
      <c r="N13" s="3" t="s">
        <v>26</v>
      </c>
      <c r="O13" s="3" t="s">
        <v>148</v>
      </c>
    </row>
    <row r="14" spans="1:17">
      <c r="A14" s="3">
        <v>11</v>
      </c>
      <c r="B14" s="3" t="s">
        <v>167</v>
      </c>
      <c r="C14" s="4">
        <v>46118</v>
      </c>
      <c r="D14" s="3" t="s">
        <v>53</v>
      </c>
      <c r="E14" s="5" t="s">
        <v>16</v>
      </c>
      <c r="F14" s="5" t="s">
        <v>5</v>
      </c>
      <c r="G14" s="3" t="s">
        <v>6</v>
      </c>
      <c r="H14" s="3" t="s">
        <v>62</v>
      </c>
      <c r="I14" s="3" t="s">
        <v>41</v>
      </c>
      <c r="J14" s="3" t="s">
        <v>142</v>
      </c>
      <c r="K14" s="3">
        <v>7</v>
      </c>
      <c r="L14" s="3" t="s">
        <v>163</v>
      </c>
      <c r="M14" s="3" t="s">
        <v>155</v>
      </c>
      <c r="N14" s="3" t="s">
        <v>49</v>
      </c>
      <c r="O14" s="3" t="s">
        <v>165</v>
      </c>
    </row>
    <row r="15" spans="1:17">
      <c r="A15" s="3">
        <v>12</v>
      </c>
      <c r="B15" s="3" t="s">
        <v>168</v>
      </c>
      <c r="C15" s="4">
        <v>46119</v>
      </c>
      <c r="D15" s="3" t="s">
        <v>53</v>
      </c>
      <c r="E15" s="5" t="s">
        <v>20</v>
      </c>
      <c r="F15" s="5" t="s">
        <v>50</v>
      </c>
      <c r="G15" s="3" t="s">
        <v>6</v>
      </c>
      <c r="H15" s="3" t="s">
        <v>66</v>
      </c>
      <c r="I15" s="3" t="s">
        <v>62</v>
      </c>
      <c r="J15" s="3" t="s">
        <v>159</v>
      </c>
      <c r="K15" s="3">
        <v>4</v>
      </c>
      <c r="L15" s="3" t="s">
        <v>169</v>
      </c>
      <c r="M15" s="3" t="s">
        <v>147</v>
      </c>
      <c r="N15" s="3" t="s">
        <v>49</v>
      </c>
      <c r="O15" s="3" t="s">
        <v>148</v>
      </c>
    </row>
    <row r="16" spans="1:17">
      <c r="A16" s="3">
        <v>13</v>
      </c>
      <c r="B16" s="3" t="s">
        <v>170</v>
      </c>
      <c r="C16" s="4">
        <v>46120</v>
      </c>
      <c r="D16" s="3" t="s">
        <v>53</v>
      </c>
      <c r="E16" s="5" t="s">
        <v>4</v>
      </c>
      <c r="F16" s="5" t="s">
        <v>46</v>
      </c>
      <c r="G16" s="3" t="s">
        <v>31</v>
      </c>
      <c r="H16" s="3" t="s">
        <v>66</v>
      </c>
      <c r="I16" s="3" t="s">
        <v>62</v>
      </c>
      <c r="J16" s="3" t="s">
        <v>154</v>
      </c>
      <c r="K16" s="3">
        <v>6</v>
      </c>
      <c r="L16" s="3" t="s">
        <v>169</v>
      </c>
      <c r="M16" s="3" t="s">
        <v>147</v>
      </c>
      <c r="N16" s="3" t="s">
        <v>54</v>
      </c>
      <c r="O16" s="3" t="s">
        <v>145</v>
      </c>
    </row>
    <row r="17" spans="1:15">
      <c r="A17" s="3">
        <v>14</v>
      </c>
      <c r="B17" s="3" t="s">
        <v>171</v>
      </c>
      <c r="C17" s="4">
        <v>46114</v>
      </c>
      <c r="D17" s="3" t="s">
        <v>53</v>
      </c>
      <c r="E17" s="5" t="s">
        <v>30</v>
      </c>
      <c r="F17" s="5" t="s">
        <v>65</v>
      </c>
      <c r="G17" s="3" t="s">
        <v>95</v>
      </c>
      <c r="H17" s="3" t="s">
        <v>62</v>
      </c>
      <c r="I17" s="3" t="s">
        <v>36</v>
      </c>
      <c r="J17" s="3" t="s">
        <v>154</v>
      </c>
      <c r="K17" s="3">
        <v>1</v>
      </c>
      <c r="L17" s="3" t="s">
        <v>150</v>
      </c>
      <c r="M17" s="3" t="s">
        <v>144</v>
      </c>
      <c r="N17" s="3" t="s">
        <v>91</v>
      </c>
      <c r="O17" s="3" t="s">
        <v>165</v>
      </c>
    </row>
    <row r="18" spans="1:15">
      <c r="A18" s="3">
        <v>15</v>
      </c>
      <c r="B18" s="3" t="s">
        <v>172</v>
      </c>
      <c r="C18" s="4">
        <v>46144</v>
      </c>
      <c r="D18" s="3" t="s">
        <v>60</v>
      </c>
      <c r="E18" s="5" t="s">
        <v>61</v>
      </c>
      <c r="F18" s="5" t="s">
        <v>92</v>
      </c>
      <c r="G18" s="3" t="s">
        <v>87</v>
      </c>
      <c r="H18" s="3" t="s">
        <v>70</v>
      </c>
      <c r="I18" s="3" t="s">
        <v>62</v>
      </c>
      <c r="J18" s="3" t="s">
        <v>154</v>
      </c>
      <c r="K18" s="3">
        <v>1</v>
      </c>
      <c r="L18" s="3" t="s">
        <v>163</v>
      </c>
      <c r="M18" s="3" t="s">
        <v>147</v>
      </c>
      <c r="N18" s="3" t="s">
        <v>61</v>
      </c>
      <c r="O18" s="3" t="s">
        <v>145</v>
      </c>
    </row>
    <row r="19" spans="1:15">
      <c r="A19" s="3">
        <v>16</v>
      </c>
      <c r="B19" s="3" t="s">
        <v>173</v>
      </c>
      <c r="C19" s="4">
        <v>46174</v>
      </c>
      <c r="D19" s="3" t="s">
        <v>73</v>
      </c>
      <c r="E19" s="5" t="s">
        <v>30</v>
      </c>
      <c r="F19" s="5" t="s">
        <v>89</v>
      </c>
      <c r="G19" s="3" t="s">
        <v>51</v>
      </c>
      <c r="H19" s="3" t="s">
        <v>62</v>
      </c>
      <c r="I19" s="3" t="s">
        <v>36</v>
      </c>
      <c r="J19" s="3" t="s">
        <v>142</v>
      </c>
      <c r="K19" s="3">
        <v>5</v>
      </c>
      <c r="L19" s="3" t="s">
        <v>143</v>
      </c>
      <c r="M19" s="3" t="s">
        <v>144</v>
      </c>
      <c r="N19" s="3" t="s">
        <v>20</v>
      </c>
      <c r="O19" s="3" t="s">
        <v>165</v>
      </c>
    </row>
    <row r="20" spans="1:15">
      <c r="A20" s="3">
        <v>17</v>
      </c>
      <c r="B20" s="3" t="s">
        <v>174</v>
      </c>
      <c r="C20" s="4">
        <v>46196</v>
      </c>
      <c r="D20" s="3" t="s">
        <v>73</v>
      </c>
      <c r="E20" s="5" t="s">
        <v>38</v>
      </c>
      <c r="F20" s="5" t="s">
        <v>58</v>
      </c>
      <c r="G20" s="3" t="s">
        <v>95</v>
      </c>
      <c r="H20" s="3" t="s">
        <v>70</v>
      </c>
      <c r="I20" s="3" t="s">
        <v>66</v>
      </c>
      <c r="J20" s="3" t="s">
        <v>159</v>
      </c>
      <c r="K20" s="3">
        <v>6</v>
      </c>
      <c r="L20" s="3" t="s">
        <v>160</v>
      </c>
      <c r="M20" s="3" t="s">
        <v>147</v>
      </c>
      <c r="N20" s="3" t="s">
        <v>91</v>
      </c>
      <c r="O20" s="3" t="s">
        <v>148</v>
      </c>
    </row>
    <row r="21" spans="1:15">
      <c r="A21" s="3">
        <v>18</v>
      </c>
      <c r="B21" s="3" t="s">
        <v>175</v>
      </c>
      <c r="C21" s="4">
        <v>46204</v>
      </c>
      <c r="D21" s="3" t="s">
        <v>76</v>
      </c>
      <c r="E21" s="5" t="s">
        <v>38</v>
      </c>
      <c r="F21" s="5" t="s">
        <v>13</v>
      </c>
      <c r="G21" s="3" t="s">
        <v>31</v>
      </c>
      <c r="H21" s="3" t="s">
        <v>15</v>
      </c>
      <c r="I21" s="3" t="s">
        <v>78</v>
      </c>
      <c r="J21" s="3" t="s">
        <v>142</v>
      </c>
      <c r="K21" s="3">
        <v>7</v>
      </c>
      <c r="L21" s="3" t="s">
        <v>169</v>
      </c>
      <c r="M21" s="3" t="s">
        <v>144</v>
      </c>
      <c r="N21" s="3" t="s">
        <v>16</v>
      </c>
      <c r="O21" s="3" t="s">
        <v>145</v>
      </c>
    </row>
    <row r="22" spans="1:15">
      <c r="A22" s="3">
        <v>19</v>
      </c>
      <c r="B22" s="3" t="s">
        <v>176</v>
      </c>
      <c r="C22" s="4">
        <v>46213</v>
      </c>
      <c r="D22" s="3" t="s">
        <v>76</v>
      </c>
      <c r="E22" s="5" t="s">
        <v>61</v>
      </c>
      <c r="F22" s="5" t="s">
        <v>89</v>
      </c>
      <c r="G22" s="3" t="s">
        <v>87</v>
      </c>
      <c r="H22" s="3" t="s">
        <v>22</v>
      </c>
      <c r="I22" s="3" t="s">
        <v>78</v>
      </c>
      <c r="J22" s="3" t="s">
        <v>154</v>
      </c>
      <c r="K22" s="3">
        <v>8</v>
      </c>
      <c r="L22" s="3" t="s">
        <v>169</v>
      </c>
      <c r="M22" s="3" t="s">
        <v>155</v>
      </c>
      <c r="N22" s="3" t="s">
        <v>54</v>
      </c>
      <c r="O22" s="3" t="s">
        <v>148</v>
      </c>
    </row>
    <row r="23" spans="1:15">
      <c r="A23" s="3">
        <v>20</v>
      </c>
      <c r="B23" s="3" t="s">
        <v>177</v>
      </c>
      <c r="C23" s="4">
        <v>46208</v>
      </c>
      <c r="D23" s="3" t="s">
        <v>76</v>
      </c>
      <c r="E23" s="5" t="s">
        <v>49</v>
      </c>
      <c r="F23" s="5" t="s">
        <v>5</v>
      </c>
      <c r="G23" s="3" t="s">
        <v>35</v>
      </c>
      <c r="H23" s="3" t="s">
        <v>62</v>
      </c>
      <c r="I23" s="3" t="s">
        <v>7</v>
      </c>
      <c r="J23" s="3" t="s">
        <v>142</v>
      </c>
      <c r="K23" s="3">
        <v>0</v>
      </c>
      <c r="L23" s="3" t="s">
        <v>143</v>
      </c>
      <c r="M23" s="3" t="s">
        <v>155</v>
      </c>
      <c r="N23" s="3" t="s">
        <v>61</v>
      </c>
      <c r="O23" s="3" t="s">
        <v>148</v>
      </c>
    </row>
    <row r="24" spans="1:15">
      <c r="A24" s="3">
        <v>21</v>
      </c>
      <c r="B24" s="3" t="s">
        <v>178</v>
      </c>
      <c r="C24" s="4">
        <v>46227</v>
      </c>
      <c r="D24" s="3" t="s">
        <v>76</v>
      </c>
      <c r="E24" s="5" t="s">
        <v>20</v>
      </c>
      <c r="F24" s="5" t="s">
        <v>27</v>
      </c>
      <c r="G24" s="3" t="s">
        <v>51</v>
      </c>
      <c r="H24" s="3" t="s">
        <v>68</v>
      </c>
      <c r="I24" s="3" t="s">
        <v>66</v>
      </c>
      <c r="J24" s="3" t="s">
        <v>142</v>
      </c>
      <c r="K24" s="3">
        <v>8</v>
      </c>
      <c r="L24" s="3" t="s">
        <v>150</v>
      </c>
      <c r="M24" s="3" t="s">
        <v>155</v>
      </c>
      <c r="N24" s="3" t="s">
        <v>30</v>
      </c>
      <c r="O24" s="3" t="s">
        <v>145</v>
      </c>
    </row>
    <row r="25" spans="1:15">
      <c r="A25" s="3">
        <v>22</v>
      </c>
      <c r="B25" s="3" t="s">
        <v>179</v>
      </c>
      <c r="C25" s="4">
        <v>46242</v>
      </c>
      <c r="D25" s="3" t="s">
        <v>86</v>
      </c>
      <c r="E25" s="5" t="s">
        <v>30</v>
      </c>
      <c r="F25" s="5" t="s">
        <v>5</v>
      </c>
      <c r="G25" s="3" t="s">
        <v>31</v>
      </c>
      <c r="H25" s="3" t="s">
        <v>78</v>
      </c>
      <c r="I25" s="3" t="s">
        <v>22</v>
      </c>
      <c r="J25" s="3" t="s">
        <v>154</v>
      </c>
      <c r="K25" s="3">
        <v>6</v>
      </c>
      <c r="L25" s="3" t="s">
        <v>160</v>
      </c>
      <c r="M25" s="3" t="s">
        <v>144</v>
      </c>
      <c r="N25" s="3" t="s">
        <v>54</v>
      </c>
      <c r="O25" s="3" t="s">
        <v>148</v>
      </c>
    </row>
    <row r="26" spans="1:15">
      <c r="A26" s="3">
        <v>23</v>
      </c>
      <c r="B26" s="3" t="s">
        <v>180</v>
      </c>
      <c r="C26" s="4">
        <v>46239</v>
      </c>
      <c r="D26" s="3" t="s">
        <v>86</v>
      </c>
      <c r="E26" s="5" t="s">
        <v>30</v>
      </c>
      <c r="F26" s="5" t="s">
        <v>92</v>
      </c>
      <c r="G26" s="3" t="s">
        <v>95</v>
      </c>
      <c r="H26" s="3" t="s">
        <v>62</v>
      </c>
      <c r="I26" s="3" t="s">
        <v>104</v>
      </c>
      <c r="J26" s="3" t="s">
        <v>154</v>
      </c>
      <c r="K26" s="3">
        <v>7</v>
      </c>
      <c r="L26" s="3" t="s">
        <v>163</v>
      </c>
      <c r="M26" s="3" t="s">
        <v>152</v>
      </c>
      <c r="N26" s="3" t="s">
        <v>38</v>
      </c>
      <c r="O26" s="3" t="s">
        <v>148</v>
      </c>
    </row>
    <row r="27" spans="1:15">
      <c r="A27" s="3">
        <v>24</v>
      </c>
      <c r="B27" s="3" t="s">
        <v>181</v>
      </c>
      <c r="C27" s="4">
        <v>46256</v>
      </c>
      <c r="D27" s="3" t="s">
        <v>86</v>
      </c>
      <c r="E27" s="5" t="s">
        <v>49</v>
      </c>
      <c r="F27" s="5" t="s">
        <v>58</v>
      </c>
      <c r="G27" s="3" t="s">
        <v>95</v>
      </c>
      <c r="H27" s="3" t="s">
        <v>104</v>
      </c>
      <c r="I27" s="3" t="s">
        <v>66</v>
      </c>
      <c r="J27" s="3" t="s">
        <v>142</v>
      </c>
      <c r="K27" s="3">
        <v>8</v>
      </c>
      <c r="L27" s="3" t="s">
        <v>150</v>
      </c>
      <c r="M27" s="3" t="s">
        <v>147</v>
      </c>
      <c r="N27" s="3" t="s">
        <v>57</v>
      </c>
      <c r="O27" s="3" t="s">
        <v>148</v>
      </c>
    </row>
    <row r="28" spans="1:15">
      <c r="A28" s="3">
        <v>25</v>
      </c>
      <c r="B28" s="3" t="s">
        <v>182</v>
      </c>
      <c r="C28" s="4">
        <v>46276</v>
      </c>
      <c r="D28" s="3" t="s">
        <v>102</v>
      </c>
      <c r="E28" s="5" t="s">
        <v>64</v>
      </c>
      <c r="F28" s="5" t="s">
        <v>65</v>
      </c>
      <c r="G28" s="3" t="s">
        <v>77</v>
      </c>
      <c r="H28" s="3" t="s">
        <v>28</v>
      </c>
      <c r="I28" s="3" t="s">
        <v>28</v>
      </c>
      <c r="J28" s="3" t="s">
        <v>142</v>
      </c>
      <c r="K28" s="3">
        <v>8</v>
      </c>
      <c r="L28" s="3" t="s">
        <v>157</v>
      </c>
      <c r="M28" s="3" t="s">
        <v>152</v>
      </c>
      <c r="N28" s="3" t="s">
        <v>26</v>
      </c>
      <c r="O28" s="3" t="s">
        <v>145</v>
      </c>
    </row>
    <row r="29" spans="1:15">
      <c r="A29" s="3">
        <v>26</v>
      </c>
      <c r="B29" s="3" t="s">
        <v>183</v>
      </c>
      <c r="C29" s="4">
        <v>46266</v>
      </c>
      <c r="D29" s="3" t="s">
        <v>102</v>
      </c>
      <c r="E29" s="5" t="s">
        <v>12</v>
      </c>
      <c r="F29" s="5" t="s">
        <v>39</v>
      </c>
      <c r="G29" s="3" t="s">
        <v>95</v>
      </c>
      <c r="H29" s="3" t="s">
        <v>7</v>
      </c>
      <c r="I29" s="3" t="s">
        <v>70</v>
      </c>
      <c r="J29" s="3" t="s">
        <v>142</v>
      </c>
      <c r="K29" s="3">
        <v>2</v>
      </c>
      <c r="L29" s="3" t="s">
        <v>157</v>
      </c>
      <c r="M29" s="3" t="s">
        <v>155</v>
      </c>
      <c r="N29" s="3" t="s">
        <v>91</v>
      </c>
      <c r="O29" s="3" t="s">
        <v>165</v>
      </c>
    </row>
    <row r="30" spans="1:15">
      <c r="A30" s="3">
        <v>27</v>
      </c>
      <c r="B30" s="3" t="s">
        <v>184</v>
      </c>
      <c r="C30" s="4">
        <v>46277</v>
      </c>
      <c r="D30" s="3" t="s">
        <v>102</v>
      </c>
      <c r="E30" s="5" t="s">
        <v>20</v>
      </c>
      <c r="F30" s="5" t="s">
        <v>89</v>
      </c>
      <c r="G30" s="3" t="s">
        <v>40</v>
      </c>
      <c r="H30" s="3" t="s">
        <v>28</v>
      </c>
      <c r="I30" s="3" t="s">
        <v>70</v>
      </c>
      <c r="J30" s="3" t="s">
        <v>159</v>
      </c>
      <c r="K30" s="3">
        <v>0</v>
      </c>
      <c r="L30" s="3" t="s">
        <v>163</v>
      </c>
      <c r="M30" s="3" t="s">
        <v>147</v>
      </c>
      <c r="N30" s="3" t="s">
        <v>20</v>
      </c>
      <c r="O30" s="3" t="s">
        <v>165</v>
      </c>
    </row>
    <row r="31" spans="1:15">
      <c r="A31" s="3">
        <v>28</v>
      </c>
      <c r="B31" s="3" t="s">
        <v>185</v>
      </c>
      <c r="C31" s="4">
        <v>46317</v>
      </c>
      <c r="D31" s="3" t="s">
        <v>106</v>
      </c>
      <c r="E31" s="5" t="s">
        <v>16</v>
      </c>
      <c r="F31" s="5" t="s">
        <v>39</v>
      </c>
      <c r="G31" s="3" t="s">
        <v>80</v>
      </c>
      <c r="H31" s="3" t="s">
        <v>41</v>
      </c>
      <c r="I31" s="3" t="s">
        <v>22</v>
      </c>
      <c r="J31" s="3" t="s">
        <v>159</v>
      </c>
      <c r="K31" s="3">
        <v>4</v>
      </c>
      <c r="L31" s="3" t="s">
        <v>163</v>
      </c>
      <c r="M31" s="3" t="s">
        <v>155</v>
      </c>
      <c r="N31" s="3" t="s">
        <v>49</v>
      </c>
      <c r="O31" s="3" t="s">
        <v>148</v>
      </c>
    </row>
    <row r="32" spans="1:15">
      <c r="A32" s="3">
        <v>29</v>
      </c>
      <c r="B32" s="3" t="s">
        <v>186</v>
      </c>
      <c r="C32" s="4">
        <v>46309</v>
      </c>
      <c r="D32" s="3" t="s">
        <v>106</v>
      </c>
      <c r="E32" s="5" t="s">
        <v>26</v>
      </c>
      <c r="F32" s="5" t="s">
        <v>46</v>
      </c>
      <c r="G32" s="3" t="s">
        <v>51</v>
      </c>
      <c r="H32" s="3" t="s">
        <v>41</v>
      </c>
      <c r="I32" s="3" t="s">
        <v>7</v>
      </c>
      <c r="J32" s="3" t="s">
        <v>162</v>
      </c>
      <c r="K32" s="3">
        <v>3</v>
      </c>
      <c r="L32" s="3" t="s">
        <v>169</v>
      </c>
      <c r="M32" s="3" t="s">
        <v>152</v>
      </c>
      <c r="N32" s="3" t="s">
        <v>64</v>
      </c>
      <c r="O32" s="3" t="s">
        <v>145</v>
      </c>
    </row>
    <row r="33" spans="1:15">
      <c r="A33" s="3">
        <v>30</v>
      </c>
      <c r="B33" s="3" t="s">
        <v>187</v>
      </c>
      <c r="C33" s="4">
        <v>46311</v>
      </c>
      <c r="D33" s="3" t="s">
        <v>106</v>
      </c>
      <c r="E33" s="5" t="s">
        <v>91</v>
      </c>
      <c r="F33" s="5" t="s">
        <v>13</v>
      </c>
      <c r="G33" s="3" t="s">
        <v>80</v>
      </c>
      <c r="H33" s="3" t="s">
        <v>104</v>
      </c>
      <c r="I33" s="3" t="s">
        <v>62</v>
      </c>
      <c r="J33" s="3" t="s">
        <v>142</v>
      </c>
      <c r="K33" s="3">
        <v>8</v>
      </c>
      <c r="L33" s="3" t="s">
        <v>143</v>
      </c>
      <c r="M33" s="3" t="s">
        <v>147</v>
      </c>
      <c r="N33" s="3" t="s">
        <v>64</v>
      </c>
      <c r="O33" s="3" t="s">
        <v>148</v>
      </c>
    </row>
    <row r="34" spans="1:15">
      <c r="A34" s="3">
        <v>31</v>
      </c>
      <c r="B34" s="3" t="s">
        <v>188</v>
      </c>
      <c r="C34" s="4">
        <v>46298</v>
      </c>
      <c r="D34" s="3" t="s">
        <v>106</v>
      </c>
      <c r="E34" s="5" t="s">
        <v>49</v>
      </c>
      <c r="F34" s="5" t="s">
        <v>13</v>
      </c>
      <c r="G34" s="3" t="s">
        <v>51</v>
      </c>
      <c r="H34" s="3" t="s">
        <v>78</v>
      </c>
      <c r="I34" s="3" t="s">
        <v>68</v>
      </c>
      <c r="J34" s="3" t="s">
        <v>159</v>
      </c>
      <c r="K34" s="3">
        <v>1</v>
      </c>
      <c r="L34" s="3" t="s">
        <v>163</v>
      </c>
      <c r="M34" s="3" t="s">
        <v>147</v>
      </c>
      <c r="N34" s="3" t="s">
        <v>91</v>
      </c>
      <c r="O34" s="3" t="s">
        <v>165</v>
      </c>
    </row>
    <row r="35" spans="1:15">
      <c r="A35" s="3">
        <v>32</v>
      </c>
      <c r="B35" s="3" t="s">
        <v>189</v>
      </c>
      <c r="C35" s="4">
        <v>46353</v>
      </c>
      <c r="D35" s="3" t="s">
        <v>111</v>
      </c>
      <c r="E35" s="5" t="s">
        <v>61</v>
      </c>
      <c r="F35" s="5" t="s">
        <v>46</v>
      </c>
      <c r="G35" s="3" t="s">
        <v>31</v>
      </c>
      <c r="H35" s="3" t="s">
        <v>70</v>
      </c>
      <c r="I35" s="3" t="s">
        <v>70</v>
      </c>
      <c r="J35" s="3" t="s">
        <v>154</v>
      </c>
      <c r="K35" s="3">
        <v>1</v>
      </c>
      <c r="L35" s="3" t="s">
        <v>163</v>
      </c>
      <c r="M35" s="3" t="s">
        <v>155</v>
      </c>
      <c r="N35" s="3" t="s">
        <v>57</v>
      </c>
      <c r="O35" s="3" t="s">
        <v>148</v>
      </c>
    </row>
    <row r="36" spans="1:15">
      <c r="A36" s="3">
        <v>33</v>
      </c>
      <c r="B36" s="3" t="s">
        <v>190</v>
      </c>
      <c r="C36" s="4">
        <v>46335</v>
      </c>
      <c r="D36" s="3" t="s">
        <v>111</v>
      </c>
      <c r="E36" s="5" t="s">
        <v>12</v>
      </c>
      <c r="F36" s="5" t="s">
        <v>89</v>
      </c>
      <c r="G36" s="3" t="s">
        <v>95</v>
      </c>
      <c r="H36" s="3" t="s">
        <v>62</v>
      </c>
      <c r="I36" s="3" t="s">
        <v>68</v>
      </c>
      <c r="J36" s="3" t="s">
        <v>159</v>
      </c>
      <c r="K36" s="3">
        <v>4</v>
      </c>
      <c r="L36" s="3" t="s">
        <v>157</v>
      </c>
      <c r="M36" s="3" t="s">
        <v>147</v>
      </c>
      <c r="N36" s="3" t="s">
        <v>64</v>
      </c>
      <c r="O36" s="3" t="s">
        <v>145</v>
      </c>
    </row>
    <row r="37" spans="1:15">
      <c r="A37" s="3">
        <v>34</v>
      </c>
      <c r="B37" s="3" t="s">
        <v>191</v>
      </c>
      <c r="C37" s="4">
        <v>46337</v>
      </c>
      <c r="D37" s="3" t="s">
        <v>111</v>
      </c>
      <c r="E37" s="5" t="s">
        <v>16</v>
      </c>
      <c r="F37" s="5" t="s">
        <v>27</v>
      </c>
      <c r="G37" s="3" t="s">
        <v>35</v>
      </c>
      <c r="H37" s="3" t="s">
        <v>66</v>
      </c>
      <c r="I37" s="3" t="s">
        <v>7</v>
      </c>
      <c r="J37" s="3" t="s">
        <v>142</v>
      </c>
      <c r="K37" s="3">
        <v>4</v>
      </c>
      <c r="L37" s="3" t="s">
        <v>160</v>
      </c>
      <c r="M37" s="3" t="s">
        <v>155</v>
      </c>
      <c r="N37" s="3" t="s">
        <v>61</v>
      </c>
      <c r="O37" s="3" t="s">
        <v>148</v>
      </c>
    </row>
    <row r="38" spans="1:15">
      <c r="A38" s="3">
        <v>35</v>
      </c>
      <c r="B38" s="3" t="s">
        <v>192</v>
      </c>
      <c r="C38" s="4">
        <v>46345</v>
      </c>
      <c r="D38" s="3" t="s">
        <v>111</v>
      </c>
      <c r="E38" s="5" t="s">
        <v>49</v>
      </c>
      <c r="F38" s="5" t="s">
        <v>13</v>
      </c>
      <c r="G38" s="3" t="s">
        <v>77</v>
      </c>
      <c r="H38" s="3" t="s">
        <v>7</v>
      </c>
      <c r="I38" s="3" t="s">
        <v>36</v>
      </c>
      <c r="J38" s="3" t="s">
        <v>154</v>
      </c>
      <c r="K38" s="3">
        <v>0</v>
      </c>
      <c r="L38" s="3" t="s">
        <v>160</v>
      </c>
      <c r="M38" s="3" t="s">
        <v>144</v>
      </c>
      <c r="N38" s="3" t="s">
        <v>54</v>
      </c>
      <c r="O38" s="3" t="s">
        <v>148</v>
      </c>
    </row>
    <row r="39" spans="1:15">
      <c r="A39" s="3">
        <v>36</v>
      </c>
      <c r="B39" s="3" t="s">
        <v>193</v>
      </c>
      <c r="C39" s="4">
        <v>46337</v>
      </c>
      <c r="D39" s="3" t="s">
        <v>111</v>
      </c>
      <c r="E39" s="5" t="s">
        <v>12</v>
      </c>
      <c r="F39" s="5" t="s">
        <v>5</v>
      </c>
      <c r="G39" s="3" t="s">
        <v>31</v>
      </c>
      <c r="H39" s="3" t="s">
        <v>93</v>
      </c>
      <c r="I39" s="3" t="s">
        <v>28</v>
      </c>
      <c r="J39" s="3" t="s">
        <v>159</v>
      </c>
      <c r="K39" s="3">
        <v>5</v>
      </c>
      <c r="L39" s="3" t="s">
        <v>150</v>
      </c>
      <c r="M39" s="3" t="s">
        <v>152</v>
      </c>
      <c r="N39" s="3" t="s">
        <v>64</v>
      </c>
      <c r="O39" s="3" t="s">
        <v>145</v>
      </c>
    </row>
    <row r="40" spans="1:15">
      <c r="A40" s="3">
        <v>37</v>
      </c>
      <c r="B40" s="3" t="s">
        <v>194</v>
      </c>
      <c r="C40" s="4">
        <v>46353</v>
      </c>
      <c r="D40" s="3" t="s">
        <v>111</v>
      </c>
      <c r="E40" s="5" t="s">
        <v>12</v>
      </c>
      <c r="F40" s="5" t="s">
        <v>5</v>
      </c>
      <c r="G40" s="3" t="s">
        <v>21</v>
      </c>
      <c r="H40" s="3" t="s">
        <v>78</v>
      </c>
      <c r="I40" s="3" t="s">
        <v>62</v>
      </c>
      <c r="J40" s="3" t="s">
        <v>142</v>
      </c>
      <c r="K40" s="3">
        <v>8</v>
      </c>
      <c r="L40" s="3" t="s">
        <v>160</v>
      </c>
      <c r="M40" s="3" t="s">
        <v>144</v>
      </c>
      <c r="N40" s="3" t="s">
        <v>61</v>
      </c>
      <c r="O40" s="3" t="s">
        <v>148</v>
      </c>
    </row>
    <row r="41" spans="1:15">
      <c r="A41" s="3">
        <v>38</v>
      </c>
      <c r="B41" s="3" t="s">
        <v>195</v>
      </c>
      <c r="C41" s="4">
        <v>46347</v>
      </c>
      <c r="D41" s="3" t="s">
        <v>111</v>
      </c>
      <c r="E41" s="5" t="s">
        <v>91</v>
      </c>
      <c r="F41" s="5" t="s">
        <v>46</v>
      </c>
      <c r="G41" s="3" t="s">
        <v>80</v>
      </c>
      <c r="H41" s="3" t="s">
        <v>70</v>
      </c>
      <c r="I41" s="3" t="s">
        <v>66</v>
      </c>
      <c r="J41" s="3" t="s">
        <v>142</v>
      </c>
      <c r="K41" s="3">
        <v>4</v>
      </c>
      <c r="L41" s="3" t="s">
        <v>160</v>
      </c>
      <c r="M41" s="3" t="s">
        <v>152</v>
      </c>
      <c r="N41" s="3" t="s">
        <v>57</v>
      </c>
      <c r="O41" s="3" t="s">
        <v>148</v>
      </c>
    </row>
    <row r="42" spans="1:15">
      <c r="A42" s="3">
        <v>39</v>
      </c>
      <c r="B42" s="3" t="s">
        <v>196</v>
      </c>
      <c r="C42" s="4">
        <v>46328</v>
      </c>
      <c r="D42" s="3" t="s">
        <v>111</v>
      </c>
      <c r="E42" s="5" t="s">
        <v>57</v>
      </c>
      <c r="F42" s="5" t="s">
        <v>46</v>
      </c>
      <c r="G42" s="3" t="s">
        <v>77</v>
      </c>
      <c r="H42" s="3" t="s">
        <v>32</v>
      </c>
      <c r="I42" s="3" t="s">
        <v>32</v>
      </c>
      <c r="J42" s="3" t="s">
        <v>142</v>
      </c>
      <c r="K42" s="3">
        <v>8</v>
      </c>
      <c r="L42" s="3" t="s">
        <v>169</v>
      </c>
      <c r="M42" s="3" t="s">
        <v>144</v>
      </c>
      <c r="N42" s="3" t="s">
        <v>54</v>
      </c>
      <c r="O42" s="3" t="s">
        <v>165</v>
      </c>
    </row>
    <row r="43" spans="1:15">
      <c r="A43" s="3">
        <v>40</v>
      </c>
      <c r="B43" s="3" t="s">
        <v>197</v>
      </c>
      <c r="C43" s="4">
        <v>46332</v>
      </c>
      <c r="D43" s="3" t="s">
        <v>111</v>
      </c>
      <c r="E43" s="5" t="s">
        <v>45</v>
      </c>
      <c r="F43" s="5" t="s">
        <v>46</v>
      </c>
      <c r="G43" s="3" t="s">
        <v>87</v>
      </c>
      <c r="H43" s="3" t="s">
        <v>41</v>
      </c>
      <c r="I43" s="3" t="s">
        <v>70</v>
      </c>
      <c r="J43" s="3" t="s">
        <v>154</v>
      </c>
      <c r="K43" s="3">
        <v>2</v>
      </c>
      <c r="L43" s="3" t="s">
        <v>157</v>
      </c>
      <c r="M43" s="3" t="s">
        <v>144</v>
      </c>
      <c r="N43" s="3" t="s">
        <v>26</v>
      </c>
      <c r="O43" s="3" t="s">
        <v>145</v>
      </c>
    </row>
    <row r="44" spans="1:15">
      <c r="A44" s="3">
        <v>41</v>
      </c>
      <c r="B44" s="3" t="s">
        <v>198</v>
      </c>
      <c r="C44" s="4">
        <v>46361</v>
      </c>
      <c r="D44" s="3" t="s">
        <v>122</v>
      </c>
      <c r="E44" s="5" t="s">
        <v>49</v>
      </c>
      <c r="F44" s="5" t="s">
        <v>39</v>
      </c>
      <c r="G44" s="3" t="s">
        <v>21</v>
      </c>
      <c r="H44" s="3" t="s">
        <v>93</v>
      </c>
      <c r="I44" s="3" t="s">
        <v>7</v>
      </c>
      <c r="J44" s="3" t="s">
        <v>154</v>
      </c>
      <c r="K44" s="3">
        <v>0</v>
      </c>
      <c r="L44" s="3" t="s">
        <v>150</v>
      </c>
      <c r="M44" s="3" t="s">
        <v>155</v>
      </c>
      <c r="N44" s="3" t="s">
        <v>26</v>
      </c>
      <c r="O44" s="3" t="s">
        <v>165</v>
      </c>
    </row>
    <row r="45" spans="1:15">
      <c r="A45" s="3">
        <v>42</v>
      </c>
      <c r="B45" s="3" t="s">
        <v>199</v>
      </c>
      <c r="C45" s="4">
        <v>46383</v>
      </c>
      <c r="D45" s="3" t="s">
        <v>122</v>
      </c>
      <c r="E45" s="5" t="s">
        <v>12</v>
      </c>
      <c r="F45" s="5" t="s">
        <v>65</v>
      </c>
      <c r="G45" s="3" t="s">
        <v>87</v>
      </c>
      <c r="H45" s="3" t="s">
        <v>66</v>
      </c>
      <c r="I45" s="3" t="s">
        <v>62</v>
      </c>
      <c r="J45" s="3" t="s">
        <v>159</v>
      </c>
      <c r="K45" s="3">
        <v>1</v>
      </c>
      <c r="L45" s="3" t="s">
        <v>163</v>
      </c>
      <c r="M45" s="3" t="s">
        <v>147</v>
      </c>
      <c r="N45" s="3" t="s">
        <v>4</v>
      </c>
      <c r="O45" s="3" t="s">
        <v>165</v>
      </c>
    </row>
    <row r="46" spans="1:15">
      <c r="A46" s="3">
        <v>43</v>
      </c>
      <c r="B46" s="3" t="s">
        <v>200</v>
      </c>
      <c r="C46" s="4">
        <v>46363</v>
      </c>
      <c r="D46" s="3" t="s">
        <v>122</v>
      </c>
      <c r="E46" s="5" t="s">
        <v>64</v>
      </c>
      <c r="F46" s="5" t="s">
        <v>65</v>
      </c>
      <c r="G46" s="3" t="s">
        <v>35</v>
      </c>
      <c r="H46" s="3" t="s">
        <v>28</v>
      </c>
      <c r="I46" s="3" t="s">
        <v>62</v>
      </c>
      <c r="J46" s="3" t="s">
        <v>142</v>
      </c>
      <c r="K46" s="3">
        <v>1</v>
      </c>
      <c r="L46" s="3" t="s">
        <v>160</v>
      </c>
      <c r="M46" s="3" t="s">
        <v>144</v>
      </c>
      <c r="N46" s="3" t="s">
        <v>45</v>
      </c>
      <c r="O46" s="3" t="s">
        <v>165</v>
      </c>
    </row>
    <row r="47" spans="1:15">
      <c r="A47" s="3">
        <v>44</v>
      </c>
      <c r="B47" s="3" t="s">
        <v>201</v>
      </c>
      <c r="C47" s="4">
        <v>46359</v>
      </c>
      <c r="D47" s="3" t="s">
        <v>122</v>
      </c>
      <c r="E47" s="5" t="s">
        <v>20</v>
      </c>
      <c r="F47" s="5" t="s">
        <v>58</v>
      </c>
      <c r="G47" s="3" t="s">
        <v>77</v>
      </c>
      <c r="H47" s="3" t="s">
        <v>32</v>
      </c>
      <c r="I47" s="3" t="s">
        <v>22</v>
      </c>
      <c r="J47" s="3" t="s">
        <v>154</v>
      </c>
      <c r="K47" s="3">
        <v>2</v>
      </c>
      <c r="L47" s="3" t="s">
        <v>150</v>
      </c>
      <c r="M47" s="3" t="s">
        <v>147</v>
      </c>
      <c r="N47" s="3" t="s">
        <v>4</v>
      </c>
      <c r="O47" s="3" t="s">
        <v>145</v>
      </c>
    </row>
    <row r="48" spans="1:15">
      <c r="A48" s="3">
        <v>45</v>
      </c>
      <c r="B48" s="3" t="s">
        <v>202</v>
      </c>
      <c r="C48" s="4">
        <v>46371</v>
      </c>
      <c r="D48" s="3" t="s">
        <v>122</v>
      </c>
      <c r="E48" s="5" t="s">
        <v>16</v>
      </c>
      <c r="F48" s="5" t="s">
        <v>89</v>
      </c>
      <c r="G48" s="3" t="s">
        <v>82</v>
      </c>
      <c r="H48" s="3" t="s">
        <v>62</v>
      </c>
      <c r="I48" s="3" t="s">
        <v>22</v>
      </c>
      <c r="J48" s="3" t="s">
        <v>154</v>
      </c>
      <c r="K48" s="3">
        <v>6</v>
      </c>
      <c r="L48" s="3" t="s">
        <v>143</v>
      </c>
      <c r="M48" s="3" t="s">
        <v>147</v>
      </c>
      <c r="N48" s="3" t="s">
        <v>4</v>
      </c>
      <c r="O48" s="3" t="s">
        <v>148</v>
      </c>
    </row>
    <row r="49" spans="1:15">
      <c r="A49" s="3">
        <v>46</v>
      </c>
      <c r="B49" s="3" t="s">
        <v>203</v>
      </c>
      <c r="C49" s="4">
        <v>46375</v>
      </c>
      <c r="D49" s="3" t="s">
        <v>122</v>
      </c>
      <c r="E49" s="5" t="s">
        <v>12</v>
      </c>
      <c r="F49" s="5" t="s">
        <v>27</v>
      </c>
      <c r="G49" s="3" t="s">
        <v>14</v>
      </c>
      <c r="H49" s="3" t="s">
        <v>22</v>
      </c>
      <c r="I49" s="3" t="s">
        <v>62</v>
      </c>
      <c r="J49" s="3" t="s">
        <v>159</v>
      </c>
      <c r="K49" s="3">
        <v>8</v>
      </c>
      <c r="L49" s="3" t="s">
        <v>143</v>
      </c>
      <c r="M49" s="3" t="s">
        <v>155</v>
      </c>
      <c r="N49" s="3" t="s">
        <v>30</v>
      </c>
      <c r="O49" s="3" t="s">
        <v>165</v>
      </c>
    </row>
    <row r="50" spans="1:15">
      <c r="A50" s="3">
        <v>47</v>
      </c>
      <c r="B50" s="3" t="s">
        <v>204</v>
      </c>
      <c r="C50" s="4">
        <v>46383</v>
      </c>
      <c r="D50" s="3" t="s">
        <v>122</v>
      </c>
      <c r="E50" s="5" t="s">
        <v>45</v>
      </c>
      <c r="F50" s="5" t="s">
        <v>13</v>
      </c>
      <c r="G50" s="3" t="s">
        <v>51</v>
      </c>
      <c r="H50" s="3" t="s">
        <v>62</v>
      </c>
      <c r="I50" s="3" t="s">
        <v>15</v>
      </c>
      <c r="J50" s="3" t="s">
        <v>162</v>
      </c>
      <c r="K50" s="3">
        <v>7</v>
      </c>
      <c r="L50" s="3" t="s">
        <v>157</v>
      </c>
      <c r="M50" s="3" t="s">
        <v>152</v>
      </c>
      <c r="N50" s="3" t="s">
        <v>26</v>
      </c>
      <c r="O50" s="3" t="s">
        <v>165</v>
      </c>
    </row>
    <row r="51" spans="1:15">
      <c r="A51" s="3">
        <v>48</v>
      </c>
      <c r="B51" s="3" t="s">
        <v>205</v>
      </c>
      <c r="C51" s="4">
        <v>46361</v>
      </c>
      <c r="D51" s="3" t="s">
        <v>122</v>
      </c>
      <c r="E51" s="5" t="s">
        <v>49</v>
      </c>
      <c r="F51" s="5" t="s">
        <v>5</v>
      </c>
      <c r="G51" s="3" t="s">
        <v>51</v>
      </c>
      <c r="H51" s="3" t="s">
        <v>62</v>
      </c>
      <c r="I51" s="3" t="s">
        <v>70</v>
      </c>
      <c r="J51" s="3" t="s">
        <v>159</v>
      </c>
      <c r="K51" s="3">
        <v>6</v>
      </c>
      <c r="L51" s="3" t="s">
        <v>143</v>
      </c>
      <c r="M51" s="3" t="s">
        <v>147</v>
      </c>
      <c r="N51" s="3" t="s">
        <v>64</v>
      </c>
      <c r="O51" s="3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J4:J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3.7109375" customWidth="1"/>
    <col min="3" max="4" width="9.7109375" customWidth="1"/>
    <col min="5" max="5" width="13.7109375" customWidth="1"/>
    <col min="6" max="6" width="15.7109375" customWidth="1"/>
    <col min="7" max="7" width="12.7109375" customWidth="1"/>
    <col min="8" max="9" width="9.7109375" customWidth="1"/>
    <col min="10" max="11" width="18.7109375" customWidth="1"/>
    <col min="12" max="12" width="14.7109375" customWidth="1"/>
    <col min="13" max="13" width="16.7109375" customWidth="1"/>
    <col min="14" max="14" width="9.7109375" customWidth="1"/>
    <col min="15" max="15" width="19.7109375" customWidth="1"/>
    <col min="16" max="16" width="20.7109375" customWidth="1"/>
  </cols>
  <sheetData>
    <row r="1" spans="1:18" ht="22" customHeight="1">
      <c r="A1" s="1" t="s">
        <v>216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281</v>
      </c>
      <c r="C3" t="s">
        <v>126</v>
      </c>
      <c r="D3" t="s">
        <v>127</v>
      </c>
      <c r="E3" t="s">
        <v>282</v>
      </c>
      <c r="F3" t="s">
        <v>283</v>
      </c>
      <c r="G3" t="s">
        <v>129</v>
      </c>
      <c r="H3" t="s">
        <v>284</v>
      </c>
      <c r="I3" t="s">
        <v>285</v>
      </c>
      <c r="J3" t="s">
        <v>132</v>
      </c>
      <c r="K3" t="s">
        <v>133</v>
      </c>
      <c r="L3" t="s">
        <v>134</v>
      </c>
      <c r="M3" t="s">
        <v>286</v>
      </c>
      <c r="N3" t="s">
        <v>287</v>
      </c>
      <c r="O3" t="s">
        <v>288</v>
      </c>
      <c r="P3" t="s">
        <v>289</v>
      </c>
    </row>
    <row r="4" spans="1:18">
      <c r="A4" s="3">
        <v>1</v>
      </c>
      <c r="B4" s="3" t="s">
        <v>217</v>
      </c>
      <c r="C4" s="4">
        <v>46036</v>
      </c>
      <c r="D4" s="3" t="s">
        <v>3</v>
      </c>
      <c r="E4" s="5" t="s">
        <v>16</v>
      </c>
      <c r="F4" s="5" t="s">
        <v>218</v>
      </c>
      <c r="G4" s="3" t="s">
        <v>39</v>
      </c>
      <c r="H4" s="3" t="s">
        <v>70</v>
      </c>
      <c r="I4" s="3" t="s">
        <v>219</v>
      </c>
      <c r="J4" s="3">
        <v>55</v>
      </c>
      <c r="K4" s="3">
        <v>44</v>
      </c>
      <c r="L4" s="6">
        <f>IFERROR(K4/J4*100,0)</f>
        <v>0</v>
      </c>
      <c r="M4" s="3">
        <v>82</v>
      </c>
      <c r="N4" s="3" t="s">
        <v>220</v>
      </c>
      <c r="O4" s="3" t="s">
        <v>221</v>
      </c>
      <c r="P4" s="3" t="s">
        <v>23</v>
      </c>
    </row>
    <row r="5" spans="1:18">
      <c r="A5" s="3">
        <v>2</v>
      </c>
      <c r="B5" s="3" t="s">
        <v>222</v>
      </c>
      <c r="C5" s="4">
        <v>46045</v>
      </c>
      <c r="D5" s="3" t="s">
        <v>3</v>
      </c>
      <c r="E5" s="5" t="s">
        <v>26</v>
      </c>
      <c r="F5" s="5" t="s">
        <v>223</v>
      </c>
      <c r="G5" s="3" t="s">
        <v>5</v>
      </c>
      <c r="H5" s="3" t="s">
        <v>62</v>
      </c>
      <c r="I5" s="3" t="s">
        <v>224</v>
      </c>
      <c r="J5" s="3">
        <v>16</v>
      </c>
      <c r="K5" s="3">
        <v>53</v>
      </c>
      <c r="L5" s="6">
        <f>IFERROR(K5/J5*100,0)</f>
        <v>0</v>
      </c>
      <c r="M5" s="3">
        <v>93</v>
      </c>
      <c r="N5" s="3" t="s">
        <v>220</v>
      </c>
      <c r="O5" s="3" t="s">
        <v>225</v>
      </c>
      <c r="P5" s="3" t="s">
        <v>9</v>
      </c>
    </row>
    <row r="6" spans="1:18">
      <c r="A6" s="3">
        <v>3</v>
      </c>
      <c r="B6" s="3" t="s">
        <v>226</v>
      </c>
      <c r="C6" s="4">
        <v>46027</v>
      </c>
      <c r="D6" s="3" t="s">
        <v>3</v>
      </c>
      <c r="E6" s="5" t="s">
        <v>26</v>
      </c>
      <c r="F6" s="5" t="s">
        <v>223</v>
      </c>
      <c r="G6" s="3" t="s">
        <v>46</v>
      </c>
      <c r="H6" s="3" t="s">
        <v>32</v>
      </c>
      <c r="I6" s="3" t="s">
        <v>227</v>
      </c>
      <c r="J6" s="3">
        <v>58</v>
      </c>
      <c r="K6" s="3">
        <v>59</v>
      </c>
      <c r="L6" s="6">
        <f>IFERROR(K6/J6*100,0)</f>
        <v>0</v>
      </c>
      <c r="M6" s="3">
        <v>51</v>
      </c>
      <c r="N6" s="3" t="s">
        <v>220</v>
      </c>
      <c r="O6" s="3" t="s">
        <v>228</v>
      </c>
      <c r="P6" s="3" t="s">
        <v>23</v>
      </c>
    </row>
    <row r="7" spans="1:18">
      <c r="A7" s="3">
        <v>4</v>
      </c>
      <c r="B7" s="3" t="s">
        <v>229</v>
      </c>
      <c r="C7" s="4">
        <v>46046</v>
      </c>
      <c r="D7" s="3" t="s">
        <v>3</v>
      </c>
      <c r="E7" s="5" t="s">
        <v>54</v>
      </c>
      <c r="F7" s="5" t="s">
        <v>230</v>
      </c>
      <c r="G7" s="3" t="s">
        <v>13</v>
      </c>
      <c r="H7" s="3" t="s">
        <v>66</v>
      </c>
      <c r="I7" s="3" t="s">
        <v>224</v>
      </c>
      <c r="J7" s="3">
        <v>51</v>
      </c>
      <c r="K7" s="3">
        <v>18</v>
      </c>
      <c r="L7" s="6">
        <f>IFERROR(K7/J7*100,0)</f>
        <v>0</v>
      </c>
      <c r="M7" s="3">
        <v>119</v>
      </c>
      <c r="N7" s="3" t="s">
        <v>220</v>
      </c>
      <c r="O7" s="3" t="s">
        <v>225</v>
      </c>
      <c r="P7" s="3" t="s">
        <v>23</v>
      </c>
    </row>
    <row r="8" spans="1:18">
      <c r="A8" s="3">
        <v>5</v>
      </c>
      <c r="B8" s="3" t="s">
        <v>231</v>
      </c>
      <c r="C8" s="4">
        <v>46056</v>
      </c>
      <c r="D8" s="3" t="s">
        <v>19</v>
      </c>
      <c r="E8" s="5" t="s">
        <v>91</v>
      </c>
      <c r="F8" s="5" t="s">
        <v>223</v>
      </c>
      <c r="G8" s="3" t="s">
        <v>39</v>
      </c>
      <c r="H8" s="3" t="s">
        <v>62</v>
      </c>
      <c r="I8" s="3" t="s">
        <v>219</v>
      </c>
      <c r="J8" s="3">
        <v>19</v>
      </c>
      <c r="K8" s="3">
        <v>36</v>
      </c>
      <c r="L8" s="6">
        <f>IFERROR(K8/J8*100,0)</f>
        <v>0</v>
      </c>
      <c r="M8" s="3">
        <v>47</v>
      </c>
      <c r="N8" s="3" t="s">
        <v>220</v>
      </c>
      <c r="O8" s="3" t="s">
        <v>225</v>
      </c>
      <c r="P8" s="3" t="s">
        <v>23</v>
      </c>
    </row>
    <row r="9" spans="1:18">
      <c r="A9" s="3">
        <v>6</v>
      </c>
      <c r="B9" s="3" t="s">
        <v>232</v>
      </c>
      <c r="C9" s="4">
        <v>46073</v>
      </c>
      <c r="D9" s="3" t="s">
        <v>19</v>
      </c>
      <c r="E9" s="5" t="s">
        <v>91</v>
      </c>
      <c r="F9" s="5" t="s">
        <v>233</v>
      </c>
      <c r="G9" s="3" t="s">
        <v>13</v>
      </c>
      <c r="H9" s="3" t="s">
        <v>104</v>
      </c>
      <c r="I9" s="3" t="s">
        <v>219</v>
      </c>
      <c r="J9" s="3">
        <v>55</v>
      </c>
      <c r="K9" s="3">
        <v>58</v>
      </c>
      <c r="L9" s="6">
        <f>IFERROR(K9/J9*100,0)</f>
        <v>0</v>
      </c>
      <c r="M9" s="3">
        <v>66</v>
      </c>
      <c r="N9" s="3" t="s">
        <v>220</v>
      </c>
      <c r="O9" s="3" t="s">
        <v>225</v>
      </c>
      <c r="P9" s="3" t="s">
        <v>23</v>
      </c>
    </row>
    <row r="10" spans="1:18">
      <c r="A10" s="3">
        <v>7</v>
      </c>
      <c r="B10" s="3" t="s">
        <v>234</v>
      </c>
      <c r="C10" s="4">
        <v>46078</v>
      </c>
      <c r="D10" s="3" t="s">
        <v>19</v>
      </c>
      <c r="E10" s="5" t="s">
        <v>64</v>
      </c>
      <c r="F10" s="5" t="s">
        <v>233</v>
      </c>
      <c r="G10" s="3" t="s">
        <v>5</v>
      </c>
      <c r="H10" s="3" t="s">
        <v>28</v>
      </c>
      <c r="I10" s="3" t="s">
        <v>224</v>
      </c>
      <c r="J10" s="3">
        <v>16</v>
      </c>
      <c r="K10" s="3">
        <v>51</v>
      </c>
      <c r="L10" s="6">
        <f>IFERROR(K10/J10*100,0)</f>
        <v>0</v>
      </c>
      <c r="M10" s="3">
        <v>28</v>
      </c>
      <c r="N10" s="3" t="s">
        <v>235</v>
      </c>
      <c r="O10" s="3" t="s">
        <v>221</v>
      </c>
      <c r="P10" s="3" t="s">
        <v>23</v>
      </c>
    </row>
    <row r="11" spans="1:18">
      <c r="A11" s="3">
        <v>8</v>
      </c>
      <c r="B11" s="3" t="s">
        <v>236</v>
      </c>
      <c r="C11" s="4">
        <v>46081</v>
      </c>
      <c r="D11" s="3" t="s">
        <v>19</v>
      </c>
      <c r="E11" s="5" t="s">
        <v>4</v>
      </c>
      <c r="F11" s="5" t="s">
        <v>237</v>
      </c>
      <c r="G11" s="3" t="s">
        <v>58</v>
      </c>
      <c r="H11" s="3" t="s">
        <v>104</v>
      </c>
      <c r="I11" s="3" t="s">
        <v>219</v>
      </c>
      <c r="J11" s="3">
        <v>54</v>
      </c>
      <c r="K11" s="3">
        <v>30</v>
      </c>
      <c r="L11" s="6">
        <f>IFERROR(K11/J11*100,0)</f>
        <v>0</v>
      </c>
      <c r="M11" s="3">
        <v>108</v>
      </c>
      <c r="N11" s="3" t="s">
        <v>238</v>
      </c>
      <c r="O11" s="3" t="s">
        <v>225</v>
      </c>
      <c r="P11" s="3" t="s">
        <v>9</v>
      </c>
    </row>
    <row r="12" spans="1:18">
      <c r="A12" s="3">
        <v>9</v>
      </c>
      <c r="B12" s="3" t="s">
        <v>239</v>
      </c>
      <c r="C12" s="4">
        <v>46063</v>
      </c>
      <c r="D12" s="3" t="s">
        <v>19</v>
      </c>
      <c r="E12" s="5" t="s">
        <v>45</v>
      </c>
      <c r="F12" s="5" t="s">
        <v>233</v>
      </c>
      <c r="G12" s="3" t="s">
        <v>50</v>
      </c>
      <c r="H12" s="3" t="s">
        <v>15</v>
      </c>
      <c r="I12" s="3" t="s">
        <v>240</v>
      </c>
      <c r="J12" s="3">
        <v>44</v>
      </c>
      <c r="K12" s="3">
        <v>10</v>
      </c>
      <c r="L12" s="6">
        <f>IFERROR(K12/J12*100,0)</f>
        <v>0</v>
      </c>
      <c r="M12" s="3">
        <v>18</v>
      </c>
      <c r="N12" s="3" t="s">
        <v>238</v>
      </c>
      <c r="O12" s="3" t="s">
        <v>221</v>
      </c>
      <c r="P12" s="3" t="s">
        <v>9</v>
      </c>
    </row>
    <row r="13" spans="1:18">
      <c r="A13" s="3">
        <v>10</v>
      </c>
      <c r="B13" s="3" t="s">
        <v>241</v>
      </c>
      <c r="C13" s="4">
        <v>46062</v>
      </c>
      <c r="D13" s="3" t="s">
        <v>19</v>
      </c>
      <c r="E13" s="5" t="s">
        <v>4</v>
      </c>
      <c r="F13" s="5" t="s">
        <v>224</v>
      </c>
      <c r="G13" s="3" t="s">
        <v>92</v>
      </c>
      <c r="H13" s="3" t="s">
        <v>104</v>
      </c>
      <c r="I13" s="3" t="s">
        <v>240</v>
      </c>
      <c r="J13" s="3">
        <v>27</v>
      </c>
      <c r="K13" s="3">
        <v>23</v>
      </c>
      <c r="L13" s="6">
        <f>IFERROR(K13/J13*100,0)</f>
        <v>0</v>
      </c>
      <c r="M13" s="3">
        <v>73</v>
      </c>
      <c r="N13" s="3" t="s">
        <v>238</v>
      </c>
      <c r="O13" s="3" t="s">
        <v>221</v>
      </c>
      <c r="P13" s="3" t="s">
        <v>9</v>
      </c>
    </row>
    <row r="14" spans="1:18">
      <c r="A14" s="3">
        <v>11</v>
      </c>
      <c r="B14" s="3" t="s">
        <v>242</v>
      </c>
      <c r="C14" s="4">
        <v>46094</v>
      </c>
      <c r="D14" s="3" t="s">
        <v>44</v>
      </c>
      <c r="E14" s="5" t="s">
        <v>54</v>
      </c>
      <c r="F14" s="5" t="s">
        <v>223</v>
      </c>
      <c r="G14" s="3" t="s">
        <v>27</v>
      </c>
      <c r="H14" s="3" t="s">
        <v>70</v>
      </c>
      <c r="I14" s="3" t="s">
        <v>227</v>
      </c>
      <c r="J14" s="3">
        <v>24</v>
      </c>
      <c r="K14" s="3">
        <v>30</v>
      </c>
      <c r="L14" s="6">
        <f>IFERROR(K14/J14*100,0)</f>
        <v>0</v>
      </c>
      <c r="M14" s="3">
        <v>71</v>
      </c>
      <c r="N14" s="3" t="s">
        <v>235</v>
      </c>
      <c r="O14" s="3" t="s">
        <v>228</v>
      </c>
      <c r="P14" s="3" t="s">
        <v>23</v>
      </c>
    </row>
    <row r="15" spans="1:18">
      <c r="A15" s="3">
        <v>12</v>
      </c>
      <c r="B15" s="3" t="s">
        <v>243</v>
      </c>
      <c r="C15" s="4">
        <v>46107</v>
      </c>
      <c r="D15" s="3" t="s">
        <v>44</v>
      </c>
      <c r="E15" s="5" t="s">
        <v>4</v>
      </c>
      <c r="F15" s="5" t="s">
        <v>224</v>
      </c>
      <c r="G15" s="3" t="s">
        <v>92</v>
      </c>
      <c r="H15" s="3" t="s">
        <v>66</v>
      </c>
      <c r="I15" s="3" t="s">
        <v>219</v>
      </c>
      <c r="J15" s="3">
        <v>51</v>
      </c>
      <c r="K15" s="3">
        <v>44</v>
      </c>
      <c r="L15" s="6">
        <f>IFERROR(K15/J15*100,0)</f>
        <v>0</v>
      </c>
      <c r="M15" s="3">
        <v>65</v>
      </c>
      <c r="N15" s="3" t="s">
        <v>220</v>
      </c>
      <c r="O15" s="3" t="s">
        <v>225</v>
      </c>
      <c r="P15" s="3" t="s">
        <v>23</v>
      </c>
    </row>
    <row r="16" spans="1:18">
      <c r="A16" s="3">
        <v>13</v>
      </c>
      <c r="B16" s="3" t="s">
        <v>244</v>
      </c>
      <c r="C16" s="4">
        <v>46084</v>
      </c>
      <c r="D16" s="3" t="s">
        <v>44</v>
      </c>
      <c r="E16" s="5" t="s">
        <v>64</v>
      </c>
      <c r="F16" s="5" t="s">
        <v>224</v>
      </c>
      <c r="G16" s="3" t="s">
        <v>27</v>
      </c>
      <c r="H16" s="3" t="s">
        <v>78</v>
      </c>
      <c r="I16" s="3" t="s">
        <v>227</v>
      </c>
      <c r="J16" s="3">
        <v>38</v>
      </c>
      <c r="K16" s="3">
        <v>41</v>
      </c>
      <c r="L16" s="6">
        <f>IFERROR(K16/J16*100,0)</f>
        <v>0</v>
      </c>
      <c r="M16" s="3">
        <v>22</v>
      </c>
      <c r="N16" s="3" t="s">
        <v>220</v>
      </c>
      <c r="O16" s="3" t="s">
        <v>228</v>
      </c>
      <c r="P16" s="3" t="s">
        <v>9</v>
      </c>
    </row>
    <row r="17" spans="1:16">
      <c r="A17" s="3">
        <v>14</v>
      </c>
      <c r="B17" s="3" t="s">
        <v>245</v>
      </c>
      <c r="C17" s="4">
        <v>46082</v>
      </c>
      <c r="D17" s="3" t="s">
        <v>44</v>
      </c>
      <c r="E17" s="5" t="s">
        <v>61</v>
      </c>
      <c r="F17" s="5" t="s">
        <v>223</v>
      </c>
      <c r="G17" s="3" t="s">
        <v>39</v>
      </c>
      <c r="H17" s="3" t="s">
        <v>68</v>
      </c>
      <c r="I17" s="3" t="s">
        <v>219</v>
      </c>
      <c r="J17" s="3">
        <v>26</v>
      </c>
      <c r="K17" s="3">
        <v>59</v>
      </c>
      <c r="L17" s="6">
        <f>IFERROR(K17/J17*100,0)</f>
        <v>0</v>
      </c>
      <c r="M17" s="3">
        <v>117</v>
      </c>
      <c r="N17" s="3" t="s">
        <v>220</v>
      </c>
      <c r="O17" s="3" t="s">
        <v>221</v>
      </c>
      <c r="P17" s="3" t="s">
        <v>9</v>
      </c>
    </row>
    <row r="18" spans="1:16">
      <c r="A18" s="3">
        <v>15</v>
      </c>
      <c r="B18" s="3" t="s">
        <v>246</v>
      </c>
      <c r="C18" s="4">
        <v>46088</v>
      </c>
      <c r="D18" s="3" t="s">
        <v>44</v>
      </c>
      <c r="E18" s="5" t="s">
        <v>57</v>
      </c>
      <c r="F18" s="5" t="s">
        <v>218</v>
      </c>
      <c r="G18" s="3" t="s">
        <v>13</v>
      </c>
      <c r="H18" s="3" t="s">
        <v>70</v>
      </c>
      <c r="I18" s="3" t="s">
        <v>224</v>
      </c>
      <c r="J18" s="3">
        <v>26</v>
      </c>
      <c r="K18" s="3">
        <v>47</v>
      </c>
      <c r="L18" s="6">
        <f>IFERROR(K18/J18*100,0)</f>
        <v>0</v>
      </c>
      <c r="M18" s="3">
        <v>97</v>
      </c>
      <c r="N18" s="3" t="s">
        <v>220</v>
      </c>
      <c r="O18" s="3" t="s">
        <v>221</v>
      </c>
      <c r="P18" s="3" t="s">
        <v>9</v>
      </c>
    </row>
    <row r="19" spans="1:16">
      <c r="A19" s="3">
        <v>16</v>
      </c>
      <c r="B19" s="3" t="s">
        <v>247</v>
      </c>
      <c r="C19" s="4">
        <v>46093</v>
      </c>
      <c r="D19" s="3" t="s">
        <v>44</v>
      </c>
      <c r="E19" s="5" t="s">
        <v>45</v>
      </c>
      <c r="F19" s="5" t="s">
        <v>218</v>
      </c>
      <c r="G19" s="3" t="s">
        <v>46</v>
      </c>
      <c r="H19" s="3" t="s">
        <v>93</v>
      </c>
      <c r="I19" s="3" t="s">
        <v>240</v>
      </c>
      <c r="J19" s="3">
        <v>49</v>
      </c>
      <c r="K19" s="3">
        <v>28</v>
      </c>
      <c r="L19" s="6">
        <f>IFERROR(K19/J19*100,0)</f>
        <v>0</v>
      </c>
      <c r="M19" s="3">
        <v>117</v>
      </c>
      <c r="N19" s="3" t="s">
        <v>238</v>
      </c>
      <c r="O19" s="3" t="s">
        <v>225</v>
      </c>
      <c r="P19" s="3" t="s">
        <v>9</v>
      </c>
    </row>
    <row r="20" spans="1:16">
      <c r="A20" s="3">
        <v>17</v>
      </c>
      <c r="B20" s="3" t="s">
        <v>248</v>
      </c>
      <c r="C20" s="4">
        <v>46091</v>
      </c>
      <c r="D20" s="3" t="s">
        <v>44</v>
      </c>
      <c r="E20" s="5" t="s">
        <v>57</v>
      </c>
      <c r="F20" s="5" t="s">
        <v>224</v>
      </c>
      <c r="G20" s="3" t="s">
        <v>50</v>
      </c>
      <c r="H20" s="3" t="s">
        <v>22</v>
      </c>
      <c r="I20" s="3" t="s">
        <v>224</v>
      </c>
      <c r="J20" s="3">
        <v>45</v>
      </c>
      <c r="K20" s="3">
        <v>37</v>
      </c>
      <c r="L20" s="6">
        <f>IFERROR(K20/J20*100,0)</f>
        <v>0</v>
      </c>
      <c r="M20" s="3">
        <v>40</v>
      </c>
      <c r="N20" s="3" t="s">
        <v>220</v>
      </c>
      <c r="O20" s="3" t="s">
        <v>228</v>
      </c>
      <c r="P20" s="3" t="s">
        <v>23</v>
      </c>
    </row>
    <row r="21" spans="1:16">
      <c r="A21" s="3">
        <v>18</v>
      </c>
      <c r="B21" s="3" t="s">
        <v>249</v>
      </c>
      <c r="C21" s="4">
        <v>46125</v>
      </c>
      <c r="D21" s="3" t="s">
        <v>53</v>
      </c>
      <c r="E21" s="5" t="s">
        <v>54</v>
      </c>
      <c r="F21" s="5" t="s">
        <v>223</v>
      </c>
      <c r="G21" s="3" t="s">
        <v>92</v>
      </c>
      <c r="H21" s="3" t="s">
        <v>41</v>
      </c>
      <c r="I21" s="3" t="s">
        <v>227</v>
      </c>
      <c r="J21" s="3">
        <v>36</v>
      </c>
      <c r="K21" s="3">
        <v>25</v>
      </c>
      <c r="L21" s="6">
        <f>IFERROR(K21/J21*100,0)</f>
        <v>0</v>
      </c>
      <c r="M21" s="3">
        <v>56</v>
      </c>
      <c r="N21" s="3" t="s">
        <v>220</v>
      </c>
      <c r="O21" s="3" t="s">
        <v>221</v>
      </c>
      <c r="P21" s="3" t="s">
        <v>9</v>
      </c>
    </row>
    <row r="22" spans="1:16">
      <c r="A22" s="3">
        <v>19</v>
      </c>
      <c r="B22" s="3" t="s">
        <v>250</v>
      </c>
      <c r="C22" s="4">
        <v>46114</v>
      </c>
      <c r="D22" s="3" t="s">
        <v>53</v>
      </c>
      <c r="E22" s="5" t="s">
        <v>57</v>
      </c>
      <c r="F22" s="5" t="s">
        <v>233</v>
      </c>
      <c r="G22" s="3" t="s">
        <v>50</v>
      </c>
      <c r="H22" s="3" t="s">
        <v>36</v>
      </c>
      <c r="I22" s="3" t="s">
        <v>240</v>
      </c>
      <c r="J22" s="3">
        <v>48</v>
      </c>
      <c r="K22" s="3">
        <v>35</v>
      </c>
      <c r="L22" s="6">
        <f>IFERROR(K22/J22*100,0)</f>
        <v>0</v>
      </c>
      <c r="M22" s="3">
        <v>106</v>
      </c>
      <c r="N22" s="3" t="s">
        <v>220</v>
      </c>
      <c r="O22" s="3" t="s">
        <v>228</v>
      </c>
      <c r="P22" s="3" t="s">
        <v>23</v>
      </c>
    </row>
    <row r="23" spans="1:16">
      <c r="A23" s="3">
        <v>20</v>
      </c>
      <c r="B23" s="3" t="s">
        <v>251</v>
      </c>
      <c r="C23" s="4">
        <v>46122</v>
      </c>
      <c r="D23" s="3" t="s">
        <v>53</v>
      </c>
      <c r="E23" s="5" t="s">
        <v>57</v>
      </c>
      <c r="F23" s="5" t="s">
        <v>218</v>
      </c>
      <c r="G23" s="3" t="s">
        <v>92</v>
      </c>
      <c r="H23" s="3" t="s">
        <v>22</v>
      </c>
      <c r="I23" s="3" t="s">
        <v>224</v>
      </c>
      <c r="J23" s="3">
        <v>14</v>
      </c>
      <c r="K23" s="3">
        <v>40</v>
      </c>
      <c r="L23" s="6">
        <f>IFERROR(K23/J23*100,0)</f>
        <v>0</v>
      </c>
      <c r="M23" s="3">
        <v>55</v>
      </c>
      <c r="N23" s="3" t="s">
        <v>220</v>
      </c>
      <c r="O23" s="3" t="s">
        <v>221</v>
      </c>
      <c r="P23" s="3" t="s">
        <v>9</v>
      </c>
    </row>
    <row r="24" spans="1:16">
      <c r="A24" s="3">
        <v>21</v>
      </c>
      <c r="B24" s="3" t="s">
        <v>252</v>
      </c>
      <c r="C24" s="4">
        <v>46130</v>
      </c>
      <c r="D24" s="3" t="s">
        <v>53</v>
      </c>
      <c r="E24" s="5" t="s">
        <v>20</v>
      </c>
      <c r="F24" s="5" t="s">
        <v>218</v>
      </c>
      <c r="G24" s="3" t="s">
        <v>65</v>
      </c>
      <c r="H24" s="3" t="s">
        <v>62</v>
      </c>
      <c r="I24" s="3" t="s">
        <v>219</v>
      </c>
      <c r="J24" s="3">
        <v>35</v>
      </c>
      <c r="K24" s="3">
        <v>44</v>
      </c>
      <c r="L24" s="6">
        <f>IFERROR(K24/J24*100,0)</f>
        <v>0</v>
      </c>
      <c r="M24" s="3">
        <v>112</v>
      </c>
      <c r="N24" s="3" t="s">
        <v>220</v>
      </c>
      <c r="O24" s="3" t="s">
        <v>225</v>
      </c>
      <c r="P24" s="3" t="s">
        <v>9</v>
      </c>
    </row>
    <row r="25" spans="1:16">
      <c r="A25" s="3">
        <v>22</v>
      </c>
      <c r="B25" s="3" t="s">
        <v>253</v>
      </c>
      <c r="C25" s="4">
        <v>46148</v>
      </c>
      <c r="D25" s="3" t="s">
        <v>60</v>
      </c>
      <c r="E25" s="5" t="s">
        <v>64</v>
      </c>
      <c r="F25" s="5" t="s">
        <v>223</v>
      </c>
      <c r="G25" s="3" t="s">
        <v>50</v>
      </c>
      <c r="H25" s="3" t="s">
        <v>66</v>
      </c>
      <c r="I25" s="3" t="s">
        <v>224</v>
      </c>
      <c r="J25" s="3">
        <v>34</v>
      </c>
      <c r="K25" s="3">
        <v>50</v>
      </c>
      <c r="L25" s="6">
        <f>IFERROR(K25/J25*100,0)</f>
        <v>0</v>
      </c>
      <c r="M25" s="3">
        <v>78</v>
      </c>
      <c r="N25" s="3" t="s">
        <v>254</v>
      </c>
      <c r="O25" s="3" t="s">
        <v>225</v>
      </c>
      <c r="P25" s="3" t="s">
        <v>23</v>
      </c>
    </row>
    <row r="26" spans="1:16">
      <c r="A26" s="3">
        <v>23</v>
      </c>
      <c r="B26" s="3" t="s">
        <v>255</v>
      </c>
      <c r="C26" s="4">
        <v>46156</v>
      </c>
      <c r="D26" s="3" t="s">
        <v>60</v>
      </c>
      <c r="E26" s="5" t="s">
        <v>4</v>
      </c>
      <c r="F26" s="5" t="s">
        <v>218</v>
      </c>
      <c r="G26" s="3" t="s">
        <v>65</v>
      </c>
      <c r="H26" s="3" t="s">
        <v>68</v>
      </c>
      <c r="I26" s="3" t="s">
        <v>224</v>
      </c>
      <c r="J26" s="3">
        <v>20</v>
      </c>
      <c r="K26" s="3">
        <v>32</v>
      </c>
      <c r="L26" s="6">
        <f>IFERROR(K26/J26*100,0)</f>
        <v>0</v>
      </c>
      <c r="M26" s="3">
        <v>119</v>
      </c>
      <c r="N26" s="3" t="s">
        <v>220</v>
      </c>
      <c r="O26" s="3" t="s">
        <v>228</v>
      </c>
      <c r="P26" s="3" t="s">
        <v>23</v>
      </c>
    </row>
    <row r="27" spans="1:16">
      <c r="A27" s="3">
        <v>24</v>
      </c>
      <c r="B27" s="3" t="s">
        <v>256</v>
      </c>
      <c r="C27" s="4">
        <v>46147</v>
      </c>
      <c r="D27" s="3" t="s">
        <v>60</v>
      </c>
      <c r="E27" s="5" t="s">
        <v>26</v>
      </c>
      <c r="F27" s="5" t="s">
        <v>224</v>
      </c>
      <c r="G27" s="3" t="s">
        <v>92</v>
      </c>
      <c r="H27" s="3" t="s">
        <v>104</v>
      </c>
      <c r="I27" s="3" t="s">
        <v>227</v>
      </c>
      <c r="J27" s="3">
        <v>54</v>
      </c>
      <c r="K27" s="3">
        <v>14</v>
      </c>
      <c r="L27" s="6">
        <f>IFERROR(K27/J27*100,0)</f>
        <v>0</v>
      </c>
      <c r="M27" s="3">
        <v>28</v>
      </c>
      <c r="N27" s="3" t="s">
        <v>235</v>
      </c>
      <c r="O27" s="3" t="s">
        <v>221</v>
      </c>
      <c r="P27" s="3" t="s">
        <v>23</v>
      </c>
    </row>
    <row r="28" spans="1:16">
      <c r="A28" s="3">
        <v>25</v>
      </c>
      <c r="B28" s="3" t="s">
        <v>257</v>
      </c>
      <c r="C28" s="4">
        <v>46160</v>
      </c>
      <c r="D28" s="3" t="s">
        <v>60</v>
      </c>
      <c r="E28" s="5" t="s">
        <v>45</v>
      </c>
      <c r="F28" s="5" t="s">
        <v>223</v>
      </c>
      <c r="G28" s="3" t="s">
        <v>13</v>
      </c>
      <c r="H28" s="3" t="s">
        <v>70</v>
      </c>
      <c r="I28" s="3" t="s">
        <v>240</v>
      </c>
      <c r="J28" s="3">
        <v>39</v>
      </c>
      <c r="K28" s="3">
        <v>45</v>
      </c>
      <c r="L28" s="6">
        <f>IFERROR(K28/J28*100,0)</f>
        <v>0</v>
      </c>
      <c r="M28" s="3">
        <v>59</v>
      </c>
      <c r="N28" s="3" t="s">
        <v>235</v>
      </c>
      <c r="O28" s="3" t="s">
        <v>221</v>
      </c>
      <c r="P28" s="3" t="s">
        <v>9</v>
      </c>
    </row>
    <row r="29" spans="1:16">
      <c r="A29" s="3">
        <v>26</v>
      </c>
      <c r="B29" s="3" t="s">
        <v>258</v>
      </c>
      <c r="C29" s="4">
        <v>46193</v>
      </c>
      <c r="D29" s="3" t="s">
        <v>73</v>
      </c>
      <c r="E29" s="5" t="s">
        <v>45</v>
      </c>
      <c r="F29" s="5" t="s">
        <v>237</v>
      </c>
      <c r="G29" s="3" t="s">
        <v>39</v>
      </c>
      <c r="H29" s="3" t="s">
        <v>41</v>
      </c>
      <c r="I29" s="3" t="s">
        <v>240</v>
      </c>
      <c r="J29" s="3">
        <v>19</v>
      </c>
      <c r="K29" s="3">
        <v>38</v>
      </c>
      <c r="L29" s="6">
        <f>IFERROR(K29/J29*100,0)</f>
        <v>0</v>
      </c>
      <c r="M29" s="3">
        <v>74</v>
      </c>
      <c r="N29" s="3" t="s">
        <v>238</v>
      </c>
      <c r="O29" s="3" t="s">
        <v>221</v>
      </c>
      <c r="P29" s="3" t="s">
        <v>23</v>
      </c>
    </row>
    <row r="30" spans="1:16">
      <c r="A30" s="3">
        <v>27</v>
      </c>
      <c r="B30" s="3" t="s">
        <v>259</v>
      </c>
      <c r="C30" s="4">
        <v>46198</v>
      </c>
      <c r="D30" s="3" t="s">
        <v>73</v>
      </c>
      <c r="E30" s="5" t="s">
        <v>16</v>
      </c>
      <c r="F30" s="5" t="s">
        <v>218</v>
      </c>
      <c r="G30" s="3" t="s">
        <v>92</v>
      </c>
      <c r="H30" s="3" t="s">
        <v>70</v>
      </c>
      <c r="I30" s="3" t="s">
        <v>219</v>
      </c>
      <c r="J30" s="3">
        <v>30</v>
      </c>
      <c r="K30" s="3">
        <v>37</v>
      </c>
      <c r="L30" s="6">
        <f>IFERROR(K30/J30*100,0)</f>
        <v>0</v>
      </c>
      <c r="M30" s="3">
        <v>93</v>
      </c>
      <c r="N30" s="3" t="s">
        <v>235</v>
      </c>
      <c r="O30" s="3" t="s">
        <v>228</v>
      </c>
      <c r="P30" s="3" t="s">
        <v>9</v>
      </c>
    </row>
    <row r="31" spans="1:16">
      <c r="A31" s="3">
        <v>28</v>
      </c>
      <c r="B31" s="3" t="s">
        <v>260</v>
      </c>
      <c r="C31" s="4">
        <v>46187</v>
      </c>
      <c r="D31" s="3" t="s">
        <v>73</v>
      </c>
      <c r="E31" s="5" t="s">
        <v>16</v>
      </c>
      <c r="F31" s="5" t="s">
        <v>230</v>
      </c>
      <c r="G31" s="3" t="s">
        <v>65</v>
      </c>
      <c r="H31" s="3" t="s">
        <v>22</v>
      </c>
      <c r="I31" s="3" t="s">
        <v>219</v>
      </c>
      <c r="J31" s="3">
        <v>10</v>
      </c>
      <c r="K31" s="3">
        <v>23</v>
      </c>
      <c r="L31" s="6">
        <f>IFERROR(K31/J31*100,0)</f>
        <v>0</v>
      </c>
      <c r="M31" s="3">
        <v>42</v>
      </c>
      <c r="N31" s="3" t="s">
        <v>220</v>
      </c>
      <c r="O31" s="3" t="s">
        <v>221</v>
      </c>
      <c r="P31" s="3" t="s">
        <v>9</v>
      </c>
    </row>
    <row r="32" spans="1:16">
      <c r="A32" s="3">
        <v>29</v>
      </c>
      <c r="B32" s="3" t="s">
        <v>261</v>
      </c>
      <c r="C32" s="4">
        <v>46200</v>
      </c>
      <c r="D32" s="3" t="s">
        <v>73</v>
      </c>
      <c r="E32" s="5" t="s">
        <v>38</v>
      </c>
      <c r="F32" s="5" t="s">
        <v>224</v>
      </c>
      <c r="G32" s="3" t="s">
        <v>58</v>
      </c>
      <c r="H32" s="3" t="s">
        <v>15</v>
      </c>
      <c r="I32" s="3" t="s">
        <v>224</v>
      </c>
      <c r="J32" s="3">
        <v>54</v>
      </c>
      <c r="K32" s="3">
        <v>37</v>
      </c>
      <c r="L32" s="6">
        <f>IFERROR(K32/J32*100,0)</f>
        <v>0</v>
      </c>
      <c r="M32" s="3">
        <v>22</v>
      </c>
      <c r="N32" s="3" t="s">
        <v>254</v>
      </c>
      <c r="O32" s="3" t="s">
        <v>228</v>
      </c>
      <c r="P32" s="3" t="s">
        <v>23</v>
      </c>
    </row>
    <row r="33" spans="1:16">
      <c r="A33" s="3">
        <v>30</v>
      </c>
      <c r="B33" s="3" t="s">
        <v>262</v>
      </c>
      <c r="C33" s="4">
        <v>46223</v>
      </c>
      <c r="D33" s="3" t="s">
        <v>76</v>
      </c>
      <c r="E33" s="5" t="s">
        <v>26</v>
      </c>
      <c r="F33" s="5" t="s">
        <v>233</v>
      </c>
      <c r="G33" s="3" t="s">
        <v>5</v>
      </c>
      <c r="H33" s="3" t="s">
        <v>62</v>
      </c>
      <c r="I33" s="3" t="s">
        <v>224</v>
      </c>
      <c r="J33" s="3">
        <v>32</v>
      </c>
      <c r="K33" s="3">
        <v>57</v>
      </c>
      <c r="L33" s="6">
        <f>IFERROR(K33/J33*100,0)</f>
        <v>0</v>
      </c>
      <c r="M33" s="3">
        <v>18</v>
      </c>
      <c r="N33" s="3" t="s">
        <v>220</v>
      </c>
      <c r="O33" s="3" t="s">
        <v>221</v>
      </c>
      <c r="P33" s="3" t="s">
        <v>9</v>
      </c>
    </row>
    <row r="34" spans="1:16">
      <c r="A34" s="3">
        <v>31</v>
      </c>
      <c r="B34" s="3" t="s">
        <v>263</v>
      </c>
      <c r="C34" s="4">
        <v>46206</v>
      </c>
      <c r="D34" s="3" t="s">
        <v>76</v>
      </c>
      <c r="E34" s="5" t="s">
        <v>12</v>
      </c>
      <c r="F34" s="5" t="s">
        <v>223</v>
      </c>
      <c r="G34" s="3" t="s">
        <v>27</v>
      </c>
      <c r="H34" s="3" t="s">
        <v>15</v>
      </c>
      <c r="I34" s="3" t="s">
        <v>227</v>
      </c>
      <c r="J34" s="3">
        <v>27</v>
      </c>
      <c r="K34" s="3">
        <v>45</v>
      </c>
      <c r="L34" s="6">
        <f>IFERROR(K34/J34*100,0)</f>
        <v>0</v>
      </c>
      <c r="M34" s="3">
        <v>43</v>
      </c>
      <c r="N34" s="3" t="s">
        <v>220</v>
      </c>
      <c r="O34" s="3" t="s">
        <v>228</v>
      </c>
      <c r="P34" s="3" t="s">
        <v>9</v>
      </c>
    </row>
    <row r="35" spans="1:16">
      <c r="A35" s="3">
        <v>32</v>
      </c>
      <c r="B35" s="3" t="s">
        <v>264</v>
      </c>
      <c r="C35" s="4">
        <v>46218</v>
      </c>
      <c r="D35" s="3" t="s">
        <v>76</v>
      </c>
      <c r="E35" s="5" t="s">
        <v>64</v>
      </c>
      <c r="F35" s="5" t="s">
        <v>223</v>
      </c>
      <c r="G35" s="3" t="s">
        <v>27</v>
      </c>
      <c r="H35" s="3" t="s">
        <v>7</v>
      </c>
      <c r="I35" s="3" t="s">
        <v>224</v>
      </c>
      <c r="J35" s="3">
        <v>19</v>
      </c>
      <c r="K35" s="3">
        <v>52</v>
      </c>
      <c r="L35" s="6">
        <f>IFERROR(K35/J35*100,0)</f>
        <v>0</v>
      </c>
      <c r="M35" s="3">
        <v>75</v>
      </c>
      <c r="N35" s="3" t="s">
        <v>220</v>
      </c>
      <c r="O35" s="3" t="s">
        <v>225</v>
      </c>
      <c r="P35" s="3" t="s">
        <v>23</v>
      </c>
    </row>
    <row r="36" spans="1:16">
      <c r="A36" s="3">
        <v>33</v>
      </c>
      <c r="B36" s="3" t="s">
        <v>265</v>
      </c>
      <c r="C36" s="4">
        <v>46259</v>
      </c>
      <c r="D36" s="3" t="s">
        <v>86</v>
      </c>
      <c r="E36" s="5" t="s">
        <v>38</v>
      </c>
      <c r="F36" s="5" t="s">
        <v>230</v>
      </c>
      <c r="G36" s="3" t="s">
        <v>46</v>
      </c>
      <c r="H36" s="3" t="s">
        <v>36</v>
      </c>
      <c r="I36" s="3" t="s">
        <v>224</v>
      </c>
      <c r="J36" s="3">
        <v>57</v>
      </c>
      <c r="K36" s="3">
        <v>49</v>
      </c>
      <c r="L36" s="6">
        <f>IFERROR(K36/J36*100,0)</f>
        <v>0</v>
      </c>
      <c r="M36" s="3">
        <v>67</v>
      </c>
      <c r="N36" s="3" t="s">
        <v>220</v>
      </c>
      <c r="O36" s="3" t="s">
        <v>228</v>
      </c>
      <c r="P36" s="3" t="s">
        <v>9</v>
      </c>
    </row>
    <row r="37" spans="1:16">
      <c r="A37" s="3">
        <v>34</v>
      </c>
      <c r="B37" s="3" t="s">
        <v>266</v>
      </c>
      <c r="C37" s="4">
        <v>46254</v>
      </c>
      <c r="D37" s="3" t="s">
        <v>86</v>
      </c>
      <c r="E37" s="5" t="s">
        <v>54</v>
      </c>
      <c r="F37" s="5" t="s">
        <v>233</v>
      </c>
      <c r="G37" s="3" t="s">
        <v>50</v>
      </c>
      <c r="H37" s="3" t="s">
        <v>78</v>
      </c>
      <c r="I37" s="3" t="s">
        <v>240</v>
      </c>
      <c r="J37" s="3">
        <v>33</v>
      </c>
      <c r="K37" s="3">
        <v>11</v>
      </c>
      <c r="L37" s="6">
        <f>IFERROR(K37/J37*100,0)</f>
        <v>0</v>
      </c>
      <c r="M37" s="3">
        <v>84</v>
      </c>
      <c r="N37" s="3" t="s">
        <v>220</v>
      </c>
      <c r="O37" s="3" t="s">
        <v>221</v>
      </c>
      <c r="P37" s="3" t="s">
        <v>9</v>
      </c>
    </row>
    <row r="38" spans="1:16">
      <c r="A38" s="3">
        <v>35</v>
      </c>
      <c r="B38" s="3" t="s">
        <v>267</v>
      </c>
      <c r="C38" s="4">
        <v>46235</v>
      </c>
      <c r="D38" s="3" t="s">
        <v>86</v>
      </c>
      <c r="E38" s="5" t="s">
        <v>16</v>
      </c>
      <c r="F38" s="5" t="s">
        <v>224</v>
      </c>
      <c r="G38" s="3" t="s">
        <v>5</v>
      </c>
      <c r="H38" s="3" t="s">
        <v>7</v>
      </c>
      <c r="I38" s="3" t="s">
        <v>227</v>
      </c>
      <c r="J38" s="3">
        <v>55</v>
      </c>
      <c r="K38" s="3">
        <v>28</v>
      </c>
      <c r="L38" s="6">
        <f>IFERROR(K38/J38*100,0)</f>
        <v>0</v>
      </c>
      <c r="M38" s="3">
        <v>84</v>
      </c>
      <c r="N38" s="3" t="s">
        <v>238</v>
      </c>
      <c r="O38" s="3" t="s">
        <v>221</v>
      </c>
      <c r="P38" s="3" t="s">
        <v>9</v>
      </c>
    </row>
    <row r="39" spans="1:16">
      <c r="A39" s="3">
        <v>36</v>
      </c>
      <c r="B39" s="3" t="s">
        <v>268</v>
      </c>
      <c r="C39" s="4">
        <v>46249</v>
      </c>
      <c r="D39" s="3" t="s">
        <v>86</v>
      </c>
      <c r="E39" s="5" t="s">
        <v>30</v>
      </c>
      <c r="F39" s="5" t="s">
        <v>237</v>
      </c>
      <c r="G39" s="3" t="s">
        <v>39</v>
      </c>
      <c r="H39" s="3" t="s">
        <v>36</v>
      </c>
      <c r="I39" s="3" t="s">
        <v>227</v>
      </c>
      <c r="J39" s="3">
        <v>60</v>
      </c>
      <c r="K39" s="3">
        <v>18</v>
      </c>
      <c r="L39" s="6">
        <f>IFERROR(K39/J39*100,0)</f>
        <v>0</v>
      </c>
      <c r="M39" s="3">
        <v>70</v>
      </c>
      <c r="N39" s="3" t="s">
        <v>220</v>
      </c>
      <c r="O39" s="3" t="s">
        <v>225</v>
      </c>
      <c r="P39" s="3" t="s">
        <v>23</v>
      </c>
    </row>
    <row r="40" spans="1:16">
      <c r="A40" s="3">
        <v>37</v>
      </c>
      <c r="B40" s="3" t="s">
        <v>269</v>
      </c>
      <c r="C40" s="4">
        <v>46283</v>
      </c>
      <c r="D40" s="3" t="s">
        <v>102</v>
      </c>
      <c r="E40" s="5" t="s">
        <v>38</v>
      </c>
      <c r="F40" s="5" t="s">
        <v>230</v>
      </c>
      <c r="G40" s="3" t="s">
        <v>50</v>
      </c>
      <c r="H40" s="3" t="s">
        <v>41</v>
      </c>
      <c r="I40" s="3" t="s">
        <v>224</v>
      </c>
      <c r="J40" s="3">
        <v>25</v>
      </c>
      <c r="K40" s="3">
        <v>21</v>
      </c>
      <c r="L40" s="6">
        <f>IFERROR(K40/J40*100,0)</f>
        <v>0</v>
      </c>
      <c r="M40" s="3">
        <v>80</v>
      </c>
      <c r="N40" s="3" t="s">
        <v>220</v>
      </c>
      <c r="O40" s="3" t="s">
        <v>225</v>
      </c>
      <c r="P40" s="3" t="s">
        <v>9</v>
      </c>
    </row>
    <row r="41" spans="1:16">
      <c r="A41" s="3">
        <v>38</v>
      </c>
      <c r="B41" s="3" t="s">
        <v>270</v>
      </c>
      <c r="C41" s="4">
        <v>46285</v>
      </c>
      <c r="D41" s="3" t="s">
        <v>102</v>
      </c>
      <c r="E41" s="5" t="s">
        <v>4</v>
      </c>
      <c r="F41" s="5" t="s">
        <v>230</v>
      </c>
      <c r="G41" s="3" t="s">
        <v>39</v>
      </c>
      <c r="H41" s="3" t="s">
        <v>66</v>
      </c>
      <c r="I41" s="3" t="s">
        <v>219</v>
      </c>
      <c r="J41" s="3">
        <v>11</v>
      </c>
      <c r="K41" s="3">
        <v>16</v>
      </c>
      <c r="L41" s="6">
        <f>IFERROR(K41/J41*100,0)</f>
        <v>0</v>
      </c>
      <c r="M41" s="3">
        <v>39</v>
      </c>
      <c r="N41" s="3" t="s">
        <v>220</v>
      </c>
      <c r="O41" s="3" t="s">
        <v>221</v>
      </c>
      <c r="P41" s="3" t="s">
        <v>23</v>
      </c>
    </row>
    <row r="42" spans="1:16">
      <c r="A42" s="3">
        <v>39</v>
      </c>
      <c r="B42" s="3" t="s">
        <v>271</v>
      </c>
      <c r="C42" s="4">
        <v>46277</v>
      </c>
      <c r="D42" s="3" t="s">
        <v>102</v>
      </c>
      <c r="E42" s="5" t="s">
        <v>38</v>
      </c>
      <c r="F42" s="5" t="s">
        <v>230</v>
      </c>
      <c r="G42" s="3" t="s">
        <v>89</v>
      </c>
      <c r="H42" s="3" t="s">
        <v>28</v>
      </c>
      <c r="I42" s="3" t="s">
        <v>227</v>
      </c>
      <c r="J42" s="3">
        <v>29</v>
      </c>
      <c r="K42" s="3">
        <v>19</v>
      </c>
      <c r="L42" s="6">
        <f>IFERROR(K42/J42*100,0)</f>
        <v>0</v>
      </c>
      <c r="M42" s="3">
        <v>49</v>
      </c>
      <c r="N42" s="3" t="s">
        <v>220</v>
      </c>
      <c r="O42" s="3" t="s">
        <v>225</v>
      </c>
      <c r="P42" s="3" t="s">
        <v>9</v>
      </c>
    </row>
    <row r="43" spans="1:16">
      <c r="A43" s="3">
        <v>40</v>
      </c>
      <c r="B43" s="3" t="s">
        <v>272</v>
      </c>
      <c r="C43" s="4">
        <v>46317</v>
      </c>
      <c r="D43" s="3" t="s">
        <v>106</v>
      </c>
      <c r="E43" s="5" t="s">
        <v>64</v>
      </c>
      <c r="F43" s="5" t="s">
        <v>223</v>
      </c>
      <c r="G43" s="3" t="s">
        <v>58</v>
      </c>
      <c r="H43" s="3" t="s">
        <v>66</v>
      </c>
      <c r="I43" s="3" t="s">
        <v>219</v>
      </c>
      <c r="J43" s="3">
        <v>57</v>
      </c>
      <c r="K43" s="3">
        <v>44</v>
      </c>
      <c r="L43" s="6">
        <f>IFERROR(K43/J43*100,0)</f>
        <v>0</v>
      </c>
      <c r="M43" s="3">
        <v>16</v>
      </c>
      <c r="N43" s="3" t="s">
        <v>238</v>
      </c>
      <c r="O43" s="3" t="s">
        <v>228</v>
      </c>
      <c r="P43" s="3" t="s">
        <v>9</v>
      </c>
    </row>
    <row r="44" spans="1:16">
      <c r="A44" s="3">
        <v>41</v>
      </c>
      <c r="B44" s="3" t="s">
        <v>273</v>
      </c>
      <c r="C44" s="4">
        <v>46345</v>
      </c>
      <c r="D44" s="3" t="s">
        <v>111</v>
      </c>
      <c r="E44" s="5" t="s">
        <v>20</v>
      </c>
      <c r="F44" s="5" t="s">
        <v>230</v>
      </c>
      <c r="G44" s="3" t="s">
        <v>5</v>
      </c>
      <c r="H44" s="3" t="s">
        <v>70</v>
      </c>
      <c r="I44" s="3" t="s">
        <v>227</v>
      </c>
      <c r="J44" s="3">
        <v>51</v>
      </c>
      <c r="K44" s="3">
        <v>26</v>
      </c>
      <c r="L44" s="6">
        <f>IFERROR(K44/J44*100,0)</f>
        <v>0</v>
      </c>
      <c r="M44" s="3">
        <v>45</v>
      </c>
      <c r="N44" s="3" t="s">
        <v>220</v>
      </c>
      <c r="O44" s="3" t="s">
        <v>221</v>
      </c>
      <c r="P44" s="3" t="s">
        <v>23</v>
      </c>
    </row>
    <row r="45" spans="1:16">
      <c r="A45" s="3">
        <v>42</v>
      </c>
      <c r="B45" s="3" t="s">
        <v>274</v>
      </c>
      <c r="C45" s="4">
        <v>46353</v>
      </c>
      <c r="D45" s="3" t="s">
        <v>111</v>
      </c>
      <c r="E45" s="5" t="s">
        <v>20</v>
      </c>
      <c r="F45" s="5" t="s">
        <v>230</v>
      </c>
      <c r="G45" s="3" t="s">
        <v>58</v>
      </c>
      <c r="H45" s="3" t="s">
        <v>22</v>
      </c>
      <c r="I45" s="3" t="s">
        <v>219</v>
      </c>
      <c r="J45" s="3">
        <v>58</v>
      </c>
      <c r="K45" s="3">
        <v>34</v>
      </c>
      <c r="L45" s="6">
        <f>IFERROR(K45/J45*100,0)</f>
        <v>0</v>
      </c>
      <c r="M45" s="3">
        <v>82</v>
      </c>
      <c r="N45" s="3" t="s">
        <v>220</v>
      </c>
      <c r="O45" s="3" t="s">
        <v>228</v>
      </c>
      <c r="P45" s="3" t="s">
        <v>23</v>
      </c>
    </row>
    <row r="46" spans="1:16">
      <c r="A46" s="3">
        <v>43</v>
      </c>
      <c r="B46" s="3" t="s">
        <v>275</v>
      </c>
      <c r="C46" s="4">
        <v>46337</v>
      </c>
      <c r="D46" s="3" t="s">
        <v>111</v>
      </c>
      <c r="E46" s="5" t="s">
        <v>64</v>
      </c>
      <c r="F46" s="5" t="s">
        <v>224</v>
      </c>
      <c r="G46" s="3" t="s">
        <v>50</v>
      </c>
      <c r="H46" s="3" t="s">
        <v>93</v>
      </c>
      <c r="I46" s="3" t="s">
        <v>224</v>
      </c>
      <c r="J46" s="3">
        <v>48</v>
      </c>
      <c r="K46" s="3">
        <v>34</v>
      </c>
      <c r="L46" s="6">
        <f>IFERROR(K46/J46*100,0)</f>
        <v>0</v>
      </c>
      <c r="M46" s="3">
        <v>101</v>
      </c>
      <c r="N46" s="3" t="s">
        <v>220</v>
      </c>
      <c r="O46" s="3" t="s">
        <v>228</v>
      </c>
      <c r="P46" s="3" t="s">
        <v>23</v>
      </c>
    </row>
    <row r="47" spans="1:16">
      <c r="A47" s="3">
        <v>44</v>
      </c>
      <c r="B47" s="3" t="s">
        <v>276</v>
      </c>
      <c r="C47" s="4">
        <v>46341</v>
      </c>
      <c r="D47" s="3" t="s">
        <v>111</v>
      </c>
      <c r="E47" s="5" t="s">
        <v>12</v>
      </c>
      <c r="F47" s="5" t="s">
        <v>223</v>
      </c>
      <c r="G47" s="3" t="s">
        <v>58</v>
      </c>
      <c r="H47" s="3" t="s">
        <v>78</v>
      </c>
      <c r="I47" s="3" t="s">
        <v>219</v>
      </c>
      <c r="J47" s="3">
        <v>10</v>
      </c>
      <c r="K47" s="3">
        <v>58</v>
      </c>
      <c r="L47" s="6">
        <f>IFERROR(K47/J47*100,0)</f>
        <v>0</v>
      </c>
      <c r="M47" s="3">
        <v>60</v>
      </c>
      <c r="N47" s="3" t="s">
        <v>220</v>
      </c>
      <c r="O47" s="3" t="s">
        <v>228</v>
      </c>
      <c r="P47" s="3" t="s">
        <v>23</v>
      </c>
    </row>
    <row r="48" spans="1:16">
      <c r="A48" s="3">
        <v>45</v>
      </c>
      <c r="B48" s="3" t="s">
        <v>277</v>
      </c>
      <c r="C48" s="4">
        <v>46353</v>
      </c>
      <c r="D48" s="3" t="s">
        <v>111</v>
      </c>
      <c r="E48" s="5" t="s">
        <v>45</v>
      </c>
      <c r="F48" s="5" t="s">
        <v>230</v>
      </c>
      <c r="G48" s="3" t="s">
        <v>5</v>
      </c>
      <c r="H48" s="3" t="s">
        <v>28</v>
      </c>
      <c r="I48" s="3" t="s">
        <v>224</v>
      </c>
      <c r="J48" s="3">
        <v>53</v>
      </c>
      <c r="K48" s="3">
        <v>31</v>
      </c>
      <c r="L48" s="6">
        <f>IFERROR(K48/J48*100,0)</f>
        <v>0</v>
      </c>
      <c r="M48" s="3">
        <v>84</v>
      </c>
      <c r="N48" s="3" t="s">
        <v>254</v>
      </c>
      <c r="O48" s="3" t="s">
        <v>221</v>
      </c>
      <c r="P48" s="3" t="s">
        <v>9</v>
      </c>
    </row>
    <row r="49" spans="1:16">
      <c r="A49" s="3">
        <v>46</v>
      </c>
      <c r="B49" s="3" t="s">
        <v>278</v>
      </c>
      <c r="C49" s="4">
        <v>46371</v>
      </c>
      <c r="D49" s="3" t="s">
        <v>122</v>
      </c>
      <c r="E49" s="5" t="s">
        <v>45</v>
      </c>
      <c r="F49" s="5" t="s">
        <v>233</v>
      </c>
      <c r="G49" s="3" t="s">
        <v>58</v>
      </c>
      <c r="H49" s="3" t="s">
        <v>15</v>
      </c>
      <c r="I49" s="3" t="s">
        <v>224</v>
      </c>
      <c r="J49" s="3">
        <v>58</v>
      </c>
      <c r="K49" s="3">
        <v>20</v>
      </c>
      <c r="L49" s="6">
        <f>IFERROR(K49/J49*100,0)</f>
        <v>0</v>
      </c>
      <c r="M49" s="3">
        <v>92</v>
      </c>
      <c r="N49" s="3" t="s">
        <v>238</v>
      </c>
      <c r="O49" s="3" t="s">
        <v>225</v>
      </c>
      <c r="P49" s="3" t="s">
        <v>23</v>
      </c>
    </row>
    <row r="50" spans="1:16">
      <c r="A50" s="3">
        <v>47</v>
      </c>
      <c r="B50" s="3" t="s">
        <v>279</v>
      </c>
      <c r="C50" s="4">
        <v>46358</v>
      </c>
      <c r="D50" s="3" t="s">
        <v>122</v>
      </c>
      <c r="E50" s="5" t="s">
        <v>20</v>
      </c>
      <c r="F50" s="5" t="s">
        <v>230</v>
      </c>
      <c r="G50" s="3" t="s">
        <v>58</v>
      </c>
      <c r="H50" s="3" t="s">
        <v>62</v>
      </c>
      <c r="I50" s="3" t="s">
        <v>219</v>
      </c>
      <c r="J50" s="3">
        <v>36</v>
      </c>
      <c r="K50" s="3">
        <v>24</v>
      </c>
      <c r="L50" s="6">
        <f>IFERROR(K50/J50*100,0)</f>
        <v>0</v>
      </c>
      <c r="M50" s="3">
        <v>103</v>
      </c>
      <c r="N50" s="3" t="s">
        <v>254</v>
      </c>
      <c r="O50" s="3" t="s">
        <v>225</v>
      </c>
      <c r="P50" s="3" t="s">
        <v>23</v>
      </c>
    </row>
    <row r="51" spans="1:16">
      <c r="A51" s="3">
        <v>48</v>
      </c>
      <c r="B51" s="3" t="s">
        <v>280</v>
      </c>
      <c r="C51" s="4">
        <v>46383</v>
      </c>
      <c r="D51" s="3" t="s">
        <v>122</v>
      </c>
      <c r="E51" s="5" t="s">
        <v>20</v>
      </c>
      <c r="F51" s="5" t="s">
        <v>233</v>
      </c>
      <c r="G51" s="3" t="s">
        <v>58</v>
      </c>
      <c r="H51" s="3" t="s">
        <v>62</v>
      </c>
      <c r="I51" s="3" t="s">
        <v>224</v>
      </c>
      <c r="J51" s="3">
        <v>26</v>
      </c>
      <c r="K51" s="3">
        <v>12</v>
      </c>
      <c r="L51" s="6">
        <f>IFERROR(K51/J51*100,0)</f>
        <v>0</v>
      </c>
      <c r="M51" s="3">
        <v>86</v>
      </c>
      <c r="N51" s="3" t="s">
        <v>254</v>
      </c>
      <c r="O51" s="3" t="s">
        <v>225</v>
      </c>
      <c r="P51" s="3" t="s">
        <v>23</v>
      </c>
    </row>
  </sheetData>
  <mergeCells count="2">
    <mergeCell ref="A1:P1"/>
    <mergeCell ref="A2:P2"/>
  </mergeCells>
  <dataValidations count="2">
    <dataValidation type="list" allowBlank="1" showInputMessage="1" showErrorMessage="1" sqref="G4:G5003">
      <formula1>L_Dept</formula1>
    </dataValidation>
    <dataValidation type="list" allowBlank="1" showInputMessage="1" showErrorMessage="1" sqref="N4:N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8.7109375" customWidth="1"/>
    <col min="6" max="6" width="13.7109375" customWidth="1"/>
    <col min="7" max="7" width="12.7109375" customWidth="1"/>
    <col min="8" max="8" width="10.7109375" customWidth="1"/>
    <col min="9" max="9" width="13.7109375" customWidth="1"/>
    <col min="10" max="10" width="20.7109375" customWidth="1"/>
    <col min="11" max="11" width="10.7109375" customWidth="1"/>
    <col min="12" max="12" width="12.7109375" customWidth="1"/>
    <col min="13" max="13" width="9.7109375" customWidth="1"/>
    <col min="14" max="14" width="14.7109375" customWidth="1"/>
    <col min="15" max="15" width="10.7109375" customWidth="1"/>
  </cols>
  <sheetData>
    <row r="1" spans="1:17" ht="22" customHeight="1">
      <c r="A1" s="1" t="s">
        <v>290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350</v>
      </c>
      <c r="C3" t="s">
        <v>126</v>
      </c>
      <c r="D3" t="s">
        <v>127</v>
      </c>
      <c r="E3" t="s">
        <v>351</v>
      </c>
      <c r="F3" t="s">
        <v>352</v>
      </c>
      <c r="G3" t="s">
        <v>129</v>
      </c>
      <c r="H3" t="s">
        <v>130</v>
      </c>
      <c r="I3" t="s">
        <v>353</v>
      </c>
      <c r="J3" t="s">
        <v>354</v>
      </c>
      <c r="K3" t="s">
        <v>355</v>
      </c>
      <c r="L3" t="s">
        <v>210</v>
      </c>
      <c r="M3" t="s">
        <v>287</v>
      </c>
      <c r="N3" t="s">
        <v>356</v>
      </c>
      <c r="O3" t="s">
        <v>357</v>
      </c>
    </row>
    <row r="4" spans="1:17">
      <c r="A4" s="3">
        <v>1</v>
      </c>
      <c r="B4" s="3" t="s">
        <v>291</v>
      </c>
      <c r="C4" s="4">
        <v>46025</v>
      </c>
      <c r="D4" s="3" t="s">
        <v>3</v>
      </c>
      <c r="E4" s="5" t="s">
        <v>292</v>
      </c>
      <c r="F4" s="5" t="s">
        <v>38</v>
      </c>
      <c r="G4" s="3" t="s">
        <v>27</v>
      </c>
      <c r="H4" s="3" t="s">
        <v>87</v>
      </c>
      <c r="I4" s="3" t="s">
        <v>15</v>
      </c>
      <c r="J4" s="3" t="s">
        <v>41</v>
      </c>
      <c r="K4" s="3" t="s">
        <v>55</v>
      </c>
      <c r="L4" s="3" t="s">
        <v>159</v>
      </c>
      <c r="M4" s="3" t="s">
        <v>293</v>
      </c>
      <c r="N4" s="3" t="s">
        <v>294</v>
      </c>
      <c r="O4" s="4">
        <v>46031</v>
      </c>
    </row>
    <row r="5" spans="1:17">
      <c r="A5" s="3">
        <v>2</v>
      </c>
      <c r="B5" s="3" t="s">
        <v>295</v>
      </c>
      <c r="C5" s="4">
        <v>46049</v>
      </c>
      <c r="D5" s="3" t="s">
        <v>3</v>
      </c>
      <c r="E5" s="5" t="s">
        <v>296</v>
      </c>
      <c r="F5" s="5" t="s">
        <v>64</v>
      </c>
      <c r="G5" s="3" t="s">
        <v>39</v>
      </c>
      <c r="H5" s="3" t="s">
        <v>77</v>
      </c>
      <c r="I5" s="3" t="s">
        <v>62</v>
      </c>
      <c r="J5" s="3" t="s">
        <v>78</v>
      </c>
      <c r="K5" s="3" t="s">
        <v>33</v>
      </c>
      <c r="L5" s="3" t="s">
        <v>142</v>
      </c>
      <c r="M5" s="3" t="s">
        <v>297</v>
      </c>
      <c r="N5" s="3" t="s">
        <v>298</v>
      </c>
      <c r="O5" s="4">
        <v>46091</v>
      </c>
    </row>
    <row r="6" spans="1:17">
      <c r="A6" s="3">
        <v>3</v>
      </c>
      <c r="B6" s="3" t="s">
        <v>299</v>
      </c>
      <c r="C6" s="4">
        <v>46036</v>
      </c>
      <c r="D6" s="3" t="s">
        <v>3</v>
      </c>
      <c r="E6" s="5" t="s">
        <v>300</v>
      </c>
      <c r="F6" s="5" t="s">
        <v>26</v>
      </c>
      <c r="G6" s="3" t="s">
        <v>50</v>
      </c>
      <c r="H6" s="3" t="s">
        <v>31</v>
      </c>
      <c r="I6" s="3" t="s">
        <v>70</v>
      </c>
      <c r="J6" s="3" t="s">
        <v>78</v>
      </c>
      <c r="K6" s="3" t="s">
        <v>16</v>
      </c>
      <c r="L6" s="3" t="s">
        <v>142</v>
      </c>
      <c r="M6" s="3" t="s">
        <v>297</v>
      </c>
      <c r="N6" s="3" t="s">
        <v>298</v>
      </c>
      <c r="O6" s="4">
        <v>46061</v>
      </c>
    </row>
    <row r="7" spans="1:17">
      <c r="A7" s="3">
        <v>4</v>
      </c>
      <c r="B7" s="3" t="s">
        <v>301</v>
      </c>
      <c r="C7" s="4">
        <v>46039</v>
      </c>
      <c r="D7" s="3" t="s">
        <v>3</v>
      </c>
      <c r="E7" s="5" t="s">
        <v>302</v>
      </c>
      <c r="F7" s="5" t="s">
        <v>49</v>
      </c>
      <c r="G7" s="3" t="s">
        <v>39</v>
      </c>
      <c r="H7" s="3" t="s">
        <v>21</v>
      </c>
      <c r="I7" s="3" t="s">
        <v>66</v>
      </c>
      <c r="J7" s="3" t="s">
        <v>7</v>
      </c>
      <c r="K7" s="3" t="s">
        <v>55</v>
      </c>
      <c r="L7" s="3" t="s">
        <v>142</v>
      </c>
      <c r="M7" s="3" t="s">
        <v>293</v>
      </c>
      <c r="N7" s="3" t="s">
        <v>303</v>
      </c>
      <c r="O7" s="4">
        <v>46058</v>
      </c>
    </row>
    <row r="8" spans="1:17">
      <c r="A8" s="3">
        <v>5</v>
      </c>
      <c r="B8" s="3" t="s">
        <v>304</v>
      </c>
      <c r="C8" s="4">
        <v>46032</v>
      </c>
      <c r="D8" s="3" t="s">
        <v>3</v>
      </c>
      <c r="E8" s="5" t="s">
        <v>302</v>
      </c>
      <c r="F8" s="5" t="s">
        <v>45</v>
      </c>
      <c r="G8" s="3" t="s">
        <v>92</v>
      </c>
      <c r="H8" s="3" t="s">
        <v>51</v>
      </c>
      <c r="I8" s="3" t="s">
        <v>62</v>
      </c>
      <c r="J8" s="3" t="s">
        <v>7</v>
      </c>
      <c r="K8" s="3" t="s">
        <v>33</v>
      </c>
      <c r="L8" s="3" t="s">
        <v>159</v>
      </c>
      <c r="M8" s="3" t="s">
        <v>254</v>
      </c>
      <c r="N8" s="3" t="s">
        <v>298</v>
      </c>
      <c r="O8" s="4">
        <v>46058</v>
      </c>
    </row>
    <row r="9" spans="1:17">
      <c r="A9" s="3">
        <v>6</v>
      </c>
      <c r="B9" s="3" t="s">
        <v>305</v>
      </c>
      <c r="C9" s="4">
        <v>46034</v>
      </c>
      <c r="D9" s="3" t="s">
        <v>3</v>
      </c>
      <c r="E9" s="5" t="s">
        <v>292</v>
      </c>
      <c r="F9" s="5" t="s">
        <v>57</v>
      </c>
      <c r="G9" s="3" t="s">
        <v>92</v>
      </c>
      <c r="H9" s="3" t="s">
        <v>6</v>
      </c>
      <c r="I9" s="3" t="s">
        <v>66</v>
      </c>
      <c r="J9" s="3" t="s">
        <v>93</v>
      </c>
      <c r="K9" s="3" t="s">
        <v>55</v>
      </c>
      <c r="L9" s="3" t="s">
        <v>159</v>
      </c>
      <c r="M9" s="3" t="s">
        <v>293</v>
      </c>
      <c r="N9" s="3" t="s">
        <v>303</v>
      </c>
      <c r="O9" s="4">
        <v>46052</v>
      </c>
    </row>
    <row r="10" spans="1:17">
      <c r="A10" s="3">
        <v>7</v>
      </c>
      <c r="B10" s="3" t="s">
        <v>306</v>
      </c>
      <c r="C10" s="4">
        <v>46041</v>
      </c>
      <c r="D10" s="3" t="s">
        <v>3</v>
      </c>
      <c r="E10" s="5" t="s">
        <v>292</v>
      </c>
      <c r="F10" s="5" t="s">
        <v>12</v>
      </c>
      <c r="G10" s="3" t="s">
        <v>50</v>
      </c>
      <c r="H10" s="3" t="s">
        <v>40</v>
      </c>
      <c r="I10" s="3" t="s">
        <v>36</v>
      </c>
      <c r="J10" s="3" t="s">
        <v>32</v>
      </c>
      <c r="K10" s="3" t="s">
        <v>47</v>
      </c>
      <c r="L10" s="3" t="s">
        <v>159</v>
      </c>
      <c r="M10" s="3" t="s">
        <v>293</v>
      </c>
      <c r="N10" s="3" t="s">
        <v>303</v>
      </c>
      <c r="O10" s="4">
        <v>46056</v>
      </c>
    </row>
    <row r="11" spans="1:17">
      <c r="A11" s="3">
        <v>8</v>
      </c>
      <c r="B11" s="3" t="s">
        <v>307</v>
      </c>
      <c r="C11" s="4">
        <v>46038</v>
      </c>
      <c r="D11" s="3" t="s">
        <v>3</v>
      </c>
      <c r="E11" s="5" t="s">
        <v>300</v>
      </c>
      <c r="F11" s="5" t="s">
        <v>91</v>
      </c>
      <c r="G11" s="3" t="s">
        <v>13</v>
      </c>
      <c r="H11" s="3" t="s">
        <v>21</v>
      </c>
      <c r="I11" s="3" t="s">
        <v>104</v>
      </c>
      <c r="J11" s="3" t="s">
        <v>93</v>
      </c>
      <c r="K11" s="3" t="s">
        <v>16</v>
      </c>
      <c r="L11" s="3" t="s">
        <v>159</v>
      </c>
      <c r="M11" s="3" t="s">
        <v>293</v>
      </c>
      <c r="N11" s="3" t="s">
        <v>303</v>
      </c>
      <c r="O11" s="4">
        <v>46083</v>
      </c>
    </row>
    <row r="12" spans="1:17">
      <c r="A12" s="3">
        <v>9</v>
      </c>
      <c r="B12" s="3" t="s">
        <v>308</v>
      </c>
      <c r="C12" s="4">
        <v>46025</v>
      </c>
      <c r="D12" s="3" t="s">
        <v>3</v>
      </c>
      <c r="E12" s="5" t="s">
        <v>300</v>
      </c>
      <c r="F12" s="5" t="s">
        <v>61</v>
      </c>
      <c r="G12" s="3" t="s">
        <v>50</v>
      </c>
      <c r="H12" s="3" t="s">
        <v>6</v>
      </c>
      <c r="I12" s="3" t="s">
        <v>36</v>
      </c>
      <c r="J12" s="3" t="s">
        <v>36</v>
      </c>
      <c r="K12" s="3" t="s">
        <v>47</v>
      </c>
      <c r="L12" s="3" t="s">
        <v>154</v>
      </c>
      <c r="M12" s="3" t="s">
        <v>293</v>
      </c>
      <c r="N12" s="3" t="s">
        <v>294</v>
      </c>
      <c r="O12" s="4">
        <v>46054</v>
      </c>
    </row>
    <row r="13" spans="1:17">
      <c r="A13" s="3">
        <v>10</v>
      </c>
      <c r="B13" s="3" t="s">
        <v>309</v>
      </c>
      <c r="C13" s="4">
        <v>46081</v>
      </c>
      <c r="D13" s="3" t="s">
        <v>19</v>
      </c>
      <c r="E13" s="5" t="s">
        <v>302</v>
      </c>
      <c r="F13" s="5" t="s">
        <v>49</v>
      </c>
      <c r="G13" s="3" t="s">
        <v>89</v>
      </c>
      <c r="H13" s="3" t="s">
        <v>77</v>
      </c>
      <c r="I13" s="3" t="s">
        <v>28</v>
      </c>
      <c r="J13" s="3" t="s">
        <v>66</v>
      </c>
      <c r="K13" s="3" t="s">
        <v>47</v>
      </c>
      <c r="L13" s="3" t="s">
        <v>154</v>
      </c>
      <c r="M13" s="3" t="s">
        <v>293</v>
      </c>
      <c r="N13" s="3" t="s">
        <v>310</v>
      </c>
      <c r="O13" s="4">
        <v>46125</v>
      </c>
    </row>
    <row r="14" spans="1:17">
      <c r="A14" s="3">
        <v>11</v>
      </c>
      <c r="B14" s="3" t="s">
        <v>311</v>
      </c>
      <c r="C14" s="4">
        <v>46063</v>
      </c>
      <c r="D14" s="3" t="s">
        <v>19</v>
      </c>
      <c r="E14" s="5" t="s">
        <v>300</v>
      </c>
      <c r="F14" s="5" t="s">
        <v>12</v>
      </c>
      <c r="G14" s="3" t="s">
        <v>50</v>
      </c>
      <c r="H14" s="3" t="s">
        <v>77</v>
      </c>
      <c r="I14" s="3" t="s">
        <v>70</v>
      </c>
      <c r="J14" s="3" t="s">
        <v>7</v>
      </c>
      <c r="K14" s="3" t="s">
        <v>47</v>
      </c>
      <c r="L14" s="3" t="s">
        <v>162</v>
      </c>
      <c r="M14" s="3" t="s">
        <v>293</v>
      </c>
      <c r="N14" s="3" t="s">
        <v>294</v>
      </c>
      <c r="O14" s="4">
        <v>46071</v>
      </c>
    </row>
    <row r="15" spans="1:17">
      <c r="A15" s="3">
        <v>12</v>
      </c>
      <c r="B15" s="3" t="s">
        <v>312</v>
      </c>
      <c r="C15" s="4">
        <v>46064</v>
      </c>
      <c r="D15" s="3" t="s">
        <v>19</v>
      </c>
      <c r="E15" s="5" t="s">
        <v>300</v>
      </c>
      <c r="F15" s="5" t="s">
        <v>26</v>
      </c>
      <c r="G15" s="3" t="s">
        <v>5</v>
      </c>
      <c r="H15" s="3" t="s">
        <v>14</v>
      </c>
      <c r="I15" s="3" t="s">
        <v>104</v>
      </c>
      <c r="J15" s="3" t="s">
        <v>7</v>
      </c>
      <c r="K15" s="3" t="s">
        <v>33</v>
      </c>
      <c r="L15" s="3" t="s">
        <v>154</v>
      </c>
      <c r="M15" s="3" t="s">
        <v>293</v>
      </c>
      <c r="N15" s="3" t="s">
        <v>313</v>
      </c>
      <c r="O15" s="4">
        <v>46071</v>
      </c>
    </row>
    <row r="16" spans="1:17">
      <c r="A16" s="3">
        <v>13</v>
      </c>
      <c r="B16" s="3" t="s">
        <v>314</v>
      </c>
      <c r="C16" s="4">
        <v>46066</v>
      </c>
      <c r="D16" s="3" t="s">
        <v>19</v>
      </c>
      <c r="E16" s="5" t="s">
        <v>292</v>
      </c>
      <c r="F16" s="5" t="s">
        <v>4</v>
      </c>
      <c r="G16" s="3" t="s">
        <v>92</v>
      </c>
      <c r="H16" s="3" t="s">
        <v>21</v>
      </c>
      <c r="I16" s="3" t="s">
        <v>7</v>
      </c>
      <c r="J16" s="3" t="s">
        <v>66</v>
      </c>
      <c r="K16" s="3" t="s">
        <v>47</v>
      </c>
      <c r="L16" s="3" t="s">
        <v>142</v>
      </c>
      <c r="M16" s="3" t="s">
        <v>293</v>
      </c>
      <c r="N16" s="3" t="s">
        <v>310</v>
      </c>
      <c r="O16" s="4">
        <v>46081</v>
      </c>
    </row>
    <row r="17" spans="1:15">
      <c r="A17" s="3">
        <v>14</v>
      </c>
      <c r="B17" s="3" t="s">
        <v>315</v>
      </c>
      <c r="C17" s="4">
        <v>46090</v>
      </c>
      <c r="D17" s="3" t="s">
        <v>44</v>
      </c>
      <c r="E17" s="5" t="s">
        <v>296</v>
      </c>
      <c r="F17" s="5" t="s">
        <v>91</v>
      </c>
      <c r="G17" s="3" t="s">
        <v>65</v>
      </c>
      <c r="H17" s="3" t="s">
        <v>95</v>
      </c>
      <c r="I17" s="3" t="s">
        <v>78</v>
      </c>
      <c r="J17" s="3" t="s">
        <v>70</v>
      </c>
      <c r="K17" s="3" t="s">
        <v>8</v>
      </c>
      <c r="L17" s="3" t="s">
        <v>142</v>
      </c>
      <c r="M17" s="3" t="s">
        <v>254</v>
      </c>
      <c r="N17" s="3" t="s">
        <v>294</v>
      </c>
      <c r="O17" s="4">
        <v>46130</v>
      </c>
    </row>
    <row r="18" spans="1:15">
      <c r="A18" s="3">
        <v>15</v>
      </c>
      <c r="B18" s="3" t="s">
        <v>316</v>
      </c>
      <c r="C18" s="4">
        <v>46094</v>
      </c>
      <c r="D18" s="3" t="s">
        <v>44</v>
      </c>
      <c r="E18" s="5" t="s">
        <v>302</v>
      </c>
      <c r="F18" s="5" t="s">
        <v>38</v>
      </c>
      <c r="G18" s="3" t="s">
        <v>58</v>
      </c>
      <c r="H18" s="3" t="s">
        <v>40</v>
      </c>
      <c r="I18" s="3" t="s">
        <v>32</v>
      </c>
      <c r="J18" s="3" t="s">
        <v>104</v>
      </c>
      <c r="K18" s="3" t="s">
        <v>55</v>
      </c>
      <c r="L18" s="3" t="s">
        <v>142</v>
      </c>
      <c r="M18" s="3" t="s">
        <v>238</v>
      </c>
      <c r="N18" s="3" t="s">
        <v>298</v>
      </c>
      <c r="O18" s="4">
        <v>46128</v>
      </c>
    </row>
    <row r="19" spans="1:15">
      <c r="A19" s="3">
        <v>16</v>
      </c>
      <c r="B19" s="3" t="s">
        <v>317</v>
      </c>
      <c r="C19" s="4">
        <v>46132</v>
      </c>
      <c r="D19" s="3" t="s">
        <v>53</v>
      </c>
      <c r="E19" s="5" t="s">
        <v>296</v>
      </c>
      <c r="F19" s="5" t="s">
        <v>57</v>
      </c>
      <c r="G19" s="3" t="s">
        <v>13</v>
      </c>
      <c r="H19" s="3" t="s">
        <v>31</v>
      </c>
      <c r="I19" s="3" t="s">
        <v>32</v>
      </c>
      <c r="J19" s="3" t="s">
        <v>104</v>
      </c>
      <c r="K19" s="3" t="s">
        <v>55</v>
      </c>
      <c r="L19" s="3" t="s">
        <v>154</v>
      </c>
      <c r="M19" s="3" t="s">
        <v>254</v>
      </c>
      <c r="N19" s="3" t="s">
        <v>310</v>
      </c>
      <c r="O19" s="4">
        <v>46172</v>
      </c>
    </row>
    <row r="20" spans="1:15">
      <c r="A20" s="3">
        <v>17</v>
      </c>
      <c r="B20" s="3" t="s">
        <v>318</v>
      </c>
      <c r="C20" s="4">
        <v>46114</v>
      </c>
      <c r="D20" s="3" t="s">
        <v>53</v>
      </c>
      <c r="E20" s="5" t="s">
        <v>296</v>
      </c>
      <c r="F20" s="5" t="s">
        <v>54</v>
      </c>
      <c r="G20" s="3" t="s">
        <v>65</v>
      </c>
      <c r="H20" s="3" t="s">
        <v>35</v>
      </c>
      <c r="I20" s="3" t="s">
        <v>62</v>
      </c>
      <c r="J20" s="3" t="s">
        <v>32</v>
      </c>
      <c r="K20" s="3" t="s">
        <v>33</v>
      </c>
      <c r="L20" s="3" t="s">
        <v>154</v>
      </c>
      <c r="M20" s="3" t="s">
        <v>238</v>
      </c>
      <c r="N20" s="3" t="s">
        <v>313</v>
      </c>
      <c r="O20" s="4">
        <v>46123</v>
      </c>
    </row>
    <row r="21" spans="1:15">
      <c r="A21" s="3">
        <v>18</v>
      </c>
      <c r="B21" s="3" t="s">
        <v>319</v>
      </c>
      <c r="C21" s="4">
        <v>46140</v>
      </c>
      <c r="D21" s="3" t="s">
        <v>53</v>
      </c>
      <c r="E21" s="5" t="s">
        <v>292</v>
      </c>
      <c r="F21" s="5" t="s">
        <v>91</v>
      </c>
      <c r="G21" s="3" t="s">
        <v>5</v>
      </c>
      <c r="H21" s="3" t="s">
        <v>35</v>
      </c>
      <c r="I21" s="3" t="s">
        <v>32</v>
      </c>
      <c r="J21" s="3" t="s">
        <v>68</v>
      </c>
      <c r="K21" s="3" t="s">
        <v>33</v>
      </c>
      <c r="L21" s="3" t="s">
        <v>142</v>
      </c>
      <c r="M21" s="3" t="s">
        <v>297</v>
      </c>
      <c r="N21" s="3" t="s">
        <v>313</v>
      </c>
      <c r="O21" s="4">
        <v>46149</v>
      </c>
    </row>
    <row r="22" spans="1:15">
      <c r="A22" s="3">
        <v>19</v>
      </c>
      <c r="B22" s="3" t="s">
        <v>320</v>
      </c>
      <c r="C22" s="4">
        <v>46132</v>
      </c>
      <c r="D22" s="3" t="s">
        <v>53</v>
      </c>
      <c r="E22" s="5" t="s">
        <v>296</v>
      </c>
      <c r="F22" s="5" t="s">
        <v>38</v>
      </c>
      <c r="G22" s="3" t="s">
        <v>89</v>
      </c>
      <c r="H22" s="3" t="s">
        <v>87</v>
      </c>
      <c r="I22" s="3" t="s">
        <v>15</v>
      </c>
      <c r="J22" s="3" t="s">
        <v>41</v>
      </c>
      <c r="K22" s="3" t="s">
        <v>99</v>
      </c>
      <c r="L22" s="3" t="s">
        <v>162</v>
      </c>
      <c r="M22" s="3" t="s">
        <v>293</v>
      </c>
      <c r="N22" s="3" t="s">
        <v>310</v>
      </c>
      <c r="O22" s="4">
        <v>46166</v>
      </c>
    </row>
    <row r="23" spans="1:15">
      <c r="A23" s="3">
        <v>20</v>
      </c>
      <c r="B23" s="3" t="s">
        <v>321</v>
      </c>
      <c r="C23" s="4">
        <v>46118</v>
      </c>
      <c r="D23" s="3" t="s">
        <v>53</v>
      </c>
      <c r="E23" s="5" t="s">
        <v>292</v>
      </c>
      <c r="F23" s="5" t="s">
        <v>16</v>
      </c>
      <c r="G23" s="3" t="s">
        <v>89</v>
      </c>
      <c r="H23" s="3" t="s">
        <v>35</v>
      </c>
      <c r="I23" s="3" t="s">
        <v>28</v>
      </c>
      <c r="J23" s="3" t="s">
        <v>28</v>
      </c>
      <c r="K23" s="3" t="s">
        <v>16</v>
      </c>
      <c r="L23" s="3" t="s">
        <v>142</v>
      </c>
      <c r="M23" s="3" t="s">
        <v>293</v>
      </c>
      <c r="N23" s="3" t="s">
        <v>294</v>
      </c>
      <c r="O23" s="4">
        <v>46146</v>
      </c>
    </row>
    <row r="24" spans="1:15">
      <c r="A24" s="3">
        <v>21</v>
      </c>
      <c r="B24" s="3" t="s">
        <v>322</v>
      </c>
      <c r="C24" s="4">
        <v>46143</v>
      </c>
      <c r="D24" s="3" t="s">
        <v>60</v>
      </c>
      <c r="E24" s="5" t="s">
        <v>292</v>
      </c>
      <c r="F24" s="5" t="s">
        <v>91</v>
      </c>
      <c r="G24" s="3" t="s">
        <v>89</v>
      </c>
      <c r="H24" s="3" t="s">
        <v>80</v>
      </c>
      <c r="I24" s="3" t="s">
        <v>66</v>
      </c>
      <c r="J24" s="3" t="s">
        <v>78</v>
      </c>
      <c r="K24" s="3" t="s">
        <v>47</v>
      </c>
      <c r="L24" s="3" t="s">
        <v>154</v>
      </c>
      <c r="M24" s="3" t="s">
        <v>238</v>
      </c>
      <c r="N24" s="3" t="s">
        <v>313</v>
      </c>
      <c r="O24" s="4">
        <v>46179</v>
      </c>
    </row>
    <row r="25" spans="1:15">
      <c r="A25" s="3">
        <v>22</v>
      </c>
      <c r="B25" s="3" t="s">
        <v>323</v>
      </c>
      <c r="C25" s="4">
        <v>46150</v>
      </c>
      <c r="D25" s="3" t="s">
        <v>60</v>
      </c>
      <c r="E25" s="5" t="s">
        <v>296</v>
      </c>
      <c r="F25" s="5" t="s">
        <v>30</v>
      </c>
      <c r="G25" s="3" t="s">
        <v>50</v>
      </c>
      <c r="H25" s="3" t="s">
        <v>95</v>
      </c>
      <c r="I25" s="3" t="s">
        <v>62</v>
      </c>
      <c r="J25" s="3" t="s">
        <v>68</v>
      </c>
      <c r="K25" s="3" t="s">
        <v>47</v>
      </c>
      <c r="L25" s="3" t="s">
        <v>142</v>
      </c>
      <c r="M25" s="3" t="s">
        <v>238</v>
      </c>
      <c r="N25" s="3" t="s">
        <v>303</v>
      </c>
      <c r="O25" s="4">
        <v>46166</v>
      </c>
    </row>
    <row r="26" spans="1:15">
      <c r="A26" s="3">
        <v>23</v>
      </c>
      <c r="B26" s="3" t="s">
        <v>324</v>
      </c>
      <c r="C26" s="4">
        <v>46146</v>
      </c>
      <c r="D26" s="3" t="s">
        <v>60</v>
      </c>
      <c r="E26" s="5" t="s">
        <v>292</v>
      </c>
      <c r="F26" s="5" t="s">
        <v>26</v>
      </c>
      <c r="G26" s="3" t="s">
        <v>58</v>
      </c>
      <c r="H26" s="3" t="s">
        <v>6</v>
      </c>
      <c r="I26" s="3" t="s">
        <v>66</v>
      </c>
      <c r="J26" s="3" t="s">
        <v>68</v>
      </c>
      <c r="K26" s="3" t="s">
        <v>47</v>
      </c>
      <c r="L26" s="3" t="s">
        <v>154</v>
      </c>
      <c r="M26" s="3" t="s">
        <v>293</v>
      </c>
      <c r="N26" s="3" t="s">
        <v>294</v>
      </c>
      <c r="O26" s="4">
        <v>46165</v>
      </c>
    </row>
    <row r="27" spans="1:15">
      <c r="A27" s="3">
        <v>24</v>
      </c>
      <c r="B27" s="3" t="s">
        <v>325</v>
      </c>
      <c r="C27" s="4">
        <v>46168</v>
      </c>
      <c r="D27" s="3" t="s">
        <v>60</v>
      </c>
      <c r="E27" s="5" t="s">
        <v>300</v>
      </c>
      <c r="F27" s="5" t="s">
        <v>54</v>
      </c>
      <c r="G27" s="3" t="s">
        <v>27</v>
      </c>
      <c r="H27" s="3" t="s">
        <v>95</v>
      </c>
      <c r="I27" s="3" t="s">
        <v>7</v>
      </c>
      <c r="J27" s="3" t="s">
        <v>41</v>
      </c>
      <c r="K27" s="3" t="s">
        <v>16</v>
      </c>
      <c r="L27" s="3" t="s">
        <v>142</v>
      </c>
      <c r="M27" s="3" t="s">
        <v>297</v>
      </c>
      <c r="N27" s="3" t="s">
        <v>298</v>
      </c>
      <c r="O27" s="4">
        <v>46199</v>
      </c>
    </row>
    <row r="28" spans="1:15">
      <c r="A28" s="3">
        <v>25</v>
      </c>
      <c r="B28" s="3" t="s">
        <v>326</v>
      </c>
      <c r="C28" s="4">
        <v>46186</v>
      </c>
      <c r="D28" s="3" t="s">
        <v>73</v>
      </c>
      <c r="E28" s="5" t="s">
        <v>296</v>
      </c>
      <c r="F28" s="5" t="s">
        <v>91</v>
      </c>
      <c r="G28" s="3" t="s">
        <v>27</v>
      </c>
      <c r="H28" s="3" t="s">
        <v>87</v>
      </c>
      <c r="I28" s="3" t="s">
        <v>66</v>
      </c>
      <c r="J28" s="3" t="s">
        <v>66</v>
      </c>
      <c r="K28" s="3" t="s">
        <v>47</v>
      </c>
      <c r="L28" s="3" t="s">
        <v>142</v>
      </c>
      <c r="M28" s="3" t="s">
        <v>238</v>
      </c>
      <c r="N28" s="3" t="s">
        <v>303</v>
      </c>
      <c r="O28" s="4">
        <v>46216</v>
      </c>
    </row>
    <row r="29" spans="1:15">
      <c r="A29" s="3">
        <v>26</v>
      </c>
      <c r="B29" s="3" t="s">
        <v>327</v>
      </c>
      <c r="C29" s="4">
        <v>46191</v>
      </c>
      <c r="D29" s="3" t="s">
        <v>73</v>
      </c>
      <c r="E29" s="5" t="s">
        <v>292</v>
      </c>
      <c r="F29" s="5" t="s">
        <v>61</v>
      </c>
      <c r="G29" s="3" t="s">
        <v>5</v>
      </c>
      <c r="H29" s="3" t="s">
        <v>6</v>
      </c>
      <c r="I29" s="3" t="s">
        <v>15</v>
      </c>
      <c r="J29" s="3" t="s">
        <v>78</v>
      </c>
      <c r="K29" s="3" t="s">
        <v>8</v>
      </c>
      <c r="L29" s="3" t="s">
        <v>162</v>
      </c>
      <c r="M29" s="3" t="s">
        <v>293</v>
      </c>
      <c r="N29" s="3" t="s">
        <v>310</v>
      </c>
      <c r="O29" s="4">
        <v>46209</v>
      </c>
    </row>
    <row r="30" spans="1:15">
      <c r="A30" s="3">
        <v>27</v>
      </c>
      <c r="B30" s="3" t="s">
        <v>328</v>
      </c>
      <c r="C30" s="4">
        <v>46199</v>
      </c>
      <c r="D30" s="3" t="s">
        <v>73</v>
      </c>
      <c r="E30" s="5" t="s">
        <v>292</v>
      </c>
      <c r="F30" s="5" t="s">
        <v>38</v>
      </c>
      <c r="G30" s="3" t="s">
        <v>39</v>
      </c>
      <c r="H30" s="3" t="s">
        <v>95</v>
      </c>
      <c r="I30" s="3" t="s">
        <v>66</v>
      </c>
      <c r="J30" s="3" t="s">
        <v>66</v>
      </c>
      <c r="K30" s="3" t="s">
        <v>47</v>
      </c>
      <c r="L30" s="3" t="s">
        <v>154</v>
      </c>
      <c r="M30" s="3" t="s">
        <v>297</v>
      </c>
      <c r="N30" s="3" t="s">
        <v>313</v>
      </c>
      <c r="O30" s="4">
        <v>46217</v>
      </c>
    </row>
    <row r="31" spans="1:15">
      <c r="A31" s="3">
        <v>28</v>
      </c>
      <c r="B31" s="3" t="s">
        <v>329</v>
      </c>
      <c r="C31" s="4">
        <v>46218</v>
      </c>
      <c r="D31" s="3" t="s">
        <v>76</v>
      </c>
      <c r="E31" s="5" t="s">
        <v>292</v>
      </c>
      <c r="F31" s="5" t="s">
        <v>57</v>
      </c>
      <c r="G31" s="3" t="s">
        <v>46</v>
      </c>
      <c r="H31" s="3" t="s">
        <v>35</v>
      </c>
      <c r="I31" s="3" t="s">
        <v>22</v>
      </c>
      <c r="J31" s="3" t="s">
        <v>36</v>
      </c>
      <c r="K31" s="3" t="s">
        <v>55</v>
      </c>
      <c r="L31" s="3" t="s">
        <v>159</v>
      </c>
      <c r="M31" s="3" t="s">
        <v>293</v>
      </c>
      <c r="N31" s="3" t="s">
        <v>313</v>
      </c>
      <c r="O31" s="4">
        <v>46244</v>
      </c>
    </row>
    <row r="32" spans="1:15">
      <c r="A32" s="3">
        <v>29</v>
      </c>
      <c r="B32" s="3" t="s">
        <v>330</v>
      </c>
      <c r="C32" s="4">
        <v>46226</v>
      </c>
      <c r="D32" s="3" t="s">
        <v>76</v>
      </c>
      <c r="E32" s="5" t="s">
        <v>300</v>
      </c>
      <c r="F32" s="5" t="s">
        <v>45</v>
      </c>
      <c r="G32" s="3" t="s">
        <v>27</v>
      </c>
      <c r="H32" s="3" t="s">
        <v>35</v>
      </c>
      <c r="I32" s="3" t="s">
        <v>22</v>
      </c>
      <c r="J32" s="3" t="s">
        <v>93</v>
      </c>
      <c r="K32" s="3" t="s">
        <v>16</v>
      </c>
      <c r="L32" s="3" t="s">
        <v>142</v>
      </c>
      <c r="M32" s="3" t="s">
        <v>293</v>
      </c>
      <c r="N32" s="3" t="s">
        <v>298</v>
      </c>
      <c r="O32" s="4">
        <v>46264</v>
      </c>
    </row>
    <row r="33" spans="1:15">
      <c r="A33" s="3">
        <v>30</v>
      </c>
      <c r="B33" s="3" t="s">
        <v>331</v>
      </c>
      <c r="C33" s="4">
        <v>46220</v>
      </c>
      <c r="D33" s="3" t="s">
        <v>76</v>
      </c>
      <c r="E33" s="5" t="s">
        <v>302</v>
      </c>
      <c r="F33" s="5" t="s">
        <v>64</v>
      </c>
      <c r="G33" s="3" t="s">
        <v>5</v>
      </c>
      <c r="H33" s="3" t="s">
        <v>95</v>
      </c>
      <c r="I33" s="3" t="s">
        <v>36</v>
      </c>
      <c r="J33" s="3" t="s">
        <v>66</v>
      </c>
      <c r="K33" s="3" t="s">
        <v>16</v>
      </c>
      <c r="L33" s="3" t="s">
        <v>142</v>
      </c>
      <c r="M33" s="3" t="s">
        <v>297</v>
      </c>
      <c r="N33" s="3" t="s">
        <v>294</v>
      </c>
      <c r="O33" s="4">
        <v>46265</v>
      </c>
    </row>
    <row r="34" spans="1:15">
      <c r="A34" s="3">
        <v>31</v>
      </c>
      <c r="B34" s="3" t="s">
        <v>332</v>
      </c>
      <c r="C34" s="4">
        <v>46221</v>
      </c>
      <c r="D34" s="3" t="s">
        <v>76</v>
      </c>
      <c r="E34" s="5" t="s">
        <v>296</v>
      </c>
      <c r="F34" s="5" t="s">
        <v>45</v>
      </c>
      <c r="G34" s="3" t="s">
        <v>46</v>
      </c>
      <c r="H34" s="3" t="s">
        <v>87</v>
      </c>
      <c r="I34" s="3" t="s">
        <v>93</v>
      </c>
      <c r="J34" s="3" t="s">
        <v>68</v>
      </c>
      <c r="K34" s="3" t="s">
        <v>8</v>
      </c>
      <c r="L34" s="3" t="s">
        <v>142</v>
      </c>
      <c r="M34" s="3" t="s">
        <v>293</v>
      </c>
      <c r="N34" s="3" t="s">
        <v>313</v>
      </c>
      <c r="O34" s="4">
        <v>46264</v>
      </c>
    </row>
    <row r="35" spans="1:15">
      <c r="A35" s="3">
        <v>32</v>
      </c>
      <c r="B35" s="3" t="s">
        <v>333</v>
      </c>
      <c r="C35" s="4">
        <v>46225</v>
      </c>
      <c r="D35" s="3" t="s">
        <v>76</v>
      </c>
      <c r="E35" s="5" t="s">
        <v>296</v>
      </c>
      <c r="F35" s="5" t="s">
        <v>12</v>
      </c>
      <c r="G35" s="3" t="s">
        <v>27</v>
      </c>
      <c r="H35" s="3" t="s">
        <v>40</v>
      </c>
      <c r="I35" s="3" t="s">
        <v>62</v>
      </c>
      <c r="J35" s="3" t="s">
        <v>93</v>
      </c>
      <c r="K35" s="3" t="s">
        <v>16</v>
      </c>
      <c r="L35" s="3" t="s">
        <v>142</v>
      </c>
      <c r="M35" s="3" t="s">
        <v>293</v>
      </c>
      <c r="N35" s="3" t="s">
        <v>310</v>
      </c>
      <c r="O35" s="4">
        <v>46264</v>
      </c>
    </row>
    <row r="36" spans="1:15">
      <c r="A36" s="3">
        <v>33</v>
      </c>
      <c r="B36" s="3" t="s">
        <v>334</v>
      </c>
      <c r="C36" s="4">
        <v>46257</v>
      </c>
      <c r="D36" s="3" t="s">
        <v>86</v>
      </c>
      <c r="E36" s="5" t="s">
        <v>302</v>
      </c>
      <c r="F36" s="5" t="s">
        <v>91</v>
      </c>
      <c r="G36" s="3" t="s">
        <v>27</v>
      </c>
      <c r="H36" s="3" t="s">
        <v>40</v>
      </c>
      <c r="I36" s="3" t="s">
        <v>7</v>
      </c>
      <c r="J36" s="3" t="s">
        <v>15</v>
      </c>
      <c r="K36" s="3" t="s">
        <v>33</v>
      </c>
      <c r="L36" s="3" t="s">
        <v>142</v>
      </c>
      <c r="M36" s="3" t="s">
        <v>293</v>
      </c>
      <c r="N36" s="3" t="s">
        <v>303</v>
      </c>
      <c r="O36" s="4">
        <v>46290</v>
      </c>
    </row>
    <row r="37" spans="1:15">
      <c r="A37" s="3">
        <v>34</v>
      </c>
      <c r="B37" s="3" t="s">
        <v>335</v>
      </c>
      <c r="C37" s="4">
        <v>46260</v>
      </c>
      <c r="D37" s="3" t="s">
        <v>86</v>
      </c>
      <c r="E37" s="5" t="s">
        <v>296</v>
      </c>
      <c r="F37" s="5" t="s">
        <v>54</v>
      </c>
      <c r="G37" s="3" t="s">
        <v>13</v>
      </c>
      <c r="H37" s="3" t="s">
        <v>40</v>
      </c>
      <c r="I37" s="3" t="s">
        <v>7</v>
      </c>
      <c r="J37" s="3" t="s">
        <v>36</v>
      </c>
      <c r="K37" s="3" t="s">
        <v>55</v>
      </c>
      <c r="L37" s="3" t="s">
        <v>162</v>
      </c>
      <c r="M37" s="3" t="s">
        <v>293</v>
      </c>
      <c r="N37" s="3" t="s">
        <v>298</v>
      </c>
      <c r="O37" s="4">
        <v>46283</v>
      </c>
    </row>
    <row r="38" spans="1:15">
      <c r="A38" s="3">
        <v>35</v>
      </c>
      <c r="B38" s="3" t="s">
        <v>336</v>
      </c>
      <c r="C38" s="4">
        <v>46288</v>
      </c>
      <c r="D38" s="3" t="s">
        <v>102</v>
      </c>
      <c r="E38" s="5" t="s">
        <v>300</v>
      </c>
      <c r="F38" s="5" t="s">
        <v>30</v>
      </c>
      <c r="G38" s="3" t="s">
        <v>92</v>
      </c>
      <c r="H38" s="3" t="s">
        <v>14</v>
      </c>
      <c r="I38" s="3" t="s">
        <v>22</v>
      </c>
      <c r="J38" s="3" t="s">
        <v>68</v>
      </c>
      <c r="K38" s="3" t="s">
        <v>16</v>
      </c>
      <c r="L38" s="3" t="s">
        <v>142</v>
      </c>
      <c r="M38" s="3" t="s">
        <v>297</v>
      </c>
      <c r="N38" s="3" t="s">
        <v>313</v>
      </c>
      <c r="O38" s="4">
        <v>46331</v>
      </c>
    </row>
    <row r="39" spans="1:15">
      <c r="A39" s="3">
        <v>36</v>
      </c>
      <c r="B39" s="3" t="s">
        <v>337</v>
      </c>
      <c r="C39" s="4">
        <v>46280</v>
      </c>
      <c r="D39" s="3" t="s">
        <v>102</v>
      </c>
      <c r="E39" s="5" t="s">
        <v>302</v>
      </c>
      <c r="F39" s="5" t="s">
        <v>4</v>
      </c>
      <c r="G39" s="3" t="s">
        <v>50</v>
      </c>
      <c r="H39" s="3" t="s">
        <v>35</v>
      </c>
      <c r="I39" s="3" t="s">
        <v>32</v>
      </c>
      <c r="J39" s="3" t="s">
        <v>93</v>
      </c>
      <c r="K39" s="3" t="s">
        <v>16</v>
      </c>
      <c r="L39" s="3" t="s">
        <v>159</v>
      </c>
      <c r="M39" s="3" t="s">
        <v>293</v>
      </c>
      <c r="N39" s="3" t="s">
        <v>303</v>
      </c>
      <c r="O39" s="4">
        <v>46318</v>
      </c>
    </row>
    <row r="40" spans="1:15">
      <c r="A40" s="3">
        <v>37</v>
      </c>
      <c r="B40" s="3" t="s">
        <v>338</v>
      </c>
      <c r="C40" s="4">
        <v>46299</v>
      </c>
      <c r="D40" s="3" t="s">
        <v>106</v>
      </c>
      <c r="E40" s="5" t="s">
        <v>292</v>
      </c>
      <c r="F40" s="5" t="s">
        <v>4</v>
      </c>
      <c r="G40" s="3" t="s">
        <v>46</v>
      </c>
      <c r="H40" s="3" t="s">
        <v>14</v>
      </c>
      <c r="I40" s="3" t="s">
        <v>66</v>
      </c>
      <c r="J40" s="3" t="s">
        <v>28</v>
      </c>
      <c r="K40" s="3" t="s">
        <v>47</v>
      </c>
      <c r="L40" s="3" t="s">
        <v>154</v>
      </c>
      <c r="M40" s="3" t="s">
        <v>293</v>
      </c>
      <c r="N40" s="3" t="s">
        <v>313</v>
      </c>
      <c r="O40" s="4">
        <v>46306</v>
      </c>
    </row>
    <row r="41" spans="1:15">
      <c r="A41" s="3">
        <v>38</v>
      </c>
      <c r="B41" s="3" t="s">
        <v>339</v>
      </c>
      <c r="C41" s="4">
        <v>46315</v>
      </c>
      <c r="D41" s="3" t="s">
        <v>106</v>
      </c>
      <c r="E41" s="5" t="s">
        <v>302</v>
      </c>
      <c r="F41" s="5" t="s">
        <v>54</v>
      </c>
      <c r="G41" s="3" t="s">
        <v>92</v>
      </c>
      <c r="H41" s="3" t="s">
        <v>87</v>
      </c>
      <c r="I41" s="3" t="s">
        <v>15</v>
      </c>
      <c r="J41" s="3" t="s">
        <v>78</v>
      </c>
      <c r="K41" s="3" t="s">
        <v>16</v>
      </c>
      <c r="L41" s="3" t="s">
        <v>154</v>
      </c>
      <c r="M41" s="3" t="s">
        <v>293</v>
      </c>
      <c r="N41" s="3" t="s">
        <v>303</v>
      </c>
      <c r="O41" s="4">
        <v>46340</v>
      </c>
    </row>
    <row r="42" spans="1:15">
      <c r="A42" s="3">
        <v>39</v>
      </c>
      <c r="B42" s="3" t="s">
        <v>340</v>
      </c>
      <c r="C42" s="4">
        <v>46310</v>
      </c>
      <c r="D42" s="3" t="s">
        <v>106</v>
      </c>
      <c r="E42" s="5" t="s">
        <v>302</v>
      </c>
      <c r="F42" s="5" t="s">
        <v>20</v>
      </c>
      <c r="G42" s="3" t="s">
        <v>89</v>
      </c>
      <c r="H42" s="3" t="s">
        <v>35</v>
      </c>
      <c r="I42" s="3" t="s">
        <v>70</v>
      </c>
      <c r="J42" s="3" t="s">
        <v>66</v>
      </c>
      <c r="K42" s="3" t="s">
        <v>99</v>
      </c>
      <c r="L42" s="3" t="s">
        <v>159</v>
      </c>
      <c r="M42" s="3" t="s">
        <v>297</v>
      </c>
      <c r="N42" s="3" t="s">
        <v>298</v>
      </c>
      <c r="O42" s="4">
        <v>46339</v>
      </c>
    </row>
    <row r="43" spans="1:15">
      <c r="A43" s="3">
        <v>40</v>
      </c>
      <c r="B43" s="3" t="s">
        <v>341</v>
      </c>
      <c r="C43" s="4">
        <v>46306</v>
      </c>
      <c r="D43" s="3" t="s">
        <v>106</v>
      </c>
      <c r="E43" s="5" t="s">
        <v>302</v>
      </c>
      <c r="F43" s="5" t="s">
        <v>4</v>
      </c>
      <c r="G43" s="3" t="s">
        <v>89</v>
      </c>
      <c r="H43" s="3" t="s">
        <v>95</v>
      </c>
      <c r="I43" s="3" t="s">
        <v>28</v>
      </c>
      <c r="J43" s="3" t="s">
        <v>36</v>
      </c>
      <c r="K43" s="3" t="s">
        <v>16</v>
      </c>
      <c r="L43" s="3" t="s">
        <v>154</v>
      </c>
      <c r="M43" s="3" t="s">
        <v>297</v>
      </c>
      <c r="N43" s="3" t="s">
        <v>294</v>
      </c>
      <c r="O43" s="4">
        <v>46315</v>
      </c>
    </row>
    <row r="44" spans="1:15">
      <c r="A44" s="3">
        <v>41</v>
      </c>
      <c r="B44" s="3" t="s">
        <v>342</v>
      </c>
      <c r="C44" s="4">
        <v>46321</v>
      </c>
      <c r="D44" s="3" t="s">
        <v>106</v>
      </c>
      <c r="E44" s="5" t="s">
        <v>296</v>
      </c>
      <c r="F44" s="5" t="s">
        <v>64</v>
      </c>
      <c r="G44" s="3" t="s">
        <v>46</v>
      </c>
      <c r="H44" s="3" t="s">
        <v>87</v>
      </c>
      <c r="I44" s="3" t="s">
        <v>7</v>
      </c>
      <c r="J44" s="3" t="s">
        <v>66</v>
      </c>
      <c r="K44" s="3" t="s">
        <v>8</v>
      </c>
      <c r="L44" s="3" t="s">
        <v>154</v>
      </c>
      <c r="M44" s="3" t="s">
        <v>293</v>
      </c>
      <c r="N44" s="3" t="s">
        <v>294</v>
      </c>
      <c r="O44" s="4">
        <v>46357</v>
      </c>
    </row>
    <row r="45" spans="1:15">
      <c r="A45" s="3">
        <v>42</v>
      </c>
      <c r="B45" s="3" t="s">
        <v>343</v>
      </c>
      <c r="C45" s="4">
        <v>46336</v>
      </c>
      <c r="D45" s="3" t="s">
        <v>111</v>
      </c>
      <c r="E45" s="5" t="s">
        <v>302</v>
      </c>
      <c r="F45" s="5" t="s">
        <v>30</v>
      </c>
      <c r="G45" s="3" t="s">
        <v>39</v>
      </c>
      <c r="H45" s="3" t="s">
        <v>51</v>
      </c>
      <c r="I45" s="3" t="s">
        <v>36</v>
      </c>
      <c r="J45" s="3" t="s">
        <v>28</v>
      </c>
      <c r="K45" s="3" t="s">
        <v>8</v>
      </c>
      <c r="L45" s="3" t="s">
        <v>154</v>
      </c>
      <c r="M45" s="3" t="s">
        <v>238</v>
      </c>
      <c r="N45" s="3" t="s">
        <v>294</v>
      </c>
      <c r="O45" s="4">
        <v>46376</v>
      </c>
    </row>
    <row r="46" spans="1:15">
      <c r="A46" s="3">
        <v>43</v>
      </c>
      <c r="B46" s="3" t="s">
        <v>344</v>
      </c>
      <c r="C46" s="4">
        <v>46382</v>
      </c>
      <c r="D46" s="3" t="s">
        <v>122</v>
      </c>
      <c r="E46" s="5" t="s">
        <v>296</v>
      </c>
      <c r="F46" s="5" t="s">
        <v>20</v>
      </c>
      <c r="G46" s="3" t="s">
        <v>92</v>
      </c>
      <c r="H46" s="3" t="s">
        <v>6</v>
      </c>
      <c r="I46" s="3" t="s">
        <v>78</v>
      </c>
      <c r="J46" s="3" t="s">
        <v>32</v>
      </c>
      <c r="K46" s="3" t="s">
        <v>99</v>
      </c>
      <c r="L46" s="3" t="s">
        <v>142</v>
      </c>
      <c r="M46" s="3" t="s">
        <v>293</v>
      </c>
      <c r="N46" s="3" t="s">
        <v>310</v>
      </c>
      <c r="O46" s="4">
        <v>46394</v>
      </c>
    </row>
    <row r="47" spans="1:15">
      <c r="A47" s="3">
        <v>44</v>
      </c>
      <c r="B47" s="3" t="s">
        <v>345</v>
      </c>
      <c r="C47" s="4">
        <v>46358</v>
      </c>
      <c r="D47" s="3" t="s">
        <v>122</v>
      </c>
      <c r="E47" s="5" t="s">
        <v>300</v>
      </c>
      <c r="F47" s="5" t="s">
        <v>4</v>
      </c>
      <c r="G47" s="3" t="s">
        <v>13</v>
      </c>
      <c r="H47" s="3" t="s">
        <v>31</v>
      </c>
      <c r="I47" s="3" t="s">
        <v>68</v>
      </c>
      <c r="J47" s="3" t="s">
        <v>93</v>
      </c>
      <c r="K47" s="3" t="s">
        <v>99</v>
      </c>
      <c r="L47" s="3" t="s">
        <v>154</v>
      </c>
      <c r="M47" s="3" t="s">
        <v>293</v>
      </c>
      <c r="N47" s="3" t="s">
        <v>310</v>
      </c>
      <c r="O47" s="4">
        <v>46363</v>
      </c>
    </row>
    <row r="48" spans="1:15">
      <c r="A48" s="3">
        <v>45</v>
      </c>
      <c r="B48" s="3" t="s">
        <v>346</v>
      </c>
      <c r="C48" s="4">
        <v>46362</v>
      </c>
      <c r="D48" s="3" t="s">
        <v>122</v>
      </c>
      <c r="E48" s="5" t="s">
        <v>300</v>
      </c>
      <c r="F48" s="5" t="s">
        <v>4</v>
      </c>
      <c r="G48" s="3" t="s">
        <v>58</v>
      </c>
      <c r="H48" s="3" t="s">
        <v>14</v>
      </c>
      <c r="I48" s="3" t="s">
        <v>22</v>
      </c>
      <c r="J48" s="3" t="s">
        <v>62</v>
      </c>
      <c r="K48" s="3" t="s">
        <v>33</v>
      </c>
      <c r="L48" s="3" t="s">
        <v>154</v>
      </c>
      <c r="M48" s="3" t="s">
        <v>297</v>
      </c>
      <c r="N48" s="3" t="s">
        <v>298</v>
      </c>
      <c r="O48" s="4">
        <v>46398</v>
      </c>
    </row>
    <row r="49" spans="1:15">
      <c r="A49" s="3">
        <v>46</v>
      </c>
      <c r="B49" s="3" t="s">
        <v>347</v>
      </c>
      <c r="C49" s="4">
        <v>46379</v>
      </c>
      <c r="D49" s="3" t="s">
        <v>122</v>
      </c>
      <c r="E49" s="5" t="s">
        <v>292</v>
      </c>
      <c r="F49" s="5" t="s">
        <v>64</v>
      </c>
      <c r="G49" s="3" t="s">
        <v>46</v>
      </c>
      <c r="H49" s="3" t="s">
        <v>77</v>
      </c>
      <c r="I49" s="3" t="s">
        <v>66</v>
      </c>
      <c r="J49" s="3" t="s">
        <v>68</v>
      </c>
      <c r="K49" s="3" t="s">
        <v>99</v>
      </c>
      <c r="L49" s="3" t="s">
        <v>159</v>
      </c>
      <c r="M49" s="3" t="s">
        <v>254</v>
      </c>
      <c r="N49" s="3" t="s">
        <v>294</v>
      </c>
      <c r="O49" s="4">
        <v>46410</v>
      </c>
    </row>
    <row r="50" spans="1:15">
      <c r="A50" s="3">
        <v>47</v>
      </c>
      <c r="B50" s="3" t="s">
        <v>348</v>
      </c>
      <c r="C50" s="4">
        <v>46362</v>
      </c>
      <c r="D50" s="3" t="s">
        <v>122</v>
      </c>
      <c r="E50" s="5" t="s">
        <v>296</v>
      </c>
      <c r="F50" s="5" t="s">
        <v>57</v>
      </c>
      <c r="G50" s="3" t="s">
        <v>58</v>
      </c>
      <c r="H50" s="3" t="s">
        <v>80</v>
      </c>
      <c r="I50" s="3" t="s">
        <v>32</v>
      </c>
      <c r="J50" s="3" t="s">
        <v>15</v>
      </c>
      <c r="K50" s="3" t="s">
        <v>16</v>
      </c>
      <c r="L50" s="3" t="s">
        <v>142</v>
      </c>
      <c r="M50" s="3" t="s">
        <v>293</v>
      </c>
      <c r="N50" s="3" t="s">
        <v>313</v>
      </c>
      <c r="O50" s="4">
        <v>46372</v>
      </c>
    </row>
    <row r="51" spans="1:15">
      <c r="A51" s="3">
        <v>48</v>
      </c>
      <c r="B51" s="3" t="s">
        <v>349</v>
      </c>
      <c r="C51" s="4">
        <v>46382</v>
      </c>
      <c r="D51" s="3" t="s">
        <v>122</v>
      </c>
      <c r="E51" s="5" t="s">
        <v>302</v>
      </c>
      <c r="F51" s="5" t="s">
        <v>26</v>
      </c>
      <c r="G51" s="3" t="s">
        <v>39</v>
      </c>
      <c r="H51" s="3" t="s">
        <v>80</v>
      </c>
      <c r="I51" s="3" t="s">
        <v>104</v>
      </c>
      <c r="J51" s="3" t="s">
        <v>70</v>
      </c>
      <c r="K51" s="3" t="s">
        <v>16</v>
      </c>
      <c r="L51" s="3" t="s">
        <v>154</v>
      </c>
      <c r="M51" s="3" t="s">
        <v>293</v>
      </c>
      <c r="N51" s="3" t="s">
        <v>313</v>
      </c>
      <c r="O51" s="4">
        <v>46404</v>
      </c>
    </row>
  </sheetData>
  <mergeCells count="2">
    <mergeCell ref="A1:O1"/>
    <mergeCell ref="A2:O2"/>
  </mergeCells>
  <dataValidations count="4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L4:L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358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359</v>
      </c>
      <c r="C4" s="4">
        <v>46028</v>
      </c>
      <c r="D4" s="3" t="s">
        <v>3</v>
      </c>
      <c r="E4" s="5" t="s">
        <v>80</v>
      </c>
      <c r="F4" s="5" t="s">
        <v>13</v>
      </c>
      <c r="G4" s="3" t="s">
        <v>6</v>
      </c>
      <c r="H4" s="3" t="s">
        <v>41</v>
      </c>
      <c r="I4" s="3">
        <v>23</v>
      </c>
      <c r="J4" s="3">
        <v>5</v>
      </c>
      <c r="K4" s="3">
        <v>8</v>
      </c>
      <c r="L4" s="3" t="s">
        <v>10</v>
      </c>
      <c r="M4" s="3" t="s">
        <v>297</v>
      </c>
      <c r="N4" s="3" t="s">
        <v>64</v>
      </c>
      <c r="O4" s="4">
        <v>46056</v>
      </c>
    </row>
    <row r="5" spans="1:17">
      <c r="A5" s="3">
        <v>2</v>
      </c>
      <c r="B5" s="3" t="s">
        <v>360</v>
      </c>
      <c r="C5" s="4">
        <v>46070</v>
      </c>
      <c r="D5" s="3" t="s">
        <v>19</v>
      </c>
      <c r="E5" s="5" t="s">
        <v>77</v>
      </c>
      <c r="F5" s="5" t="s">
        <v>50</v>
      </c>
      <c r="G5" s="3" t="s">
        <v>82</v>
      </c>
      <c r="H5" s="3" t="s">
        <v>15</v>
      </c>
      <c r="I5" s="3">
        <v>31</v>
      </c>
      <c r="J5" s="3">
        <v>0</v>
      </c>
      <c r="K5" s="3">
        <v>6</v>
      </c>
      <c r="L5" s="3" t="s">
        <v>24</v>
      </c>
      <c r="M5" s="3" t="s">
        <v>254</v>
      </c>
      <c r="N5" s="3" t="s">
        <v>16</v>
      </c>
      <c r="O5" s="4">
        <v>46089</v>
      </c>
    </row>
    <row r="6" spans="1:17">
      <c r="A6" s="3">
        <v>3</v>
      </c>
      <c r="B6" s="3" t="s">
        <v>361</v>
      </c>
      <c r="C6" s="4">
        <v>46062</v>
      </c>
      <c r="D6" s="3" t="s">
        <v>19</v>
      </c>
      <c r="E6" s="5" t="s">
        <v>14</v>
      </c>
      <c r="F6" s="5" t="s">
        <v>89</v>
      </c>
      <c r="G6" s="3" t="s">
        <v>21</v>
      </c>
      <c r="H6" s="3" t="s">
        <v>22</v>
      </c>
      <c r="I6" s="3">
        <v>38</v>
      </c>
      <c r="J6" s="3">
        <v>4</v>
      </c>
      <c r="K6" s="3">
        <v>6</v>
      </c>
      <c r="L6" s="3" t="s">
        <v>10</v>
      </c>
      <c r="M6" s="3" t="s">
        <v>293</v>
      </c>
      <c r="N6" s="3" t="s">
        <v>38</v>
      </c>
      <c r="O6" s="4">
        <v>46095</v>
      </c>
    </row>
    <row r="7" spans="1:17">
      <c r="A7" s="3">
        <v>4</v>
      </c>
      <c r="B7" s="3" t="s">
        <v>362</v>
      </c>
      <c r="C7" s="4">
        <v>46063</v>
      </c>
      <c r="D7" s="3" t="s">
        <v>19</v>
      </c>
      <c r="E7" s="5" t="s">
        <v>82</v>
      </c>
      <c r="F7" s="5" t="s">
        <v>89</v>
      </c>
      <c r="G7" s="3" t="s">
        <v>31</v>
      </c>
      <c r="H7" s="3" t="s">
        <v>93</v>
      </c>
      <c r="I7" s="3">
        <v>20</v>
      </c>
      <c r="J7" s="3">
        <v>8</v>
      </c>
      <c r="K7" s="3">
        <v>3</v>
      </c>
      <c r="L7" s="3" t="s">
        <v>24</v>
      </c>
      <c r="M7" s="3" t="s">
        <v>293</v>
      </c>
      <c r="N7" s="3" t="s">
        <v>57</v>
      </c>
      <c r="O7" s="4">
        <v>46107</v>
      </c>
    </row>
    <row r="8" spans="1:17">
      <c r="A8" s="3">
        <v>5</v>
      </c>
      <c r="B8" s="3" t="s">
        <v>363</v>
      </c>
      <c r="C8" s="4">
        <v>46058</v>
      </c>
      <c r="D8" s="3" t="s">
        <v>19</v>
      </c>
      <c r="E8" s="5" t="s">
        <v>35</v>
      </c>
      <c r="F8" s="5" t="s">
        <v>5</v>
      </c>
      <c r="G8" s="3" t="s">
        <v>95</v>
      </c>
      <c r="H8" s="3" t="s">
        <v>7</v>
      </c>
      <c r="I8" s="3">
        <v>34</v>
      </c>
      <c r="J8" s="3">
        <v>2</v>
      </c>
      <c r="K8" s="3">
        <v>6</v>
      </c>
      <c r="L8" s="3" t="s">
        <v>17</v>
      </c>
      <c r="M8" s="3" t="s">
        <v>297</v>
      </c>
      <c r="N8" s="3" t="s">
        <v>45</v>
      </c>
      <c r="O8" s="4">
        <v>46087</v>
      </c>
    </row>
    <row r="9" spans="1:17">
      <c r="A9" s="3">
        <v>6</v>
      </c>
      <c r="B9" s="3" t="s">
        <v>364</v>
      </c>
      <c r="C9" s="4">
        <v>46073</v>
      </c>
      <c r="D9" s="3" t="s">
        <v>19</v>
      </c>
      <c r="E9" s="5" t="s">
        <v>31</v>
      </c>
      <c r="F9" s="5" t="s">
        <v>58</v>
      </c>
      <c r="G9" s="3" t="s">
        <v>35</v>
      </c>
      <c r="H9" s="3" t="s">
        <v>22</v>
      </c>
      <c r="I9" s="3">
        <v>38</v>
      </c>
      <c r="J9" s="3">
        <v>3</v>
      </c>
      <c r="K9" s="3">
        <v>2</v>
      </c>
      <c r="L9" s="3" t="s">
        <v>24</v>
      </c>
      <c r="M9" s="3" t="s">
        <v>297</v>
      </c>
      <c r="N9" s="3" t="s">
        <v>20</v>
      </c>
      <c r="O9" s="4">
        <v>46083</v>
      </c>
    </row>
    <row r="10" spans="1:17">
      <c r="A10" s="3">
        <v>7</v>
      </c>
      <c r="B10" s="3" t="s">
        <v>365</v>
      </c>
      <c r="C10" s="4">
        <v>46096</v>
      </c>
      <c r="D10" s="3" t="s">
        <v>44</v>
      </c>
      <c r="E10" s="5" t="s">
        <v>82</v>
      </c>
      <c r="F10" s="5" t="s">
        <v>92</v>
      </c>
      <c r="G10" s="3" t="s">
        <v>6</v>
      </c>
      <c r="H10" s="3" t="s">
        <v>104</v>
      </c>
      <c r="I10" s="3">
        <v>22</v>
      </c>
      <c r="J10" s="3">
        <v>2</v>
      </c>
      <c r="K10" s="3">
        <v>4</v>
      </c>
      <c r="L10" s="3" t="s">
        <v>96</v>
      </c>
      <c r="M10" s="3" t="s">
        <v>293</v>
      </c>
      <c r="N10" s="3" t="s">
        <v>64</v>
      </c>
      <c r="O10" s="4">
        <v>46102</v>
      </c>
    </row>
    <row r="11" spans="1:17">
      <c r="A11" s="3">
        <v>8</v>
      </c>
      <c r="B11" s="3" t="s">
        <v>366</v>
      </c>
      <c r="C11" s="4">
        <v>46101</v>
      </c>
      <c r="D11" s="3" t="s">
        <v>44</v>
      </c>
      <c r="E11" s="5" t="s">
        <v>82</v>
      </c>
      <c r="F11" s="5" t="s">
        <v>27</v>
      </c>
      <c r="G11" s="3" t="s">
        <v>31</v>
      </c>
      <c r="H11" s="3" t="s">
        <v>28</v>
      </c>
      <c r="I11" s="3">
        <v>36</v>
      </c>
      <c r="J11" s="3">
        <v>0</v>
      </c>
      <c r="K11" s="3">
        <v>5</v>
      </c>
      <c r="L11" s="3" t="s">
        <v>24</v>
      </c>
      <c r="M11" s="3" t="s">
        <v>293</v>
      </c>
      <c r="N11" s="3" t="s">
        <v>26</v>
      </c>
      <c r="O11" s="4">
        <v>46137</v>
      </c>
    </row>
    <row r="12" spans="1:17">
      <c r="A12" s="3">
        <v>9</v>
      </c>
      <c r="B12" s="3" t="s">
        <v>367</v>
      </c>
      <c r="C12" s="4">
        <v>46094</v>
      </c>
      <c r="D12" s="3" t="s">
        <v>44</v>
      </c>
      <c r="E12" s="5" t="s">
        <v>31</v>
      </c>
      <c r="F12" s="5" t="s">
        <v>58</v>
      </c>
      <c r="G12" s="3" t="s">
        <v>6</v>
      </c>
      <c r="H12" s="3" t="s">
        <v>104</v>
      </c>
      <c r="I12" s="3">
        <v>37</v>
      </c>
      <c r="J12" s="3">
        <v>0</v>
      </c>
      <c r="K12" s="3">
        <v>2</v>
      </c>
      <c r="L12" s="3" t="s">
        <v>96</v>
      </c>
      <c r="M12" s="3" t="s">
        <v>297</v>
      </c>
      <c r="N12" s="3" t="s">
        <v>91</v>
      </c>
      <c r="O12" s="4">
        <v>46122</v>
      </c>
    </row>
    <row r="13" spans="1:17">
      <c r="A13" s="3">
        <v>10</v>
      </c>
      <c r="B13" s="3" t="s">
        <v>368</v>
      </c>
      <c r="C13" s="4">
        <v>46099</v>
      </c>
      <c r="D13" s="3" t="s">
        <v>44</v>
      </c>
      <c r="E13" s="5" t="s">
        <v>31</v>
      </c>
      <c r="F13" s="5" t="s">
        <v>50</v>
      </c>
      <c r="G13" s="3" t="s">
        <v>35</v>
      </c>
      <c r="H13" s="3" t="s">
        <v>93</v>
      </c>
      <c r="I13" s="3">
        <v>34</v>
      </c>
      <c r="J13" s="3">
        <v>6</v>
      </c>
      <c r="K13" s="3">
        <v>0</v>
      </c>
      <c r="L13" s="3" t="s">
        <v>17</v>
      </c>
      <c r="M13" s="3" t="s">
        <v>293</v>
      </c>
      <c r="N13" s="3" t="s">
        <v>26</v>
      </c>
      <c r="O13" s="4">
        <v>46144</v>
      </c>
    </row>
    <row r="14" spans="1:17">
      <c r="A14" s="3">
        <v>11</v>
      </c>
      <c r="B14" s="3" t="s">
        <v>369</v>
      </c>
      <c r="C14" s="4">
        <v>46094</v>
      </c>
      <c r="D14" s="3" t="s">
        <v>44</v>
      </c>
      <c r="E14" s="5" t="s">
        <v>80</v>
      </c>
      <c r="F14" s="5" t="s">
        <v>5</v>
      </c>
      <c r="G14" s="3" t="s">
        <v>14</v>
      </c>
      <c r="H14" s="3" t="s">
        <v>68</v>
      </c>
      <c r="I14" s="3">
        <v>17</v>
      </c>
      <c r="J14" s="3">
        <v>8</v>
      </c>
      <c r="K14" s="3">
        <v>8</v>
      </c>
      <c r="L14" s="3" t="s">
        <v>42</v>
      </c>
      <c r="M14" s="3" t="s">
        <v>293</v>
      </c>
      <c r="N14" s="3" t="s">
        <v>20</v>
      </c>
      <c r="O14" s="4">
        <v>46116</v>
      </c>
    </row>
    <row r="15" spans="1:17">
      <c r="A15" s="3">
        <v>12</v>
      </c>
      <c r="B15" s="3" t="s">
        <v>370</v>
      </c>
      <c r="C15" s="4">
        <v>46140</v>
      </c>
      <c r="D15" s="3" t="s">
        <v>53</v>
      </c>
      <c r="E15" s="5" t="s">
        <v>80</v>
      </c>
      <c r="F15" s="5" t="s">
        <v>65</v>
      </c>
      <c r="G15" s="3" t="s">
        <v>51</v>
      </c>
      <c r="H15" s="3" t="s">
        <v>15</v>
      </c>
      <c r="I15" s="3">
        <v>40</v>
      </c>
      <c r="J15" s="3">
        <v>7</v>
      </c>
      <c r="K15" s="3">
        <v>2</v>
      </c>
      <c r="L15" s="3" t="s">
        <v>17</v>
      </c>
      <c r="M15" s="3" t="s">
        <v>297</v>
      </c>
      <c r="N15" s="3" t="s">
        <v>45</v>
      </c>
      <c r="O15" s="4">
        <v>46179</v>
      </c>
    </row>
    <row r="16" spans="1:17">
      <c r="A16" s="3">
        <v>13</v>
      </c>
      <c r="B16" s="3" t="s">
        <v>371</v>
      </c>
      <c r="C16" s="4">
        <v>46115</v>
      </c>
      <c r="D16" s="3" t="s">
        <v>53</v>
      </c>
      <c r="E16" s="5" t="s">
        <v>80</v>
      </c>
      <c r="F16" s="5" t="s">
        <v>39</v>
      </c>
      <c r="G16" s="3" t="s">
        <v>31</v>
      </c>
      <c r="H16" s="3" t="s">
        <v>66</v>
      </c>
      <c r="I16" s="3">
        <v>50</v>
      </c>
      <c r="J16" s="3">
        <v>7</v>
      </c>
      <c r="K16" s="3">
        <v>7</v>
      </c>
      <c r="L16" s="3" t="s">
        <v>10</v>
      </c>
      <c r="M16" s="3" t="s">
        <v>293</v>
      </c>
      <c r="N16" s="3" t="s">
        <v>38</v>
      </c>
      <c r="O16" s="4">
        <v>46148</v>
      </c>
    </row>
    <row r="17" spans="1:15">
      <c r="A17" s="3">
        <v>14</v>
      </c>
      <c r="B17" s="3" t="s">
        <v>372</v>
      </c>
      <c r="C17" s="4">
        <v>46113</v>
      </c>
      <c r="D17" s="3" t="s">
        <v>53</v>
      </c>
      <c r="E17" s="5" t="s">
        <v>14</v>
      </c>
      <c r="F17" s="5" t="s">
        <v>5</v>
      </c>
      <c r="G17" s="3" t="s">
        <v>35</v>
      </c>
      <c r="H17" s="3" t="s">
        <v>68</v>
      </c>
      <c r="I17" s="3">
        <v>15</v>
      </c>
      <c r="J17" s="3">
        <v>6</v>
      </c>
      <c r="K17" s="3">
        <v>1</v>
      </c>
      <c r="L17" s="3" t="s">
        <v>24</v>
      </c>
      <c r="M17" s="3" t="s">
        <v>293</v>
      </c>
      <c r="N17" s="3" t="s">
        <v>30</v>
      </c>
      <c r="O17" s="4">
        <v>46146</v>
      </c>
    </row>
    <row r="18" spans="1:15">
      <c r="A18" s="3">
        <v>15</v>
      </c>
      <c r="B18" s="3" t="s">
        <v>373</v>
      </c>
      <c r="C18" s="4">
        <v>46148</v>
      </c>
      <c r="D18" s="3" t="s">
        <v>60</v>
      </c>
      <c r="E18" s="5" t="s">
        <v>51</v>
      </c>
      <c r="F18" s="5" t="s">
        <v>89</v>
      </c>
      <c r="G18" s="3" t="s">
        <v>21</v>
      </c>
      <c r="H18" s="3" t="s">
        <v>104</v>
      </c>
      <c r="I18" s="3">
        <v>28</v>
      </c>
      <c r="J18" s="3">
        <v>6</v>
      </c>
      <c r="K18" s="3">
        <v>7</v>
      </c>
      <c r="L18" s="3" t="s">
        <v>24</v>
      </c>
      <c r="M18" s="3" t="s">
        <v>293</v>
      </c>
      <c r="N18" s="3" t="s">
        <v>45</v>
      </c>
      <c r="O18" s="4">
        <v>46179</v>
      </c>
    </row>
    <row r="19" spans="1:15">
      <c r="A19" s="3">
        <v>16</v>
      </c>
      <c r="B19" s="3" t="s">
        <v>374</v>
      </c>
      <c r="C19" s="4">
        <v>46151</v>
      </c>
      <c r="D19" s="3" t="s">
        <v>60</v>
      </c>
      <c r="E19" s="5" t="s">
        <v>80</v>
      </c>
      <c r="F19" s="5" t="s">
        <v>27</v>
      </c>
      <c r="G19" s="3" t="s">
        <v>82</v>
      </c>
      <c r="H19" s="3" t="s">
        <v>22</v>
      </c>
      <c r="I19" s="3">
        <v>17</v>
      </c>
      <c r="J19" s="3">
        <v>6</v>
      </c>
      <c r="K19" s="3">
        <v>4</v>
      </c>
      <c r="L19" s="3" t="s">
        <v>42</v>
      </c>
      <c r="M19" s="3" t="s">
        <v>293</v>
      </c>
      <c r="N19" s="3" t="s">
        <v>57</v>
      </c>
      <c r="O19" s="4">
        <v>46169</v>
      </c>
    </row>
    <row r="20" spans="1:15">
      <c r="A20" s="3">
        <v>17</v>
      </c>
      <c r="B20" s="3" t="s">
        <v>375</v>
      </c>
      <c r="C20" s="4">
        <v>46189</v>
      </c>
      <c r="D20" s="3" t="s">
        <v>73</v>
      </c>
      <c r="E20" s="5" t="s">
        <v>35</v>
      </c>
      <c r="F20" s="5" t="s">
        <v>5</v>
      </c>
      <c r="G20" s="3" t="s">
        <v>21</v>
      </c>
      <c r="H20" s="3" t="s">
        <v>104</v>
      </c>
      <c r="I20" s="3">
        <v>23</v>
      </c>
      <c r="J20" s="3">
        <v>1</v>
      </c>
      <c r="K20" s="3">
        <v>0</v>
      </c>
      <c r="L20" s="3" t="s">
        <v>42</v>
      </c>
      <c r="M20" s="3" t="s">
        <v>293</v>
      </c>
      <c r="N20" s="3" t="s">
        <v>61</v>
      </c>
      <c r="O20" s="4">
        <v>46196</v>
      </c>
    </row>
    <row r="21" spans="1:15">
      <c r="A21" s="3">
        <v>18</v>
      </c>
      <c r="B21" s="3" t="s">
        <v>376</v>
      </c>
      <c r="C21" s="4">
        <v>46174</v>
      </c>
      <c r="D21" s="3" t="s">
        <v>73</v>
      </c>
      <c r="E21" s="5" t="s">
        <v>14</v>
      </c>
      <c r="F21" s="5" t="s">
        <v>50</v>
      </c>
      <c r="G21" s="3" t="s">
        <v>35</v>
      </c>
      <c r="H21" s="3" t="s">
        <v>36</v>
      </c>
      <c r="I21" s="3">
        <v>25</v>
      </c>
      <c r="J21" s="3">
        <v>6</v>
      </c>
      <c r="K21" s="3">
        <v>6</v>
      </c>
      <c r="L21" s="3" t="s">
        <v>24</v>
      </c>
      <c r="M21" s="3" t="s">
        <v>293</v>
      </c>
      <c r="N21" s="3" t="s">
        <v>45</v>
      </c>
      <c r="O21" s="4">
        <v>46198</v>
      </c>
    </row>
    <row r="22" spans="1:15">
      <c r="A22" s="3">
        <v>19</v>
      </c>
      <c r="B22" s="3" t="s">
        <v>377</v>
      </c>
      <c r="C22" s="4">
        <v>46186</v>
      </c>
      <c r="D22" s="3" t="s">
        <v>73</v>
      </c>
      <c r="E22" s="5" t="s">
        <v>6</v>
      </c>
      <c r="F22" s="5" t="s">
        <v>46</v>
      </c>
      <c r="G22" s="3" t="s">
        <v>77</v>
      </c>
      <c r="H22" s="3" t="s">
        <v>28</v>
      </c>
      <c r="I22" s="3">
        <v>24</v>
      </c>
      <c r="J22" s="3">
        <v>4</v>
      </c>
      <c r="K22" s="3">
        <v>6</v>
      </c>
      <c r="L22" s="3" t="s">
        <v>96</v>
      </c>
      <c r="M22" s="3" t="s">
        <v>293</v>
      </c>
      <c r="N22" s="3" t="s">
        <v>49</v>
      </c>
      <c r="O22" s="4">
        <v>46200</v>
      </c>
    </row>
    <row r="23" spans="1:15">
      <c r="A23" s="3">
        <v>20</v>
      </c>
      <c r="B23" s="3" t="s">
        <v>378</v>
      </c>
      <c r="C23" s="4">
        <v>46198</v>
      </c>
      <c r="D23" s="3" t="s">
        <v>73</v>
      </c>
      <c r="E23" s="5" t="s">
        <v>35</v>
      </c>
      <c r="F23" s="5" t="s">
        <v>92</v>
      </c>
      <c r="G23" s="3" t="s">
        <v>80</v>
      </c>
      <c r="H23" s="3" t="s">
        <v>104</v>
      </c>
      <c r="I23" s="3">
        <v>35</v>
      </c>
      <c r="J23" s="3">
        <v>1</v>
      </c>
      <c r="K23" s="3">
        <v>1</v>
      </c>
      <c r="L23" s="3" t="s">
        <v>17</v>
      </c>
      <c r="M23" s="3" t="s">
        <v>293</v>
      </c>
      <c r="N23" s="3" t="s">
        <v>54</v>
      </c>
      <c r="O23" s="4">
        <v>46243</v>
      </c>
    </row>
    <row r="24" spans="1:15">
      <c r="A24" s="3">
        <v>21</v>
      </c>
      <c r="B24" s="3" t="s">
        <v>379</v>
      </c>
      <c r="C24" s="4">
        <v>46199</v>
      </c>
      <c r="D24" s="3" t="s">
        <v>73</v>
      </c>
      <c r="E24" s="5" t="s">
        <v>80</v>
      </c>
      <c r="F24" s="5" t="s">
        <v>46</v>
      </c>
      <c r="G24" s="3" t="s">
        <v>80</v>
      </c>
      <c r="H24" s="3" t="s">
        <v>70</v>
      </c>
      <c r="I24" s="3">
        <v>35</v>
      </c>
      <c r="J24" s="3">
        <v>8</v>
      </c>
      <c r="K24" s="3">
        <v>6</v>
      </c>
      <c r="L24" s="3" t="s">
        <v>96</v>
      </c>
      <c r="M24" s="3" t="s">
        <v>293</v>
      </c>
      <c r="N24" s="3" t="s">
        <v>64</v>
      </c>
      <c r="O24" s="4">
        <v>46234</v>
      </c>
    </row>
    <row r="25" spans="1:15">
      <c r="A25" s="3">
        <v>22</v>
      </c>
      <c r="B25" s="3" t="s">
        <v>380</v>
      </c>
      <c r="C25" s="4">
        <v>46184</v>
      </c>
      <c r="D25" s="3" t="s">
        <v>73</v>
      </c>
      <c r="E25" s="5" t="s">
        <v>31</v>
      </c>
      <c r="F25" s="5" t="s">
        <v>89</v>
      </c>
      <c r="G25" s="3" t="s">
        <v>80</v>
      </c>
      <c r="H25" s="3" t="s">
        <v>62</v>
      </c>
      <c r="I25" s="3">
        <v>30</v>
      </c>
      <c r="J25" s="3">
        <v>4</v>
      </c>
      <c r="K25" s="3">
        <v>4</v>
      </c>
      <c r="L25" s="3" t="s">
        <v>96</v>
      </c>
      <c r="M25" s="3" t="s">
        <v>293</v>
      </c>
      <c r="N25" s="3" t="s">
        <v>64</v>
      </c>
      <c r="O25" s="4">
        <v>46211</v>
      </c>
    </row>
    <row r="26" spans="1:15">
      <c r="A26" s="3">
        <v>23</v>
      </c>
      <c r="B26" s="3" t="s">
        <v>381</v>
      </c>
      <c r="C26" s="4">
        <v>46178</v>
      </c>
      <c r="D26" s="3" t="s">
        <v>73</v>
      </c>
      <c r="E26" s="5" t="s">
        <v>6</v>
      </c>
      <c r="F26" s="5" t="s">
        <v>50</v>
      </c>
      <c r="G26" s="3" t="s">
        <v>87</v>
      </c>
      <c r="H26" s="3" t="s">
        <v>41</v>
      </c>
      <c r="I26" s="3">
        <v>46</v>
      </c>
      <c r="J26" s="3">
        <v>8</v>
      </c>
      <c r="K26" s="3">
        <v>6</v>
      </c>
      <c r="L26" s="3" t="s">
        <v>10</v>
      </c>
      <c r="M26" s="3" t="s">
        <v>293</v>
      </c>
      <c r="N26" s="3" t="s">
        <v>30</v>
      </c>
      <c r="O26" s="4">
        <v>46190</v>
      </c>
    </row>
    <row r="27" spans="1:15">
      <c r="A27" s="3">
        <v>24</v>
      </c>
      <c r="B27" s="3" t="s">
        <v>382</v>
      </c>
      <c r="C27" s="4">
        <v>46205</v>
      </c>
      <c r="D27" s="3" t="s">
        <v>76</v>
      </c>
      <c r="E27" s="5" t="s">
        <v>40</v>
      </c>
      <c r="F27" s="5" t="s">
        <v>58</v>
      </c>
      <c r="G27" s="3" t="s">
        <v>31</v>
      </c>
      <c r="H27" s="3" t="s">
        <v>22</v>
      </c>
      <c r="I27" s="3">
        <v>49</v>
      </c>
      <c r="J27" s="3">
        <v>4</v>
      </c>
      <c r="K27" s="3">
        <v>5</v>
      </c>
      <c r="L27" s="3" t="s">
        <v>10</v>
      </c>
      <c r="M27" s="3" t="s">
        <v>293</v>
      </c>
      <c r="N27" s="3" t="s">
        <v>64</v>
      </c>
      <c r="O27" s="4">
        <v>46227</v>
      </c>
    </row>
    <row r="28" spans="1:15">
      <c r="A28" s="3">
        <v>25</v>
      </c>
      <c r="B28" s="3" t="s">
        <v>383</v>
      </c>
      <c r="C28" s="4">
        <v>46205</v>
      </c>
      <c r="D28" s="3" t="s">
        <v>76</v>
      </c>
      <c r="E28" s="5" t="s">
        <v>21</v>
      </c>
      <c r="F28" s="5" t="s">
        <v>65</v>
      </c>
      <c r="G28" s="3" t="s">
        <v>87</v>
      </c>
      <c r="H28" s="3" t="s">
        <v>62</v>
      </c>
      <c r="I28" s="3">
        <v>27</v>
      </c>
      <c r="J28" s="3">
        <v>7</v>
      </c>
      <c r="K28" s="3">
        <v>8</v>
      </c>
      <c r="L28" s="3" t="s">
        <v>10</v>
      </c>
      <c r="M28" s="3" t="s">
        <v>293</v>
      </c>
      <c r="N28" s="3" t="s">
        <v>26</v>
      </c>
      <c r="O28" s="4">
        <v>46249</v>
      </c>
    </row>
    <row r="29" spans="1:15">
      <c r="A29" s="3">
        <v>26</v>
      </c>
      <c r="B29" s="3" t="s">
        <v>384</v>
      </c>
      <c r="C29" s="4">
        <v>46206</v>
      </c>
      <c r="D29" s="3" t="s">
        <v>76</v>
      </c>
      <c r="E29" s="5" t="s">
        <v>77</v>
      </c>
      <c r="F29" s="5" t="s">
        <v>27</v>
      </c>
      <c r="G29" s="3" t="s">
        <v>87</v>
      </c>
      <c r="H29" s="3" t="s">
        <v>70</v>
      </c>
      <c r="I29" s="3">
        <v>36</v>
      </c>
      <c r="J29" s="3">
        <v>4</v>
      </c>
      <c r="K29" s="3">
        <v>4</v>
      </c>
      <c r="L29" s="3" t="s">
        <v>17</v>
      </c>
      <c r="M29" s="3" t="s">
        <v>293</v>
      </c>
      <c r="N29" s="3" t="s">
        <v>12</v>
      </c>
      <c r="O29" s="4">
        <v>46217</v>
      </c>
    </row>
    <row r="30" spans="1:15">
      <c r="A30" s="3">
        <v>27</v>
      </c>
      <c r="B30" s="3" t="s">
        <v>385</v>
      </c>
      <c r="C30" s="4">
        <v>46206</v>
      </c>
      <c r="D30" s="3" t="s">
        <v>76</v>
      </c>
      <c r="E30" s="5" t="s">
        <v>40</v>
      </c>
      <c r="F30" s="5" t="s">
        <v>13</v>
      </c>
      <c r="G30" s="3" t="s">
        <v>35</v>
      </c>
      <c r="H30" s="3" t="s">
        <v>104</v>
      </c>
      <c r="I30" s="3">
        <v>31</v>
      </c>
      <c r="J30" s="3">
        <v>0</v>
      </c>
      <c r="K30" s="3">
        <v>5</v>
      </c>
      <c r="L30" s="3" t="s">
        <v>96</v>
      </c>
      <c r="M30" s="3" t="s">
        <v>293</v>
      </c>
      <c r="N30" s="3" t="s">
        <v>12</v>
      </c>
      <c r="O30" s="4">
        <v>46242</v>
      </c>
    </row>
    <row r="31" spans="1:15">
      <c r="A31" s="3">
        <v>28</v>
      </c>
      <c r="B31" s="3" t="s">
        <v>386</v>
      </c>
      <c r="C31" s="4">
        <v>46204</v>
      </c>
      <c r="D31" s="3" t="s">
        <v>76</v>
      </c>
      <c r="E31" s="5" t="s">
        <v>31</v>
      </c>
      <c r="F31" s="5" t="s">
        <v>5</v>
      </c>
      <c r="G31" s="3" t="s">
        <v>80</v>
      </c>
      <c r="H31" s="3" t="s">
        <v>15</v>
      </c>
      <c r="I31" s="3">
        <v>48</v>
      </c>
      <c r="J31" s="3">
        <v>3</v>
      </c>
      <c r="K31" s="3">
        <v>6</v>
      </c>
      <c r="L31" s="3" t="s">
        <v>96</v>
      </c>
      <c r="M31" s="3" t="s">
        <v>293</v>
      </c>
      <c r="N31" s="3" t="s">
        <v>20</v>
      </c>
      <c r="O31" s="4">
        <v>46240</v>
      </c>
    </row>
    <row r="32" spans="1:15">
      <c r="A32" s="3">
        <v>29</v>
      </c>
      <c r="B32" s="3" t="s">
        <v>387</v>
      </c>
      <c r="C32" s="4">
        <v>46253</v>
      </c>
      <c r="D32" s="3" t="s">
        <v>86</v>
      </c>
      <c r="E32" s="5" t="s">
        <v>82</v>
      </c>
      <c r="F32" s="5" t="s">
        <v>13</v>
      </c>
      <c r="G32" s="3" t="s">
        <v>51</v>
      </c>
      <c r="H32" s="3" t="s">
        <v>70</v>
      </c>
      <c r="I32" s="3">
        <v>46</v>
      </c>
      <c r="J32" s="3">
        <v>6</v>
      </c>
      <c r="K32" s="3">
        <v>3</v>
      </c>
      <c r="L32" s="3" t="s">
        <v>17</v>
      </c>
      <c r="M32" s="3" t="s">
        <v>293</v>
      </c>
      <c r="N32" s="3" t="s">
        <v>16</v>
      </c>
      <c r="O32" s="4">
        <v>46260</v>
      </c>
    </row>
    <row r="33" spans="1:15">
      <c r="A33" s="3">
        <v>30</v>
      </c>
      <c r="B33" s="3" t="s">
        <v>388</v>
      </c>
      <c r="C33" s="4">
        <v>46247</v>
      </c>
      <c r="D33" s="3" t="s">
        <v>86</v>
      </c>
      <c r="E33" s="5" t="s">
        <v>21</v>
      </c>
      <c r="F33" s="5" t="s">
        <v>89</v>
      </c>
      <c r="G33" s="3" t="s">
        <v>6</v>
      </c>
      <c r="H33" s="3" t="s">
        <v>62</v>
      </c>
      <c r="I33" s="3">
        <v>40</v>
      </c>
      <c r="J33" s="3">
        <v>1</v>
      </c>
      <c r="K33" s="3">
        <v>8</v>
      </c>
      <c r="L33" s="3" t="s">
        <v>10</v>
      </c>
      <c r="M33" s="3" t="s">
        <v>293</v>
      </c>
      <c r="N33" s="3" t="s">
        <v>30</v>
      </c>
      <c r="O33" s="4">
        <v>46269</v>
      </c>
    </row>
    <row r="34" spans="1:15">
      <c r="A34" s="3">
        <v>31</v>
      </c>
      <c r="B34" s="3" t="s">
        <v>389</v>
      </c>
      <c r="C34" s="4">
        <v>46251</v>
      </c>
      <c r="D34" s="3" t="s">
        <v>86</v>
      </c>
      <c r="E34" s="5" t="s">
        <v>35</v>
      </c>
      <c r="F34" s="5" t="s">
        <v>5</v>
      </c>
      <c r="G34" s="3" t="s">
        <v>80</v>
      </c>
      <c r="H34" s="3" t="s">
        <v>41</v>
      </c>
      <c r="I34" s="3">
        <v>45</v>
      </c>
      <c r="J34" s="3">
        <v>1</v>
      </c>
      <c r="K34" s="3">
        <v>0</v>
      </c>
      <c r="L34" s="3" t="s">
        <v>10</v>
      </c>
      <c r="M34" s="3" t="s">
        <v>238</v>
      </c>
      <c r="N34" s="3" t="s">
        <v>26</v>
      </c>
      <c r="O34" s="4">
        <v>46280</v>
      </c>
    </row>
    <row r="35" spans="1:15">
      <c r="A35" s="3">
        <v>32</v>
      </c>
      <c r="B35" s="3" t="s">
        <v>390</v>
      </c>
      <c r="C35" s="4">
        <v>46259</v>
      </c>
      <c r="D35" s="3" t="s">
        <v>86</v>
      </c>
      <c r="E35" s="5" t="s">
        <v>35</v>
      </c>
      <c r="F35" s="5" t="s">
        <v>39</v>
      </c>
      <c r="G35" s="3" t="s">
        <v>95</v>
      </c>
      <c r="H35" s="3" t="s">
        <v>104</v>
      </c>
      <c r="I35" s="3">
        <v>32</v>
      </c>
      <c r="J35" s="3">
        <v>8</v>
      </c>
      <c r="K35" s="3">
        <v>8</v>
      </c>
      <c r="L35" s="3" t="s">
        <v>24</v>
      </c>
      <c r="M35" s="3" t="s">
        <v>238</v>
      </c>
      <c r="N35" s="3" t="s">
        <v>91</v>
      </c>
      <c r="O35" s="4">
        <v>46274</v>
      </c>
    </row>
    <row r="36" spans="1:15">
      <c r="A36" s="3">
        <v>33</v>
      </c>
      <c r="B36" s="3" t="s">
        <v>391</v>
      </c>
      <c r="C36" s="4">
        <v>46236</v>
      </c>
      <c r="D36" s="3" t="s">
        <v>86</v>
      </c>
      <c r="E36" s="5" t="s">
        <v>35</v>
      </c>
      <c r="F36" s="5" t="s">
        <v>89</v>
      </c>
      <c r="G36" s="3" t="s">
        <v>40</v>
      </c>
      <c r="H36" s="3" t="s">
        <v>70</v>
      </c>
      <c r="I36" s="3">
        <v>27</v>
      </c>
      <c r="J36" s="3">
        <v>8</v>
      </c>
      <c r="K36" s="3">
        <v>7</v>
      </c>
      <c r="L36" s="3" t="s">
        <v>42</v>
      </c>
      <c r="M36" s="3" t="s">
        <v>293</v>
      </c>
      <c r="N36" s="3" t="s">
        <v>4</v>
      </c>
      <c r="O36" s="4">
        <v>46269</v>
      </c>
    </row>
    <row r="37" spans="1:15">
      <c r="A37" s="3">
        <v>34</v>
      </c>
      <c r="B37" s="3" t="s">
        <v>392</v>
      </c>
      <c r="C37" s="4">
        <v>46276</v>
      </c>
      <c r="D37" s="3" t="s">
        <v>102</v>
      </c>
      <c r="E37" s="5" t="s">
        <v>95</v>
      </c>
      <c r="F37" s="5" t="s">
        <v>65</v>
      </c>
      <c r="G37" s="3" t="s">
        <v>80</v>
      </c>
      <c r="H37" s="3" t="s">
        <v>28</v>
      </c>
      <c r="I37" s="3">
        <v>34</v>
      </c>
      <c r="J37" s="3">
        <v>4</v>
      </c>
      <c r="K37" s="3">
        <v>8</v>
      </c>
      <c r="L37" s="3" t="s">
        <v>10</v>
      </c>
      <c r="M37" s="3" t="s">
        <v>293</v>
      </c>
      <c r="N37" s="3" t="s">
        <v>57</v>
      </c>
      <c r="O37" s="4">
        <v>46319</v>
      </c>
    </row>
    <row r="38" spans="1:15">
      <c r="A38" s="3">
        <v>35</v>
      </c>
      <c r="B38" s="3" t="s">
        <v>393</v>
      </c>
      <c r="C38" s="4">
        <v>46267</v>
      </c>
      <c r="D38" s="3" t="s">
        <v>102</v>
      </c>
      <c r="E38" s="5" t="s">
        <v>31</v>
      </c>
      <c r="F38" s="5" t="s">
        <v>50</v>
      </c>
      <c r="G38" s="3" t="s">
        <v>31</v>
      </c>
      <c r="H38" s="3" t="s">
        <v>62</v>
      </c>
      <c r="I38" s="3">
        <v>37</v>
      </c>
      <c r="J38" s="3">
        <v>6</v>
      </c>
      <c r="K38" s="3">
        <v>2</v>
      </c>
      <c r="L38" s="3" t="s">
        <v>17</v>
      </c>
      <c r="M38" s="3" t="s">
        <v>293</v>
      </c>
      <c r="N38" s="3" t="s">
        <v>57</v>
      </c>
      <c r="O38" s="4">
        <v>46292</v>
      </c>
    </row>
    <row r="39" spans="1:15">
      <c r="A39" s="3">
        <v>36</v>
      </c>
      <c r="B39" s="3" t="s">
        <v>394</v>
      </c>
      <c r="C39" s="4">
        <v>46276</v>
      </c>
      <c r="D39" s="3" t="s">
        <v>102</v>
      </c>
      <c r="E39" s="5" t="s">
        <v>77</v>
      </c>
      <c r="F39" s="5" t="s">
        <v>89</v>
      </c>
      <c r="G39" s="3" t="s">
        <v>40</v>
      </c>
      <c r="H39" s="3" t="s">
        <v>66</v>
      </c>
      <c r="I39" s="3">
        <v>31</v>
      </c>
      <c r="J39" s="3">
        <v>4</v>
      </c>
      <c r="K39" s="3">
        <v>8</v>
      </c>
      <c r="L39" s="3" t="s">
        <v>96</v>
      </c>
      <c r="M39" s="3" t="s">
        <v>293</v>
      </c>
      <c r="N39" s="3" t="s">
        <v>54</v>
      </c>
      <c r="O39" s="4">
        <v>46297</v>
      </c>
    </row>
    <row r="40" spans="1:15">
      <c r="A40" s="3">
        <v>37</v>
      </c>
      <c r="B40" s="3" t="s">
        <v>395</v>
      </c>
      <c r="C40" s="4">
        <v>46272</v>
      </c>
      <c r="D40" s="3" t="s">
        <v>102</v>
      </c>
      <c r="E40" s="5" t="s">
        <v>21</v>
      </c>
      <c r="F40" s="5" t="s">
        <v>50</v>
      </c>
      <c r="G40" s="3" t="s">
        <v>80</v>
      </c>
      <c r="H40" s="3" t="s">
        <v>7</v>
      </c>
      <c r="I40" s="3">
        <v>27</v>
      </c>
      <c r="J40" s="3">
        <v>2</v>
      </c>
      <c r="K40" s="3">
        <v>0</v>
      </c>
      <c r="L40" s="3" t="s">
        <v>10</v>
      </c>
      <c r="M40" s="3" t="s">
        <v>293</v>
      </c>
      <c r="N40" s="3" t="s">
        <v>54</v>
      </c>
      <c r="O40" s="4">
        <v>46287</v>
      </c>
    </row>
    <row r="41" spans="1:15">
      <c r="A41" s="3">
        <v>38</v>
      </c>
      <c r="B41" s="3" t="s">
        <v>396</v>
      </c>
      <c r="C41" s="4">
        <v>46280</v>
      </c>
      <c r="D41" s="3" t="s">
        <v>102</v>
      </c>
      <c r="E41" s="5" t="s">
        <v>40</v>
      </c>
      <c r="F41" s="5" t="s">
        <v>89</v>
      </c>
      <c r="G41" s="3" t="s">
        <v>40</v>
      </c>
      <c r="H41" s="3" t="s">
        <v>28</v>
      </c>
      <c r="I41" s="3">
        <v>34</v>
      </c>
      <c r="J41" s="3">
        <v>7</v>
      </c>
      <c r="K41" s="3">
        <v>1</v>
      </c>
      <c r="L41" s="3" t="s">
        <v>17</v>
      </c>
      <c r="M41" s="3" t="s">
        <v>238</v>
      </c>
      <c r="N41" s="3" t="s">
        <v>4</v>
      </c>
      <c r="O41" s="4">
        <v>46293</v>
      </c>
    </row>
    <row r="42" spans="1:15">
      <c r="A42" s="3">
        <v>39</v>
      </c>
      <c r="B42" s="3" t="s">
        <v>397</v>
      </c>
      <c r="C42" s="4">
        <v>46273</v>
      </c>
      <c r="D42" s="3" t="s">
        <v>102</v>
      </c>
      <c r="E42" s="5" t="s">
        <v>87</v>
      </c>
      <c r="F42" s="5" t="s">
        <v>27</v>
      </c>
      <c r="G42" s="3" t="s">
        <v>21</v>
      </c>
      <c r="H42" s="3" t="s">
        <v>7</v>
      </c>
      <c r="I42" s="3">
        <v>43</v>
      </c>
      <c r="J42" s="3">
        <v>1</v>
      </c>
      <c r="K42" s="3">
        <v>4</v>
      </c>
      <c r="L42" s="3" t="s">
        <v>96</v>
      </c>
      <c r="M42" s="3" t="s">
        <v>293</v>
      </c>
      <c r="N42" s="3" t="s">
        <v>12</v>
      </c>
      <c r="O42" s="4">
        <v>46299</v>
      </c>
    </row>
    <row r="43" spans="1:15">
      <c r="A43" s="3">
        <v>40</v>
      </c>
      <c r="B43" s="3" t="s">
        <v>398</v>
      </c>
      <c r="C43" s="4">
        <v>46314</v>
      </c>
      <c r="D43" s="3" t="s">
        <v>106</v>
      </c>
      <c r="E43" s="5" t="s">
        <v>82</v>
      </c>
      <c r="F43" s="5" t="s">
        <v>27</v>
      </c>
      <c r="G43" s="3" t="s">
        <v>82</v>
      </c>
      <c r="H43" s="3" t="s">
        <v>66</v>
      </c>
      <c r="I43" s="3">
        <v>19</v>
      </c>
      <c r="J43" s="3">
        <v>2</v>
      </c>
      <c r="K43" s="3">
        <v>6</v>
      </c>
      <c r="L43" s="3" t="s">
        <v>96</v>
      </c>
      <c r="M43" s="3" t="s">
        <v>293</v>
      </c>
      <c r="N43" s="3" t="s">
        <v>61</v>
      </c>
      <c r="O43" s="4">
        <v>46329</v>
      </c>
    </row>
    <row r="44" spans="1:15">
      <c r="A44" s="3">
        <v>41</v>
      </c>
      <c r="B44" s="3" t="s">
        <v>399</v>
      </c>
      <c r="C44" s="4">
        <v>46314</v>
      </c>
      <c r="D44" s="3" t="s">
        <v>106</v>
      </c>
      <c r="E44" s="5" t="s">
        <v>40</v>
      </c>
      <c r="F44" s="5" t="s">
        <v>58</v>
      </c>
      <c r="G44" s="3" t="s">
        <v>21</v>
      </c>
      <c r="H44" s="3" t="s">
        <v>70</v>
      </c>
      <c r="I44" s="3">
        <v>46</v>
      </c>
      <c r="J44" s="3">
        <v>7</v>
      </c>
      <c r="K44" s="3">
        <v>8</v>
      </c>
      <c r="L44" s="3" t="s">
        <v>17</v>
      </c>
      <c r="M44" s="3" t="s">
        <v>293</v>
      </c>
      <c r="N44" s="3" t="s">
        <v>12</v>
      </c>
      <c r="O44" s="4">
        <v>46345</v>
      </c>
    </row>
    <row r="45" spans="1:15">
      <c r="A45" s="3">
        <v>42</v>
      </c>
      <c r="B45" s="3" t="s">
        <v>400</v>
      </c>
      <c r="C45" s="4">
        <v>46314</v>
      </c>
      <c r="D45" s="3" t="s">
        <v>106</v>
      </c>
      <c r="E45" s="5" t="s">
        <v>14</v>
      </c>
      <c r="F45" s="5" t="s">
        <v>39</v>
      </c>
      <c r="G45" s="3" t="s">
        <v>82</v>
      </c>
      <c r="H45" s="3" t="s">
        <v>32</v>
      </c>
      <c r="I45" s="3">
        <v>48</v>
      </c>
      <c r="J45" s="3">
        <v>3</v>
      </c>
      <c r="K45" s="3">
        <v>2</v>
      </c>
      <c r="L45" s="3" t="s">
        <v>96</v>
      </c>
      <c r="M45" s="3" t="s">
        <v>293</v>
      </c>
      <c r="N45" s="3" t="s">
        <v>54</v>
      </c>
      <c r="O45" s="4">
        <v>46336</v>
      </c>
    </row>
    <row r="46" spans="1:15">
      <c r="A46" s="3">
        <v>43</v>
      </c>
      <c r="B46" s="3" t="s">
        <v>401</v>
      </c>
      <c r="C46" s="4">
        <v>46331</v>
      </c>
      <c r="D46" s="3" t="s">
        <v>111</v>
      </c>
      <c r="E46" s="5" t="s">
        <v>31</v>
      </c>
      <c r="F46" s="5" t="s">
        <v>58</v>
      </c>
      <c r="G46" s="3" t="s">
        <v>95</v>
      </c>
      <c r="H46" s="3" t="s">
        <v>93</v>
      </c>
      <c r="I46" s="3">
        <v>26</v>
      </c>
      <c r="J46" s="3">
        <v>0</v>
      </c>
      <c r="K46" s="3">
        <v>7</v>
      </c>
      <c r="L46" s="3" t="s">
        <v>17</v>
      </c>
      <c r="M46" s="3" t="s">
        <v>293</v>
      </c>
      <c r="N46" s="3" t="s">
        <v>16</v>
      </c>
      <c r="O46" s="4">
        <v>46356</v>
      </c>
    </row>
    <row r="47" spans="1:15">
      <c r="A47" s="3">
        <v>44</v>
      </c>
      <c r="B47" s="3" t="s">
        <v>402</v>
      </c>
      <c r="C47" s="4">
        <v>46346</v>
      </c>
      <c r="D47" s="3" t="s">
        <v>111</v>
      </c>
      <c r="E47" s="5" t="s">
        <v>21</v>
      </c>
      <c r="F47" s="5" t="s">
        <v>39</v>
      </c>
      <c r="G47" s="3" t="s">
        <v>77</v>
      </c>
      <c r="H47" s="3" t="s">
        <v>62</v>
      </c>
      <c r="I47" s="3">
        <v>47</v>
      </c>
      <c r="J47" s="3">
        <v>0</v>
      </c>
      <c r="K47" s="3">
        <v>4</v>
      </c>
      <c r="L47" s="3" t="s">
        <v>24</v>
      </c>
      <c r="M47" s="3" t="s">
        <v>293</v>
      </c>
      <c r="N47" s="3" t="s">
        <v>4</v>
      </c>
      <c r="O47" s="4">
        <v>46355</v>
      </c>
    </row>
    <row r="48" spans="1:15">
      <c r="A48" s="3">
        <v>45</v>
      </c>
      <c r="B48" s="3" t="s">
        <v>403</v>
      </c>
      <c r="C48" s="4">
        <v>46333</v>
      </c>
      <c r="D48" s="3" t="s">
        <v>111</v>
      </c>
      <c r="E48" s="5" t="s">
        <v>77</v>
      </c>
      <c r="F48" s="5" t="s">
        <v>89</v>
      </c>
      <c r="G48" s="3" t="s">
        <v>51</v>
      </c>
      <c r="H48" s="3" t="s">
        <v>93</v>
      </c>
      <c r="I48" s="3">
        <v>20</v>
      </c>
      <c r="J48" s="3">
        <v>4</v>
      </c>
      <c r="K48" s="3">
        <v>3</v>
      </c>
      <c r="L48" s="3" t="s">
        <v>10</v>
      </c>
      <c r="M48" s="3" t="s">
        <v>293</v>
      </c>
      <c r="N48" s="3" t="s">
        <v>54</v>
      </c>
      <c r="O48" s="4">
        <v>46366</v>
      </c>
    </row>
    <row r="49" spans="1:15">
      <c r="A49" s="3">
        <v>46</v>
      </c>
      <c r="B49" s="3" t="s">
        <v>404</v>
      </c>
      <c r="C49" s="4">
        <v>46341</v>
      </c>
      <c r="D49" s="3" t="s">
        <v>111</v>
      </c>
      <c r="E49" s="5" t="s">
        <v>21</v>
      </c>
      <c r="F49" s="5" t="s">
        <v>58</v>
      </c>
      <c r="G49" s="3" t="s">
        <v>51</v>
      </c>
      <c r="H49" s="3" t="s">
        <v>62</v>
      </c>
      <c r="I49" s="3">
        <v>19</v>
      </c>
      <c r="J49" s="3">
        <v>7</v>
      </c>
      <c r="K49" s="3">
        <v>6</v>
      </c>
      <c r="L49" s="3" t="s">
        <v>24</v>
      </c>
      <c r="M49" s="3" t="s">
        <v>293</v>
      </c>
      <c r="N49" s="3" t="s">
        <v>20</v>
      </c>
      <c r="O49" s="4">
        <v>46362</v>
      </c>
    </row>
    <row r="50" spans="1:15">
      <c r="A50" s="3">
        <v>47</v>
      </c>
      <c r="B50" s="3" t="s">
        <v>405</v>
      </c>
      <c r="C50" s="4">
        <v>46370</v>
      </c>
      <c r="D50" s="3" t="s">
        <v>122</v>
      </c>
      <c r="E50" s="5" t="s">
        <v>31</v>
      </c>
      <c r="F50" s="5" t="s">
        <v>65</v>
      </c>
      <c r="G50" s="3" t="s">
        <v>87</v>
      </c>
      <c r="H50" s="3" t="s">
        <v>22</v>
      </c>
      <c r="I50" s="3">
        <v>19</v>
      </c>
      <c r="J50" s="3">
        <v>1</v>
      </c>
      <c r="K50" s="3">
        <v>4</v>
      </c>
      <c r="L50" s="3" t="s">
        <v>17</v>
      </c>
      <c r="M50" s="3" t="s">
        <v>293</v>
      </c>
      <c r="N50" s="3" t="s">
        <v>30</v>
      </c>
      <c r="O50" s="4">
        <v>46393</v>
      </c>
    </row>
    <row r="51" spans="1:15">
      <c r="A51" s="3">
        <v>48</v>
      </c>
      <c r="B51" s="3" t="s">
        <v>406</v>
      </c>
      <c r="C51" s="4">
        <v>46373</v>
      </c>
      <c r="D51" s="3" t="s">
        <v>122</v>
      </c>
      <c r="E51" s="5" t="s">
        <v>77</v>
      </c>
      <c r="F51" s="5" t="s">
        <v>5</v>
      </c>
      <c r="G51" s="3" t="s">
        <v>80</v>
      </c>
      <c r="H51" s="3" t="s">
        <v>62</v>
      </c>
      <c r="I51" s="3">
        <v>22</v>
      </c>
      <c r="J51" s="3">
        <v>0</v>
      </c>
      <c r="K51" s="3">
        <v>1</v>
      </c>
      <c r="L51" s="3" t="s">
        <v>42</v>
      </c>
      <c r="M51" s="3" t="s">
        <v>297</v>
      </c>
      <c r="N51" s="3" t="s">
        <v>45</v>
      </c>
      <c r="O51" s="4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414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415</v>
      </c>
      <c r="C4" s="4">
        <v>46024</v>
      </c>
      <c r="D4" s="3" t="s">
        <v>3</v>
      </c>
      <c r="E4" s="5" t="s">
        <v>51</v>
      </c>
      <c r="F4" s="5" t="s">
        <v>65</v>
      </c>
      <c r="G4" s="3" t="s">
        <v>77</v>
      </c>
      <c r="H4" s="3" t="s">
        <v>68</v>
      </c>
      <c r="I4" s="3">
        <v>50</v>
      </c>
      <c r="J4" s="3">
        <v>4</v>
      </c>
      <c r="K4" s="3">
        <v>8</v>
      </c>
      <c r="L4" s="3" t="s">
        <v>10</v>
      </c>
      <c r="M4" s="3" t="s">
        <v>293</v>
      </c>
      <c r="N4" s="3" t="s">
        <v>20</v>
      </c>
      <c r="O4" s="4">
        <v>46039</v>
      </c>
    </row>
    <row r="5" spans="1:17">
      <c r="A5" s="3">
        <v>2</v>
      </c>
      <c r="B5" s="3" t="s">
        <v>416</v>
      </c>
      <c r="C5" s="4">
        <v>46031</v>
      </c>
      <c r="D5" s="3" t="s">
        <v>3</v>
      </c>
      <c r="E5" s="5" t="s">
        <v>21</v>
      </c>
      <c r="F5" s="5" t="s">
        <v>58</v>
      </c>
      <c r="G5" s="3" t="s">
        <v>14</v>
      </c>
      <c r="H5" s="3" t="s">
        <v>28</v>
      </c>
      <c r="I5" s="3">
        <v>21</v>
      </c>
      <c r="J5" s="3">
        <v>6</v>
      </c>
      <c r="K5" s="3">
        <v>2</v>
      </c>
      <c r="L5" s="3" t="s">
        <v>42</v>
      </c>
      <c r="M5" s="3" t="s">
        <v>238</v>
      </c>
      <c r="N5" s="3" t="s">
        <v>38</v>
      </c>
      <c r="O5" s="4">
        <v>46047</v>
      </c>
    </row>
    <row r="6" spans="1:17">
      <c r="A6" s="3">
        <v>3</v>
      </c>
      <c r="B6" s="3" t="s">
        <v>417</v>
      </c>
      <c r="C6" s="4">
        <v>46043</v>
      </c>
      <c r="D6" s="3" t="s">
        <v>3</v>
      </c>
      <c r="E6" s="5" t="s">
        <v>82</v>
      </c>
      <c r="F6" s="5" t="s">
        <v>65</v>
      </c>
      <c r="G6" s="3" t="s">
        <v>31</v>
      </c>
      <c r="H6" s="3" t="s">
        <v>70</v>
      </c>
      <c r="I6" s="3">
        <v>43</v>
      </c>
      <c r="J6" s="3">
        <v>6</v>
      </c>
      <c r="K6" s="3">
        <v>0</v>
      </c>
      <c r="L6" s="3" t="s">
        <v>17</v>
      </c>
      <c r="M6" s="3" t="s">
        <v>293</v>
      </c>
      <c r="N6" s="3" t="s">
        <v>4</v>
      </c>
      <c r="O6" s="4">
        <v>46083</v>
      </c>
    </row>
    <row r="7" spans="1:17">
      <c r="A7" s="3">
        <v>4</v>
      </c>
      <c r="B7" s="3" t="s">
        <v>418</v>
      </c>
      <c r="C7" s="4">
        <v>46042</v>
      </c>
      <c r="D7" s="3" t="s">
        <v>3</v>
      </c>
      <c r="E7" s="5" t="s">
        <v>87</v>
      </c>
      <c r="F7" s="5" t="s">
        <v>89</v>
      </c>
      <c r="G7" s="3" t="s">
        <v>40</v>
      </c>
      <c r="H7" s="3" t="s">
        <v>41</v>
      </c>
      <c r="I7" s="3">
        <v>32</v>
      </c>
      <c r="J7" s="3">
        <v>7</v>
      </c>
      <c r="K7" s="3">
        <v>7</v>
      </c>
      <c r="L7" s="3" t="s">
        <v>10</v>
      </c>
      <c r="M7" s="3" t="s">
        <v>293</v>
      </c>
      <c r="N7" s="3" t="s">
        <v>4</v>
      </c>
      <c r="O7" s="4">
        <v>46078</v>
      </c>
    </row>
    <row r="8" spans="1:17">
      <c r="A8" s="3">
        <v>5</v>
      </c>
      <c r="B8" s="3" t="s">
        <v>419</v>
      </c>
      <c r="C8" s="4">
        <v>46025</v>
      </c>
      <c r="D8" s="3" t="s">
        <v>3</v>
      </c>
      <c r="E8" s="5" t="s">
        <v>77</v>
      </c>
      <c r="F8" s="5" t="s">
        <v>39</v>
      </c>
      <c r="G8" s="3" t="s">
        <v>95</v>
      </c>
      <c r="H8" s="3" t="s">
        <v>15</v>
      </c>
      <c r="I8" s="3">
        <v>18</v>
      </c>
      <c r="J8" s="3">
        <v>6</v>
      </c>
      <c r="K8" s="3">
        <v>6</v>
      </c>
      <c r="L8" s="3" t="s">
        <v>96</v>
      </c>
      <c r="M8" s="3" t="s">
        <v>293</v>
      </c>
      <c r="N8" s="3" t="s">
        <v>26</v>
      </c>
      <c r="O8" s="4">
        <v>46030</v>
      </c>
    </row>
    <row r="9" spans="1:17">
      <c r="A9" s="3">
        <v>6</v>
      </c>
      <c r="B9" s="3" t="s">
        <v>420</v>
      </c>
      <c r="C9" s="4">
        <v>46066</v>
      </c>
      <c r="D9" s="3" t="s">
        <v>19</v>
      </c>
      <c r="E9" s="5" t="s">
        <v>40</v>
      </c>
      <c r="F9" s="5" t="s">
        <v>58</v>
      </c>
      <c r="G9" s="3" t="s">
        <v>51</v>
      </c>
      <c r="H9" s="3" t="s">
        <v>78</v>
      </c>
      <c r="I9" s="3">
        <v>34</v>
      </c>
      <c r="J9" s="3">
        <v>4</v>
      </c>
      <c r="K9" s="3">
        <v>7</v>
      </c>
      <c r="L9" s="3" t="s">
        <v>24</v>
      </c>
      <c r="M9" s="3" t="s">
        <v>293</v>
      </c>
      <c r="N9" s="3" t="s">
        <v>20</v>
      </c>
      <c r="O9" s="4">
        <v>46086</v>
      </c>
    </row>
    <row r="10" spans="1:17">
      <c r="A10" s="3">
        <v>7</v>
      </c>
      <c r="B10" s="3" t="s">
        <v>421</v>
      </c>
      <c r="C10" s="4">
        <v>46079</v>
      </c>
      <c r="D10" s="3" t="s">
        <v>19</v>
      </c>
      <c r="E10" s="5" t="s">
        <v>95</v>
      </c>
      <c r="F10" s="5" t="s">
        <v>46</v>
      </c>
      <c r="G10" s="3" t="s">
        <v>77</v>
      </c>
      <c r="H10" s="3" t="s">
        <v>78</v>
      </c>
      <c r="I10" s="3">
        <v>49</v>
      </c>
      <c r="J10" s="3">
        <v>3</v>
      </c>
      <c r="K10" s="3">
        <v>5</v>
      </c>
      <c r="L10" s="3" t="s">
        <v>96</v>
      </c>
      <c r="M10" s="3" t="s">
        <v>293</v>
      </c>
      <c r="N10" s="3" t="s">
        <v>45</v>
      </c>
      <c r="O10" s="4">
        <v>46111</v>
      </c>
    </row>
    <row r="11" spans="1:17">
      <c r="A11" s="3">
        <v>8</v>
      </c>
      <c r="B11" s="3" t="s">
        <v>422</v>
      </c>
      <c r="C11" s="4">
        <v>46066</v>
      </c>
      <c r="D11" s="3" t="s">
        <v>19</v>
      </c>
      <c r="E11" s="5" t="s">
        <v>6</v>
      </c>
      <c r="F11" s="5" t="s">
        <v>92</v>
      </c>
      <c r="G11" s="3" t="s">
        <v>6</v>
      </c>
      <c r="H11" s="3" t="s">
        <v>70</v>
      </c>
      <c r="I11" s="3">
        <v>31</v>
      </c>
      <c r="J11" s="3">
        <v>4</v>
      </c>
      <c r="K11" s="3">
        <v>3</v>
      </c>
      <c r="L11" s="3" t="s">
        <v>42</v>
      </c>
      <c r="M11" s="3" t="s">
        <v>293</v>
      </c>
      <c r="N11" s="3" t="s">
        <v>30</v>
      </c>
      <c r="O11" s="4">
        <v>46072</v>
      </c>
    </row>
    <row r="12" spans="1:17">
      <c r="A12" s="3">
        <v>9</v>
      </c>
      <c r="B12" s="3" t="s">
        <v>423</v>
      </c>
      <c r="C12" s="4">
        <v>46074</v>
      </c>
      <c r="D12" s="3" t="s">
        <v>19</v>
      </c>
      <c r="E12" s="5" t="s">
        <v>77</v>
      </c>
      <c r="F12" s="5" t="s">
        <v>92</v>
      </c>
      <c r="G12" s="3" t="s">
        <v>77</v>
      </c>
      <c r="H12" s="3" t="s">
        <v>78</v>
      </c>
      <c r="I12" s="3">
        <v>47</v>
      </c>
      <c r="J12" s="3">
        <v>7</v>
      </c>
      <c r="K12" s="3">
        <v>2</v>
      </c>
      <c r="L12" s="3" t="s">
        <v>24</v>
      </c>
      <c r="M12" s="3" t="s">
        <v>254</v>
      </c>
      <c r="N12" s="3" t="s">
        <v>57</v>
      </c>
      <c r="O12" s="4">
        <v>46081</v>
      </c>
    </row>
    <row r="13" spans="1:17">
      <c r="A13" s="3">
        <v>10</v>
      </c>
      <c r="B13" s="3" t="s">
        <v>424</v>
      </c>
      <c r="C13" s="4">
        <v>46076</v>
      </c>
      <c r="D13" s="3" t="s">
        <v>19</v>
      </c>
      <c r="E13" s="5" t="s">
        <v>40</v>
      </c>
      <c r="F13" s="5" t="s">
        <v>5</v>
      </c>
      <c r="G13" s="3" t="s">
        <v>51</v>
      </c>
      <c r="H13" s="3" t="s">
        <v>66</v>
      </c>
      <c r="I13" s="3">
        <v>21</v>
      </c>
      <c r="J13" s="3">
        <v>6</v>
      </c>
      <c r="K13" s="3">
        <v>1</v>
      </c>
      <c r="L13" s="3" t="s">
        <v>10</v>
      </c>
      <c r="M13" s="3" t="s">
        <v>297</v>
      </c>
      <c r="N13" s="3" t="s">
        <v>64</v>
      </c>
      <c r="O13" s="4">
        <v>46087</v>
      </c>
    </row>
    <row r="14" spans="1:17">
      <c r="A14" s="3">
        <v>11</v>
      </c>
      <c r="B14" s="3" t="s">
        <v>425</v>
      </c>
      <c r="C14" s="4">
        <v>46097</v>
      </c>
      <c r="D14" s="3" t="s">
        <v>44</v>
      </c>
      <c r="E14" s="5" t="s">
        <v>82</v>
      </c>
      <c r="F14" s="5" t="s">
        <v>65</v>
      </c>
      <c r="G14" s="3" t="s">
        <v>40</v>
      </c>
      <c r="H14" s="3" t="s">
        <v>15</v>
      </c>
      <c r="I14" s="3">
        <v>50</v>
      </c>
      <c r="J14" s="3">
        <v>0</v>
      </c>
      <c r="K14" s="3">
        <v>4</v>
      </c>
      <c r="L14" s="3" t="s">
        <v>42</v>
      </c>
      <c r="M14" s="3" t="s">
        <v>293</v>
      </c>
      <c r="N14" s="3" t="s">
        <v>57</v>
      </c>
      <c r="O14" s="4">
        <v>46108</v>
      </c>
    </row>
    <row r="15" spans="1:17">
      <c r="A15" s="3">
        <v>12</v>
      </c>
      <c r="B15" s="3" t="s">
        <v>426</v>
      </c>
      <c r="C15" s="4">
        <v>46088</v>
      </c>
      <c r="D15" s="3" t="s">
        <v>44</v>
      </c>
      <c r="E15" s="5" t="s">
        <v>31</v>
      </c>
      <c r="F15" s="5" t="s">
        <v>50</v>
      </c>
      <c r="G15" s="3" t="s">
        <v>35</v>
      </c>
      <c r="H15" s="3" t="s">
        <v>93</v>
      </c>
      <c r="I15" s="3">
        <v>41</v>
      </c>
      <c r="J15" s="3">
        <v>6</v>
      </c>
      <c r="K15" s="3">
        <v>0</v>
      </c>
      <c r="L15" s="3" t="s">
        <v>42</v>
      </c>
      <c r="M15" s="3" t="s">
        <v>293</v>
      </c>
      <c r="N15" s="3" t="s">
        <v>20</v>
      </c>
      <c r="O15" s="4">
        <v>46108</v>
      </c>
    </row>
    <row r="16" spans="1:17">
      <c r="A16" s="3">
        <v>13</v>
      </c>
      <c r="B16" s="3" t="s">
        <v>427</v>
      </c>
      <c r="C16" s="4">
        <v>46085</v>
      </c>
      <c r="D16" s="3" t="s">
        <v>44</v>
      </c>
      <c r="E16" s="5" t="s">
        <v>40</v>
      </c>
      <c r="F16" s="5" t="s">
        <v>58</v>
      </c>
      <c r="G16" s="3" t="s">
        <v>87</v>
      </c>
      <c r="H16" s="3" t="s">
        <v>28</v>
      </c>
      <c r="I16" s="3">
        <v>42</v>
      </c>
      <c r="J16" s="3">
        <v>3</v>
      </c>
      <c r="K16" s="3">
        <v>8</v>
      </c>
      <c r="L16" s="3" t="s">
        <v>96</v>
      </c>
      <c r="M16" s="3" t="s">
        <v>293</v>
      </c>
      <c r="N16" s="3" t="s">
        <v>12</v>
      </c>
      <c r="O16" s="4">
        <v>46097</v>
      </c>
    </row>
    <row r="17" spans="1:15">
      <c r="A17" s="3">
        <v>14</v>
      </c>
      <c r="B17" s="3" t="s">
        <v>428</v>
      </c>
      <c r="C17" s="4">
        <v>46084</v>
      </c>
      <c r="D17" s="3" t="s">
        <v>44</v>
      </c>
      <c r="E17" s="5" t="s">
        <v>80</v>
      </c>
      <c r="F17" s="5" t="s">
        <v>27</v>
      </c>
      <c r="G17" s="3" t="s">
        <v>6</v>
      </c>
      <c r="H17" s="3" t="s">
        <v>70</v>
      </c>
      <c r="I17" s="3">
        <v>18</v>
      </c>
      <c r="J17" s="3">
        <v>3</v>
      </c>
      <c r="K17" s="3">
        <v>5</v>
      </c>
      <c r="L17" s="3" t="s">
        <v>42</v>
      </c>
      <c r="M17" s="3" t="s">
        <v>293</v>
      </c>
      <c r="N17" s="3" t="s">
        <v>20</v>
      </c>
      <c r="O17" s="4">
        <v>46117</v>
      </c>
    </row>
    <row r="18" spans="1:15">
      <c r="A18" s="3">
        <v>15</v>
      </c>
      <c r="B18" s="3" t="s">
        <v>429</v>
      </c>
      <c r="C18" s="4">
        <v>46155</v>
      </c>
      <c r="D18" s="3" t="s">
        <v>60</v>
      </c>
      <c r="E18" s="5" t="s">
        <v>6</v>
      </c>
      <c r="F18" s="5" t="s">
        <v>92</v>
      </c>
      <c r="G18" s="3" t="s">
        <v>77</v>
      </c>
      <c r="H18" s="3" t="s">
        <v>70</v>
      </c>
      <c r="I18" s="3">
        <v>47</v>
      </c>
      <c r="J18" s="3">
        <v>3</v>
      </c>
      <c r="K18" s="3">
        <v>3</v>
      </c>
      <c r="L18" s="3" t="s">
        <v>10</v>
      </c>
      <c r="M18" s="3" t="s">
        <v>293</v>
      </c>
      <c r="N18" s="3" t="s">
        <v>49</v>
      </c>
      <c r="O18" s="4">
        <v>46163</v>
      </c>
    </row>
    <row r="19" spans="1:15">
      <c r="A19" s="3">
        <v>16</v>
      </c>
      <c r="B19" s="3" t="s">
        <v>430</v>
      </c>
      <c r="C19" s="4">
        <v>46161</v>
      </c>
      <c r="D19" s="3" t="s">
        <v>60</v>
      </c>
      <c r="E19" s="5" t="s">
        <v>77</v>
      </c>
      <c r="F19" s="5" t="s">
        <v>39</v>
      </c>
      <c r="G19" s="3" t="s">
        <v>21</v>
      </c>
      <c r="H19" s="3" t="s">
        <v>28</v>
      </c>
      <c r="I19" s="3">
        <v>16</v>
      </c>
      <c r="J19" s="3">
        <v>7</v>
      </c>
      <c r="K19" s="3">
        <v>8</v>
      </c>
      <c r="L19" s="3" t="s">
        <v>24</v>
      </c>
      <c r="M19" s="3" t="s">
        <v>254</v>
      </c>
      <c r="N19" s="3" t="s">
        <v>57</v>
      </c>
      <c r="O19" s="4">
        <v>46187</v>
      </c>
    </row>
    <row r="20" spans="1:15">
      <c r="A20" s="3">
        <v>17</v>
      </c>
      <c r="B20" s="3" t="s">
        <v>431</v>
      </c>
      <c r="C20" s="4">
        <v>46166</v>
      </c>
      <c r="D20" s="3" t="s">
        <v>60</v>
      </c>
      <c r="E20" s="5" t="s">
        <v>95</v>
      </c>
      <c r="F20" s="5" t="s">
        <v>58</v>
      </c>
      <c r="G20" s="3" t="s">
        <v>80</v>
      </c>
      <c r="H20" s="3" t="s">
        <v>36</v>
      </c>
      <c r="I20" s="3">
        <v>25</v>
      </c>
      <c r="J20" s="3">
        <v>1</v>
      </c>
      <c r="K20" s="3">
        <v>4</v>
      </c>
      <c r="L20" s="3" t="s">
        <v>42</v>
      </c>
      <c r="M20" s="3" t="s">
        <v>293</v>
      </c>
      <c r="N20" s="3" t="s">
        <v>4</v>
      </c>
      <c r="O20" s="4">
        <v>46191</v>
      </c>
    </row>
    <row r="21" spans="1:15">
      <c r="A21" s="3">
        <v>18</v>
      </c>
      <c r="B21" s="3" t="s">
        <v>432</v>
      </c>
      <c r="C21" s="4">
        <v>46183</v>
      </c>
      <c r="D21" s="3" t="s">
        <v>73</v>
      </c>
      <c r="E21" s="5" t="s">
        <v>21</v>
      </c>
      <c r="F21" s="5" t="s">
        <v>27</v>
      </c>
      <c r="G21" s="3" t="s">
        <v>35</v>
      </c>
      <c r="H21" s="3" t="s">
        <v>15</v>
      </c>
      <c r="I21" s="3">
        <v>34</v>
      </c>
      <c r="J21" s="3">
        <v>1</v>
      </c>
      <c r="K21" s="3">
        <v>5</v>
      </c>
      <c r="L21" s="3" t="s">
        <v>42</v>
      </c>
      <c r="M21" s="3" t="s">
        <v>293</v>
      </c>
      <c r="N21" s="3" t="s">
        <v>16</v>
      </c>
      <c r="O21" s="4">
        <v>46220</v>
      </c>
    </row>
    <row r="22" spans="1:15">
      <c r="A22" s="3">
        <v>19</v>
      </c>
      <c r="B22" s="3" t="s">
        <v>433</v>
      </c>
      <c r="C22" s="4">
        <v>46176</v>
      </c>
      <c r="D22" s="3" t="s">
        <v>73</v>
      </c>
      <c r="E22" s="5" t="s">
        <v>51</v>
      </c>
      <c r="F22" s="5" t="s">
        <v>39</v>
      </c>
      <c r="G22" s="3" t="s">
        <v>21</v>
      </c>
      <c r="H22" s="3" t="s">
        <v>66</v>
      </c>
      <c r="I22" s="3">
        <v>38</v>
      </c>
      <c r="J22" s="3">
        <v>5</v>
      </c>
      <c r="K22" s="3">
        <v>5</v>
      </c>
      <c r="L22" s="3" t="s">
        <v>96</v>
      </c>
      <c r="M22" s="3" t="s">
        <v>293</v>
      </c>
      <c r="N22" s="3" t="s">
        <v>54</v>
      </c>
      <c r="O22" s="4">
        <v>46200</v>
      </c>
    </row>
    <row r="23" spans="1:15">
      <c r="A23" s="3">
        <v>20</v>
      </c>
      <c r="B23" s="3" t="s">
        <v>434</v>
      </c>
      <c r="C23" s="4">
        <v>46180</v>
      </c>
      <c r="D23" s="3" t="s">
        <v>73</v>
      </c>
      <c r="E23" s="5" t="s">
        <v>87</v>
      </c>
      <c r="F23" s="5" t="s">
        <v>27</v>
      </c>
      <c r="G23" s="3" t="s">
        <v>31</v>
      </c>
      <c r="H23" s="3" t="s">
        <v>7</v>
      </c>
      <c r="I23" s="3">
        <v>26</v>
      </c>
      <c r="J23" s="3">
        <v>7</v>
      </c>
      <c r="K23" s="3">
        <v>7</v>
      </c>
      <c r="L23" s="3" t="s">
        <v>17</v>
      </c>
      <c r="M23" s="3" t="s">
        <v>293</v>
      </c>
      <c r="N23" s="3" t="s">
        <v>20</v>
      </c>
      <c r="O23" s="4">
        <v>46219</v>
      </c>
    </row>
    <row r="24" spans="1:15">
      <c r="A24" s="3">
        <v>21</v>
      </c>
      <c r="B24" s="3" t="s">
        <v>435</v>
      </c>
      <c r="C24" s="4">
        <v>46224</v>
      </c>
      <c r="D24" s="3" t="s">
        <v>76</v>
      </c>
      <c r="E24" s="5" t="s">
        <v>51</v>
      </c>
      <c r="F24" s="5" t="s">
        <v>5</v>
      </c>
      <c r="G24" s="3" t="s">
        <v>40</v>
      </c>
      <c r="H24" s="3" t="s">
        <v>28</v>
      </c>
      <c r="I24" s="3">
        <v>37</v>
      </c>
      <c r="J24" s="3">
        <v>2</v>
      </c>
      <c r="K24" s="3">
        <v>6</v>
      </c>
      <c r="L24" s="3" t="s">
        <v>10</v>
      </c>
      <c r="M24" s="3" t="s">
        <v>293</v>
      </c>
      <c r="N24" s="3" t="s">
        <v>64</v>
      </c>
      <c r="O24" s="4">
        <v>46234</v>
      </c>
    </row>
    <row r="25" spans="1:15">
      <c r="A25" s="3">
        <v>22</v>
      </c>
      <c r="B25" s="3" t="s">
        <v>436</v>
      </c>
      <c r="C25" s="4">
        <v>46229</v>
      </c>
      <c r="D25" s="3" t="s">
        <v>76</v>
      </c>
      <c r="E25" s="5" t="s">
        <v>31</v>
      </c>
      <c r="F25" s="5" t="s">
        <v>58</v>
      </c>
      <c r="G25" s="3" t="s">
        <v>31</v>
      </c>
      <c r="H25" s="3" t="s">
        <v>7</v>
      </c>
      <c r="I25" s="3">
        <v>34</v>
      </c>
      <c r="J25" s="3">
        <v>3</v>
      </c>
      <c r="K25" s="3">
        <v>7</v>
      </c>
      <c r="L25" s="3" t="s">
        <v>17</v>
      </c>
      <c r="M25" s="3" t="s">
        <v>293</v>
      </c>
      <c r="N25" s="3" t="s">
        <v>49</v>
      </c>
      <c r="O25" s="4">
        <v>46256</v>
      </c>
    </row>
    <row r="26" spans="1:15">
      <c r="A26" s="3">
        <v>23</v>
      </c>
      <c r="B26" s="3" t="s">
        <v>437</v>
      </c>
      <c r="C26" s="4">
        <v>46209</v>
      </c>
      <c r="D26" s="3" t="s">
        <v>76</v>
      </c>
      <c r="E26" s="5" t="s">
        <v>35</v>
      </c>
      <c r="F26" s="5" t="s">
        <v>13</v>
      </c>
      <c r="G26" s="3" t="s">
        <v>51</v>
      </c>
      <c r="H26" s="3" t="s">
        <v>22</v>
      </c>
      <c r="I26" s="3">
        <v>26</v>
      </c>
      <c r="J26" s="3">
        <v>0</v>
      </c>
      <c r="K26" s="3">
        <v>4</v>
      </c>
      <c r="L26" s="3" t="s">
        <v>17</v>
      </c>
      <c r="M26" s="3" t="s">
        <v>297</v>
      </c>
      <c r="N26" s="3" t="s">
        <v>4</v>
      </c>
      <c r="O26" s="4">
        <v>46226</v>
      </c>
    </row>
    <row r="27" spans="1:15">
      <c r="A27" s="3">
        <v>24</v>
      </c>
      <c r="B27" s="3" t="s">
        <v>438</v>
      </c>
      <c r="C27" s="4">
        <v>46229</v>
      </c>
      <c r="D27" s="3" t="s">
        <v>76</v>
      </c>
      <c r="E27" s="5" t="s">
        <v>82</v>
      </c>
      <c r="F27" s="5" t="s">
        <v>89</v>
      </c>
      <c r="G27" s="3" t="s">
        <v>14</v>
      </c>
      <c r="H27" s="3" t="s">
        <v>66</v>
      </c>
      <c r="I27" s="3">
        <v>49</v>
      </c>
      <c r="J27" s="3">
        <v>5</v>
      </c>
      <c r="K27" s="3">
        <v>1</v>
      </c>
      <c r="L27" s="3" t="s">
        <v>10</v>
      </c>
      <c r="M27" s="3" t="s">
        <v>238</v>
      </c>
      <c r="N27" s="3" t="s">
        <v>49</v>
      </c>
      <c r="O27" s="4">
        <v>46270</v>
      </c>
    </row>
    <row r="28" spans="1:15">
      <c r="A28" s="3">
        <v>25</v>
      </c>
      <c r="B28" s="3" t="s">
        <v>439</v>
      </c>
      <c r="C28" s="4">
        <v>46240</v>
      </c>
      <c r="D28" s="3" t="s">
        <v>86</v>
      </c>
      <c r="E28" s="5" t="s">
        <v>77</v>
      </c>
      <c r="F28" s="5" t="s">
        <v>50</v>
      </c>
      <c r="G28" s="3" t="s">
        <v>80</v>
      </c>
      <c r="H28" s="3" t="s">
        <v>15</v>
      </c>
      <c r="I28" s="3">
        <v>23</v>
      </c>
      <c r="J28" s="3">
        <v>2</v>
      </c>
      <c r="K28" s="3">
        <v>5</v>
      </c>
      <c r="L28" s="3" t="s">
        <v>10</v>
      </c>
      <c r="M28" s="3" t="s">
        <v>238</v>
      </c>
      <c r="N28" s="3" t="s">
        <v>49</v>
      </c>
      <c r="O28" s="4">
        <v>46249</v>
      </c>
    </row>
    <row r="29" spans="1:15">
      <c r="A29" s="3">
        <v>26</v>
      </c>
      <c r="B29" s="3" t="s">
        <v>440</v>
      </c>
      <c r="C29" s="4">
        <v>46250</v>
      </c>
      <c r="D29" s="3" t="s">
        <v>86</v>
      </c>
      <c r="E29" s="5" t="s">
        <v>14</v>
      </c>
      <c r="F29" s="5" t="s">
        <v>27</v>
      </c>
      <c r="G29" s="3" t="s">
        <v>77</v>
      </c>
      <c r="H29" s="3" t="s">
        <v>104</v>
      </c>
      <c r="I29" s="3">
        <v>20</v>
      </c>
      <c r="J29" s="3">
        <v>7</v>
      </c>
      <c r="K29" s="3">
        <v>5</v>
      </c>
      <c r="L29" s="3" t="s">
        <v>96</v>
      </c>
      <c r="M29" s="3" t="s">
        <v>293</v>
      </c>
      <c r="N29" s="3" t="s">
        <v>16</v>
      </c>
      <c r="O29" s="4">
        <v>46258</v>
      </c>
    </row>
    <row r="30" spans="1:15">
      <c r="A30" s="3">
        <v>27</v>
      </c>
      <c r="B30" s="3" t="s">
        <v>441</v>
      </c>
      <c r="C30" s="4">
        <v>46248</v>
      </c>
      <c r="D30" s="3" t="s">
        <v>86</v>
      </c>
      <c r="E30" s="5" t="s">
        <v>14</v>
      </c>
      <c r="F30" s="5" t="s">
        <v>13</v>
      </c>
      <c r="G30" s="3" t="s">
        <v>21</v>
      </c>
      <c r="H30" s="3" t="s">
        <v>68</v>
      </c>
      <c r="I30" s="3">
        <v>22</v>
      </c>
      <c r="J30" s="3">
        <v>7</v>
      </c>
      <c r="K30" s="3">
        <v>7</v>
      </c>
      <c r="L30" s="3" t="s">
        <v>96</v>
      </c>
      <c r="M30" s="3" t="s">
        <v>254</v>
      </c>
      <c r="N30" s="3" t="s">
        <v>4</v>
      </c>
      <c r="O30" s="4">
        <v>46271</v>
      </c>
    </row>
    <row r="31" spans="1:15">
      <c r="A31" s="3">
        <v>28</v>
      </c>
      <c r="B31" s="3" t="s">
        <v>442</v>
      </c>
      <c r="C31" s="4">
        <v>46245</v>
      </c>
      <c r="D31" s="3" t="s">
        <v>86</v>
      </c>
      <c r="E31" s="5" t="s">
        <v>35</v>
      </c>
      <c r="F31" s="5" t="s">
        <v>65</v>
      </c>
      <c r="G31" s="3" t="s">
        <v>51</v>
      </c>
      <c r="H31" s="3" t="s">
        <v>36</v>
      </c>
      <c r="I31" s="3">
        <v>21</v>
      </c>
      <c r="J31" s="3">
        <v>5</v>
      </c>
      <c r="K31" s="3">
        <v>4</v>
      </c>
      <c r="L31" s="3" t="s">
        <v>96</v>
      </c>
      <c r="M31" s="3" t="s">
        <v>293</v>
      </c>
      <c r="N31" s="3" t="s">
        <v>4</v>
      </c>
      <c r="O31" s="4">
        <v>46263</v>
      </c>
    </row>
    <row r="32" spans="1:15">
      <c r="A32" s="3">
        <v>29</v>
      </c>
      <c r="B32" s="3" t="s">
        <v>443</v>
      </c>
      <c r="C32" s="4">
        <v>46235</v>
      </c>
      <c r="D32" s="3" t="s">
        <v>86</v>
      </c>
      <c r="E32" s="5" t="s">
        <v>6</v>
      </c>
      <c r="F32" s="5" t="s">
        <v>46</v>
      </c>
      <c r="G32" s="3" t="s">
        <v>35</v>
      </c>
      <c r="H32" s="3" t="s">
        <v>68</v>
      </c>
      <c r="I32" s="3">
        <v>33</v>
      </c>
      <c r="J32" s="3">
        <v>4</v>
      </c>
      <c r="K32" s="3">
        <v>3</v>
      </c>
      <c r="L32" s="3" t="s">
        <v>10</v>
      </c>
      <c r="M32" s="3" t="s">
        <v>293</v>
      </c>
      <c r="N32" s="3" t="s">
        <v>16</v>
      </c>
      <c r="O32" s="4">
        <v>46270</v>
      </c>
    </row>
    <row r="33" spans="1:15">
      <c r="A33" s="3">
        <v>30</v>
      </c>
      <c r="B33" s="3" t="s">
        <v>444</v>
      </c>
      <c r="C33" s="4">
        <v>46239</v>
      </c>
      <c r="D33" s="3" t="s">
        <v>86</v>
      </c>
      <c r="E33" s="5" t="s">
        <v>87</v>
      </c>
      <c r="F33" s="5" t="s">
        <v>50</v>
      </c>
      <c r="G33" s="3" t="s">
        <v>87</v>
      </c>
      <c r="H33" s="3" t="s">
        <v>70</v>
      </c>
      <c r="I33" s="3">
        <v>23</v>
      </c>
      <c r="J33" s="3">
        <v>0</v>
      </c>
      <c r="K33" s="3">
        <v>2</v>
      </c>
      <c r="L33" s="3" t="s">
        <v>96</v>
      </c>
      <c r="M33" s="3" t="s">
        <v>293</v>
      </c>
      <c r="N33" s="3" t="s">
        <v>49</v>
      </c>
      <c r="O33" s="4">
        <v>46272</v>
      </c>
    </row>
    <row r="34" spans="1:15">
      <c r="A34" s="3">
        <v>31</v>
      </c>
      <c r="B34" s="3" t="s">
        <v>445</v>
      </c>
      <c r="C34" s="4">
        <v>46252</v>
      </c>
      <c r="D34" s="3" t="s">
        <v>86</v>
      </c>
      <c r="E34" s="5" t="s">
        <v>87</v>
      </c>
      <c r="F34" s="5" t="s">
        <v>92</v>
      </c>
      <c r="G34" s="3" t="s">
        <v>35</v>
      </c>
      <c r="H34" s="3" t="s">
        <v>70</v>
      </c>
      <c r="I34" s="3">
        <v>15</v>
      </c>
      <c r="J34" s="3">
        <v>8</v>
      </c>
      <c r="K34" s="3">
        <v>1</v>
      </c>
      <c r="L34" s="3" t="s">
        <v>10</v>
      </c>
      <c r="M34" s="3" t="s">
        <v>293</v>
      </c>
      <c r="N34" s="3" t="s">
        <v>4</v>
      </c>
      <c r="O34" s="4">
        <v>46265</v>
      </c>
    </row>
    <row r="35" spans="1:15">
      <c r="A35" s="3">
        <v>32</v>
      </c>
      <c r="B35" s="3" t="s">
        <v>446</v>
      </c>
      <c r="C35" s="4">
        <v>46256</v>
      </c>
      <c r="D35" s="3" t="s">
        <v>86</v>
      </c>
      <c r="E35" s="5" t="s">
        <v>77</v>
      </c>
      <c r="F35" s="5" t="s">
        <v>27</v>
      </c>
      <c r="G35" s="3" t="s">
        <v>80</v>
      </c>
      <c r="H35" s="3" t="s">
        <v>78</v>
      </c>
      <c r="I35" s="3">
        <v>38</v>
      </c>
      <c r="J35" s="3">
        <v>7</v>
      </c>
      <c r="K35" s="3">
        <v>6</v>
      </c>
      <c r="L35" s="3" t="s">
        <v>10</v>
      </c>
      <c r="M35" s="3" t="s">
        <v>293</v>
      </c>
      <c r="N35" s="3" t="s">
        <v>16</v>
      </c>
      <c r="O35" s="4">
        <v>46283</v>
      </c>
    </row>
    <row r="36" spans="1:15">
      <c r="A36" s="3">
        <v>33</v>
      </c>
      <c r="B36" s="3" t="s">
        <v>447</v>
      </c>
      <c r="C36" s="4">
        <v>46258</v>
      </c>
      <c r="D36" s="3" t="s">
        <v>86</v>
      </c>
      <c r="E36" s="5" t="s">
        <v>95</v>
      </c>
      <c r="F36" s="5" t="s">
        <v>46</v>
      </c>
      <c r="G36" s="3" t="s">
        <v>77</v>
      </c>
      <c r="H36" s="3" t="s">
        <v>7</v>
      </c>
      <c r="I36" s="3">
        <v>50</v>
      </c>
      <c r="J36" s="3">
        <v>3</v>
      </c>
      <c r="K36" s="3">
        <v>5</v>
      </c>
      <c r="L36" s="3" t="s">
        <v>96</v>
      </c>
      <c r="M36" s="3" t="s">
        <v>254</v>
      </c>
      <c r="N36" s="3" t="s">
        <v>61</v>
      </c>
      <c r="O36" s="4">
        <v>46299</v>
      </c>
    </row>
    <row r="37" spans="1:15">
      <c r="A37" s="3">
        <v>34</v>
      </c>
      <c r="B37" s="3" t="s">
        <v>448</v>
      </c>
      <c r="C37" s="4">
        <v>46282</v>
      </c>
      <c r="D37" s="3" t="s">
        <v>102</v>
      </c>
      <c r="E37" s="5" t="s">
        <v>6</v>
      </c>
      <c r="F37" s="5" t="s">
        <v>5</v>
      </c>
      <c r="G37" s="3" t="s">
        <v>14</v>
      </c>
      <c r="H37" s="3" t="s">
        <v>68</v>
      </c>
      <c r="I37" s="3">
        <v>27</v>
      </c>
      <c r="J37" s="3">
        <v>8</v>
      </c>
      <c r="K37" s="3">
        <v>3</v>
      </c>
      <c r="L37" s="3" t="s">
        <v>42</v>
      </c>
      <c r="M37" s="3" t="s">
        <v>293</v>
      </c>
      <c r="N37" s="3" t="s">
        <v>38</v>
      </c>
      <c r="O37" s="4">
        <v>46288</v>
      </c>
    </row>
    <row r="38" spans="1:15">
      <c r="A38" s="3">
        <v>35</v>
      </c>
      <c r="B38" s="3" t="s">
        <v>449</v>
      </c>
      <c r="C38" s="4">
        <v>46297</v>
      </c>
      <c r="D38" s="3" t="s">
        <v>106</v>
      </c>
      <c r="E38" s="5" t="s">
        <v>40</v>
      </c>
      <c r="F38" s="5" t="s">
        <v>13</v>
      </c>
      <c r="G38" s="3" t="s">
        <v>95</v>
      </c>
      <c r="H38" s="3" t="s">
        <v>28</v>
      </c>
      <c r="I38" s="3">
        <v>44</v>
      </c>
      <c r="J38" s="3">
        <v>3</v>
      </c>
      <c r="K38" s="3">
        <v>2</v>
      </c>
      <c r="L38" s="3" t="s">
        <v>96</v>
      </c>
      <c r="M38" s="3" t="s">
        <v>293</v>
      </c>
      <c r="N38" s="3" t="s">
        <v>57</v>
      </c>
      <c r="O38" s="4">
        <v>46322</v>
      </c>
    </row>
    <row r="39" spans="1:15">
      <c r="A39" s="3">
        <v>36</v>
      </c>
      <c r="B39" s="3" t="s">
        <v>450</v>
      </c>
      <c r="C39" s="4">
        <v>46310</v>
      </c>
      <c r="D39" s="3" t="s">
        <v>106</v>
      </c>
      <c r="E39" s="5" t="s">
        <v>40</v>
      </c>
      <c r="F39" s="5" t="s">
        <v>89</v>
      </c>
      <c r="G39" s="3" t="s">
        <v>51</v>
      </c>
      <c r="H39" s="3" t="s">
        <v>15</v>
      </c>
      <c r="I39" s="3">
        <v>42</v>
      </c>
      <c r="J39" s="3">
        <v>6</v>
      </c>
      <c r="K39" s="3">
        <v>6</v>
      </c>
      <c r="L39" s="3" t="s">
        <v>24</v>
      </c>
      <c r="M39" s="3" t="s">
        <v>293</v>
      </c>
      <c r="N39" s="3" t="s">
        <v>16</v>
      </c>
      <c r="O39" s="4">
        <v>46352</v>
      </c>
    </row>
    <row r="40" spans="1:15">
      <c r="A40" s="3">
        <v>37</v>
      </c>
      <c r="B40" s="3" t="s">
        <v>451</v>
      </c>
      <c r="C40" s="4">
        <v>46302</v>
      </c>
      <c r="D40" s="3" t="s">
        <v>106</v>
      </c>
      <c r="E40" s="5" t="s">
        <v>14</v>
      </c>
      <c r="F40" s="5" t="s">
        <v>46</v>
      </c>
      <c r="G40" s="3" t="s">
        <v>35</v>
      </c>
      <c r="H40" s="3" t="s">
        <v>22</v>
      </c>
      <c r="I40" s="3">
        <v>44</v>
      </c>
      <c r="J40" s="3">
        <v>4</v>
      </c>
      <c r="K40" s="3">
        <v>6</v>
      </c>
      <c r="L40" s="3" t="s">
        <v>42</v>
      </c>
      <c r="M40" s="3" t="s">
        <v>293</v>
      </c>
      <c r="N40" s="3" t="s">
        <v>12</v>
      </c>
      <c r="O40" s="4">
        <v>46346</v>
      </c>
    </row>
    <row r="41" spans="1:15">
      <c r="A41" s="3">
        <v>38</v>
      </c>
      <c r="B41" s="3" t="s">
        <v>452</v>
      </c>
      <c r="C41" s="4">
        <v>46323</v>
      </c>
      <c r="D41" s="3" t="s">
        <v>106</v>
      </c>
      <c r="E41" s="5" t="s">
        <v>77</v>
      </c>
      <c r="F41" s="5" t="s">
        <v>50</v>
      </c>
      <c r="G41" s="3" t="s">
        <v>14</v>
      </c>
      <c r="H41" s="3" t="s">
        <v>22</v>
      </c>
      <c r="I41" s="3">
        <v>35</v>
      </c>
      <c r="J41" s="3">
        <v>3</v>
      </c>
      <c r="K41" s="3">
        <v>0</v>
      </c>
      <c r="L41" s="3" t="s">
        <v>24</v>
      </c>
      <c r="M41" s="3" t="s">
        <v>297</v>
      </c>
      <c r="N41" s="3" t="s">
        <v>12</v>
      </c>
      <c r="O41" s="4">
        <v>46337</v>
      </c>
    </row>
    <row r="42" spans="1:15">
      <c r="A42" s="3">
        <v>39</v>
      </c>
      <c r="B42" s="3" t="s">
        <v>453</v>
      </c>
      <c r="C42" s="4">
        <v>46352</v>
      </c>
      <c r="D42" s="3" t="s">
        <v>111</v>
      </c>
      <c r="E42" s="5" t="s">
        <v>82</v>
      </c>
      <c r="F42" s="5" t="s">
        <v>13</v>
      </c>
      <c r="G42" s="3" t="s">
        <v>35</v>
      </c>
      <c r="H42" s="3" t="s">
        <v>22</v>
      </c>
      <c r="I42" s="3">
        <v>45</v>
      </c>
      <c r="J42" s="3">
        <v>6</v>
      </c>
      <c r="K42" s="3">
        <v>1</v>
      </c>
      <c r="L42" s="3" t="s">
        <v>42</v>
      </c>
      <c r="M42" s="3" t="s">
        <v>293</v>
      </c>
      <c r="N42" s="3" t="s">
        <v>61</v>
      </c>
      <c r="O42" s="4">
        <v>46392</v>
      </c>
    </row>
    <row r="43" spans="1:15">
      <c r="A43" s="3">
        <v>40</v>
      </c>
      <c r="B43" s="3" t="s">
        <v>454</v>
      </c>
      <c r="C43" s="4">
        <v>46333</v>
      </c>
      <c r="D43" s="3" t="s">
        <v>111</v>
      </c>
      <c r="E43" s="5" t="s">
        <v>80</v>
      </c>
      <c r="F43" s="5" t="s">
        <v>46</v>
      </c>
      <c r="G43" s="3" t="s">
        <v>21</v>
      </c>
      <c r="H43" s="3" t="s">
        <v>68</v>
      </c>
      <c r="I43" s="3">
        <v>29</v>
      </c>
      <c r="J43" s="3">
        <v>6</v>
      </c>
      <c r="K43" s="3">
        <v>6</v>
      </c>
      <c r="L43" s="3" t="s">
        <v>42</v>
      </c>
      <c r="M43" s="3" t="s">
        <v>293</v>
      </c>
      <c r="N43" s="3" t="s">
        <v>26</v>
      </c>
      <c r="O43" s="4">
        <v>46357</v>
      </c>
    </row>
    <row r="44" spans="1:15">
      <c r="A44" s="3">
        <v>41</v>
      </c>
      <c r="B44" s="3" t="s">
        <v>455</v>
      </c>
      <c r="C44" s="4">
        <v>46342</v>
      </c>
      <c r="D44" s="3" t="s">
        <v>111</v>
      </c>
      <c r="E44" s="5" t="s">
        <v>77</v>
      </c>
      <c r="F44" s="5" t="s">
        <v>89</v>
      </c>
      <c r="G44" s="3" t="s">
        <v>40</v>
      </c>
      <c r="H44" s="3" t="s">
        <v>36</v>
      </c>
      <c r="I44" s="3">
        <v>49</v>
      </c>
      <c r="J44" s="3">
        <v>1</v>
      </c>
      <c r="K44" s="3">
        <v>8</v>
      </c>
      <c r="L44" s="3" t="s">
        <v>17</v>
      </c>
      <c r="M44" s="3" t="s">
        <v>238</v>
      </c>
      <c r="N44" s="3" t="s">
        <v>91</v>
      </c>
      <c r="O44" s="4">
        <v>46386</v>
      </c>
    </row>
    <row r="45" spans="1:15">
      <c r="A45" s="3">
        <v>42</v>
      </c>
      <c r="B45" s="3" t="s">
        <v>456</v>
      </c>
      <c r="C45" s="4">
        <v>46337</v>
      </c>
      <c r="D45" s="3" t="s">
        <v>111</v>
      </c>
      <c r="E45" s="5" t="s">
        <v>14</v>
      </c>
      <c r="F45" s="5" t="s">
        <v>5</v>
      </c>
      <c r="G45" s="3" t="s">
        <v>21</v>
      </c>
      <c r="H45" s="3" t="s">
        <v>68</v>
      </c>
      <c r="I45" s="3">
        <v>29</v>
      </c>
      <c r="J45" s="3">
        <v>2</v>
      </c>
      <c r="K45" s="3">
        <v>8</v>
      </c>
      <c r="L45" s="3" t="s">
        <v>42</v>
      </c>
      <c r="M45" s="3" t="s">
        <v>293</v>
      </c>
      <c r="N45" s="3" t="s">
        <v>26</v>
      </c>
      <c r="O45" s="4">
        <v>46343</v>
      </c>
    </row>
    <row r="46" spans="1:15">
      <c r="A46" s="3">
        <v>43</v>
      </c>
      <c r="B46" s="3" t="s">
        <v>457</v>
      </c>
      <c r="C46" s="4">
        <v>46354</v>
      </c>
      <c r="D46" s="3" t="s">
        <v>111</v>
      </c>
      <c r="E46" s="5" t="s">
        <v>87</v>
      </c>
      <c r="F46" s="5" t="s">
        <v>39</v>
      </c>
      <c r="G46" s="3" t="s">
        <v>82</v>
      </c>
      <c r="H46" s="3" t="s">
        <v>66</v>
      </c>
      <c r="I46" s="3">
        <v>36</v>
      </c>
      <c r="J46" s="3">
        <v>8</v>
      </c>
      <c r="K46" s="3">
        <v>8</v>
      </c>
      <c r="L46" s="3" t="s">
        <v>42</v>
      </c>
      <c r="M46" s="3" t="s">
        <v>254</v>
      </c>
      <c r="N46" s="3" t="s">
        <v>54</v>
      </c>
      <c r="O46" s="4">
        <v>46365</v>
      </c>
    </row>
    <row r="47" spans="1:15">
      <c r="A47" s="3">
        <v>44</v>
      </c>
      <c r="B47" s="3" t="s">
        <v>458</v>
      </c>
      <c r="C47" s="4">
        <v>46362</v>
      </c>
      <c r="D47" s="3" t="s">
        <v>122</v>
      </c>
      <c r="E47" s="5" t="s">
        <v>51</v>
      </c>
      <c r="F47" s="5" t="s">
        <v>5</v>
      </c>
      <c r="G47" s="3" t="s">
        <v>31</v>
      </c>
      <c r="H47" s="3" t="s">
        <v>32</v>
      </c>
      <c r="I47" s="3">
        <v>30</v>
      </c>
      <c r="J47" s="3">
        <v>7</v>
      </c>
      <c r="K47" s="3">
        <v>0</v>
      </c>
      <c r="L47" s="3" t="s">
        <v>96</v>
      </c>
      <c r="M47" s="3" t="s">
        <v>293</v>
      </c>
      <c r="N47" s="3" t="s">
        <v>20</v>
      </c>
      <c r="O47" s="4">
        <v>46367</v>
      </c>
    </row>
    <row r="48" spans="1:15">
      <c r="A48" s="3">
        <v>45</v>
      </c>
      <c r="B48" s="3" t="s">
        <v>459</v>
      </c>
      <c r="C48" s="4">
        <v>46376</v>
      </c>
      <c r="D48" s="3" t="s">
        <v>122</v>
      </c>
      <c r="E48" s="5" t="s">
        <v>80</v>
      </c>
      <c r="F48" s="5" t="s">
        <v>27</v>
      </c>
      <c r="G48" s="3" t="s">
        <v>51</v>
      </c>
      <c r="H48" s="3" t="s">
        <v>7</v>
      </c>
      <c r="I48" s="3">
        <v>48</v>
      </c>
      <c r="J48" s="3">
        <v>7</v>
      </c>
      <c r="K48" s="3">
        <v>6</v>
      </c>
      <c r="L48" s="3" t="s">
        <v>10</v>
      </c>
      <c r="M48" s="3" t="s">
        <v>254</v>
      </c>
      <c r="N48" s="3" t="s">
        <v>54</v>
      </c>
      <c r="O48" s="4">
        <v>46402</v>
      </c>
    </row>
    <row r="49" spans="1:15">
      <c r="A49" s="3">
        <v>46</v>
      </c>
      <c r="B49" s="3" t="s">
        <v>460</v>
      </c>
      <c r="C49" s="4">
        <v>46365</v>
      </c>
      <c r="D49" s="3" t="s">
        <v>122</v>
      </c>
      <c r="E49" s="5" t="s">
        <v>21</v>
      </c>
      <c r="F49" s="5" t="s">
        <v>58</v>
      </c>
      <c r="G49" s="3" t="s">
        <v>95</v>
      </c>
      <c r="H49" s="3" t="s">
        <v>62</v>
      </c>
      <c r="I49" s="3">
        <v>31</v>
      </c>
      <c r="J49" s="3">
        <v>5</v>
      </c>
      <c r="K49" s="3">
        <v>2</v>
      </c>
      <c r="L49" s="3" t="s">
        <v>42</v>
      </c>
      <c r="M49" s="3" t="s">
        <v>293</v>
      </c>
      <c r="N49" s="3" t="s">
        <v>64</v>
      </c>
      <c r="O49" s="4">
        <v>46391</v>
      </c>
    </row>
    <row r="50" spans="1:15">
      <c r="A50" s="3">
        <v>47</v>
      </c>
      <c r="B50" s="3" t="s">
        <v>461</v>
      </c>
      <c r="C50" s="4">
        <v>46361</v>
      </c>
      <c r="D50" s="3" t="s">
        <v>122</v>
      </c>
      <c r="E50" s="5" t="s">
        <v>14</v>
      </c>
      <c r="F50" s="5" t="s">
        <v>65</v>
      </c>
      <c r="G50" s="3" t="s">
        <v>77</v>
      </c>
      <c r="H50" s="3" t="s">
        <v>104</v>
      </c>
      <c r="I50" s="3">
        <v>50</v>
      </c>
      <c r="J50" s="3">
        <v>1</v>
      </c>
      <c r="K50" s="3">
        <v>1</v>
      </c>
      <c r="L50" s="3" t="s">
        <v>17</v>
      </c>
      <c r="M50" s="3" t="s">
        <v>254</v>
      </c>
      <c r="N50" s="3" t="s">
        <v>38</v>
      </c>
      <c r="O50" s="4">
        <v>46390</v>
      </c>
    </row>
    <row r="51" spans="1:15">
      <c r="A51" s="3">
        <v>48</v>
      </c>
      <c r="B51" s="3" t="s">
        <v>462</v>
      </c>
      <c r="C51" s="4">
        <v>46360</v>
      </c>
      <c r="D51" s="3" t="s">
        <v>122</v>
      </c>
      <c r="E51" s="5" t="s">
        <v>6</v>
      </c>
      <c r="F51" s="5" t="s">
        <v>50</v>
      </c>
      <c r="G51" s="3" t="s">
        <v>80</v>
      </c>
      <c r="H51" s="3" t="s">
        <v>36</v>
      </c>
      <c r="I51" s="3">
        <v>37</v>
      </c>
      <c r="J51" s="3">
        <v>5</v>
      </c>
      <c r="K51" s="3">
        <v>8</v>
      </c>
      <c r="L51" s="3" t="s">
        <v>17</v>
      </c>
      <c r="M51" s="3" t="s">
        <v>254</v>
      </c>
      <c r="N51" s="3" t="s">
        <v>61</v>
      </c>
      <c r="O51" s="4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1.7109375" customWidth="1"/>
    <col min="9" max="9" width="23.7109375" customWidth="1"/>
    <col min="10" max="10" width="18.7109375" customWidth="1"/>
    <col min="11" max="11" width="19.7109375" customWidth="1"/>
    <col min="12" max="12" width="16.7109375" customWidth="1"/>
    <col min="13" max="13" width="9.7109375" customWidth="1"/>
    <col min="14" max="14" width="19.7109375" customWidth="1"/>
    <col min="15" max="15" width="10.7109375" customWidth="1"/>
  </cols>
  <sheetData>
    <row r="1" spans="1:17" ht="22" customHeight="1">
      <c r="A1" s="1" t="s">
        <v>463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125</v>
      </c>
      <c r="C3" t="s">
        <v>126</v>
      </c>
      <c r="D3" t="s">
        <v>127</v>
      </c>
      <c r="E3" t="s">
        <v>407</v>
      </c>
      <c r="F3" t="s">
        <v>129</v>
      </c>
      <c r="G3" t="s">
        <v>130</v>
      </c>
      <c r="H3" t="s">
        <v>408</v>
      </c>
      <c r="I3" t="s">
        <v>409</v>
      </c>
      <c r="J3" t="s">
        <v>410</v>
      </c>
      <c r="K3" t="s">
        <v>411</v>
      </c>
      <c r="L3" t="s">
        <v>412</v>
      </c>
      <c r="M3" t="s">
        <v>287</v>
      </c>
      <c r="N3" t="s">
        <v>413</v>
      </c>
      <c r="O3" t="s">
        <v>357</v>
      </c>
    </row>
    <row r="4" spans="1:17">
      <c r="A4" s="3">
        <v>1</v>
      </c>
      <c r="B4" s="3" t="s">
        <v>464</v>
      </c>
      <c r="C4" s="4">
        <v>46024</v>
      </c>
      <c r="D4" s="3" t="s">
        <v>3</v>
      </c>
      <c r="E4" s="5" t="s">
        <v>21</v>
      </c>
      <c r="F4" s="5" t="s">
        <v>89</v>
      </c>
      <c r="G4" s="3" t="s">
        <v>80</v>
      </c>
      <c r="H4" s="3" t="s">
        <v>78</v>
      </c>
      <c r="I4" s="3">
        <v>48</v>
      </c>
      <c r="J4" s="3">
        <v>4</v>
      </c>
      <c r="K4" s="3">
        <v>2</v>
      </c>
      <c r="L4" s="3" t="s">
        <v>10</v>
      </c>
      <c r="M4" s="3" t="s">
        <v>297</v>
      </c>
      <c r="N4" s="3" t="s">
        <v>57</v>
      </c>
      <c r="O4" s="4">
        <v>46031</v>
      </c>
    </row>
    <row r="5" spans="1:17">
      <c r="A5" s="3">
        <v>2</v>
      </c>
      <c r="B5" s="3" t="s">
        <v>465</v>
      </c>
      <c r="C5" s="4">
        <v>46026</v>
      </c>
      <c r="D5" s="3" t="s">
        <v>3</v>
      </c>
      <c r="E5" s="5" t="s">
        <v>95</v>
      </c>
      <c r="F5" s="5" t="s">
        <v>46</v>
      </c>
      <c r="G5" s="3" t="s">
        <v>51</v>
      </c>
      <c r="H5" s="3" t="s">
        <v>70</v>
      </c>
      <c r="I5" s="3">
        <v>44</v>
      </c>
      <c r="J5" s="3">
        <v>2</v>
      </c>
      <c r="K5" s="3">
        <v>2</v>
      </c>
      <c r="L5" s="3" t="s">
        <v>17</v>
      </c>
      <c r="M5" s="3" t="s">
        <v>254</v>
      </c>
      <c r="N5" s="3" t="s">
        <v>26</v>
      </c>
      <c r="O5" s="4">
        <v>46068</v>
      </c>
    </row>
    <row r="6" spans="1:17">
      <c r="A6" s="3">
        <v>3</v>
      </c>
      <c r="B6" s="3" t="s">
        <v>466</v>
      </c>
      <c r="C6" s="4">
        <v>46045</v>
      </c>
      <c r="D6" s="3" t="s">
        <v>3</v>
      </c>
      <c r="E6" s="5" t="s">
        <v>40</v>
      </c>
      <c r="F6" s="5" t="s">
        <v>39</v>
      </c>
      <c r="G6" s="3" t="s">
        <v>80</v>
      </c>
      <c r="H6" s="3" t="s">
        <v>32</v>
      </c>
      <c r="I6" s="3">
        <v>32</v>
      </c>
      <c r="J6" s="3">
        <v>0</v>
      </c>
      <c r="K6" s="3">
        <v>8</v>
      </c>
      <c r="L6" s="3" t="s">
        <v>10</v>
      </c>
      <c r="M6" s="3" t="s">
        <v>293</v>
      </c>
      <c r="N6" s="3" t="s">
        <v>61</v>
      </c>
      <c r="O6" s="4">
        <v>46071</v>
      </c>
    </row>
    <row r="7" spans="1:17">
      <c r="A7" s="3">
        <v>4</v>
      </c>
      <c r="B7" s="3" t="s">
        <v>467</v>
      </c>
      <c r="C7" s="4">
        <v>46037</v>
      </c>
      <c r="D7" s="3" t="s">
        <v>3</v>
      </c>
      <c r="E7" s="5" t="s">
        <v>82</v>
      </c>
      <c r="F7" s="5" t="s">
        <v>92</v>
      </c>
      <c r="G7" s="3" t="s">
        <v>31</v>
      </c>
      <c r="H7" s="3" t="s">
        <v>104</v>
      </c>
      <c r="I7" s="3">
        <v>34</v>
      </c>
      <c r="J7" s="3">
        <v>3</v>
      </c>
      <c r="K7" s="3">
        <v>6</v>
      </c>
      <c r="L7" s="3" t="s">
        <v>24</v>
      </c>
      <c r="M7" s="3" t="s">
        <v>293</v>
      </c>
      <c r="N7" s="3" t="s">
        <v>16</v>
      </c>
      <c r="O7" s="4">
        <v>46071</v>
      </c>
    </row>
    <row r="8" spans="1:17">
      <c r="A8" s="3">
        <v>5</v>
      </c>
      <c r="B8" s="3" t="s">
        <v>468</v>
      </c>
      <c r="C8" s="4">
        <v>46023</v>
      </c>
      <c r="D8" s="3" t="s">
        <v>3</v>
      </c>
      <c r="E8" s="5" t="s">
        <v>80</v>
      </c>
      <c r="F8" s="5" t="s">
        <v>5</v>
      </c>
      <c r="G8" s="3" t="s">
        <v>40</v>
      </c>
      <c r="H8" s="3" t="s">
        <v>41</v>
      </c>
      <c r="I8" s="3">
        <v>50</v>
      </c>
      <c r="J8" s="3">
        <v>6</v>
      </c>
      <c r="K8" s="3">
        <v>5</v>
      </c>
      <c r="L8" s="3" t="s">
        <v>24</v>
      </c>
      <c r="M8" s="3" t="s">
        <v>293</v>
      </c>
      <c r="N8" s="3" t="s">
        <v>64</v>
      </c>
      <c r="O8" s="4">
        <v>46053</v>
      </c>
    </row>
    <row r="9" spans="1:17">
      <c r="A9" s="3">
        <v>6</v>
      </c>
      <c r="B9" s="3" t="s">
        <v>469</v>
      </c>
      <c r="C9" s="4">
        <v>46055</v>
      </c>
      <c r="D9" s="3" t="s">
        <v>19</v>
      </c>
      <c r="E9" s="5" t="s">
        <v>31</v>
      </c>
      <c r="F9" s="5" t="s">
        <v>58</v>
      </c>
      <c r="G9" s="3" t="s">
        <v>77</v>
      </c>
      <c r="H9" s="3" t="s">
        <v>15</v>
      </c>
      <c r="I9" s="3">
        <v>19</v>
      </c>
      <c r="J9" s="3">
        <v>7</v>
      </c>
      <c r="K9" s="3">
        <v>0</v>
      </c>
      <c r="L9" s="3" t="s">
        <v>42</v>
      </c>
      <c r="M9" s="3" t="s">
        <v>293</v>
      </c>
      <c r="N9" s="3" t="s">
        <v>26</v>
      </c>
      <c r="O9" s="4">
        <v>46082</v>
      </c>
    </row>
    <row r="10" spans="1:17">
      <c r="A10" s="3">
        <v>7</v>
      </c>
      <c r="B10" s="3" t="s">
        <v>470</v>
      </c>
      <c r="C10" s="4">
        <v>46073</v>
      </c>
      <c r="D10" s="3" t="s">
        <v>19</v>
      </c>
      <c r="E10" s="5" t="s">
        <v>77</v>
      </c>
      <c r="F10" s="5" t="s">
        <v>46</v>
      </c>
      <c r="G10" s="3" t="s">
        <v>77</v>
      </c>
      <c r="H10" s="3" t="s">
        <v>7</v>
      </c>
      <c r="I10" s="3">
        <v>15</v>
      </c>
      <c r="J10" s="3">
        <v>5</v>
      </c>
      <c r="K10" s="3">
        <v>2</v>
      </c>
      <c r="L10" s="3" t="s">
        <v>17</v>
      </c>
      <c r="M10" s="3" t="s">
        <v>293</v>
      </c>
      <c r="N10" s="3" t="s">
        <v>91</v>
      </c>
      <c r="O10" s="4">
        <v>46107</v>
      </c>
    </row>
    <row r="11" spans="1:17">
      <c r="A11" s="3">
        <v>8</v>
      </c>
      <c r="B11" s="3" t="s">
        <v>471</v>
      </c>
      <c r="C11" s="4">
        <v>46072</v>
      </c>
      <c r="D11" s="3" t="s">
        <v>19</v>
      </c>
      <c r="E11" s="5" t="s">
        <v>51</v>
      </c>
      <c r="F11" s="5" t="s">
        <v>5</v>
      </c>
      <c r="G11" s="3" t="s">
        <v>82</v>
      </c>
      <c r="H11" s="3" t="s">
        <v>68</v>
      </c>
      <c r="I11" s="3">
        <v>31</v>
      </c>
      <c r="J11" s="3">
        <v>8</v>
      </c>
      <c r="K11" s="3">
        <v>1</v>
      </c>
      <c r="L11" s="3" t="s">
        <v>42</v>
      </c>
      <c r="M11" s="3" t="s">
        <v>293</v>
      </c>
      <c r="N11" s="3" t="s">
        <v>20</v>
      </c>
      <c r="O11" s="4">
        <v>46097</v>
      </c>
    </row>
    <row r="12" spans="1:17">
      <c r="A12" s="3">
        <v>9</v>
      </c>
      <c r="B12" s="3" t="s">
        <v>472</v>
      </c>
      <c r="C12" s="4">
        <v>46084</v>
      </c>
      <c r="D12" s="3" t="s">
        <v>44</v>
      </c>
      <c r="E12" s="5" t="s">
        <v>95</v>
      </c>
      <c r="F12" s="5" t="s">
        <v>50</v>
      </c>
      <c r="G12" s="3" t="s">
        <v>77</v>
      </c>
      <c r="H12" s="3" t="s">
        <v>36</v>
      </c>
      <c r="I12" s="3">
        <v>31</v>
      </c>
      <c r="J12" s="3">
        <v>6</v>
      </c>
      <c r="K12" s="3">
        <v>1</v>
      </c>
      <c r="L12" s="3" t="s">
        <v>42</v>
      </c>
      <c r="M12" s="3" t="s">
        <v>293</v>
      </c>
      <c r="N12" s="3" t="s">
        <v>4</v>
      </c>
      <c r="O12" s="4">
        <v>46128</v>
      </c>
    </row>
    <row r="13" spans="1:17">
      <c r="A13" s="3">
        <v>10</v>
      </c>
      <c r="B13" s="3" t="s">
        <v>473</v>
      </c>
      <c r="C13" s="4">
        <v>46103</v>
      </c>
      <c r="D13" s="3" t="s">
        <v>44</v>
      </c>
      <c r="E13" s="5" t="s">
        <v>80</v>
      </c>
      <c r="F13" s="5" t="s">
        <v>27</v>
      </c>
      <c r="G13" s="3" t="s">
        <v>40</v>
      </c>
      <c r="H13" s="3" t="s">
        <v>62</v>
      </c>
      <c r="I13" s="3">
        <v>46</v>
      </c>
      <c r="J13" s="3">
        <v>0</v>
      </c>
      <c r="K13" s="3">
        <v>1</v>
      </c>
      <c r="L13" s="3" t="s">
        <v>10</v>
      </c>
      <c r="M13" s="3" t="s">
        <v>293</v>
      </c>
      <c r="N13" s="3" t="s">
        <v>45</v>
      </c>
      <c r="O13" s="4">
        <v>46129</v>
      </c>
    </row>
    <row r="14" spans="1:17">
      <c r="A14" s="3">
        <v>11</v>
      </c>
      <c r="B14" s="3" t="s">
        <v>474</v>
      </c>
      <c r="C14" s="4">
        <v>46114</v>
      </c>
      <c r="D14" s="3" t="s">
        <v>53</v>
      </c>
      <c r="E14" s="5" t="s">
        <v>87</v>
      </c>
      <c r="F14" s="5" t="s">
        <v>46</v>
      </c>
      <c r="G14" s="3" t="s">
        <v>35</v>
      </c>
      <c r="H14" s="3" t="s">
        <v>68</v>
      </c>
      <c r="I14" s="3">
        <v>15</v>
      </c>
      <c r="J14" s="3">
        <v>1</v>
      </c>
      <c r="K14" s="3">
        <v>5</v>
      </c>
      <c r="L14" s="3" t="s">
        <v>42</v>
      </c>
      <c r="M14" s="3" t="s">
        <v>293</v>
      </c>
      <c r="N14" s="3" t="s">
        <v>26</v>
      </c>
      <c r="O14" s="4">
        <v>46125</v>
      </c>
    </row>
    <row r="15" spans="1:17">
      <c r="A15" s="3">
        <v>12</v>
      </c>
      <c r="B15" s="3" t="s">
        <v>475</v>
      </c>
      <c r="C15" s="4">
        <v>46117</v>
      </c>
      <c r="D15" s="3" t="s">
        <v>53</v>
      </c>
      <c r="E15" s="5" t="s">
        <v>35</v>
      </c>
      <c r="F15" s="5" t="s">
        <v>92</v>
      </c>
      <c r="G15" s="3" t="s">
        <v>87</v>
      </c>
      <c r="H15" s="3" t="s">
        <v>28</v>
      </c>
      <c r="I15" s="3">
        <v>44</v>
      </c>
      <c r="J15" s="3">
        <v>2</v>
      </c>
      <c r="K15" s="3">
        <v>5</v>
      </c>
      <c r="L15" s="3" t="s">
        <v>96</v>
      </c>
      <c r="M15" s="3" t="s">
        <v>293</v>
      </c>
      <c r="N15" s="3" t="s">
        <v>12</v>
      </c>
      <c r="O15" s="4">
        <v>46124</v>
      </c>
    </row>
    <row r="16" spans="1:17">
      <c r="A16" s="3">
        <v>13</v>
      </c>
      <c r="B16" s="3" t="s">
        <v>476</v>
      </c>
      <c r="C16" s="4">
        <v>46140</v>
      </c>
      <c r="D16" s="3" t="s">
        <v>53</v>
      </c>
      <c r="E16" s="5" t="s">
        <v>82</v>
      </c>
      <c r="F16" s="5" t="s">
        <v>50</v>
      </c>
      <c r="G16" s="3" t="s">
        <v>80</v>
      </c>
      <c r="H16" s="3" t="s">
        <v>22</v>
      </c>
      <c r="I16" s="3">
        <v>38</v>
      </c>
      <c r="J16" s="3">
        <v>4</v>
      </c>
      <c r="K16" s="3">
        <v>6</v>
      </c>
      <c r="L16" s="3" t="s">
        <v>42</v>
      </c>
      <c r="M16" s="3" t="s">
        <v>254</v>
      </c>
      <c r="N16" s="3" t="s">
        <v>20</v>
      </c>
      <c r="O16" s="4">
        <v>46166</v>
      </c>
    </row>
    <row r="17" spans="1:15">
      <c r="A17" s="3">
        <v>14</v>
      </c>
      <c r="B17" s="3" t="s">
        <v>477</v>
      </c>
      <c r="C17" s="4">
        <v>46133</v>
      </c>
      <c r="D17" s="3" t="s">
        <v>53</v>
      </c>
      <c r="E17" s="5" t="s">
        <v>14</v>
      </c>
      <c r="F17" s="5" t="s">
        <v>50</v>
      </c>
      <c r="G17" s="3" t="s">
        <v>21</v>
      </c>
      <c r="H17" s="3" t="s">
        <v>93</v>
      </c>
      <c r="I17" s="3">
        <v>40</v>
      </c>
      <c r="J17" s="3">
        <v>5</v>
      </c>
      <c r="K17" s="3">
        <v>3</v>
      </c>
      <c r="L17" s="3" t="s">
        <v>24</v>
      </c>
      <c r="M17" s="3" t="s">
        <v>293</v>
      </c>
      <c r="N17" s="3" t="s">
        <v>20</v>
      </c>
      <c r="O17" s="4">
        <v>46146</v>
      </c>
    </row>
    <row r="18" spans="1:15">
      <c r="A18" s="3">
        <v>15</v>
      </c>
      <c r="B18" s="3" t="s">
        <v>478</v>
      </c>
      <c r="C18" s="4">
        <v>46128</v>
      </c>
      <c r="D18" s="3" t="s">
        <v>53</v>
      </c>
      <c r="E18" s="5" t="s">
        <v>6</v>
      </c>
      <c r="F18" s="5" t="s">
        <v>50</v>
      </c>
      <c r="G18" s="3" t="s">
        <v>31</v>
      </c>
      <c r="H18" s="3" t="s">
        <v>22</v>
      </c>
      <c r="I18" s="3">
        <v>49</v>
      </c>
      <c r="J18" s="3">
        <v>3</v>
      </c>
      <c r="K18" s="3">
        <v>4</v>
      </c>
      <c r="L18" s="3" t="s">
        <v>42</v>
      </c>
      <c r="M18" s="3" t="s">
        <v>297</v>
      </c>
      <c r="N18" s="3" t="s">
        <v>12</v>
      </c>
      <c r="O18" s="4">
        <v>46156</v>
      </c>
    </row>
    <row r="19" spans="1:15">
      <c r="A19" s="3">
        <v>16</v>
      </c>
      <c r="B19" s="3" t="s">
        <v>479</v>
      </c>
      <c r="C19" s="4">
        <v>46130</v>
      </c>
      <c r="D19" s="3" t="s">
        <v>53</v>
      </c>
      <c r="E19" s="5" t="s">
        <v>95</v>
      </c>
      <c r="F19" s="5" t="s">
        <v>92</v>
      </c>
      <c r="G19" s="3" t="s">
        <v>14</v>
      </c>
      <c r="H19" s="3" t="s">
        <v>78</v>
      </c>
      <c r="I19" s="3">
        <v>30</v>
      </c>
      <c r="J19" s="3">
        <v>4</v>
      </c>
      <c r="K19" s="3">
        <v>7</v>
      </c>
      <c r="L19" s="3" t="s">
        <v>96</v>
      </c>
      <c r="M19" s="3" t="s">
        <v>254</v>
      </c>
      <c r="N19" s="3" t="s">
        <v>20</v>
      </c>
      <c r="O19" s="4">
        <v>46159</v>
      </c>
    </row>
    <row r="20" spans="1:15">
      <c r="A20" s="3">
        <v>17</v>
      </c>
      <c r="B20" s="3" t="s">
        <v>480</v>
      </c>
      <c r="C20" s="4">
        <v>46166</v>
      </c>
      <c r="D20" s="3" t="s">
        <v>60</v>
      </c>
      <c r="E20" s="5" t="s">
        <v>6</v>
      </c>
      <c r="F20" s="5" t="s">
        <v>89</v>
      </c>
      <c r="G20" s="3" t="s">
        <v>77</v>
      </c>
      <c r="H20" s="3" t="s">
        <v>41</v>
      </c>
      <c r="I20" s="3">
        <v>40</v>
      </c>
      <c r="J20" s="3">
        <v>4</v>
      </c>
      <c r="K20" s="3">
        <v>1</v>
      </c>
      <c r="L20" s="3" t="s">
        <v>10</v>
      </c>
      <c r="M20" s="3" t="s">
        <v>293</v>
      </c>
      <c r="N20" s="3" t="s">
        <v>57</v>
      </c>
      <c r="O20" s="4">
        <v>46173</v>
      </c>
    </row>
    <row r="21" spans="1:15">
      <c r="A21" s="3">
        <v>18</v>
      </c>
      <c r="B21" s="3" t="s">
        <v>481</v>
      </c>
      <c r="C21" s="4">
        <v>46162</v>
      </c>
      <c r="D21" s="3" t="s">
        <v>60</v>
      </c>
      <c r="E21" s="5" t="s">
        <v>6</v>
      </c>
      <c r="F21" s="5" t="s">
        <v>92</v>
      </c>
      <c r="G21" s="3" t="s">
        <v>6</v>
      </c>
      <c r="H21" s="3" t="s">
        <v>36</v>
      </c>
      <c r="I21" s="3">
        <v>46</v>
      </c>
      <c r="J21" s="3">
        <v>8</v>
      </c>
      <c r="K21" s="3">
        <v>5</v>
      </c>
      <c r="L21" s="3" t="s">
        <v>17</v>
      </c>
      <c r="M21" s="3" t="s">
        <v>254</v>
      </c>
      <c r="N21" s="3" t="s">
        <v>30</v>
      </c>
      <c r="O21" s="4">
        <v>46175</v>
      </c>
    </row>
    <row r="22" spans="1:15">
      <c r="A22" s="3">
        <v>19</v>
      </c>
      <c r="B22" s="3" t="s">
        <v>482</v>
      </c>
      <c r="C22" s="4">
        <v>46144</v>
      </c>
      <c r="D22" s="3" t="s">
        <v>60</v>
      </c>
      <c r="E22" s="5" t="s">
        <v>51</v>
      </c>
      <c r="F22" s="5" t="s">
        <v>5</v>
      </c>
      <c r="G22" s="3" t="s">
        <v>80</v>
      </c>
      <c r="H22" s="3" t="s">
        <v>36</v>
      </c>
      <c r="I22" s="3">
        <v>33</v>
      </c>
      <c r="J22" s="3">
        <v>8</v>
      </c>
      <c r="K22" s="3">
        <v>6</v>
      </c>
      <c r="L22" s="3" t="s">
        <v>10</v>
      </c>
      <c r="M22" s="3" t="s">
        <v>293</v>
      </c>
      <c r="N22" s="3" t="s">
        <v>45</v>
      </c>
      <c r="O22" s="4">
        <v>46186</v>
      </c>
    </row>
    <row r="23" spans="1:15">
      <c r="A23" s="3">
        <v>20</v>
      </c>
      <c r="B23" s="3" t="s">
        <v>483</v>
      </c>
      <c r="C23" s="4">
        <v>46153</v>
      </c>
      <c r="D23" s="3" t="s">
        <v>60</v>
      </c>
      <c r="E23" s="5" t="s">
        <v>87</v>
      </c>
      <c r="F23" s="5" t="s">
        <v>89</v>
      </c>
      <c r="G23" s="3" t="s">
        <v>95</v>
      </c>
      <c r="H23" s="3" t="s">
        <v>41</v>
      </c>
      <c r="I23" s="3">
        <v>34</v>
      </c>
      <c r="J23" s="3">
        <v>4</v>
      </c>
      <c r="K23" s="3">
        <v>1</v>
      </c>
      <c r="L23" s="3" t="s">
        <v>42</v>
      </c>
      <c r="M23" s="3" t="s">
        <v>293</v>
      </c>
      <c r="N23" s="3" t="s">
        <v>45</v>
      </c>
      <c r="O23" s="4">
        <v>46188</v>
      </c>
    </row>
    <row r="24" spans="1:15">
      <c r="A24" s="3">
        <v>21</v>
      </c>
      <c r="B24" s="3" t="s">
        <v>484</v>
      </c>
      <c r="C24" s="4">
        <v>46186</v>
      </c>
      <c r="D24" s="3" t="s">
        <v>73</v>
      </c>
      <c r="E24" s="5" t="s">
        <v>21</v>
      </c>
      <c r="F24" s="5" t="s">
        <v>39</v>
      </c>
      <c r="G24" s="3" t="s">
        <v>35</v>
      </c>
      <c r="H24" s="3" t="s">
        <v>7</v>
      </c>
      <c r="I24" s="3">
        <v>18</v>
      </c>
      <c r="J24" s="3">
        <v>1</v>
      </c>
      <c r="K24" s="3">
        <v>1</v>
      </c>
      <c r="L24" s="3" t="s">
        <v>10</v>
      </c>
      <c r="M24" s="3" t="s">
        <v>293</v>
      </c>
      <c r="N24" s="3" t="s">
        <v>54</v>
      </c>
      <c r="O24" s="4">
        <v>46211</v>
      </c>
    </row>
    <row r="25" spans="1:15">
      <c r="A25" s="3">
        <v>22</v>
      </c>
      <c r="B25" s="3" t="s">
        <v>485</v>
      </c>
      <c r="C25" s="4">
        <v>46182</v>
      </c>
      <c r="D25" s="3" t="s">
        <v>73</v>
      </c>
      <c r="E25" s="5" t="s">
        <v>14</v>
      </c>
      <c r="F25" s="5" t="s">
        <v>13</v>
      </c>
      <c r="G25" s="3" t="s">
        <v>31</v>
      </c>
      <c r="H25" s="3" t="s">
        <v>22</v>
      </c>
      <c r="I25" s="3">
        <v>47</v>
      </c>
      <c r="J25" s="3">
        <v>6</v>
      </c>
      <c r="K25" s="3">
        <v>4</v>
      </c>
      <c r="L25" s="3" t="s">
        <v>42</v>
      </c>
      <c r="M25" s="3" t="s">
        <v>293</v>
      </c>
      <c r="N25" s="3" t="s">
        <v>64</v>
      </c>
      <c r="O25" s="4">
        <v>46222</v>
      </c>
    </row>
    <row r="26" spans="1:15">
      <c r="A26" s="3">
        <v>23</v>
      </c>
      <c r="B26" s="3" t="s">
        <v>486</v>
      </c>
      <c r="C26" s="4">
        <v>46178</v>
      </c>
      <c r="D26" s="3" t="s">
        <v>73</v>
      </c>
      <c r="E26" s="5" t="s">
        <v>35</v>
      </c>
      <c r="F26" s="5" t="s">
        <v>50</v>
      </c>
      <c r="G26" s="3" t="s">
        <v>6</v>
      </c>
      <c r="H26" s="3" t="s">
        <v>70</v>
      </c>
      <c r="I26" s="3">
        <v>47</v>
      </c>
      <c r="J26" s="3">
        <v>8</v>
      </c>
      <c r="K26" s="3">
        <v>1</v>
      </c>
      <c r="L26" s="3" t="s">
        <v>42</v>
      </c>
      <c r="M26" s="3" t="s">
        <v>293</v>
      </c>
      <c r="N26" s="3" t="s">
        <v>16</v>
      </c>
      <c r="O26" s="4">
        <v>46200</v>
      </c>
    </row>
    <row r="27" spans="1:15">
      <c r="A27" s="3">
        <v>24</v>
      </c>
      <c r="B27" s="3" t="s">
        <v>487</v>
      </c>
      <c r="C27" s="4">
        <v>46198</v>
      </c>
      <c r="D27" s="3" t="s">
        <v>73</v>
      </c>
      <c r="E27" s="5" t="s">
        <v>80</v>
      </c>
      <c r="F27" s="5" t="s">
        <v>92</v>
      </c>
      <c r="G27" s="3" t="s">
        <v>35</v>
      </c>
      <c r="H27" s="3" t="s">
        <v>66</v>
      </c>
      <c r="I27" s="3">
        <v>30</v>
      </c>
      <c r="J27" s="3">
        <v>0</v>
      </c>
      <c r="K27" s="3">
        <v>2</v>
      </c>
      <c r="L27" s="3" t="s">
        <v>17</v>
      </c>
      <c r="M27" s="3" t="s">
        <v>293</v>
      </c>
      <c r="N27" s="3" t="s">
        <v>20</v>
      </c>
      <c r="O27" s="4">
        <v>46203</v>
      </c>
    </row>
    <row r="28" spans="1:15">
      <c r="A28" s="3">
        <v>25</v>
      </c>
      <c r="B28" s="3" t="s">
        <v>488</v>
      </c>
      <c r="C28" s="4">
        <v>46218</v>
      </c>
      <c r="D28" s="3" t="s">
        <v>76</v>
      </c>
      <c r="E28" s="5" t="s">
        <v>31</v>
      </c>
      <c r="F28" s="5" t="s">
        <v>50</v>
      </c>
      <c r="G28" s="3" t="s">
        <v>87</v>
      </c>
      <c r="H28" s="3" t="s">
        <v>41</v>
      </c>
      <c r="I28" s="3">
        <v>24</v>
      </c>
      <c r="J28" s="3">
        <v>6</v>
      </c>
      <c r="K28" s="3">
        <v>5</v>
      </c>
      <c r="L28" s="3" t="s">
        <v>10</v>
      </c>
      <c r="M28" s="3" t="s">
        <v>254</v>
      </c>
      <c r="N28" s="3" t="s">
        <v>91</v>
      </c>
      <c r="O28" s="4">
        <v>46237</v>
      </c>
    </row>
    <row r="29" spans="1:15">
      <c r="A29" s="3">
        <v>26</v>
      </c>
      <c r="B29" s="3" t="s">
        <v>489</v>
      </c>
      <c r="C29" s="4">
        <v>46205</v>
      </c>
      <c r="D29" s="3" t="s">
        <v>76</v>
      </c>
      <c r="E29" s="5" t="s">
        <v>80</v>
      </c>
      <c r="F29" s="5" t="s">
        <v>89</v>
      </c>
      <c r="G29" s="3" t="s">
        <v>14</v>
      </c>
      <c r="H29" s="3" t="s">
        <v>78</v>
      </c>
      <c r="I29" s="3">
        <v>17</v>
      </c>
      <c r="J29" s="3">
        <v>2</v>
      </c>
      <c r="K29" s="3">
        <v>3</v>
      </c>
      <c r="L29" s="3" t="s">
        <v>96</v>
      </c>
      <c r="M29" s="3" t="s">
        <v>297</v>
      </c>
      <c r="N29" s="3" t="s">
        <v>38</v>
      </c>
      <c r="O29" s="4">
        <v>46248</v>
      </c>
    </row>
    <row r="30" spans="1:15">
      <c r="A30" s="3">
        <v>27</v>
      </c>
      <c r="B30" s="3" t="s">
        <v>490</v>
      </c>
      <c r="C30" s="4">
        <v>46231</v>
      </c>
      <c r="D30" s="3" t="s">
        <v>76</v>
      </c>
      <c r="E30" s="5" t="s">
        <v>82</v>
      </c>
      <c r="F30" s="5" t="s">
        <v>92</v>
      </c>
      <c r="G30" s="3" t="s">
        <v>77</v>
      </c>
      <c r="H30" s="3" t="s">
        <v>28</v>
      </c>
      <c r="I30" s="3">
        <v>49</v>
      </c>
      <c r="J30" s="3">
        <v>5</v>
      </c>
      <c r="K30" s="3">
        <v>7</v>
      </c>
      <c r="L30" s="3" t="s">
        <v>10</v>
      </c>
      <c r="M30" s="3" t="s">
        <v>297</v>
      </c>
      <c r="N30" s="3" t="s">
        <v>57</v>
      </c>
      <c r="O30" s="4">
        <v>46246</v>
      </c>
    </row>
    <row r="31" spans="1:15">
      <c r="A31" s="3">
        <v>28</v>
      </c>
      <c r="B31" s="3" t="s">
        <v>491</v>
      </c>
      <c r="C31" s="4">
        <v>46207</v>
      </c>
      <c r="D31" s="3" t="s">
        <v>76</v>
      </c>
      <c r="E31" s="5" t="s">
        <v>21</v>
      </c>
      <c r="F31" s="5" t="s">
        <v>50</v>
      </c>
      <c r="G31" s="3" t="s">
        <v>95</v>
      </c>
      <c r="H31" s="3" t="s">
        <v>41</v>
      </c>
      <c r="I31" s="3">
        <v>48</v>
      </c>
      <c r="J31" s="3">
        <v>6</v>
      </c>
      <c r="K31" s="3">
        <v>6</v>
      </c>
      <c r="L31" s="3" t="s">
        <v>17</v>
      </c>
      <c r="M31" s="3" t="s">
        <v>254</v>
      </c>
      <c r="N31" s="3" t="s">
        <v>38</v>
      </c>
      <c r="O31" s="4">
        <v>46232</v>
      </c>
    </row>
    <row r="32" spans="1:15">
      <c r="A32" s="3">
        <v>29</v>
      </c>
      <c r="B32" s="3" t="s">
        <v>492</v>
      </c>
      <c r="C32" s="4">
        <v>46212</v>
      </c>
      <c r="D32" s="3" t="s">
        <v>76</v>
      </c>
      <c r="E32" s="5" t="s">
        <v>51</v>
      </c>
      <c r="F32" s="5" t="s">
        <v>50</v>
      </c>
      <c r="G32" s="3" t="s">
        <v>6</v>
      </c>
      <c r="H32" s="3" t="s">
        <v>68</v>
      </c>
      <c r="I32" s="3">
        <v>29</v>
      </c>
      <c r="J32" s="3">
        <v>1</v>
      </c>
      <c r="K32" s="3">
        <v>8</v>
      </c>
      <c r="L32" s="3" t="s">
        <v>17</v>
      </c>
      <c r="M32" s="3" t="s">
        <v>293</v>
      </c>
      <c r="N32" s="3" t="s">
        <v>38</v>
      </c>
      <c r="O32" s="4">
        <v>46223</v>
      </c>
    </row>
    <row r="33" spans="1:15">
      <c r="A33" s="3">
        <v>30</v>
      </c>
      <c r="B33" s="3" t="s">
        <v>493</v>
      </c>
      <c r="C33" s="4">
        <v>46222</v>
      </c>
      <c r="D33" s="3" t="s">
        <v>76</v>
      </c>
      <c r="E33" s="5" t="s">
        <v>82</v>
      </c>
      <c r="F33" s="5" t="s">
        <v>27</v>
      </c>
      <c r="G33" s="3" t="s">
        <v>87</v>
      </c>
      <c r="H33" s="3" t="s">
        <v>28</v>
      </c>
      <c r="I33" s="3">
        <v>32</v>
      </c>
      <c r="J33" s="3">
        <v>8</v>
      </c>
      <c r="K33" s="3">
        <v>1</v>
      </c>
      <c r="L33" s="3" t="s">
        <v>24</v>
      </c>
      <c r="M33" s="3" t="s">
        <v>293</v>
      </c>
      <c r="N33" s="3" t="s">
        <v>12</v>
      </c>
      <c r="O33" s="4">
        <v>46232</v>
      </c>
    </row>
    <row r="34" spans="1:15">
      <c r="A34" s="3">
        <v>31</v>
      </c>
      <c r="B34" s="3" t="s">
        <v>494</v>
      </c>
      <c r="C34" s="4">
        <v>46236</v>
      </c>
      <c r="D34" s="3" t="s">
        <v>86</v>
      </c>
      <c r="E34" s="5" t="s">
        <v>82</v>
      </c>
      <c r="F34" s="5" t="s">
        <v>13</v>
      </c>
      <c r="G34" s="3" t="s">
        <v>80</v>
      </c>
      <c r="H34" s="3" t="s">
        <v>22</v>
      </c>
      <c r="I34" s="3">
        <v>16</v>
      </c>
      <c r="J34" s="3">
        <v>8</v>
      </c>
      <c r="K34" s="3">
        <v>3</v>
      </c>
      <c r="L34" s="3" t="s">
        <v>24</v>
      </c>
      <c r="M34" s="3" t="s">
        <v>297</v>
      </c>
      <c r="N34" s="3" t="s">
        <v>57</v>
      </c>
      <c r="O34" s="4">
        <v>46255</v>
      </c>
    </row>
    <row r="35" spans="1:15">
      <c r="A35" s="3">
        <v>32</v>
      </c>
      <c r="B35" s="3" t="s">
        <v>495</v>
      </c>
      <c r="C35" s="4">
        <v>46247</v>
      </c>
      <c r="D35" s="3" t="s">
        <v>86</v>
      </c>
      <c r="E35" s="5" t="s">
        <v>77</v>
      </c>
      <c r="F35" s="5" t="s">
        <v>65</v>
      </c>
      <c r="G35" s="3" t="s">
        <v>31</v>
      </c>
      <c r="H35" s="3" t="s">
        <v>66</v>
      </c>
      <c r="I35" s="3">
        <v>34</v>
      </c>
      <c r="J35" s="3">
        <v>7</v>
      </c>
      <c r="K35" s="3">
        <v>7</v>
      </c>
      <c r="L35" s="3" t="s">
        <v>10</v>
      </c>
      <c r="M35" s="3" t="s">
        <v>293</v>
      </c>
      <c r="N35" s="3" t="s">
        <v>4</v>
      </c>
      <c r="O35" s="4">
        <v>46276</v>
      </c>
    </row>
    <row r="36" spans="1:15">
      <c r="A36" s="3">
        <v>33</v>
      </c>
      <c r="B36" s="3" t="s">
        <v>496</v>
      </c>
      <c r="C36" s="4">
        <v>46245</v>
      </c>
      <c r="D36" s="3" t="s">
        <v>86</v>
      </c>
      <c r="E36" s="5" t="s">
        <v>95</v>
      </c>
      <c r="F36" s="5" t="s">
        <v>92</v>
      </c>
      <c r="G36" s="3" t="s">
        <v>95</v>
      </c>
      <c r="H36" s="3" t="s">
        <v>62</v>
      </c>
      <c r="I36" s="3">
        <v>16</v>
      </c>
      <c r="J36" s="3">
        <v>8</v>
      </c>
      <c r="K36" s="3">
        <v>5</v>
      </c>
      <c r="L36" s="3" t="s">
        <v>96</v>
      </c>
      <c r="M36" s="3" t="s">
        <v>254</v>
      </c>
      <c r="N36" s="3" t="s">
        <v>61</v>
      </c>
      <c r="O36" s="4">
        <v>46253</v>
      </c>
    </row>
    <row r="37" spans="1:15">
      <c r="A37" s="3">
        <v>34</v>
      </c>
      <c r="B37" s="3" t="s">
        <v>497</v>
      </c>
      <c r="C37" s="4">
        <v>46262</v>
      </c>
      <c r="D37" s="3" t="s">
        <v>86</v>
      </c>
      <c r="E37" s="5" t="s">
        <v>14</v>
      </c>
      <c r="F37" s="5" t="s">
        <v>13</v>
      </c>
      <c r="G37" s="3" t="s">
        <v>51</v>
      </c>
      <c r="H37" s="3" t="s">
        <v>15</v>
      </c>
      <c r="I37" s="3">
        <v>31</v>
      </c>
      <c r="J37" s="3">
        <v>8</v>
      </c>
      <c r="K37" s="3">
        <v>6</v>
      </c>
      <c r="L37" s="3" t="s">
        <v>17</v>
      </c>
      <c r="M37" s="3" t="s">
        <v>293</v>
      </c>
      <c r="N37" s="3" t="s">
        <v>30</v>
      </c>
      <c r="O37" s="4">
        <v>46292</v>
      </c>
    </row>
    <row r="38" spans="1:15">
      <c r="A38" s="3">
        <v>35</v>
      </c>
      <c r="B38" s="3" t="s">
        <v>498</v>
      </c>
      <c r="C38" s="4">
        <v>46238</v>
      </c>
      <c r="D38" s="3" t="s">
        <v>86</v>
      </c>
      <c r="E38" s="5" t="s">
        <v>35</v>
      </c>
      <c r="F38" s="5" t="s">
        <v>13</v>
      </c>
      <c r="G38" s="3" t="s">
        <v>40</v>
      </c>
      <c r="H38" s="3" t="s">
        <v>62</v>
      </c>
      <c r="I38" s="3">
        <v>31</v>
      </c>
      <c r="J38" s="3">
        <v>1</v>
      </c>
      <c r="K38" s="3">
        <v>6</v>
      </c>
      <c r="L38" s="3" t="s">
        <v>24</v>
      </c>
      <c r="M38" s="3" t="s">
        <v>238</v>
      </c>
      <c r="N38" s="3" t="s">
        <v>12</v>
      </c>
      <c r="O38" s="4">
        <v>46281</v>
      </c>
    </row>
    <row r="39" spans="1:15">
      <c r="A39" s="3">
        <v>36</v>
      </c>
      <c r="B39" s="3" t="s">
        <v>499</v>
      </c>
      <c r="C39" s="4">
        <v>46274</v>
      </c>
      <c r="D39" s="3" t="s">
        <v>102</v>
      </c>
      <c r="E39" s="5" t="s">
        <v>14</v>
      </c>
      <c r="F39" s="5" t="s">
        <v>58</v>
      </c>
      <c r="G39" s="3" t="s">
        <v>21</v>
      </c>
      <c r="H39" s="3" t="s">
        <v>66</v>
      </c>
      <c r="I39" s="3">
        <v>17</v>
      </c>
      <c r="J39" s="3">
        <v>4</v>
      </c>
      <c r="K39" s="3">
        <v>0</v>
      </c>
      <c r="L39" s="3" t="s">
        <v>17</v>
      </c>
      <c r="M39" s="3" t="s">
        <v>254</v>
      </c>
      <c r="N39" s="3" t="s">
        <v>61</v>
      </c>
      <c r="O39" s="4">
        <v>46283</v>
      </c>
    </row>
    <row r="40" spans="1:15">
      <c r="A40" s="3">
        <v>37</v>
      </c>
      <c r="B40" s="3" t="s">
        <v>500</v>
      </c>
      <c r="C40" s="4">
        <v>46266</v>
      </c>
      <c r="D40" s="3" t="s">
        <v>102</v>
      </c>
      <c r="E40" s="5" t="s">
        <v>21</v>
      </c>
      <c r="F40" s="5" t="s">
        <v>5</v>
      </c>
      <c r="G40" s="3" t="s">
        <v>82</v>
      </c>
      <c r="H40" s="3" t="s">
        <v>41</v>
      </c>
      <c r="I40" s="3">
        <v>17</v>
      </c>
      <c r="J40" s="3">
        <v>1</v>
      </c>
      <c r="K40" s="3">
        <v>1</v>
      </c>
      <c r="L40" s="3" t="s">
        <v>24</v>
      </c>
      <c r="M40" s="3" t="s">
        <v>254</v>
      </c>
      <c r="N40" s="3" t="s">
        <v>12</v>
      </c>
      <c r="O40" s="4">
        <v>46280</v>
      </c>
    </row>
    <row r="41" spans="1:15">
      <c r="A41" s="3">
        <v>38</v>
      </c>
      <c r="B41" s="3" t="s">
        <v>501</v>
      </c>
      <c r="C41" s="4">
        <v>46276</v>
      </c>
      <c r="D41" s="3" t="s">
        <v>102</v>
      </c>
      <c r="E41" s="5" t="s">
        <v>14</v>
      </c>
      <c r="F41" s="5" t="s">
        <v>89</v>
      </c>
      <c r="G41" s="3" t="s">
        <v>31</v>
      </c>
      <c r="H41" s="3" t="s">
        <v>93</v>
      </c>
      <c r="I41" s="3">
        <v>47</v>
      </c>
      <c r="J41" s="3">
        <v>3</v>
      </c>
      <c r="K41" s="3">
        <v>2</v>
      </c>
      <c r="L41" s="3" t="s">
        <v>42</v>
      </c>
      <c r="M41" s="3" t="s">
        <v>297</v>
      </c>
      <c r="N41" s="3" t="s">
        <v>61</v>
      </c>
      <c r="O41" s="4">
        <v>46294</v>
      </c>
    </row>
    <row r="42" spans="1:15">
      <c r="A42" s="3">
        <v>39</v>
      </c>
      <c r="B42" s="3" t="s">
        <v>502</v>
      </c>
      <c r="C42" s="4">
        <v>46305</v>
      </c>
      <c r="D42" s="3" t="s">
        <v>106</v>
      </c>
      <c r="E42" s="5" t="s">
        <v>87</v>
      </c>
      <c r="F42" s="5" t="s">
        <v>58</v>
      </c>
      <c r="G42" s="3" t="s">
        <v>80</v>
      </c>
      <c r="H42" s="3" t="s">
        <v>41</v>
      </c>
      <c r="I42" s="3">
        <v>24</v>
      </c>
      <c r="J42" s="3">
        <v>3</v>
      </c>
      <c r="K42" s="3">
        <v>1</v>
      </c>
      <c r="L42" s="3" t="s">
        <v>42</v>
      </c>
      <c r="M42" s="3" t="s">
        <v>293</v>
      </c>
      <c r="N42" s="3" t="s">
        <v>61</v>
      </c>
      <c r="O42" s="4">
        <v>46311</v>
      </c>
    </row>
    <row r="43" spans="1:15">
      <c r="A43" s="3">
        <v>40</v>
      </c>
      <c r="B43" s="3" t="s">
        <v>503</v>
      </c>
      <c r="C43" s="4">
        <v>46297</v>
      </c>
      <c r="D43" s="3" t="s">
        <v>106</v>
      </c>
      <c r="E43" s="5" t="s">
        <v>6</v>
      </c>
      <c r="F43" s="5" t="s">
        <v>27</v>
      </c>
      <c r="G43" s="3" t="s">
        <v>82</v>
      </c>
      <c r="H43" s="3" t="s">
        <v>7</v>
      </c>
      <c r="I43" s="3">
        <v>28</v>
      </c>
      <c r="J43" s="3">
        <v>4</v>
      </c>
      <c r="K43" s="3">
        <v>5</v>
      </c>
      <c r="L43" s="3" t="s">
        <v>17</v>
      </c>
      <c r="M43" s="3" t="s">
        <v>293</v>
      </c>
      <c r="N43" s="3" t="s">
        <v>12</v>
      </c>
      <c r="O43" s="4">
        <v>46311</v>
      </c>
    </row>
    <row r="44" spans="1:15">
      <c r="A44" s="3">
        <v>41</v>
      </c>
      <c r="B44" s="3" t="s">
        <v>504</v>
      </c>
      <c r="C44" s="4">
        <v>46310</v>
      </c>
      <c r="D44" s="3" t="s">
        <v>106</v>
      </c>
      <c r="E44" s="5" t="s">
        <v>87</v>
      </c>
      <c r="F44" s="5" t="s">
        <v>5</v>
      </c>
      <c r="G44" s="3" t="s">
        <v>51</v>
      </c>
      <c r="H44" s="3" t="s">
        <v>28</v>
      </c>
      <c r="I44" s="3">
        <v>43</v>
      </c>
      <c r="J44" s="3">
        <v>3</v>
      </c>
      <c r="K44" s="3">
        <v>4</v>
      </c>
      <c r="L44" s="3" t="s">
        <v>17</v>
      </c>
      <c r="M44" s="3" t="s">
        <v>254</v>
      </c>
      <c r="N44" s="3" t="s">
        <v>12</v>
      </c>
      <c r="O44" s="4">
        <v>46322</v>
      </c>
    </row>
    <row r="45" spans="1:15">
      <c r="A45" s="3">
        <v>42</v>
      </c>
      <c r="B45" s="3" t="s">
        <v>505</v>
      </c>
      <c r="C45" s="4">
        <v>46345</v>
      </c>
      <c r="D45" s="3" t="s">
        <v>111</v>
      </c>
      <c r="E45" s="5" t="s">
        <v>14</v>
      </c>
      <c r="F45" s="5" t="s">
        <v>65</v>
      </c>
      <c r="G45" s="3" t="s">
        <v>77</v>
      </c>
      <c r="H45" s="3" t="s">
        <v>22</v>
      </c>
      <c r="I45" s="3">
        <v>21</v>
      </c>
      <c r="J45" s="3">
        <v>0</v>
      </c>
      <c r="K45" s="3">
        <v>7</v>
      </c>
      <c r="L45" s="3" t="s">
        <v>10</v>
      </c>
      <c r="M45" s="3" t="s">
        <v>293</v>
      </c>
      <c r="N45" s="3" t="s">
        <v>57</v>
      </c>
      <c r="O45" s="4">
        <v>46380</v>
      </c>
    </row>
    <row r="46" spans="1:15">
      <c r="A46" s="3">
        <v>43</v>
      </c>
      <c r="B46" s="3" t="s">
        <v>506</v>
      </c>
      <c r="C46" s="4">
        <v>46333</v>
      </c>
      <c r="D46" s="3" t="s">
        <v>111</v>
      </c>
      <c r="E46" s="5" t="s">
        <v>87</v>
      </c>
      <c r="F46" s="5" t="s">
        <v>50</v>
      </c>
      <c r="G46" s="3" t="s">
        <v>40</v>
      </c>
      <c r="H46" s="3" t="s">
        <v>22</v>
      </c>
      <c r="I46" s="3">
        <v>40</v>
      </c>
      <c r="J46" s="3">
        <v>1</v>
      </c>
      <c r="K46" s="3">
        <v>3</v>
      </c>
      <c r="L46" s="3" t="s">
        <v>42</v>
      </c>
      <c r="M46" s="3" t="s">
        <v>297</v>
      </c>
      <c r="N46" s="3" t="s">
        <v>61</v>
      </c>
      <c r="O46" s="4">
        <v>46362</v>
      </c>
    </row>
    <row r="47" spans="1:15">
      <c r="A47" s="3">
        <v>44</v>
      </c>
      <c r="B47" s="3" t="s">
        <v>507</v>
      </c>
      <c r="C47" s="4">
        <v>46338</v>
      </c>
      <c r="D47" s="3" t="s">
        <v>111</v>
      </c>
      <c r="E47" s="5" t="s">
        <v>21</v>
      </c>
      <c r="F47" s="5" t="s">
        <v>50</v>
      </c>
      <c r="G47" s="3" t="s">
        <v>21</v>
      </c>
      <c r="H47" s="3" t="s">
        <v>32</v>
      </c>
      <c r="I47" s="3">
        <v>46</v>
      </c>
      <c r="J47" s="3">
        <v>5</v>
      </c>
      <c r="K47" s="3">
        <v>1</v>
      </c>
      <c r="L47" s="3" t="s">
        <v>96</v>
      </c>
      <c r="M47" s="3" t="s">
        <v>293</v>
      </c>
      <c r="N47" s="3" t="s">
        <v>16</v>
      </c>
      <c r="O47" s="4">
        <v>46361</v>
      </c>
    </row>
    <row r="48" spans="1:15">
      <c r="A48" s="3">
        <v>45</v>
      </c>
      <c r="B48" s="3" t="s">
        <v>508</v>
      </c>
      <c r="C48" s="4">
        <v>46351</v>
      </c>
      <c r="D48" s="3" t="s">
        <v>111</v>
      </c>
      <c r="E48" s="5" t="s">
        <v>87</v>
      </c>
      <c r="F48" s="5" t="s">
        <v>65</v>
      </c>
      <c r="G48" s="3" t="s">
        <v>31</v>
      </c>
      <c r="H48" s="3" t="s">
        <v>41</v>
      </c>
      <c r="I48" s="3">
        <v>32</v>
      </c>
      <c r="J48" s="3">
        <v>5</v>
      </c>
      <c r="K48" s="3">
        <v>8</v>
      </c>
      <c r="L48" s="3" t="s">
        <v>24</v>
      </c>
      <c r="M48" s="3" t="s">
        <v>293</v>
      </c>
      <c r="N48" s="3" t="s">
        <v>91</v>
      </c>
      <c r="O48" s="4">
        <v>46374</v>
      </c>
    </row>
    <row r="49" spans="1:15">
      <c r="A49" s="3">
        <v>46</v>
      </c>
      <c r="B49" s="3" t="s">
        <v>509</v>
      </c>
      <c r="C49" s="4">
        <v>46378</v>
      </c>
      <c r="D49" s="3" t="s">
        <v>122</v>
      </c>
      <c r="E49" s="5" t="s">
        <v>95</v>
      </c>
      <c r="F49" s="5" t="s">
        <v>46</v>
      </c>
      <c r="G49" s="3" t="s">
        <v>77</v>
      </c>
      <c r="H49" s="3" t="s">
        <v>104</v>
      </c>
      <c r="I49" s="3">
        <v>18</v>
      </c>
      <c r="J49" s="3">
        <v>5</v>
      </c>
      <c r="K49" s="3">
        <v>1</v>
      </c>
      <c r="L49" s="3" t="s">
        <v>96</v>
      </c>
      <c r="M49" s="3" t="s">
        <v>254</v>
      </c>
      <c r="N49" s="3" t="s">
        <v>64</v>
      </c>
      <c r="O49" s="4">
        <v>46390</v>
      </c>
    </row>
    <row r="50" spans="1:15">
      <c r="A50" s="3">
        <v>47</v>
      </c>
      <c r="B50" s="3" t="s">
        <v>510</v>
      </c>
      <c r="C50" s="4">
        <v>46375</v>
      </c>
      <c r="D50" s="3" t="s">
        <v>122</v>
      </c>
      <c r="E50" s="5" t="s">
        <v>21</v>
      </c>
      <c r="F50" s="5" t="s">
        <v>58</v>
      </c>
      <c r="G50" s="3" t="s">
        <v>14</v>
      </c>
      <c r="H50" s="3" t="s">
        <v>41</v>
      </c>
      <c r="I50" s="3">
        <v>39</v>
      </c>
      <c r="J50" s="3">
        <v>5</v>
      </c>
      <c r="K50" s="3">
        <v>4</v>
      </c>
      <c r="L50" s="3" t="s">
        <v>96</v>
      </c>
      <c r="M50" s="3" t="s">
        <v>293</v>
      </c>
      <c r="N50" s="3" t="s">
        <v>91</v>
      </c>
      <c r="O50" s="4">
        <v>46403</v>
      </c>
    </row>
    <row r="51" spans="1:15">
      <c r="A51" s="3">
        <v>48</v>
      </c>
      <c r="B51" s="3" t="s">
        <v>511</v>
      </c>
      <c r="C51" s="4">
        <v>46374</v>
      </c>
      <c r="D51" s="3" t="s">
        <v>122</v>
      </c>
      <c r="E51" s="5" t="s">
        <v>87</v>
      </c>
      <c r="F51" s="5" t="s">
        <v>27</v>
      </c>
      <c r="G51" s="3" t="s">
        <v>40</v>
      </c>
      <c r="H51" s="3" t="s">
        <v>36</v>
      </c>
      <c r="I51" s="3">
        <v>22</v>
      </c>
      <c r="J51" s="3">
        <v>7</v>
      </c>
      <c r="K51" s="3">
        <v>3</v>
      </c>
      <c r="L51" s="3" t="s">
        <v>17</v>
      </c>
      <c r="M51" s="3" t="s">
        <v>293</v>
      </c>
      <c r="N51" s="3" t="s">
        <v>57</v>
      </c>
      <c r="O51" s="4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1.7109375" customWidth="1"/>
    <col min="6" max="6" width="14.7109375" customWidth="1"/>
    <col min="7" max="8" width="12.7109375" customWidth="1"/>
    <col min="9" max="9" width="9.7109375" customWidth="1"/>
    <col min="10" max="10" width="10.7109375" customWidth="1"/>
    <col min="11" max="11" width="14.7109375" customWidth="1"/>
    <col min="12" max="12" width="16.7109375" customWidth="1"/>
    <col min="13" max="13" width="21.7109375" customWidth="1"/>
    <col min="14" max="14" width="16.7109375" customWidth="1"/>
    <col min="15" max="15" width="13.7109375" customWidth="1"/>
    <col min="16" max="16" width="16.7109375" customWidth="1"/>
  </cols>
  <sheetData>
    <row r="1" spans="1:18" ht="22" customHeight="1">
      <c r="A1" s="1" t="s">
        <v>512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565</v>
      </c>
      <c r="C3" t="s">
        <v>126</v>
      </c>
      <c r="D3" t="s">
        <v>127</v>
      </c>
      <c r="E3" t="s">
        <v>566</v>
      </c>
      <c r="F3" t="s">
        <v>567</v>
      </c>
      <c r="G3" t="s">
        <v>129</v>
      </c>
      <c r="H3" t="s">
        <v>568</v>
      </c>
      <c r="I3" t="s">
        <v>569</v>
      </c>
      <c r="J3" t="s">
        <v>570</v>
      </c>
      <c r="K3" t="s">
        <v>134</v>
      </c>
      <c r="L3" t="s">
        <v>135</v>
      </c>
      <c r="M3" t="s">
        <v>571</v>
      </c>
      <c r="N3" t="s">
        <v>572</v>
      </c>
      <c r="O3" t="s">
        <v>573</v>
      </c>
      <c r="P3" t="s">
        <v>574</v>
      </c>
    </row>
    <row r="4" spans="1:18">
      <c r="A4" s="3">
        <v>1</v>
      </c>
      <c r="B4" s="3" t="s">
        <v>513</v>
      </c>
      <c r="C4" s="4">
        <v>46031</v>
      </c>
      <c r="D4" s="3" t="s">
        <v>3</v>
      </c>
      <c r="E4" s="5" t="s">
        <v>514</v>
      </c>
      <c r="F4" s="5" t="s">
        <v>26</v>
      </c>
      <c r="G4" s="3" t="s">
        <v>27</v>
      </c>
      <c r="H4" s="3" t="s">
        <v>68</v>
      </c>
      <c r="I4" s="3">
        <v>26</v>
      </c>
      <c r="J4" s="3">
        <v>42</v>
      </c>
      <c r="K4" s="6">
        <f>IFERROR(J4/I4*100,0)</f>
        <v>0</v>
      </c>
      <c r="L4" s="3">
        <v>67</v>
      </c>
      <c r="M4" s="3">
        <v>1</v>
      </c>
      <c r="N4" s="3">
        <v>2</v>
      </c>
      <c r="O4" s="6">
        <f>IFERROR(N4/M4*100,0)</f>
        <v>0</v>
      </c>
      <c r="P4" s="3" t="s">
        <v>23</v>
      </c>
    </row>
    <row r="5" spans="1:18">
      <c r="A5" s="3">
        <v>2</v>
      </c>
      <c r="B5" s="3" t="s">
        <v>515</v>
      </c>
      <c r="C5" s="4">
        <v>46042</v>
      </c>
      <c r="D5" s="3" t="s">
        <v>3</v>
      </c>
      <c r="E5" s="5" t="s">
        <v>516</v>
      </c>
      <c r="F5" s="5" t="s">
        <v>64</v>
      </c>
      <c r="G5" s="3" t="s">
        <v>89</v>
      </c>
      <c r="H5" s="3" t="s">
        <v>66</v>
      </c>
      <c r="I5" s="3">
        <v>23</v>
      </c>
      <c r="J5" s="3">
        <v>11</v>
      </c>
      <c r="K5" s="6">
        <f>IFERROR(J5/I5*100,0)</f>
        <v>0</v>
      </c>
      <c r="L5" s="3">
        <v>51</v>
      </c>
      <c r="M5" s="3">
        <v>0</v>
      </c>
      <c r="N5" s="3">
        <v>5</v>
      </c>
      <c r="O5" s="6">
        <f>IFERROR(N5/M5*100,0)</f>
        <v>0</v>
      </c>
      <c r="P5" s="3" t="s">
        <v>23</v>
      </c>
    </row>
    <row r="6" spans="1:18">
      <c r="A6" s="3">
        <v>3</v>
      </c>
      <c r="B6" s="3" t="s">
        <v>517</v>
      </c>
      <c r="C6" s="4">
        <v>46032</v>
      </c>
      <c r="D6" s="3" t="s">
        <v>3</v>
      </c>
      <c r="E6" s="5" t="s">
        <v>518</v>
      </c>
      <c r="F6" s="5" t="s">
        <v>30</v>
      </c>
      <c r="G6" s="3" t="s">
        <v>13</v>
      </c>
      <c r="H6" s="3" t="s">
        <v>70</v>
      </c>
      <c r="I6" s="3">
        <v>40</v>
      </c>
      <c r="J6" s="3">
        <v>45</v>
      </c>
      <c r="K6" s="6">
        <f>IFERROR(J6/I6*100,0)</f>
        <v>0</v>
      </c>
      <c r="L6" s="3">
        <v>48</v>
      </c>
      <c r="M6" s="3">
        <v>0</v>
      </c>
      <c r="N6" s="3">
        <v>4</v>
      </c>
      <c r="O6" s="6">
        <f>IFERROR(N6/M6*100,0)</f>
        <v>0</v>
      </c>
      <c r="P6" s="3" t="s">
        <v>9</v>
      </c>
    </row>
    <row r="7" spans="1:18">
      <c r="A7" s="3">
        <v>4</v>
      </c>
      <c r="B7" s="3" t="s">
        <v>519</v>
      </c>
      <c r="C7" s="4">
        <v>46065</v>
      </c>
      <c r="D7" s="3" t="s">
        <v>19</v>
      </c>
      <c r="E7" s="5" t="s">
        <v>516</v>
      </c>
      <c r="F7" s="5" t="s">
        <v>4</v>
      </c>
      <c r="G7" s="3" t="s">
        <v>46</v>
      </c>
      <c r="H7" s="3" t="s">
        <v>68</v>
      </c>
      <c r="I7" s="3">
        <v>43</v>
      </c>
      <c r="J7" s="3">
        <v>55</v>
      </c>
      <c r="K7" s="6">
        <f>IFERROR(J7/I7*100,0)</f>
        <v>0</v>
      </c>
      <c r="L7" s="3">
        <v>101</v>
      </c>
      <c r="M7" s="3">
        <v>0</v>
      </c>
      <c r="N7" s="3">
        <v>3</v>
      </c>
      <c r="O7" s="6">
        <f>IFERROR(N7/M7*100,0)</f>
        <v>0</v>
      </c>
      <c r="P7" s="3" t="s">
        <v>9</v>
      </c>
    </row>
    <row r="8" spans="1:18">
      <c r="A8" s="3">
        <v>5</v>
      </c>
      <c r="B8" s="3" t="s">
        <v>520</v>
      </c>
      <c r="C8" s="4">
        <v>46072</v>
      </c>
      <c r="D8" s="3" t="s">
        <v>19</v>
      </c>
      <c r="E8" s="5" t="s">
        <v>518</v>
      </c>
      <c r="F8" s="5" t="s">
        <v>49</v>
      </c>
      <c r="G8" s="3" t="s">
        <v>39</v>
      </c>
      <c r="H8" s="3" t="s">
        <v>22</v>
      </c>
      <c r="I8" s="3">
        <v>26</v>
      </c>
      <c r="J8" s="3">
        <v>60</v>
      </c>
      <c r="K8" s="6">
        <f>IFERROR(J8/I8*100,0)</f>
        <v>0</v>
      </c>
      <c r="L8" s="3">
        <v>44</v>
      </c>
      <c r="M8" s="3">
        <v>2</v>
      </c>
      <c r="N8" s="3">
        <v>8</v>
      </c>
      <c r="O8" s="6">
        <f>IFERROR(N8/M8*100,0)</f>
        <v>0</v>
      </c>
      <c r="P8" s="3" t="s">
        <v>23</v>
      </c>
    </row>
    <row r="9" spans="1:18">
      <c r="A9" s="3">
        <v>6</v>
      </c>
      <c r="B9" s="3" t="s">
        <v>521</v>
      </c>
      <c r="C9" s="4">
        <v>46060</v>
      </c>
      <c r="D9" s="3" t="s">
        <v>19</v>
      </c>
      <c r="E9" s="5" t="s">
        <v>518</v>
      </c>
      <c r="F9" s="5" t="s">
        <v>26</v>
      </c>
      <c r="G9" s="3" t="s">
        <v>92</v>
      </c>
      <c r="H9" s="3" t="s">
        <v>7</v>
      </c>
      <c r="I9" s="3">
        <v>58</v>
      </c>
      <c r="J9" s="3">
        <v>48</v>
      </c>
      <c r="K9" s="6">
        <f>IFERROR(J9/I9*100,0)</f>
        <v>0</v>
      </c>
      <c r="L9" s="3">
        <v>21</v>
      </c>
      <c r="M9" s="3">
        <v>5</v>
      </c>
      <c r="N9" s="3">
        <v>7</v>
      </c>
      <c r="O9" s="6">
        <f>IFERROR(N9/M9*100,0)</f>
        <v>0</v>
      </c>
      <c r="P9" s="3" t="s">
        <v>23</v>
      </c>
    </row>
    <row r="10" spans="1:18">
      <c r="A10" s="3">
        <v>7</v>
      </c>
      <c r="B10" s="3" t="s">
        <v>522</v>
      </c>
      <c r="C10" s="4">
        <v>46070</v>
      </c>
      <c r="D10" s="3" t="s">
        <v>19</v>
      </c>
      <c r="E10" s="5" t="s">
        <v>523</v>
      </c>
      <c r="F10" s="5" t="s">
        <v>12</v>
      </c>
      <c r="G10" s="3" t="s">
        <v>46</v>
      </c>
      <c r="H10" s="3" t="s">
        <v>93</v>
      </c>
      <c r="I10" s="3">
        <v>20</v>
      </c>
      <c r="J10" s="3">
        <v>44</v>
      </c>
      <c r="K10" s="6">
        <f>IFERROR(J10/I10*100,0)</f>
        <v>0</v>
      </c>
      <c r="L10" s="3">
        <v>107</v>
      </c>
      <c r="M10" s="3">
        <v>4</v>
      </c>
      <c r="N10" s="3">
        <v>6</v>
      </c>
      <c r="O10" s="6">
        <f>IFERROR(N10/M10*100,0)</f>
        <v>0</v>
      </c>
      <c r="P10" s="3" t="s">
        <v>9</v>
      </c>
    </row>
    <row r="11" spans="1:18">
      <c r="A11" s="3">
        <v>8</v>
      </c>
      <c r="B11" s="3" t="s">
        <v>524</v>
      </c>
      <c r="C11" s="4">
        <v>46059</v>
      </c>
      <c r="D11" s="3" t="s">
        <v>19</v>
      </c>
      <c r="E11" s="5" t="s">
        <v>523</v>
      </c>
      <c r="F11" s="5" t="s">
        <v>54</v>
      </c>
      <c r="G11" s="3" t="s">
        <v>92</v>
      </c>
      <c r="H11" s="3" t="s">
        <v>15</v>
      </c>
      <c r="I11" s="3">
        <v>59</v>
      </c>
      <c r="J11" s="3">
        <v>40</v>
      </c>
      <c r="K11" s="6">
        <f>IFERROR(J11/I11*100,0)</f>
        <v>0</v>
      </c>
      <c r="L11" s="3">
        <v>90</v>
      </c>
      <c r="M11" s="3">
        <v>2</v>
      </c>
      <c r="N11" s="3">
        <v>6</v>
      </c>
      <c r="O11" s="6">
        <f>IFERROR(N11/M11*100,0)</f>
        <v>0</v>
      </c>
      <c r="P11" s="3" t="s">
        <v>9</v>
      </c>
    </row>
    <row r="12" spans="1:18">
      <c r="A12" s="3">
        <v>9</v>
      </c>
      <c r="B12" s="3" t="s">
        <v>525</v>
      </c>
      <c r="C12" s="4">
        <v>46078</v>
      </c>
      <c r="D12" s="3" t="s">
        <v>19</v>
      </c>
      <c r="E12" s="5" t="s">
        <v>514</v>
      </c>
      <c r="F12" s="5" t="s">
        <v>64</v>
      </c>
      <c r="G12" s="3" t="s">
        <v>5</v>
      </c>
      <c r="H12" s="3" t="s">
        <v>68</v>
      </c>
      <c r="I12" s="3">
        <v>37</v>
      </c>
      <c r="J12" s="3">
        <v>11</v>
      </c>
      <c r="K12" s="6">
        <f>IFERROR(J12/I12*100,0)</f>
        <v>0</v>
      </c>
      <c r="L12" s="3">
        <v>36</v>
      </c>
      <c r="M12" s="3">
        <v>1</v>
      </c>
      <c r="N12" s="3">
        <v>3</v>
      </c>
      <c r="O12" s="6">
        <f>IFERROR(N12/M12*100,0)</f>
        <v>0</v>
      </c>
      <c r="P12" s="3" t="s">
        <v>9</v>
      </c>
    </row>
    <row r="13" spans="1:18">
      <c r="A13" s="3">
        <v>10</v>
      </c>
      <c r="B13" s="3" t="s">
        <v>526</v>
      </c>
      <c r="C13" s="4">
        <v>46056</v>
      </c>
      <c r="D13" s="3" t="s">
        <v>19</v>
      </c>
      <c r="E13" s="5" t="s">
        <v>516</v>
      </c>
      <c r="F13" s="5" t="s">
        <v>12</v>
      </c>
      <c r="G13" s="3" t="s">
        <v>92</v>
      </c>
      <c r="H13" s="3" t="s">
        <v>36</v>
      </c>
      <c r="I13" s="3">
        <v>49</v>
      </c>
      <c r="J13" s="3">
        <v>29</v>
      </c>
      <c r="K13" s="6">
        <f>IFERROR(J13/I13*100,0)</f>
        <v>0</v>
      </c>
      <c r="L13" s="3">
        <v>111</v>
      </c>
      <c r="M13" s="3">
        <v>5</v>
      </c>
      <c r="N13" s="3">
        <v>7</v>
      </c>
      <c r="O13" s="6">
        <f>IFERROR(N13/M13*100,0)</f>
        <v>0</v>
      </c>
      <c r="P13" s="3" t="s">
        <v>9</v>
      </c>
    </row>
    <row r="14" spans="1:18">
      <c r="A14" s="3">
        <v>11</v>
      </c>
      <c r="B14" s="3" t="s">
        <v>527</v>
      </c>
      <c r="C14" s="4">
        <v>46080</v>
      </c>
      <c r="D14" s="3" t="s">
        <v>19</v>
      </c>
      <c r="E14" s="5" t="s">
        <v>523</v>
      </c>
      <c r="F14" s="5" t="s">
        <v>26</v>
      </c>
      <c r="G14" s="3" t="s">
        <v>46</v>
      </c>
      <c r="H14" s="3" t="s">
        <v>41</v>
      </c>
      <c r="I14" s="3">
        <v>41</v>
      </c>
      <c r="J14" s="3">
        <v>51</v>
      </c>
      <c r="K14" s="6">
        <f>IFERROR(J14/I14*100,0)</f>
        <v>0</v>
      </c>
      <c r="L14" s="3">
        <v>99</v>
      </c>
      <c r="M14" s="3">
        <v>2</v>
      </c>
      <c r="N14" s="3">
        <v>0</v>
      </c>
      <c r="O14" s="6">
        <f>IFERROR(N14/M14*100,0)</f>
        <v>0</v>
      </c>
      <c r="P14" s="3" t="s">
        <v>23</v>
      </c>
    </row>
    <row r="15" spans="1:18">
      <c r="A15" s="3">
        <v>12</v>
      </c>
      <c r="B15" s="3" t="s">
        <v>528</v>
      </c>
      <c r="C15" s="4">
        <v>46054</v>
      </c>
      <c r="D15" s="3" t="s">
        <v>19</v>
      </c>
      <c r="E15" s="5" t="s">
        <v>523</v>
      </c>
      <c r="F15" s="5" t="s">
        <v>16</v>
      </c>
      <c r="G15" s="3" t="s">
        <v>92</v>
      </c>
      <c r="H15" s="3" t="s">
        <v>66</v>
      </c>
      <c r="I15" s="3">
        <v>41</v>
      </c>
      <c r="J15" s="3">
        <v>10</v>
      </c>
      <c r="K15" s="6">
        <f>IFERROR(J15/I15*100,0)</f>
        <v>0</v>
      </c>
      <c r="L15" s="3">
        <v>40</v>
      </c>
      <c r="M15" s="3">
        <v>0</v>
      </c>
      <c r="N15" s="3">
        <v>4</v>
      </c>
      <c r="O15" s="6">
        <f>IFERROR(N15/M15*100,0)</f>
        <v>0</v>
      </c>
      <c r="P15" s="3" t="s">
        <v>23</v>
      </c>
    </row>
    <row r="16" spans="1:18">
      <c r="A16" s="3">
        <v>13</v>
      </c>
      <c r="B16" s="3" t="s">
        <v>529</v>
      </c>
      <c r="C16" s="4">
        <v>46077</v>
      </c>
      <c r="D16" s="3" t="s">
        <v>19</v>
      </c>
      <c r="E16" s="5" t="s">
        <v>518</v>
      </c>
      <c r="F16" s="5" t="s">
        <v>16</v>
      </c>
      <c r="G16" s="3" t="s">
        <v>13</v>
      </c>
      <c r="H16" s="3" t="s">
        <v>93</v>
      </c>
      <c r="I16" s="3">
        <v>29</v>
      </c>
      <c r="J16" s="3">
        <v>15</v>
      </c>
      <c r="K16" s="6">
        <f>IFERROR(J16/I16*100,0)</f>
        <v>0</v>
      </c>
      <c r="L16" s="3">
        <v>55</v>
      </c>
      <c r="M16" s="3">
        <v>5</v>
      </c>
      <c r="N16" s="3">
        <v>3</v>
      </c>
      <c r="O16" s="6">
        <f>IFERROR(N16/M16*100,0)</f>
        <v>0</v>
      </c>
      <c r="P16" s="3" t="s">
        <v>23</v>
      </c>
    </row>
    <row r="17" spans="1:16">
      <c r="A17" s="3">
        <v>14</v>
      </c>
      <c r="B17" s="3" t="s">
        <v>530</v>
      </c>
      <c r="C17" s="4">
        <v>46092</v>
      </c>
      <c r="D17" s="3" t="s">
        <v>44</v>
      </c>
      <c r="E17" s="5" t="s">
        <v>514</v>
      </c>
      <c r="F17" s="5" t="s">
        <v>30</v>
      </c>
      <c r="G17" s="3" t="s">
        <v>89</v>
      </c>
      <c r="H17" s="3" t="s">
        <v>66</v>
      </c>
      <c r="I17" s="3">
        <v>10</v>
      </c>
      <c r="J17" s="3">
        <v>17</v>
      </c>
      <c r="K17" s="6">
        <f>IFERROR(J17/I17*100,0)</f>
        <v>0</v>
      </c>
      <c r="L17" s="3">
        <v>104</v>
      </c>
      <c r="M17" s="3">
        <v>4</v>
      </c>
      <c r="N17" s="3">
        <v>1</v>
      </c>
      <c r="O17" s="6">
        <f>IFERROR(N17/M17*100,0)</f>
        <v>0</v>
      </c>
      <c r="P17" s="3" t="s">
        <v>9</v>
      </c>
    </row>
    <row r="18" spans="1:16">
      <c r="A18" s="3">
        <v>15</v>
      </c>
      <c r="B18" s="3" t="s">
        <v>531</v>
      </c>
      <c r="C18" s="4">
        <v>46109</v>
      </c>
      <c r="D18" s="3" t="s">
        <v>44</v>
      </c>
      <c r="E18" s="5" t="s">
        <v>516</v>
      </c>
      <c r="F18" s="5" t="s">
        <v>61</v>
      </c>
      <c r="G18" s="3" t="s">
        <v>13</v>
      </c>
      <c r="H18" s="3" t="s">
        <v>62</v>
      </c>
      <c r="I18" s="3">
        <v>13</v>
      </c>
      <c r="J18" s="3">
        <v>39</v>
      </c>
      <c r="K18" s="6">
        <f>IFERROR(J18/I18*100,0)</f>
        <v>0</v>
      </c>
      <c r="L18" s="3">
        <v>116</v>
      </c>
      <c r="M18" s="3">
        <v>3</v>
      </c>
      <c r="N18" s="3">
        <v>0</v>
      </c>
      <c r="O18" s="6">
        <f>IFERROR(N18/M18*100,0)</f>
        <v>0</v>
      </c>
      <c r="P18" s="3" t="s">
        <v>23</v>
      </c>
    </row>
    <row r="19" spans="1:16">
      <c r="A19" s="3">
        <v>16</v>
      </c>
      <c r="B19" s="3" t="s">
        <v>532</v>
      </c>
      <c r="C19" s="4">
        <v>46108</v>
      </c>
      <c r="D19" s="3" t="s">
        <v>44</v>
      </c>
      <c r="E19" s="5" t="s">
        <v>523</v>
      </c>
      <c r="F19" s="5" t="s">
        <v>64</v>
      </c>
      <c r="G19" s="3" t="s">
        <v>89</v>
      </c>
      <c r="H19" s="3" t="s">
        <v>41</v>
      </c>
      <c r="I19" s="3">
        <v>13</v>
      </c>
      <c r="J19" s="3">
        <v>14</v>
      </c>
      <c r="K19" s="6">
        <f>IFERROR(J19/I19*100,0)</f>
        <v>0</v>
      </c>
      <c r="L19" s="3">
        <v>109</v>
      </c>
      <c r="M19" s="3">
        <v>7</v>
      </c>
      <c r="N19" s="3">
        <v>8</v>
      </c>
      <c r="O19" s="6">
        <f>IFERROR(N19/M19*100,0)</f>
        <v>0</v>
      </c>
      <c r="P19" s="3" t="s">
        <v>9</v>
      </c>
    </row>
    <row r="20" spans="1:16">
      <c r="A20" s="3">
        <v>17</v>
      </c>
      <c r="B20" s="3" t="s">
        <v>533</v>
      </c>
      <c r="C20" s="4">
        <v>46082</v>
      </c>
      <c r="D20" s="3" t="s">
        <v>44</v>
      </c>
      <c r="E20" s="5" t="s">
        <v>518</v>
      </c>
      <c r="F20" s="5" t="s">
        <v>64</v>
      </c>
      <c r="G20" s="3" t="s">
        <v>46</v>
      </c>
      <c r="H20" s="3" t="s">
        <v>68</v>
      </c>
      <c r="I20" s="3">
        <v>46</v>
      </c>
      <c r="J20" s="3">
        <v>26</v>
      </c>
      <c r="K20" s="6">
        <f>IFERROR(J20/I20*100,0)</f>
        <v>0</v>
      </c>
      <c r="L20" s="3">
        <v>30</v>
      </c>
      <c r="M20" s="3">
        <v>6</v>
      </c>
      <c r="N20" s="3">
        <v>5</v>
      </c>
      <c r="O20" s="6">
        <f>IFERROR(N20/M20*100,0)</f>
        <v>0</v>
      </c>
      <c r="P20" s="3" t="s">
        <v>23</v>
      </c>
    </row>
    <row r="21" spans="1:16">
      <c r="A21" s="3">
        <v>18</v>
      </c>
      <c r="B21" s="3" t="s">
        <v>534</v>
      </c>
      <c r="C21" s="4">
        <v>46109</v>
      </c>
      <c r="D21" s="3" t="s">
        <v>44</v>
      </c>
      <c r="E21" s="5" t="s">
        <v>516</v>
      </c>
      <c r="F21" s="5" t="s">
        <v>30</v>
      </c>
      <c r="G21" s="3" t="s">
        <v>92</v>
      </c>
      <c r="H21" s="3" t="s">
        <v>36</v>
      </c>
      <c r="I21" s="3">
        <v>40</v>
      </c>
      <c r="J21" s="3">
        <v>40</v>
      </c>
      <c r="K21" s="6">
        <f>IFERROR(J21/I21*100,0)</f>
        <v>0</v>
      </c>
      <c r="L21" s="3">
        <v>108</v>
      </c>
      <c r="M21" s="3">
        <v>1</v>
      </c>
      <c r="N21" s="3">
        <v>2</v>
      </c>
      <c r="O21" s="6">
        <f>IFERROR(N21/M21*100,0)</f>
        <v>0</v>
      </c>
      <c r="P21" s="3" t="s">
        <v>23</v>
      </c>
    </row>
    <row r="22" spans="1:16">
      <c r="A22" s="3">
        <v>19</v>
      </c>
      <c r="B22" s="3" t="s">
        <v>535</v>
      </c>
      <c r="C22" s="4">
        <v>46118</v>
      </c>
      <c r="D22" s="3" t="s">
        <v>53</v>
      </c>
      <c r="E22" s="5" t="s">
        <v>516</v>
      </c>
      <c r="F22" s="5" t="s">
        <v>16</v>
      </c>
      <c r="G22" s="3" t="s">
        <v>65</v>
      </c>
      <c r="H22" s="3" t="s">
        <v>41</v>
      </c>
      <c r="I22" s="3">
        <v>10</v>
      </c>
      <c r="J22" s="3">
        <v>30</v>
      </c>
      <c r="K22" s="6">
        <f>IFERROR(J22/I22*100,0)</f>
        <v>0</v>
      </c>
      <c r="L22" s="3">
        <v>48</v>
      </c>
      <c r="M22" s="3">
        <v>3</v>
      </c>
      <c r="N22" s="3">
        <v>4</v>
      </c>
      <c r="O22" s="6">
        <f>IFERROR(N22/M22*100,0)</f>
        <v>0</v>
      </c>
      <c r="P22" s="3" t="s">
        <v>23</v>
      </c>
    </row>
    <row r="23" spans="1:16">
      <c r="A23" s="3">
        <v>20</v>
      </c>
      <c r="B23" s="3" t="s">
        <v>536</v>
      </c>
      <c r="C23" s="4">
        <v>46139</v>
      </c>
      <c r="D23" s="3" t="s">
        <v>53</v>
      </c>
      <c r="E23" s="5" t="s">
        <v>523</v>
      </c>
      <c r="F23" s="5" t="s">
        <v>4</v>
      </c>
      <c r="G23" s="3" t="s">
        <v>89</v>
      </c>
      <c r="H23" s="3" t="s">
        <v>15</v>
      </c>
      <c r="I23" s="3">
        <v>57</v>
      </c>
      <c r="J23" s="3">
        <v>57</v>
      </c>
      <c r="K23" s="6">
        <f>IFERROR(J23/I23*100,0)</f>
        <v>0</v>
      </c>
      <c r="L23" s="3">
        <v>35</v>
      </c>
      <c r="M23" s="3">
        <v>8</v>
      </c>
      <c r="N23" s="3">
        <v>3</v>
      </c>
      <c r="O23" s="6">
        <f>IFERROR(N23/M23*100,0)</f>
        <v>0</v>
      </c>
      <c r="P23" s="3" t="s">
        <v>23</v>
      </c>
    </row>
    <row r="24" spans="1:16">
      <c r="A24" s="3">
        <v>21</v>
      </c>
      <c r="B24" s="3" t="s">
        <v>537</v>
      </c>
      <c r="C24" s="4">
        <v>46130</v>
      </c>
      <c r="D24" s="3" t="s">
        <v>53</v>
      </c>
      <c r="E24" s="5" t="s">
        <v>514</v>
      </c>
      <c r="F24" s="5" t="s">
        <v>20</v>
      </c>
      <c r="G24" s="3" t="s">
        <v>89</v>
      </c>
      <c r="H24" s="3" t="s">
        <v>68</v>
      </c>
      <c r="I24" s="3">
        <v>29</v>
      </c>
      <c r="J24" s="3">
        <v>16</v>
      </c>
      <c r="K24" s="6">
        <f>IFERROR(J24/I24*100,0)</f>
        <v>0</v>
      </c>
      <c r="L24" s="3">
        <v>70</v>
      </c>
      <c r="M24" s="3">
        <v>4</v>
      </c>
      <c r="N24" s="3">
        <v>4</v>
      </c>
      <c r="O24" s="6">
        <f>IFERROR(N24/M24*100,0)</f>
        <v>0</v>
      </c>
      <c r="P24" s="3" t="s">
        <v>9</v>
      </c>
    </row>
    <row r="25" spans="1:16">
      <c r="A25" s="3">
        <v>22</v>
      </c>
      <c r="B25" s="3" t="s">
        <v>538</v>
      </c>
      <c r="C25" s="4">
        <v>46124</v>
      </c>
      <c r="D25" s="3" t="s">
        <v>53</v>
      </c>
      <c r="E25" s="5" t="s">
        <v>514</v>
      </c>
      <c r="F25" s="5" t="s">
        <v>30</v>
      </c>
      <c r="G25" s="3" t="s">
        <v>89</v>
      </c>
      <c r="H25" s="3" t="s">
        <v>78</v>
      </c>
      <c r="I25" s="3">
        <v>58</v>
      </c>
      <c r="J25" s="3">
        <v>16</v>
      </c>
      <c r="K25" s="6">
        <f>IFERROR(J25/I25*100,0)</f>
        <v>0</v>
      </c>
      <c r="L25" s="3">
        <v>111</v>
      </c>
      <c r="M25" s="3">
        <v>7</v>
      </c>
      <c r="N25" s="3">
        <v>5</v>
      </c>
      <c r="O25" s="6">
        <f>IFERROR(N25/M25*100,0)</f>
        <v>0</v>
      </c>
      <c r="P25" s="3" t="s">
        <v>9</v>
      </c>
    </row>
    <row r="26" spans="1:16">
      <c r="A26" s="3">
        <v>23</v>
      </c>
      <c r="B26" s="3" t="s">
        <v>539</v>
      </c>
      <c r="C26" s="4">
        <v>46118</v>
      </c>
      <c r="D26" s="3" t="s">
        <v>53</v>
      </c>
      <c r="E26" s="5" t="s">
        <v>516</v>
      </c>
      <c r="F26" s="5" t="s">
        <v>57</v>
      </c>
      <c r="G26" s="3" t="s">
        <v>58</v>
      </c>
      <c r="H26" s="3" t="s">
        <v>36</v>
      </c>
      <c r="I26" s="3">
        <v>34</v>
      </c>
      <c r="J26" s="3">
        <v>31</v>
      </c>
      <c r="K26" s="6">
        <f>IFERROR(J26/I26*100,0)</f>
        <v>0</v>
      </c>
      <c r="L26" s="3">
        <v>95</v>
      </c>
      <c r="M26" s="3">
        <v>3</v>
      </c>
      <c r="N26" s="3">
        <v>7</v>
      </c>
      <c r="O26" s="6">
        <f>IFERROR(N26/M26*100,0)</f>
        <v>0</v>
      </c>
      <c r="P26" s="3" t="s">
        <v>9</v>
      </c>
    </row>
    <row r="27" spans="1:16">
      <c r="A27" s="3">
        <v>24</v>
      </c>
      <c r="B27" s="3" t="s">
        <v>540</v>
      </c>
      <c r="C27" s="4">
        <v>46121</v>
      </c>
      <c r="D27" s="3" t="s">
        <v>53</v>
      </c>
      <c r="E27" s="5" t="s">
        <v>514</v>
      </c>
      <c r="F27" s="5" t="s">
        <v>91</v>
      </c>
      <c r="G27" s="3" t="s">
        <v>65</v>
      </c>
      <c r="H27" s="3" t="s">
        <v>66</v>
      </c>
      <c r="I27" s="3">
        <v>57</v>
      </c>
      <c r="J27" s="3">
        <v>23</v>
      </c>
      <c r="K27" s="6">
        <f>IFERROR(J27/I27*100,0)</f>
        <v>0</v>
      </c>
      <c r="L27" s="3">
        <v>87</v>
      </c>
      <c r="M27" s="3">
        <v>3</v>
      </c>
      <c r="N27" s="3">
        <v>5</v>
      </c>
      <c r="O27" s="6">
        <f>IFERROR(N27/M27*100,0)</f>
        <v>0</v>
      </c>
      <c r="P27" s="3" t="s">
        <v>9</v>
      </c>
    </row>
    <row r="28" spans="1:16">
      <c r="A28" s="3">
        <v>25</v>
      </c>
      <c r="B28" s="3" t="s">
        <v>541</v>
      </c>
      <c r="C28" s="4">
        <v>46118</v>
      </c>
      <c r="D28" s="3" t="s">
        <v>53</v>
      </c>
      <c r="E28" s="5" t="s">
        <v>516</v>
      </c>
      <c r="F28" s="5" t="s">
        <v>38</v>
      </c>
      <c r="G28" s="3" t="s">
        <v>58</v>
      </c>
      <c r="H28" s="3" t="s">
        <v>104</v>
      </c>
      <c r="I28" s="3">
        <v>56</v>
      </c>
      <c r="J28" s="3">
        <v>11</v>
      </c>
      <c r="K28" s="6">
        <f>IFERROR(J28/I28*100,0)</f>
        <v>0</v>
      </c>
      <c r="L28" s="3">
        <v>46</v>
      </c>
      <c r="M28" s="3">
        <v>0</v>
      </c>
      <c r="N28" s="3">
        <v>4</v>
      </c>
      <c r="O28" s="6">
        <f>IFERROR(N28/M28*100,0)</f>
        <v>0</v>
      </c>
      <c r="P28" s="3" t="s">
        <v>23</v>
      </c>
    </row>
    <row r="29" spans="1:16">
      <c r="A29" s="3">
        <v>26</v>
      </c>
      <c r="B29" s="3" t="s">
        <v>542</v>
      </c>
      <c r="C29" s="4">
        <v>46177</v>
      </c>
      <c r="D29" s="3" t="s">
        <v>73</v>
      </c>
      <c r="E29" s="5" t="s">
        <v>523</v>
      </c>
      <c r="F29" s="5" t="s">
        <v>61</v>
      </c>
      <c r="G29" s="3" t="s">
        <v>39</v>
      </c>
      <c r="H29" s="3" t="s">
        <v>66</v>
      </c>
      <c r="I29" s="3">
        <v>33</v>
      </c>
      <c r="J29" s="3">
        <v>56</v>
      </c>
      <c r="K29" s="6">
        <f>IFERROR(J29/I29*100,0)</f>
        <v>0</v>
      </c>
      <c r="L29" s="3">
        <v>77</v>
      </c>
      <c r="M29" s="3">
        <v>0</v>
      </c>
      <c r="N29" s="3">
        <v>8</v>
      </c>
      <c r="O29" s="6">
        <f>IFERROR(N29/M29*100,0)</f>
        <v>0</v>
      </c>
      <c r="P29" s="3" t="s">
        <v>9</v>
      </c>
    </row>
    <row r="30" spans="1:16">
      <c r="A30" s="3">
        <v>27</v>
      </c>
      <c r="B30" s="3" t="s">
        <v>543</v>
      </c>
      <c r="C30" s="4">
        <v>46195</v>
      </c>
      <c r="D30" s="3" t="s">
        <v>73</v>
      </c>
      <c r="E30" s="5" t="s">
        <v>518</v>
      </c>
      <c r="F30" s="5" t="s">
        <v>61</v>
      </c>
      <c r="G30" s="3" t="s">
        <v>65</v>
      </c>
      <c r="H30" s="3" t="s">
        <v>7</v>
      </c>
      <c r="I30" s="3">
        <v>59</v>
      </c>
      <c r="J30" s="3">
        <v>44</v>
      </c>
      <c r="K30" s="6">
        <f>IFERROR(J30/I30*100,0)</f>
        <v>0</v>
      </c>
      <c r="L30" s="3">
        <v>54</v>
      </c>
      <c r="M30" s="3">
        <v>5</v>
      </c>
      <c r="N30" s="3">
        <v>4</v>
      </c>
      <c r="O30" s="6">
        <f>IFERROR(N30/M30*100,0)</f>
        <v>0</v>
      </c>
      <c r="P30" s="3" t="s">
        <v>9</v>
      </c>
    </row>
    <row r="31" spans="1:16">
      <c r="A31" s="3">
        <v>28</v>
      </c>
      <c r="B31" s="3" t="s">
        <v>544</v>
      </c>
      <c r="C31" s="4">
        <v>46174</v>
      </c>
      <c r="D31" s="3" t="s">
        <v>73</v>
      </c>
      <c r="E31" s="5" t="s">
        <v>518</v>
      </c>
      <c r="F31" s="5" t="s">
        <v>49</v>
      </c>
      <c r="G31" s="3" t="s">
        <v>27</v>
      </c>
      <c r="H31" s="3" t="s">
        <v>22</v>
      </c>
      <c r="I31" s="3">
        <v>10</v>
      </c>
      <c r="J31" s="3">
        <v>16</v>
      </c>
      <c r="K31" s="6">
        <f>IFERROR(J31/I31*100,0)</f>
        <v>0</v>
      </c>
      <c r="L31" s="3">
        <v>41</v>
      </c>
      <c r="M31" s="3">
        <v>1</v>
      </c>
      <c r="N31" s="3">
        <v>4</v>
      </c>
      <c r="O31" s="6">
        <f>IFERROR(N31/M31*100,0)</f>
        <v>0</v>
      </c>
      <c r="P31" s="3" t="s">
        <v>9</v>
      </c>
    </row>
    <row r="32" spans="1:16">
      <c r="A32" s="3">
        <v>29</v>
      </c>
      <c r="B32" s="3" t="s">
        <v>545</v>
      </c>
      <c r="C32" s="4">
        <v>46228</v>
      </c>
      <c r="D32" s="3" t="s">
        <v>76</v>
      </c>
      <c r="E32" s="5" t="s">
        <v>523</v>
      </c>
      <c r="F32" s="5" t="s">
        <v>4</v>
      </c>
      <c r="G32" s="3" t="s">
        <v>5</v>
      </c>
      <c r="H32" s="3" t="s">
        <v>93</v>
      </c>
      <c r="I32" s="3">
        <v>12</v>
      </c>
      <c r="J32" s="3">
        <v>58</v>
      </c>
      <c r="K32" s="6">
        <f>IFERROR(J32/I32*100,0)</f>
        <v>0</v>
      </c>
      <c r="L32" s="3">
        <v>39</v>
      </c>
      <c r="M32" s="3">
        <v>5</v>
      </c>
      <c r="N32" s="3">
        <v>0</v>
      </c>
      <c r="O32" s="6">
        <f>IFERROR(N32/M32*100,0)</f>
        <v>0</v>
      </c>
      <c r="P32" s="3" t="s">
        <v>23</v>
      </c>
    </row>
    <row r="33" spans="1:16">
      <c r="A33" s="3">
        <v>30</v>
      </c>
      <c r="B33" s="3" t="s">
        <v>546</v>
      </c>
      <c r="C33" s="4">
        <v>46236</v>
      </c>
      <c r="D33" s="3" t="s">
        <v>86</v>
      </c>
      <c r="E33" s="5" t="s">
        <v>523</v>
      </c>
      <c r="F33" s="5" t="s">
        <v>57</v>
      </c>
      <c r="G33" s="3" t="s">
        <v>50</v>
      </c>
      <c r="H33" s="3" t="s">
        <v>68</v>
      </c>
      <c r="I33" s="3">
        <v>17</v>
      </c>
      <c r="J33" s="3">
        <v>49</v>
      </c>
      <c r="K33" s="6">
        <f>IFERROR(J33/I33*100,0)</f>
        <v>0</v>
      </c>
      <c r="L33" s="3">
        <v>19</v>
      </c>
      <c r="M33" s="3">
        <v>3</v>
      </c>
      <c r="N33" s="3">
        <v>2</v>
      </c>
      <c r="O33" s="6">
        <f>IFERROR(N33/M33*100,0)</f>
        <v>0</v>
      </c>
      <c r="P33" s="3" t="s">
        <v>23</v>
      </c>
    </row>
    <row r="34" spans="1:16">
      <c r="A34" s="3">
        <v>31</v>
      </c>
      <c r="B34" s="3" t="s">
        <v>547</v>
      </c>
      <c r="C34" s="4">
        <v>46236</v>
      </c>
      <c r="D34" s="3" t="s">
        <v>86</v>
      </c>
      <c r="E34" s="5" t="s">
        <v>514</v>
      </c>
      <c r="F34" s="5" t="s">
        <v>54</v>
      </c>
      <c r="G34" s="3" t="s">
        <v>92</v>
      </c>
      <c r="H34" s="3" t="s">
        <v>28</v>
      </c>
      <c r="I34" s="3">
        <v>54</v>
      </c>
      <c r="J34" s="3">
        <v>52</v>
      </c>
      <c r="K34" s="6">
        <f>IFERROR(J34/I34*100,0)</f>
        <v>0</v>
      </c>
      <c r="L34" s="3">
        <v>119</v>
      </c>
      <c r="M34" s="3">
        <v>4</v>
      </c>
      <c r="N34" s="3">
        <v>4</v>
      </c>
      <c r="O34" s="6">
        <f>IFERROR(N34/M34*100,0)</f>
        <v>0</v>
      </c>
      <c r="P34" s="3" t="s">
        <v>23</v>
      </c>
    </row>
    <row r="35" spans="1:16">
      <c r="A35" s="3">
        <v>32</v>
      </c>
      <c r="B35" s="3" t="s">
        <v>548</v>
      </c>
      <c r="C35" s="4">
        <v>46242</v>
      </c>
      <c r="D35" s="3" t="s">
        <v>86</v>
      </c>
      <c r="E35" s="5" t="s">
        <v>523</v>
      </c>
      <c r="F35" s="5" t="s">
        <v>45</v>
      </c>
      <c r="G35" s="3" t="s">
        <v>50</v>
      </c>
      <c r="H35" s="3" t="s">
        <v>62</v>
      </c>
      <c r="I35" s="3">
        <v>26</v>
      </c>
      <c r="J35" s="3">
        <v>16</v>
      </c>
      <c r="K35" s="6">
        <f>IFERROR(J35/I35*100,0)</f>
        <v>0</v>
      </c>
      <c r="L35" s="3">
        <v>113</v>
      </c>
      <c r="M35" s="3">
        <v>5</v>
      </c>
      <c r="N35" s="3">
        <v>5</v>
      </c>
      <c r="O35" s="6">
        <f>IFERROR(N35/M35*100,0)</f>
        <v>0</v>
      </c>
      <c r="P35" s="3" t="s">
        <v>23</v>
      </c>
    </row>
    <row r="36" spans="1:16">
      <c r="A36" s="3">
        <v>33</v>
      </c>
      <c r="B36" s="3" t="s">
        <v>549</v>
      </c>
      <c r="C36" s="4">
        <v>46244</v>
      </c>
      <c r="D36" s="3" t="s">
        <v>86</v>
      </c>
      <c r="E36" s="5" t="s">
        <v>516</v>
      </c>
      <c r="F36" s="5" t="s">
        <v>91</v>
      </c>
      <c r="G36" s="3" t="s">
        <v>13</v>
      </c>
      <c r="H36" s="3" t="s">
        <v>22</v>
      </c>
      <c r="I36" s="3">
        <v>15</v>
      </c>
      <c r="J36" s="3">
        <v>21</v>
      </c>
      <c r="K36" s="6">
        <f>IFERROR(J36/I36*100,0)</f>
        <v>0</v>
      </c>
      <c r="L36" s="3">
        <v>37</v>
      </c>
      <c r="M36" s="3">
        <v>8</v>
      </c>
      <c r="N36" s="3">
        <v>2</v>
      </c>
      <c r="O36" s="6">
        <f>IFERROR(N36/M36*100,0)</f>
        <v>0</v>
      </c>
      <c r="P36" s="3" t="s">
        <v>9</v>
      </c>
    </row>
    <row r="37" spans="1:16">
      <c r="A37" s="3">
        <v>34</v>
      </c>
      <c r="B37" s="3" t="s">
        <v>550</v>
      </c>
      <c r="C37" s="4">
        <v>46239</v>
      </c>
      <c r="D37" s="3" t="s">
        <v>86</v>
      </c>
      <c r="E37" s="5" t="s">
        <v>516</v>
      </c>
      <c r="F37" s="5" t="s">
        <v>57</v>
      </c>
      <c r="G37" s="3" t="s">
        <v>13</v>
      </c>
      <c r="H37" s="3" t="s">
        <v>28</v>
      </c>
      <c r="I37" s="3">
        <v>35</v>
      </c>
      <c r="J37" s="3">
        <v>53</v>
      </c>
      <c r="K37" s="6">
        <f>IFERROR(J37/I37*100,0)</f>
        <v>0</v>
      </c>
      <c r="L37" s="3">
        <v>70</v>
      </c>
      <c r="M37" s="3">
        <v>7</v>
      </c>
      <c r="N37" s="3">
        <v>7</v>
      </c>
      <c r="O37" s="6">
        <f>IFERROR(N37/M37*100,0)</f>
        <v>0</v>
      </c>
      <c r="P37" s="3" t="s">
        <v>23</v>
      </c>
    </row>
    <row r="38" spans="1:16">
      <c r="A38" s="3">
        <v>35</v>
      </c>
      <c r="B38" s="3" t="s">
        <v>551</v>
      </c>
      <c r="C38" s="4">
        <v>46288</v>
      </c>
      <c r="D38" s="3" t="s">
        <v>102</v>
      </c>
      <c r="E38" s="5" t="s">
        <v>514</v>
      </c>
      <c r="F38" s="5" t="s">
        <v>38</v>
      </c>
      <c r="G38" s="3" t="s">
        <v>50</v>
      </c>
      <c r="H38" s="3" t="s">
        <v>62</v>
      </c>
      <c r="I38" s="3">
        <v>11</v>
      </c>
      <c r="J38" s="3">
        <v>51</v>
      </c>
      <c r="K38" s="6">
        <f>IFERROR(J38/I38*100,0)</f>
        <v>0</v>
      </c>
      <c r="L38" s="3">
        <v>100</v>
      </c>
      <c r="M38" s="3">
        <v>2</v>
      </c>
      <c r="N38" s="3">
        <v>2</v>
      </c>
      <c r="O38" s="6">
        <f>IFERROR(N38/M38*100,0)</f>
        <v>0</v>
      </c>
      <c r="P38" s="3" t="s">
        <v>9</v>
      </c>
    </row>
    <row r="39" spans="1:16">
      <c r="A39" s="3">
        <v>36</v>
      </c>
      <c r="B39" s="3" t="s">
        <v>552</v>
      </c>
      <c r="C39" s="4">
        <v>46268</v>
      </c>
      <c r="D39" s="3" t="s">
        <v>102</v>
      </c>
      <c r="E39" s="5" t="s">
        <v>516</v>
      </c>
      <c r="F39" s="5" t="s">
        <v>54</v>
      </c>
      <c r="G39" s="3" t="s">
        <v>50</v>
      </c>
      <c r="H39" s="3" t="s">
        <v>104</v>
      </c>
      <c r="I39" s="3">
        <v>24</v>
      </c>
      <c r="J39" s="3">
        <v>10</v>
      </c>
      <c r="K39" s="6">
        <f>IFERROR(J39/I39*100,0)</f>
        <v>0</v>
      </c>
      <c r="L39" s="3">
        <v>117</v>
      </c>
      <c r="M39" s="3">
        <v>8</v>
      </c>
      <c r="N39" s="3">
        <v>6</v>
      </c>
      <c r="O39" s="6">
        <f>IFERROR(N39/M39*100,0)</f>
        <v>0</v>
      </c>
      <c r="P39" s="3" t="s">
        <v>23</v>
      </c>
    </row>
    <row r="40" spans="1:16">
      <c r="A40" s="3">
        <v>37</v>
      </c>
      <c r="B40" s="3" t="s">
        <v>553</v>
      </c>
      <c r="C40" s="4">
        <v>46318</v>
      </c>
      <c r="D40" s="3" t="s">
        <v>106</v>
      </c>
      <c r="E40" s="5" t="s">
        <v>514</v>
      </c>
      <c r="F40" s="5" t="s">
        <v>54</v>
      </c>
      <c r="G40" s="3" t="s">
        <v>5</v>
      </c>
      <c r="H40" s="3" t="s">
        <v>104</v>
      </c>
      <c r="I40" s="3">
        <v>49</v>
      </c>
      <c r="J40" s="3">
        <v>58</v>
      </c>
      <c r="K40" s="6">
        <f>IFERROR(J40/I40*100,0)</f>
        <v>0</v>
      </c>
      <c r="L40" s="3">
        <v>37</v>
      </c>
      <c r="M40" s="3">
        <v>2</v>
      </c>
      <c r="N40" s="3">
        <v>3</v>
      </c>
      <c r="O40" s="6">
        <f>IFERROR(N40/M40*100,0)</f>
        <v>0</v>
      </c>
      <c r="P40" s="3" t="s">
        <v>9</v>
      </c>
    </row>
    <row r="41" spans="1:16">
      <c r="A41" s="3">
        <v>38</v>
      </c>
      <c r="B41" s="3" t="s">
        <v>554</v>
      </c>
      <c r="C41" s="4">
        <v>46304</v>
      </c>
      <c r="D41" s="3" t="s">
        <v>106</v>
      </c>
      <c r="E41" s="5" t="s">
        <v>523</v>
      </c>
      <c r="F41" s="5" t="s">
        <v>38</v>
      </c>
      <c r="G41" s="3" t="s">
        <v>89</v>
      </c>
      <c r="H41" s="3" t="s">
        <v>70</v>
      </c>
      <c r="I41" s="3">
        <v>59</v>
      </c>
      <c r="J41" s="3">
        <v>28</v>
      </c>
      <c r="K41" s="6">
        <f>IFERROR(J41/I41*100,0)</f>
        <v>0</v>
      </c>
      <c r="L41" s="3">
        <v>50</v>
      </c>
      <c r="M41" s="3">
        <v>5</v>
      </c>
      <c r="N41" s="3">
        <v>6</v>
      </c>
      <c r="O41" s="6">
        <f>IFERROR(N41/M41*100,0)</f>
        <v>0</v>
      </c>
      <c r="P41" s="3" t="s">
        <v>23</v>
      </c>
    </row>
    <row r="42" spans="1:16">
      <c r="A42" s="3">
        <v>39</v>
      </c>
      <c r="B42" s="3" t="s">
        <v>555</v>
      </c>
      <c r="C42" s="4">
        <v>46305</v>
      </c>
      <c r="D42" s="3" t="s">
        <v>106</v>
      </c>
      <c r="E42" s="5" t="s">
        <v>514</v>
      </c>
      <c r="F42" s="5" t="s">
        <v>16</v>
      </c>
      <c r="G42" s="3" t="s">
        <v>50</v>
      </c>
      <c r="H42" s="3" t="s">
        <v>41</v>
      </c>
      <c r="I42" s="3">
        <v>27</v>
      </c>
      <c r="J42" s="3">
        <v>18</v>
      </c>
      <c r="K42" s="6">
        <f>IFERROR(J42/I42*100,0)</f>
        <v>0</v>
      </c>
      <c r="L42" s="3">
        <v>68</v>
      </c>
      <c r="M42" s="3">
        <v>8</v>
      </c>
      <c r="N42" s="3">
        <v>1</v>
      </c>
      <c r="O42" s="6">
        <f>IFERROR(N42/M42*100,0)</f>
        <v>0</v>
      </c>
      <c r="P42" s="3" t="s">
        <v>23</v>
      </c>
    </row>
    <row r="43" spans="1:16">
      <c r="A43" s="3">
        <v>40</v>
      </c>
      <c r="B43" s="3" t="s">
        <v>556</v>
      </c>
      <c r="C43" s="4">
        <v>46347</v>
      </c>
      <c r="D43" s="3" t="s">
        <v>111</v>
      </c>
      <c r="E43" s="5" t="s">
        <v>518</v>
      </c>
      <c r="F43" s="5" t="s">
        <v>54</v>
      </c>
      <c r="G43" s="3" t="s">
        <v>13</v>
      </c>
      <c r="H43" s="3" t="s">
        <v>7</v>
      </c>
      <c r="I43" s="3">
        <v>25</v>
      </c>
      <c r="J43" s="3">
        <v>51</v>
      </c>
      <c r="K43" s="6">
        <f>IFERROR(J43/I43*100,0)</f>
        <v>0</v>
      </c>
      <c r="L43" s="3">
        <v>116</v>
      </c>
      <c r="M43" s="3">
        <v>6</v>
      </c>
      <c r="N43" s="3">
        <v>4</v>
      </c>
      <c r="O43" s="6">
        <f>IFERROR(N43/M43*100,0)</f>
        <v>0</v>
      </c>
      <c r="P43" s="3" t="s">
        <v>9</v>
      </c>
    </row>
    <row r="44" spans="1:16">
      <c r="A44" s="3">
        <v>41</v>
      </c>
      <c r="B44" s="3" t="s">
        <v>557</v>
      </c>
      <c r="C44" s="4">
        <v>46342</v>
      </c>
      <c r="D44" s="3" t="s">
        <v>111</v>
      </c>
      <c r="E44" s="5" t="s">
        <v>518</v>
      </c>
      <c r="F44" s="5" t="s">
        <v>64</v>
      </c>
      <c r="G44" s="3" t="s">
        <v>92</v>
      </c>
      <c r="H44" s="3" t="s">
        <v>78</v>
      </c>
      <c r="I44" s="3">
        <v>45</v>
      </c>
      <c r="J44" s="3">
        <v>22</v>
      </c>
      <c r="K44" s="6">
        <f>IFERROR(J44/I44*100,0)</f>
        <v>0</v>
      </c>
      <c r="L44" s="3">
        <v>30</v>
      </c>
      <c r="M44" s="3">
        <v>4</v>
      </c>
      <c r="N44" s="3">
        <v>8</v>
      </c>
      <c r="O44" s="6">
        <f>IFERROR(N44/M44*100,0)</f>
        <v>0</v>
      </c>
      <c r="P44" s="3" t="s">
        <v>23</v>
      </c>
    </row>
    <row r="45" spans="1:16">
      <c r="A45" s="3">
        <v>42</v>
      </c>
      <c r="B45" s="3" t="s">
        <v>558</v>
      </c>
      <c r="C45" s="4">
        <v>46331</v>
      </c>
      <c r="D45" s="3" t="s">
        <v>111</v>
      </c>
      <c r="E45" s="5" t="s">
        <v>523</v>
      </c>
      <c r="F45" s="5" t="s">
        <v>4</v>
      </c>
      <c r="G45" s="3" t="s">
        <v>50</v>
      </c>
      <c r="H45" s="3" t="s">
        <v>32</v>
      </c>
      <c r="I45" s="3">
        <v>60</v>
      </c>
      <c r="J45" s="3">
        <v>56</v>
      </c>
      <c r="K45" s="6">
        <f>IFERROR(J45/I45*100,0)</f>
        <v>0</v>
      </c>
      <c r="L45" s="3">
        <v>66</v>
      </c>
      <c r="M45" s="3">
        <v>8</v>
      </c>
      <c r="N45" s="3">
        <v>7</v>
      </c>
      <c r="O45" s="6">
        <f>IFERROR(N45/M45*100,0)</f>
        <v>0</v>
      </c>
      <c r="P45" s="3" t="s">
        <v>23</v>
      </c>
    </row>
    <row r="46" spans="1:16">
      <c r="A46" s="3">
        <v>43</v>
      </c>
      <c r="B46" s="3" t="s">
        <v>559</v>
      </c>
      <c r="C46" s="4">
        <v>46344</v>
      </c>
      <c r="D46" s="3" t="s">
        <v>111</v>
      </c>
      <c r="E46" s="5" t="s">
        <v>523</v>
      </c>
      <c r="F46" s="5" t="s">
        <v>30</v>
      </c>
      <c r="G46" s="3" t="s">
        <v>50</v>
      </c>
      <c r="H46" s="3" t="s">
        <v>41</v>
      </c>
      <c r="I46" s="3">
        <v>29</v>
      </c>
      <c r="J46" s="3">
        <v>28</v>
      </c>
      <c r="K46" s="6">
        <f>IFERROR(J46/I46*100,0)</f>
        <v>0</v>
      </c>
      <c r="L46" s="3">
        <v>69</v>
      </c>
      <c r="M46" s="3">
        <v>4</v>
      </c>
      <c r="N46" s="3">
        <v>4</v>
      </c>
      <c r="O46" s="6">
        <f>IFERROR(N46/M46*100,0)</f>
        <v>0</v>
      </c>
      <c r="P46" s="3" t="s">
        <v>9</v>
      </c>
    </row>
    <row r="47" spans="1:16">
      <c r="A47" s="3">
        <v>44</v>
      </c>
      <c r="B47" s="3" t="s">
        <v>560</v>
      </c>
      <c r="C47" s="4">
        <v>46350</v>
      </c>
      <c r="D47" s="3" t="s">
        <v>111</v>
      </c>
      <c r="E47" s="5" t="s">
        <v>518</v>
      </c>
      <c r="F47" s="5" t="s">
        <v>30</v>
      </c>
      <c r="G47" s="3" t="s">
        <v>65</v>
      </c>
      <c r="H47" s="3" t="s">
        <v>66</v>
      </c>
      <c r="I47" s="3">
        <v>19</v>
      </c>
      <c r="J47" s="3">
        <v>17</v>
      </c>
      <c r="K47" s="6">
        <f>IFERROR(J47/I47*100,0)</f>
        <v>0</v>
      </c>
      <c r="L47" s="3">
        <v>19</v>
      </c>
      <c r="M47" s="3">
        <v>2</v>
      </c>
      <c r="N47" s="3">
        <v>2</v>
      </c>
      <c r="O47" s="6">
        <f>IFERROR(N47/M47*100,0)</f>
        <v>0</v>
      </c>
      <c r="P47" s="3" t="s">
        <v>23</v>
      </c>
    </row>
    <row r="48" spans="1:16">
      <c r="A48" s="3">
        <v>45</v>
      </c>
      <c r="B48" s="3" t="s">
        <v>561</v>
      </c>
      <c r="C48" s="4">
        <v>46372</v>
      </c>
      <c r="D48" s="3" t="s">
        <v>122</v>
      </c>
      <c r="E48" s="5" t="s">
        <v>516</v>
      </c>
      <c r="F48" s="5" t="s">
        <v>54</v>
      </c>
      <c r="G48" s="3" t="s">
        <v>27</v>
      </c>
      <c r="H48" s="3" t="s">
        <v>22</v>
      </c>
      <c r="I48" s="3">
        <v>30</v>
      </c>
      <c r="J48" s="3">
        <v>30</v>
      </c>
      <c r="K48" s="6">
        <f>IFERROR(J48/I48*100,0)</f>
        <v>0</v>
      </c>
      <c r="L48" s="3">
        <v>50</v>
      </c>
      <c r="M48" s="3">
        <v>0</v>
      </c>
      <c r="N48" s="3">
        <v>8</v>
      </c>
      <c r="O48" s="6">
        <f>IFERROR(N48/M48*100,0)</f>
        <v>0</v>
      </c>
      <c r="P48" s="3" t="s">
        <v>9</v>
      </c>
    </row>
    <row r="49" spans="1:16">
      <c r="A49" s="3">
        <v>46</v>
      </c>
      <c r="B49" s="3" t="s">
        <v>562</v>
      </c>
      <c r="C49" s="4">
        <v>46363</v>
      </c>
      <c r="D49" s="3" t="s">
        <v>122</v>
      </c>
      <c r="E49" s="5" t="s">
        <v>514</v>
      </c>
      <c r="F49" s="5" t="s">
        <v>54</v>
      </c>
      <c r="G49" s="3" t="s">
        <v>39</v>
      </c>
      <c r="H49" s="3" t="s">
        <v>78</v>
      </c>
      <c r="I49" s="3">
        <v>33</v>
      </c>
      <c r="J49" s="3">
        <v>50</v>
      </c>
      <c r="K49" s="6">
        <f>IFERROR(J49/I49*100,0)</f>
        <v>0</v>
      </c>
      <c r="L49" s="3">
        <v>46</v>
      </c>
      <c r="M49" s="3">
        <v>6</v>
      </c>
      <c r="N49" s="3">
        <v>4</v>
      </c>
      <c r="O49" s="6">
        <f>IFERROR(N49/M49*100,0)</f>
        <v>0</v>
      </c>
      <c r="P49" s="3" t="s">
        <v>23</v>
      </c>
    </row>
    <row r="50" spans="1:16">
      <c r="A50" s="3">
        <v>47</v>
      </c>
      <c r="B50" s="3" t="s">
        <v>563</v>
      </c>
      <c r="C50" s="4">
        <v>46366</v>
      </c>
      <c r="D50" s="3" t="s">
        <v>122</v>
      </c>
      <c r="E50" s="5" t="s">
        <v>514</v>
      </c>
      <c r="F50" s="5" t="s">
        <v>54</v>
      </c>
      <c r="G50" s="3" t="s">
        <v>13</v>
      </c>
      <c r="H50" s="3" t="s">
        <v>68</v>
      </c>
      <c r="I50" s="3">
        <v>35</v>
      </c>
      <c r="J50" s="3">
        <v>56</v>
      </c>
      <c r="K50" s="6">
        <f>IFERROR(J50/I50*100,0)</f>
        <v>0</v>
      </c>
      <c r="L50" s="3">
        <v>107</v>
      </c>
      <c r="M50" s="3">
        <v>1</v>
      </c>
      <c r="N50" s="3">
        <v>3</v>
      </c>
      <c r="O50" s="6">
        <f>IFERROR(N50/M50*100,0)</f>
        <v>0</v>
      </c>
      <c r="P50" s="3" t="s">
        <v>23</v>
      </c>
    </row>
    <row r="51" spans="1:16">
      <c r="A51" s="3">
        <v>48</v>
      </c>
      <c r="B51" s="3" t="s">
        <v>564</v>
      </c>
      <c r="C51" s="4">
        <v>46363</v>
      </c>
      <c r="D51" s="3" t="s">
        <v>122</v>
      </c>
      <c r="E51" s="5" t="s">
        <v>516</v>
      </c>
      <c r="F51" s="5" t="s">
        <v>61</v>
      </c>
      <c r="G51" s="3" t="s">
        <v>5</v>
      </c>
      <c r="H51" s="3" t="s">
        <v>66</v>
      </c>
      <c r="I51" s="3">
        <v>37</v>
      </c>
      <c r="J51" s="3">
        <v>29</v>
      </c>
      <c r="K51" s="6">
        <f>IFERROR(J51/I51*100,0)</f>
        <v>0</v>
      </c>
      <c r="L51" s="3">
        <v>19</v>
      </c>
      <c r="M51" s="3">
        <v>8</v>
      </c>
      <c r="N51" s="3">
        <v>8</v>
      </c>
      <c r="O51" s="6">
        <f>IFERROR(N51/M51*100,0)</f>
        <v>0</v>
      </c>
      <c r="P51" s="3" t="s">
        <v>23</v>
      </c>
    </row>
  </sheetData>
  <mergeCells count="2">
    <mergeCell ref="A1:P1"/>
    <mergeCell ref="A2:P2"/>
  </mergeCells>
  <dataValidations count="1">
    <dataValidation type="list" allowBlank="1" showInputMessage="1" showErrorMessage="1" sqref="G4:G5003">
      <formula1>L_Dept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4.7109375" customWidth="1"/>
    <col min="3" max="3" width="13.7109375" customWidth="1"/>
    <col min="4" max="5" width="9.7109375" customWidth="1"/>
    <col min="6" max="6" width="15.7109375" customWidth="1"/>
    <col min="7" max="7" width="17.7109375" customWidth="1"/>
    <col min="8" max="8" width="11.7109375" customWidth="1"/>
    <col min="9" max="9" width="21.7109375" customWidth="1"/>
    <col min="10" max="10" width="10.7109375" customWidth="1"/>
    <col min="11" max="11" width="9.7109375" customWidth="1"/>
    <col min="12" max="13" width="14.7109375" customWidth="1"/>
    <col min="14" max="14" width="9.7109375" customWidth="1"/>
  </cols>
  <sheetData>
    <row r="1" spans="1:16" ht="22" customHeight="1">
      <c r="A1" s="1" t="s">
        <v>575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634</v>
      </c>
      <c r="C3" t="s">
        <v>635</v>
      </c>
      <c r="D3" t="s">
        <v>127</v>
      </c>
      <c r="E3" t="s">
        <v>636</v>
      </c>
      <c r="F3" t="s">
        <v>637</v>
      </c>
      <c r="G3" t="s">
        <v>638</v>
      </c>
      <c r="H3" t="s">
        <v>639</v>
      </c>
      <c r="I3" t="s">
        <v>640</v>
      </c>
      <c r="J3" t="s">
        <v>641</v>
      </c>
      <c r="K3" t="s">
        <v>287</v>
      </c>
      <c r="L3" t="s">
        <v>642</v>
      </c>
      <c r="M3" t="s">
        <v>643</v>
      </c>
      <c r="N3" t="s">
        <v>644</v>
      </c>
    </row>
    <row r="4" spans="1:16">
      <c r="A4" s="3">
        <v>1</v>
      </c>
      <c r="B4" s="3" t="s">
        <v>576</v>
      </c>
      <c r="C4" s="4">
        <v>46036</v>
      </c>
      <c r="D4" s="3" t="s">
        <v>3</v>
      </c>
      <c r="E4" s="5" t="s">
        <v>577</v>
      </c>
      <c r="F4" s="5" t="s">
        <v>4</v>
      </c>
      <c r="G4" s="3" t="s">
        <v>35</v>
      </c>
      <c r="H4" s="3" t="s">
        <v>7</v>
      </c>
      <c r="I4" s="3" t="s">
        <v>578</v>
      </c>
      <c r="J4" s="3" t="s">
        <v>154</v>
      </c>
      <c r="K4" s="3" t="s">
        <v>293</v>
      </c>
      <c r="L4" s="3">
        <v>44</v>
      </c>
      <c r="M4" s="3">
        <v>26</v>
      </c>
      <c r="N4" s="6">
        <f>IFERROR(M4/L4*100,0)</f>
        <v>0</v>
      </c>
    </row>
    <row r="5" spans="1:16">
      <c r="A5" s="3">
        <v>2</v>
      </c>
      <c r="B5" s="3" t="s">
        <v>579</v>
      </c>
      <c r="C5" s="4">
        <v>46029</v>
      </c>
      <c r="D5" s="3" t="s">
        <v>3</v>
      </c>
      <c r="E5" s="5" t="s">
        <v>580</v>
      </c>
      <c r="F5" s="5" t="s">
        <v>64</v>
      </c>
      <c r="G5" s="3" t="s">
        <v>35</v>
      </c>
      <c r="H5" s="3" t="s">
        <v>32</v>
      </c>
      <c r="I5" s="3" t="s">
        <v>581</v>
      </c>
      <c r="J5" s="3" t="s">
        <v>154</v>
      </c>
      <c r="K5" s="3" t="s">
        <v>293</v>
      </c>
      <c r="L5" s="3">
        <v>60</v>
      </c>
      <c r="M5" s="3">
        <v>24</v>
      </c>
      <c r="N5" s="6">
        <f>IFERROR(M5/L5*100,0)</f>
        <v>0</v>
      </c>
    </row>
    <row r="6" spans="1:16">
      <c r="A6" s="3">
        <v>3</v>
      </c>
      <c r="B6" s="3" t="s">
        <v>582</v>
      </c>
      <c r="C6" s="4">
        <v>46047</v>
      </c>
      <c r="D6" s="3" t="s">
        <v>3</v>
      </c>
      <c r="E6" s="5" t="s">
        <v>577</v>
      </c>
      <c r="F6" s="5" t="s">
        <v>12</v>
      </c>
      <c r="G6" s="3" t="s">
        <v>80</v>
      </c>
      <c r="H6" s="3" t="s">
        <v>104</v>
      </c>
      <c r="I6" s="3" t="s">
        <v>578</v>
      </c>
      <c r="J6" s="3" t="s">
        <v>142</v>
      </c>
      <c r="K6" s="3" t="s">
        <v>293</v>
      </c>
      <c r="L6" s="3">
        <v>16</v>
      </c>
      <c r="M6" s="3">
        <v>33</v>
      </c>
      <c r="N6" s="6">
        <f>IFERROR(M6/L6*100,0)</f>
        <v>0</v>
      </c>
    </row>
    <row r="7" spans="1:16">
      <c r="A7" s="3">
        <v>4</v>
      </c>
      <c r="B7" s="3" t="s">
        <v>583</v>
      </c>
      <c r="C7" s="4">
        <v>46025</v>
      </c>
      <c r="D7" s="3" t="s">
        <v>3</v>
      </c>
      <c r="E7" s="5" t="s">
        <v>584</v>
      </c>
      <c r="F7" s="5" t="s">
        <v>4</v>
      </c>
      <c r="G7" s="3" t="s">
        <v>14</v>
      </c>
      <c r="H7" s="3" t="s">
        <v>28</v>
      </c>
      <c r="I7" s="3" t="s">
        <v>585</v>
      </c>
      <c r="J7" s="3" t="s">
        <v>162</v>
      </c>
      <c r="K7" s="3" t="s">
        <v>254</v>
      </c>
      <c r="L7" s="3">
        <v>17</v>
      </c>
      <c r="M7" s="3">
        <v>46</v>
      </c>
      <c r="N7" s="6">
        <f>IFERROR(M7/L7*100,0)</f>
        <v>0</v>
      </c>
    </row>
    <row r="8" spans="1:16">
      <c r="A8" s="3">
        <v>5</v>
      </c>
      <c r="B8" s="3" t="s">
        <v>586</v>
      </c>
      <c r="C8" s="4">
        <v>46058</v>
      </c>
      <c r="D8" s="3" t="s">
        <v>19</v>
      </c>
      <c r="E8" s="5" t="s">
        <v>584</v>
      </c>
      <c r="F8" s="5" t="s">
        <v>64</v>
      </c>
      <c r="G8" s="3" t="s">
        <v>14</v>
      </c>
      <c r="H8" s="3" t="s">
        <v>7</v>
      </c>
      <c r="I8" s="3" t="s">
        <v>578</v>
      </c>
      <c r="J8" s="3" t="s">
        <v>159</v>
      </c>
      <c r="K8" s="3" t="s">
        <v>293</v>
      </c>
      <c r="L8" s="3">
        <v>41</v>
      </c>
      <c r="M8" s="3">
        <v>41</v>
      </c>
      <c r="N8" s="6">
        <f>IFERROR(M8/L8*100,0)</f>
        <v>0</v>
      </c>
    </row>
    <row r="9" spans="1:16">
      <c r="A9" s="3">
        <v>6</v>
      </c>
      <c r="B9" s="3" t="s">
        <v>587</v>
      </c>
      <c r="C9" s="4">
        <v>46058</v>
      </c>
      <c r="D9" s="3" t="s">
        <v>19</v>
      </c>
      <c r="E9" s="5" t="s">
        <v>588</v>
      </c>
      <c r="F9" s="5" t="s">
        <v>49</v>
      </c>
      <c r="G9" s="3" t="s">
        <v>14</v>
      </c>
      <c r="H9" s="3" t="s">
        <v>93</v>
      </c>
      <c r="I9" s="3" t="s">
        <v>578</v>
      </c>
      <c r="J9" s="3" t="s">
        <v>159</v>
      </c>
      <c r="K9" s="3" t="s">
        <v>238</v>
      </c>
      <c r="L9" s="3">
        <v>30</v>
      </c>
      <c r="M9" s="3">
        <v>16</v>
      </c>
      <c r="N9" s="6">
        <f>IFERROR(M9/L9*100,0)</f>
        <v>0</v>
      </c>
    </row>
    <row r="10" spans="1:16">
      <c r="A10" s="3">
        <v>7</v>
      </c>
      <c r="B10" s="3" t="s">
        <v>589</v>
      </c>
      <c r="C10" s="4">
        <v>46074</v>
      </c>
      <c r="D10" s="3" t="s">
        <v>19</v>
      </c>
      <c r="E10" s="5" t="s">
        <v>590</v>
      </c>
      <c r="F10" s="5" t="s">
        <v>49</v>
      </c>
      <c r="G10" s="3" t="s">
        <v>51</v>
      </c>
      <c r="H10" s="3" t="s">
        <v>93</v>
      </c>
      <c r="I10" s="3" t="s">
        <v>578</v>
      </c>
      <c r="J10" s="3" t="s">
        <v>162</v>
      </c>
      <c r="K10" s="3" t="s">
        <v>254</v>
      </c>
      <c r="L10" s="3">
        <v>25</v>
      </c>
      <c r="M10" s="3">
        <v>16</v>
      </c>
      <c r="N10" s="6">
        <f>IFERROR(M10/L10*100,0)</f>
        <v>0</v>
      </c>
    </row>
    <row r="11" spans="1:16">
      <c r="A11" s="3">
        <v>8</v>
      </c>
      <c r="B11" s="3" t="s">
        <v>591</v>
      </c>
      <c r="C11" s="4">
        <v>46060</v>
      </c>
      <c r="D11" s="3" t="s">
        <v>19</v>
      </c>
      <c r="E11" s="5" t="s">
        <v>584</v>
      </c>
      <c r="F11" s="5" t="s">
        <v>26</v>
      </c>
      <c r="G11" s="3" t="s">
        <v>51</v>
      </c>
      <c r="H11" s="3" t="s">
        <v>70</v>
      </c>
      <c r="I11" s="3" t="s">
        <v>585</v>
      </c>
      <c r="J11" s="3" t="s">
        <v>154</v>
      </c>
      <c r="K11" s="3" t="s">
        <v>293</v>
      </c>
      <c r="L11" s="3">
        <v>56</v>
      </c>
      <c r="M11" s="3">
        <v>55</v>
      </c>
      <c r="N11" s="6">
        <f>IFERROR(M11/L11*100,0)</f>
        <v>0</v>
      </c>
    </row>
    <row r="12" spans="1:16">
      <c r="A12" s="3">
        <v>9</v>
      </c>
      <c r="B12" s="3" t="s">
        <v>592</v>
      </c>
      <c r="C12" s="4">
        <v>46080</v>
      </c>
      <c r="D12" s="3" t="s">
        <v>19</v>
      </c>
      <c r="E12" s="5" t="s">
        <v>590</v>
      </c>
      <c r="F12" s="5" t="s">
        <v>54</v>
      </c>
      <c r="G12" s="3" t="s">
        <v>95</v>
      </c>
      <c r="H12" s="3" t="s">
        <v>7</v>
      </c>
      <c r="I12" s="3" t="s">
        <v>578</v>
      </c>
      <c r="J12" s="3" t="s">
        <v>162</v>
      </c>
      <c r="K12" s="3" t="s">
        <v>297</v>
      </c>
      <c r="L12" s="3">
        <v>25</v>
      </c>
      <c r="M12" s="3">
        <v>18</v>
      </c>
      <c r="N12" s="6">
        <f>IFERROR(M12/L12*100,0)</f>
        <v>0</v>
      </c>
    </row>
    <row r="13" spans="1:16">
      <c r="A13" s="3">
        <v>10</v>
      </c>
      <c r="B13" s="3" t="s">
        <v>593</v>
      </c>
      <c r="C13" s="4">
        <v>46092</v>
      </c>
      <c r="D13" s="3" t="s">
        <v>44</v>
      </c>
      <c r="E13" s="5" t="s">
        <v>594</v>
      </c>
      <c r="F13" s="5" t="s">
        <v>20</v>
      </c>
      <c r="G13" s="3" t="s">
        <v>31</v>
      </c>
      <c r="H13" s="3" t="s">
        <v>70</v>
      </c>
      <c r="I13" s="3" t="s">
        <v>581</v>
      </c>
      <c r="J13" s="3" t="s">
        <v>159</v>
      </c>
      <c r="K13" s="3" t="s">
        <v>293</v>
      </c>
      <c r="L13" s="3">
        <v>44</v>
      </c>
      <c r="M13" s="3">
        <v>51</v>
      </c>
      <c r="N13" s="6">
        <f>IFERROR(M13/L13*100,0)</f>
        <v>0</v>
      </c>
    </row>
    <row r="14" spans="1:16">
      <c r="A14" s="3">
        <v>11</v>
      </c>
      <c r="B14" s="3" t="s">
        <v>595</v>
      </c>
      <c r="C14" s="4">
        <v>46098</v>
      </c>
      <c r="D14" s="3" t="s">
        <v>44</v>
      </c>
      <c r="E14" s="5" t="s">
        <v>584</v>
      </c>
      <c r="F14" s="5" t="s">
        <v>64</v>
      </c>
      <c r="G14" s="3" t="s">
        <v>40</v>
      </c>
      <c r="H14" s="3" t="s">
        <v>36</v>
      </c>
      <c r="I14" s="3" t="s">
        <v>578</v>
      </c>
      <c r="J14" s="3" t="s">
        <v>142</v>
      </c>
      <c r="K14" s="3" t="s">
        <v>293</v>
      </c>
      <c r="L14" s="3">
        <v>44</v>
      </c>
      <c r="M14" s="3">
        <v>53</v>
      </c>
      <c r="N14" s="6">
        <f>IFERROR(M14/L14*100,0)</f>
        <v>0</v>
      </c>
    </row>
    <row r="15" spans="1:16">
      <c r="A15" s="3">
        <v>12</v>
      </c>
      <c r="B15" s="3" t="s">
        <v>596</v>
      </c>
      <c r="C15" s="4">
        <v>46105</v>
      </c>
      <c r="D15" s="3" t="s">
        <v>44</v>
      </c>
      <c r="E15" s="5" t="s">
        <v>588</v>
      </c>
      <c r="F15" s="5" t="s">
        <v>64</v>
      </c>
      <c r="G15" s="3" t="s">
        <v>95</v>
      </c>
      <c r="H15" s="3" t="s">
        <v>93</v>
      </c>
      <c r="I15" s="3" t="s">
        <v>585</v>
      </c>
      <c r="J15" s="3" t="s">
        <v>162</v>
      </c>
      <c r="K15" s="3" t="s">
        <v>293</v>
      </c>
      <c r="L15" s="3">
        <v>40</v>
      </c>
      <c r="M15" s="3">
        <v>43</v>
      </c>
      <c r="N15" s="6">
        <f>IFERROR(M15/L15*100,0)</f>
        <v>0</v>
      </c>
    </row>
    <row r="16" spans="1:16">
      <c r="A16" s="3">
        <v>13</v>
      </c>
      <c r="B16" s="3" t="s">
        <v>597</v>
      </c>
      <c r="C16" s="4">
        <v>46096</v>
      </c>
      <c r="D16" s="3" t="s">
        <v>44</v>
      </c>
      <c r="E16" s="5" t="s">
        <v>590</v>
      </c>
      <c r="F16" s="5" t="s">
        <v>49</v>
      </c>
      <c r="G16" s="3" t="s">
        <v>31</v>
      </c>
      <c r="H16" s="3" t="s">
        <v>41</v>
      </c>
      <c r="I16" s="3" t="s">
        <v>581</v>
      </c>
      <c r="J16" s="3" t="s">
        <v>162</v>
      </c>
      <c r="K16" s="3" t="s">
        <v>293</v>
      </c>
      <c r="L16" s="3">
        <v>38</v>
      </c>
      <c r="M16" s="3">
        <v>23</v>
      </c>
      <c r="N16" s="6">
        <f>IFERROR(M16/L16*100,0)</f>
        <v>0</v>
      </c>
    </row>
    <row r="17" spans="1:14">
      <c r="A17" s="3">
        <v>14</v>
      </c>
      <c r="B17" s="3" t="s">
        <v>598</v>
      </c>
      <c r="C17" s="4">
        <v>46092</v>
      </c>
      <c r="D17" s="3" t="s">
        <v>44</v>
      </c>
      <c r="E17" s="5" t="s">
        <v>594</v>
      </c>
      <c r="F17" s="5" t="s">
        <v>64</v>
      </c>
      <c r="G17" s="3" t="s">
        <v>21</v>
      </c>
      <c r="H17" s="3" t="s">
        <v>68</v>
      </c>
      <c r="I17" s="3" t="s">
        <v>585</v>
      </c>
      <c r="J17" s="3" t="s">
        <v>142</v>
      </c>
      <c r="K17" s="3" t="s">
        <v>293</v>
      </c>
      <c r="L17" s="3">
        <v>44</v>
      </c>
      <c r="M17" s="3">
        <v>23</v>
      </c>
      <c r="N17" s="6">
        <f>IFERROR(M17/L17*100,0)</f>
        <v>0</v>
      </c>
    </row>
    <row r="18" spans="1:14">
      <c r="A18" s="3">
        <v>15</v>
      </c>
      <c r="B18" s="3" t="s">
        <v>599</v>
      </c>
      <c r="C18" s="4">
        <v>46099</v>
      </c>
      <c r="D18" s="3" t="s">
        <v>44</v>
      </c>
      <c r="E18" s="5" t="s">
        <v>590</v>
      </c>
      <c r="F18" s="5" t="s">
        <v>64</v>
      </c>
      <c r="G18" s="3" t="s">
        <v>51</v>
      </c>
      <c r="H18" s="3" t="s">
        <v>66</v>
      </c>
      <c r="I18" s="3" t="s">
        <v>581</v>
      </c>
      <c r="J18" s="3" t="s">
        <v>142</v>
      </c>
      <c r="K18" s="3" t="s">
        <v>297</v>
      </c>
      <c r="L18" s="3">
        <v>41</v>
      </c>
      <c r="M18" s="3">
        <v>53</v>
      </c>
      <c r="N18" s="6">
        <f>IFERROR(M18/L18*100,0)</f>
        <v>0</v>
      </c>
    </row>
    <row r="19" spans="1:14">
      <c r="A19" s="3">
        <v>16</v>
      </c>
      <c r="B19" s="3" t="s">
        <v>600</v>
      </c>
      <c r="C19" s="4">
        <v>46103</v>
      </c>
      <c r="D19" s="3" t="s">
        <v>44</v>
      </c>
      <c r="E19" s="5" t="s">
        <v>577</v>
      </c>
      <c r="F19" s="5" t="s">
        <v>38</v>
      </c>
      <c r="G19" s="3" t="s">
        <v>51</v>
      </c>
      <c r="H19" s="3" t="s">
        <v>66</v>
      </c>
      <c r="I19" s="3" t="s">
        <v>601</v>
      </c>
      <c r="J19" s="3" t="s">
        <v>154</v>
      </c>
      <c r="K19" s="3" t="s">
        <v>293</v>
      </c>
      <c r="L19" s="3">
        <v>41</v>
      </c>
      <c r="M19" s="3">
        <v>11</v>
      </c>
      <c r="N19" s="6">
        <f>IFERROR(M19/L19*100,0)</f>
        <v>0</v>
      </c>
    </row>
    <row r="20" spans="1:14">
      <c r="A20" s="3">
        <v>17</v>
      </c>
      <c r="B20" s="3" t="s">
        <v>602</v>
      </c>
      <c r="C20" s="4">
        <v>46119</v>
      </c>
      <c r="D20" s="3" t="s">
        <v>53</v>
      </c>
      <c r="E20" s="5" t="s">
        <v>584</v>
      </c>
      <c r="F20" s="5" t="s">
        <v>12</v>
      </c>
      <c r="G20" s="3" t="s">
        <v>31</v>
      </c>
      <c r="H20" s="3" t="s">
        <v>15</v>
      </c>
      <c r="I20" s="3" t="s">
        <v>585</v>
      </c>
      <c r="J20" s="3" t="s">
        <v>159</v>
      </c>
      <c r="K20" s="3" t="s">
        <v>293</v>
      </c>
      <c r="L20" s="3">
        <v>58</v>
      </c>
      <c r="M20" s="3">
        <v>39</v>
      </c>
      <c r="N20" s="6">
        <f>IFERROR(M20/L20*100,0)</f>
        <v>0</v>
      </c>
    </row>
    <row r="21" spans="1:14">
      <c r="A21" s="3">
        <v>18</v>
      </c>
      <c r="B21" s="3" t="s">
        <v>603</v>
      </c>
      <c r="C21" s="4">
        <v>46140</v>
      </c>
      <c r="D21" s="3" t="s">
        <v>53</v>
      </c>
      <c r="E21" s="5" t="s">
        <v>577</v>
      </c>
      <c r="F21" s="5" t="s">
        <v>57</v>
      </c>
      <c r="G21" s="3" t="s">
        <v>31</v>
      </c>
      <c r="H21" s="3" t="s">
        <v>22</v>
      </c>
      <c r="I21" s="3" t="s">
        <v>578</v>
      </c>
      <c r="J21" s="3" t="s">
        <v>154</v>
      </c>
      <c r="K21" s="3" t="s">
        <v>293</v>
      </c>
      <c r="L21" s="3">
        <v>49</v>
      </c>
      <c r="M21" s="3">
        <v>24</v>
      </c>
      <c r="N21" s="6">
        <f>IFERROR(M21/L21*100,0)</f>
        <v>0</v>
      </c>
    </row>
    <row r="22" spans="1:14">
      <c r="A22" s="3">
        <v>19</v>
      </c>
      <c r="B22" s="3" t="s">
        <v>604</v>
      </c>
      <c r="C22" s="4">
        <v>46140</v>
      </c>
      <c r="D22" s="3" t="s">
        <v>53</v>
      </c>
      <c r="E22" s="5" t="s">
        <v>594</v>
      </c>
      <c r="F22" s="5" t="s">
        <v>16</v>
      </c>
      <c r="G22" s="3" t="s">
        <v>95</v>
      </c>
      <c r="H22" s="3" t="s">
        <v>36</v>
      </c>
      <c r="I22" s="3" t="s">
        <v>578</v>
      </c>
      <c r="J22" s="3" t="s">
        <v>159</v>
      </c>
      <c r="K22" s="3" t="s">
        <v>293</v>
      </c>
      <c r="L22" s="3">
        <v>34</v>
      </c>
      <c r="M22" s="3">
        <v>59</v>
      </c>
      <c r="N22" s="6">
        <f>IFERROR(M22/L22*100,0)</f>
        <v>0</v>
      </c>
    </row>
    <row r="23" spans="1:14">
      <c r="A23" s="3">
        <v>20</v>
      </c>
      <c r="B23" s="3" t="s">
        <v>605</v>
      </c>
      <c r="C23" s="4">
        <v>46127</v>
      </c>
      <c r="D23" s="3" t="s">
        <v>53</v>
      </c>
      <c r="E23" s="5" t="s">
        <v>584</v>
      </c>
      <c r="F23" s="5" t="s">
        <v>26</v>
      </c>
      <c r="G23" s="3" t="s">
        <v>51</v>
      </c>
      <c r="H23" s="3" t="s">
        <v>62</v>
      </c>
      <c r="I23" s="3" t="s">
        <v>585</v>
      </c>
      <c r="J23" s="3" t="s">
        <v>162</v>
      </c>
      <c r="K23" s="3" t="s">
        <v>293</v>
      </c>
      <c r="L23" s="3">
        <v>30</v>
      </c>
      <c r="M23" s="3">
        <v>51</v>
      </c>
      <c r="N23" s="6">
        <f>IFERROR(M23/L23*100,0)</f>
        <v>0</v>
      </c>
    </row>
    <row r="24" spans="1:14">
      <c r="A24" s="3">
        <v>21</v>
      </c>
      <c r="B24" s="3" t="s">
        <v>606</v>
      </c>
      <c r="C24" s="4">
        <v>46163</v>
      </c>
      <c r="D24" s="3" t="s">
        <v>60</v>
      </c>
      <c r="E24" s="5" t="s">
        <v>588</v>
      </c>
      <c r="F24" s="5" t="s">
        <v>38</v>
      </c>
      <c r="G24" s="3" t="s">
        <v>21</v>
      </c>
      <c r="H24" s="3" t="s">
        <v>28</v>
      </c>
      <c r="I24" s="3" t="s">
        <v>581</v>
      </c>
      <c r="J24" s="3" t="s">
        <v>162</v>
      </c>
      <c r="K24" s="3" t="s">
        <v>293</v>
      </c>
      <c r="L24" s="3">
        <v>47</v>
      </c>
      <c r="M24" s="3">
        <v>41</v>
      </c>
      <c r="N24" s="6">
        <f>IFERROR(M24/L24*100,0)</f>
        <v>0</v>
      </c>
    </row>
    <row r="25" spans="1:14">
      <c r="A25" s="3">
        <v>22</v>
      </c>
      <c r="B25" s="3" t="s">
        <v>607</v>
      </c>
      <c r="C25" s="4">
        <v>46145</v>
      </c>
      <c r="D25" s="3" t="s">
        <v>60</v>
      </c>
      <c r="E25" s="5" t="s">
        <v>588</v>
      </c>
      <c r="F25" s="5" t="s">
        <v>64</v>
      </c>
      <c r="G25" s="3" t="s">
        <v>31</v>
      </c>
      <c r="H25" s="3" t="s">
        <v>7</v>
      </c>
      <c r="I25" s="3" t="s">
        <v>601</v>
      </c>
      <c r="J25" s="3" t="s">
        <v>154</v>
      </c>
      <c r="K25" s="3" t="s">
        <v>254</v>
      </c>
      <c r="L25" s="3">
        <v>29</v>
      </c>
      <c r="M25" s="3">
        <v>16</v>
      </c>
      <c r="N25" s="6">
        <f>IFERROR(M25/L25*100,0)</f>
        <v>0</v>
      </c>
    </row>
    <row r="26" spans="1:14">
      <c r="A26" s="3">
        <v>23</v>
      </c>
      <c r="B26" s="3" t="s">
        <v>608</v>
      </c>
      <c r="C26" s="4">
        <v>46175</v>
      </c>
      <c r="D26" s="3" t="s">
        <v>73</v>
      </c>
      <c r="E26" s="5" t="s">
        <v>594</v>
      </c>
      <c r="F26" s="5" t="s">
        <v>45</v>
      </c>
      <c r="G26" s="3" t="s">
        <v>87</v>
      </c>
      <c r="H26" s="3" t="s">
        <v>22</v>
      </c>
      <c r="I26" s="3" t="s">
        <v>578</v>
      </c>
      <c r="J26" s="3" t="s">
        <v>154</v>
      </c>
      <c r="K26" s="3" t="s">
        <v>293</v>
      </c>
      <c r="L26" s="3">
        <v>33</v>
      </c>
      <c r="M26" s="3">
        <v>47</v>
      </c>
      <c r="N26" s="6">
        <f>IFERROR(M26/L26*100,0)</f>
        <v>0</v>
      </c>
    </row>
    <row r="27" spans="1:14">
      <c r="A27" s="3">
        <v>24</v>
      </c>
      <c r="B27" s="3" t="s">
        <v>609</v>
      </c>
      <c r="C27" s="4">
        <v>46180</v>
      </c>
      <c r="D27" s="3" t="s">
        <v>73</v>
      </c>
      <c r="E27" s="5" t="s">
        <v>588</v>
      </c>
      <c r="F27" s="5" t="s">
        <v>91</v>
      </c>
      <c r="G27" s="3" t="s">
        <v>31</v>
      </c>
      <c r="H27" s="3" t="s">
        <v>93</v>
      </c>
      <c r="I27" s="3" t="s">
        <v>601</v>
      </c>
      <c r="J27" s="3" t="s">
        <v>159</v>
      </c>
      <c r="K27" s="3" t="s">
        <v>293</v>
      </c>
      <c r="L27" s="3">
        <v>41</v>
      </c>
      <c r="M27" s="3">
        <v>12</v>
      </c>
      <c r="N27" s="6">
        <f>IFERROR(M27/L27*100,0)</f>
        <v>0</v>
      </c>
    </row>
    <row r="28" spans="1:14">
      <c r="A28" s="3">
        <v>25</v>
      </c>
      <c r="B28" s="3" t="s">
        <v>610</v>
      </c>
      <c r="C28" s="4">
        <v>46189</v>
      </c>
      <c r="D28" s="3" t="s">
        <v>73</v>
      </c>
      <c r="E28" s="5" t="s">
        <v>588</v>
      </c>
      <c r="F28" s="5" t="s">
        <v>57</v>
      </c>
      <c r="G28" s="3" t="s">
        <v>35</v>
      </c>
      <c r="H28" s="3" t="s">
        <v>93</v>
      </c>
      <c r="I28" s="3" t="s">
        <v>585</v>
      </c>
      <c r="J28" s="3" t="s">
        <v>142</v>
      </c>
      <c r="K28" s="3" t="s">
        <v>297</v>
      </c>
      <c r="L28" s="3">
        <v>21</v>
      </c>
      <c r="M28" s="3">
        <v>58</v>
      </c>
      <c r="N28" s="6">
        <f>IFERROR(M28/L28*100,0)</f>
        <v>0</v>
      </c>
    </row>
    <row r="29" spans="1:14">
      <c r="A29" s="3">
        <v>26</v>
      </c>
      <c r="B29" s="3" t="s">
        <v>611</v>
      </c>
      <c r="C29" s="4">
        <v>46177</v>
      </c>
      <c r="D29" s="3" t="s">
        <v>73</v>
      </c>
      <c r="E29" s="5" t="s">
        <v>594</v>
      </c>
      <c r="F29" s="5" t="s">
        <v>12</v>
      </c>
      <c r="G29" s="3" t="s">
        <v>87</v>
      </c>
      <c r="H29" s="3" t="s">
        <v>62</v>
      </c>
      <c r="I29" s="3" t="s">
        <v>581</v>
      </c>
      <c r="J29" s="3" t="s">
        <v>154</v>
      </c>
      <c r="K29" s="3" t="s">
        <v>254</v>
      </c>
      <c r="L29" s="3">
        <v>20</v>
      </c>
      <c r="M29" s="3">
        <v>24</v>
      </c>
      <c r="N29" s="6">
        <f>IFERROR(M29/L29*100,0)</f>
        <v>0</v>
      </c>
    </row>
    <row r="30" spans="1:14">
      <c r="A30" s="3">
        <v>27</v>
      </c>
      <c r="B30" s="3" t="s">
        <v>612</v>
      </c>
      <c r="C30" s="4">
        <v>46198</v>
      </c>
      <c r="D30" s="3" t="s">
        <v>73</v>
      </c>
      <c r="E30" s="5" t="s">
        <v>588</v>
      </c>
      <c r="F30" s="5" t="s">
        <v>20</v>
      </c>
      <c r="G30" s="3" t="s">
        <v>51</v>
      </c>
      <c r="H30" s="3" t="s">
        <v>22</v>
      </c>
      <c r="I30" s="3" t="s">
        <v>581</v>
      </c>
      <c r="J30" s="3" t="s">
        <v>162</v>
      </c>
      <c r="K30" s="3" t="s">
        <v>293</v>
      </c>
      <c r="L30" s="3">
        <v>11</v>
      </c>
      <c r="M30" s="3">
        <v>38</v>
      </c>
      <c r="N30" s="6">
        <f>IFERROR(M30/L30*100,0)</f>
        <v>0</v>
      </c>
    </row>
    <row r="31" spans="1:14">
      <c r="A31" s="3">
        <v>28</v>
      </c>
      <c r="B31" s="3" t="s">
        <v>613</v>
      </c>
      <c r="C31" s="4">
        <v>46207</v>
      </c>
      <c r="D31" s="3" t="s">
        <v>76</v>
      </c>
      <c r="E31" s="5" t="s">
        <v>588</v>
      </c>
      <c r="F31" s="5" t="s">
        <v>16</v>
      </c>
      <c r="G31" s="3" t="s">
        <v>40</v>
      </c>
      <c r="H31" s="3" t="s">
        <v>66</v>
      </c>
      <c r="I31" s="3" t="s">
        <v>578</v>
      </c>
      <c r="J31" s="3" t="s">
        <v>159</v>
      </c>
      <c r="K31" s="3" t="s">
        <v>297</v>
      </c>
      <c r="L31" s="3">
        <v>30</v>
      </c>
      <c r="M31" s="3">
        <v>31</v>
      </c>
      <c r="N31" s="6">
        <f>IFERROR(M31/L31*100,0)</f>
        <v>0</v>
      </c>
    </row>
    <row r="32" spans="1:14">
      <c r="A32" s="3">
        <v>29</v>
      </c>
      <c r="B32" s="3" t="s">
        <v>614</v>
      </c>
      <c r="C32" s="4">
        <v>46242</v>
      </c>
      <c r="D32" s="3" t="s">
        <v>86</v>
      </c>
      <c r="E32" s="5" t="s">
        <v>580</v>
      </c>
      <c r="F32" s="5" t="s">
        <v>4</v>
      </c>
      <c r="G32" s="3" t="s">
        <v>40</v>
      </c>
      <c r="H32" s="3" t="s">
        <v>78</v>
      </c>
      <c r="I32" s="3" t="s">
        <v>578</v>
      </c>
      <c r="J32" s="3" t="s">
        <v>162</v>
      </c>
      <c r="K32" s="3" t="s">
        <v>297</v>
      </c>
      <c r="L32" s="3">
        <v>19</v>
      </c>
      <c r="M32" s="3">
        <v>49</v>
      </c>
      <c r="N32" s="6">
        <f>IFERROR(M32/L32*100,0)</f>
        <v>0</v>
      </c>
    </row>
    <row r="33" spans="1:14">
      <c r="A33" s="3">
        <v>30</v>
      </c>
      <c r="B33" s="3" t="s">
        <v>615</v>
      </c>
      <c r="C33" s="4">
        <v>46242</v>
      </c>
      <c r="D33" s="3" t="s">
        <v>86</v>
      </c>
      <c r="E33" s="5" t="s">
        <v>590</v>
      </c>
      <c r="F33" s="5" t="s">
        <v>49</v>
      </c>
      <c r="G33" s="3" t="s">
        <v>35</v>
      </c>
      <c r="H33" s="3" t="s">
        <v>22</v>
      </c>
      <c r="I33" s="3" t="s">
        <v>585</v>
      </c>
      <c r="J33" s="3" t="s">
        <v>162</v>
      </c>
      <c r="K33" s="3" t="s">
        <v>238</v>
      </c>
      <c r="L33" s="3">
        <v>60</v>
      </c>
      <c r="M33" s="3">
        <v>12</v>
      </c>
      <c r="N33" s="6">
        <f>IFERROR(M33/L33*100,0)</f>
        <v>0</v>
      </c>
    </row>
    <row r="34" spans="1:14">
      <c r="A34" s="3">
        <v>31</v>
      </c>
      <c r="B34" s="3" t="s">
        <v>616</v>
      </c>
      <c r="C34" s="4">
        <v>46262</v>
      </c>
      <c r="D34" s="3" t="s">
        <v>86</v>
      </c>
      <c r="E34" s="5" t="s">
        <v>588</v>
      </c>
      <c r="F34" s="5" t="s">
        <v>64</v>
      </c>
      <c r="G34" s="3" t="s">
        <v>87</v>
      </c>
      <c r="H34" s="3" t="s">
        <v>66</v>
      </c>
      <c r="I34" s="3" t="s">
        <v>581</v>
      </c>
      <c r="J34" s="3" t="s">
        <v>162</v>
      </c>
      <c r="K34" s="3" t="s">
        <v>297</v>
      </c>
      <c r="L34" s="3">
        <v>59</v>
      </c>
      <c r="M34" s="3">
        <v>59</v>
      </c>
      <c r="N34" s="6">
        <f>IFERROR(M34/L34*100,0)</f>
        <v>0</v>
      </c>
    </row>
    <row r="35" spans="1:14">
      <c r="A35" s="3">
        <v>32</v>
      </c>
      <c r="B35" s="3" t="s">
        <v>617</v>
      </c>
      <c r="C35" s="4">
        <v>46249</v>
      </c>
      <c r="D35" s="3" t="s">
        <v>86</v>
      </c>
      <c r="E35" s="5" t="s">
        <v>584</v>
      </c>
      <c r="F35" s="5" t="s">
        <v>64</v>
      </c>
      <c r="G35" s="3" t="s">
        <v>14</v>
      </c>
      <c r="H35" s="3" t="s">
        <v>104</v>
      </c>
      <c r="I35" s="3" t="s">
        <v>578</v>
      </c>
      <c r="J35" s="3" t="s">
        <v>159</v>
      </c>
      <c r="K35" s="3" t="s">
        <v>297</v>
      </c>
      <c r="L35" s="3">
        <v>36</v>
      </c>
      <c r="M35" s="3">
        <v>48</v>
      </c>
      <c r="N35" s="6">
        <f>IFERROR(M35/L35*100,0)</f>
        <v>0</v>
      </c>
    </row>
    <row r="36" spans="1:14">
      <c r="A36" s="3">
        <v>33</v>
      </c>
      <c r="B36" s="3" t="s">
        <v>618</v>
      </c>
      <c r="C36" s="4">
        <v>46250</v>
      </c>
      <c r="D36" s="3" t="s">
        <v>86</v>
      </c>
      <c r="E36" s="5" t="s">
        <v>580</v>
      </c>
      <c r="F36" s="5" t="s">
        <v>54</v>
      </c>
      <c r="G36" s="3" t="s">
        <v>80</v>
      </c>
      <c r="H36" s="3" t="s">
        <v>41</v>
      </c>
      <c r="I36" s="3" t="s">
        <v>585</v>
      </c>
      <c r="J36" s="3" t="s">
        <v>142</v>
      </c>
      <c r="K36" s="3" t="s">
        <v>297</v>
      </c>
      <c r="L36" s="3">
        <v>58</v>
      </c>
      <c r="M36" s="3">
        <v>11</v>
      </c>
      <c r="N36" s="6">
        <f>IFERROR(M36/L36*100,0)</f>
        <v>0</v>
      </c>
    </row>
    <row r="37" spans="1:14">
      <c r="A37" s="3">
        <v>34</v>
      </c>
      <c r="B37" s="3" t="s">
        <v>619</v>
      </c>
      <c r="C37" s="4">
        <v>46283</v>
      </c>
      <c r="D37" s="3" t="s">
        <v>102</v>
      </c>
      <c r="E37" s="5" t="s">
        <v>580</v>
      </c>
      <c r="F37" s="5" t="s">
        <v>26</v>
      </c>
      <c r="G37" s="3" t="s">
        <v>31</v>
      </c>
      <c r="H37" s="3" t="s">
        <v>70</v>
      </c>
      <c r="I37" s="3" t="s">
        <v>601</v>
      </c>
      <c r="J37" s="3" t="s">
        <v>159</v>
      </c>
      <c r="K37" s="3" t="s">
        <v>293</v>
      </c>
      <c r="L37" s="3">
        <v>19</v>
      </c>
      <c r="M37" s="3">
        <v>30</v>
      </c>
      <c r="N37" s="6">
        <f>IFERROR(M37/L37*100,0)</f>
        <v>0</v>
      </c>
    </row>
    <row r="38" spans="1:14">
      <c r="A38" s="3">
        <v>35</v>
      </c>
      <c r="B38" s="3" t="s">
        <v>620</v>
      </c>
      <c r="C38" s="4">
        <v>46288</v>
      </c>
      <c r="D38" s="3" t="s">
        <v>102</v>
      </c>
      <c r="E38" s="5" t="s">
        <v>590</v>
      </c>
      <c r="F38" s="5" t="s">
        <v>54</v>
      </c>
      <c r="G38" s="3" t="s">
        <v>40</v>
      </c>
      <c r="H38" s="3" t="s">
        <v>15</v>
      </c>
      <c r="I38" s="3" t="s">
        <v>581</v>
      </c>
      <c r="J38" s="3" t="s">
        <v>159</v>
      </c>
      <c r="K38" s="3" t="s">
        <v>293</v>
      </c>
      <c r="L38" s="3">
        <v>14</v>
      </c>
      <c r="M38" s="3">
        <v>31</v>
      </c>
      <c r="N38" s="6">
        <f>IFERROR(M38/L38*100,0)</f>
        <v>0</v>
      </c>
    </row>
    <row r="39" spans="1:14">
      <c r="A39" s="3">
        <v>36</v>
      </c>
      <c r="B39" s="3" t="s">
        <v>621</v>
      </c>
      <c r="C39" s="4">
        <v>46292</v>
      </c>
      <c r="D39" s="3" t="s">
        <v>102</v>
      </c>
      <c r="E39" s="5" t="s">
        <v>590</v>
      </c>
      <c r="F39" s="5" t="s">
        <v>45</v>
      </c>
      <c r="G39" s="3" t="s">
        <v>35</v>
      </c>
      <c r="H39" s="3" t="s">
        <v>62</v>
      </c>
      <c r="I39" s="3" t="s">
        <v>601</v>
      </c>
      <c r="J39" s="3" t="s">
        <v>162</v>
      </c>
      <c r="K39" s="3" t="s">
        <v>238</v>
      </c>
      <c r="L39" s="3">
        <v>35</v>
      </c>
      <c r="M39" s="3">
        <v>24</v>
      </c>
      <c r="N39" s="6">
        <f>IFERROR(M39/L39*100,0)</f>
        <v>0</v>
      </c>
    </row>
    <row r="40" spans="1:14">
      <c r="A40" s="3">
        <v>37</v>
      </c>
      <c r="B40" s="3" t="s">
        <v>622</v>
      </c>
      <c r="C40" s="4">
        <v>46280</v>
      </c>
      <c r="D40" s="3" t="s">
        <v>102</v>
      </c>
      <c r="E40" s="5" t="s">
        <v>590</v>
      </c>
      <c r="F40" s="5" t="s">
        <v>38</v>
      </c>
      <c r="G40" s="3" t="s">
        <v>82</v>
      </c>
      <c r="H40" s="3" t="s">
        <v>22</v>
      </c>
      <c r="I40" s="3" t="s">
        <v>581</v>
      </c>
      <c r="J40" s="3" t="s">
        <v>142</v>
      </c>
      <c r="K40" s="3" t="s">
        <v>297</v>
      </c>
      <c r="L40" s="3">
        <v>29</v>
      </c>
      <c r="M40" s="3">
        <v>23</v>
      </c>
      <c r="N40" s="6">
        <f>IFERROR(M40/L40*100,0)</f>
        <v>0</v>
      </c>
    </row>
    <row r="41" spans="1:14">
      <c r="A41" s="3">
        <v>38</v>
      </c>
      <c r="B41" s="3" t="s">
        <v>623</v>
      </c>
      <c r="C41" s="4">
        <v>46304</v>
      </c>
      <c r="D41" s="3" t="s">
        <v>106</v>
      </c>
      <c r="E41" s="5" t="s">
        <v>580</v>
      </c>
      <c r="F41" s="5" t="s">
        <v>4</v>
      </c>
      <c r="G41" s="3" t="s">
        <v>21</v>
      </c>
      <c r="H41" s="3" t="s">
        <v>22</v>
      </c>
      <c r="I41" s="3" t="s">
        <v>581</v>
      </c>
      <c r="J41" s="3" t="s">
        <v>142</v>
      </c>
      <c r="K41" s="3" t="s">
        <v>293</v>
      </c>
      <c r="L41" s="3">
        <v>29</v>
      </c>
      <c r="M41" s="3">
        <v>36</v>
      </c>
      <c r="N41" s="6">
        <f>IFERROR(M41/L41*100,0)</f>
        <v>0</v>
      </c>
    </row>
    <row r="42" spans="1:14">
      <c r="A42" s="3">
        <v>39</v>
      </c>
      <c r="B42" s="3" t="s">
        <v>624</v>
      </c>
      <c r="C42" s="4">
        <v>46338</v>
      </c>
      <c r="D42" s="3" t="s">
        <v>111</v>
      </c>
      <c r="E42" s="5" t="s">
        <v>584</v>
      </c>
      <c r="F42" s="5" t="s">
        <v>20</v>
      </c>
      <c r="G42" s="3" t="s">
        <v>82</v>
      </c>
      <c r="H42" s="3" t="s">
        <v>66</v>
      </c>
      <c r="I42" s="3" t="s">
        <v>581</v>
      </c>
      <c r="J42" s="3" t="s">
        <v>159</v>
      </c>
      <c r="K42" s="3" t="s">
        <v>297</v>
      </c>
      <c r="L42" s="3">
        <v>24</v>
      </c>
      <c r="M42" s="3">
        <v>14</v>
      </c>
      <c r="N42" s="6">
        <f>IFERROR(M42/L42*100,0)</f>
        <v>0</v>
      </c>
    </row>
    <row r="43" spans="1:14">
      <c r="A43" s="3">
        <v>40</v>
      </c>
      <c r="B43" s="3" t="s">
        <v>625</v>
      </c>
      <c r="C43" s="4">
        <v>46342</v>
      </c>
      <c r="D43" s="3" t="s">
        <v>111</v>
      </c>
      <c r="E43" s="5" t="s">
        <v>588</v>
      </c>
      <c r="F43" s="5" t="s">
        <v>45</v>
      </c>
      <c r="G43" s="3" t="s">
        <v>51</v>
      </c>
      <c r="H43" s="3" t="s">
        <v>66</v>
      </c>
      <c r="I43" s="3" t="s">
        <v>581</v>
      </c>
      <c r="J43" s="3" t="s">
        <v>159</v>
      </c>
      <c r="K43" s="3" t="s">
        <v>293</v>
      </c>
      <c r="L43" s="3">
        <v>26</v>
      </c>
      <c r="M43" s="3">
        <v>48</v>
      </c>
      <c r="N43" s="6">
        <f>IFERROR(M43/L43*100,0)</f>
        <v>0</v>
      </c>
    </row>
    <row r="44" spans="1:14">
      <c r="A44" s="3">
        <v>41</v>
      </c>
      <c r="B44" s="3" t="s">
        <v>626</v>
      </c>
      <c r="C44" s="4">
        <v>46330</v>
      </c>
      <c r="D44" s="3" t="s">
        <v>111</v>
      </c>
      <c r="E44" s="5" t="s">
        <v>588</v>
      </c>
      <c r="F44" s="5" t="s">
        <v>30</v>
      </c>
      <c r="G44" s="3" t="s">
        <v>31</v>
      </c>
      <c r="H44" s="3" t="s">
        <v>62</v>
      </c>
      <c r="I44" s="3" t="s">
        <v>581</v>
      </c>
      <c r="J44" s="3" t="s">
        <v>154</v>
      </c>
      <c r="K44" s="3" t="s">
        <v>293</v>
      </c>
      <c r="L44" s="3">
        <v>22</v>
      </c>
      <c r="M44" s="3">
        <v>32</v>
      </c>
      <c r="N44" s="6">
        <f>IFERROR(M44/L44*100,0)</f>
        <v>0</v>
      </c>
    </row>
    <row r="45" spans="1:14">
      <c r="A45" s="3">
        <v>42</v>
      </c>
      <c r="B45" s="3" t="s">
        <v>627</v>
      </c>
      <c r="C45" s="4">
        <v>46354</v>
      </c>
      <c r="D45" s="3" t="s">
        <v>111</v>
      </c>
      <c r="E45" s="5" t="s">
        <v>584</v>
      </c>
      <c r="F45" s="5" t="s">
        <v>91</v>
      </c>
      <c r="G45" s="3" t="s">
        <v>21</v>
      </c>
      <c r="H45" s="3" t="s">
        <v>78</v>
      </c>
      <c r="I45" s="3" t="s">
        <v>601</v>
      </c>
      <c r="J45" s="3" t="s">
        <v>154</v>
      </c>
      <c r="K45" s="3" t="s">
        <v>293</v>
      </c>
      <c r="L45" s="3">
        <v>18</v>
      </c>
      <c r="M45" s="3">
        <v>26</v>
      </c>
      <c r="N45" s="6">
        <f>IFERROR(M45/L45*100,0)</f>
        <v>0</v>
      </c>
    </row>
    <row r="46" spans="1:14">
      <c r="A46" s="3">
        <v>43</v>
      </c>
      <c r="B46" s="3" t="s">
        <v>628</v>
      </c>
      <c r="C46" s="4">
        <v>46331</v>
      </c>
      <c r="D46" s="3" t="s">
        <v>111</v>
      </c>
      <c r="E46" s="5" t="s">
        <v>590</v>
      </c>
      <c r="F46" s="5" t="s">
        <v>45</v>
      </c>
      <c r="G46" s="3" t="s">
        <v>82</v>
      </c>
      <c r="H46" s="3" t="s">
        <v>66</v>
      </c>
      <c r="I46" s="3" t="s">
        <v>581</v>
      </c>
      <c r="J46" s="3" t="s">
        <v>159</v>
      </c>
      <c r="K46" s="3" t="s">
        <v>297</v>
      </c>
      <c r="L46" s="3">
        <v>29</v>
      </c>
      <c r="M46" s="3">
        <v>13</v>
      </c>
      <c r="N46" s="6">
        <f>IFERROR(M46/L46*100,0)</f>
        <v>0</v>
      </c>
    </row>
    <row r="47" spans="1:14">
      <c r="A47" s="3">
        <v>44</v>
      </c>
      <c r="B47" s="3" t="s">
        <v>629</v>
      </c>
      <c r="C47" s="4">
        <v>46341</v>
      </c>
      <c r="D47" s="3" t="s">
        <v>111</v>
      </c>
      <c r="E47" s="5" t="s">
        <v>594</v>
      </c>
      <c r="F47" s="5" t="s">
        <v>57</v>
      </c>
      <c r="G47" s="3" t="s">
        <v>95</v>
      </c>
      <c r="H47" s="3" t="s">
        <v>36</v>
      </c>
      <c r="I47" s="3" t="s">
        <v>601</v>
      </c>
      <c r="J47" s="3" t="s">
        <v>142</v>
      </c>
      <c r="K47" s="3" t="s">
        <v>254</v>
      </c>
      <c r="L47" s="3">
        <v>37</v>
      </c>
      <c r="M47" s="3">
        <v>42</v>
      </c>
      <c r="N47" s="6">
        <f>IFERROR(M47/L47*100,0)</f>
        <v>0</v>
      </c>
    </row>
    <row r="48" spans="1:14">
      <c r="A48" s="3">
        <v>45</v>
      </c>
      <c r="B48" s="3" t="s">
        <v>630</v>
      </c>
      <c r="C48" s="4">
        <v>46342</v>
      </c>
      <c r="D48" s="3" t="s">
        <v>111</v>
      </c>
      <c r="E48" s="5" t="s">
        <v>590</v>
      </c>
      <c r="F48" s="5" t="s">
        <v>12</v>
      </c>
      <c r="G48" s="3" t="s">
        <v>77</v>
      </c>
      <c r="H48" s="3" t="s">
        <v>41</v>
      </c>
      <c r="I48" s="3" t="s">
        <v>601</v>
      </c>
      <c r="J48" s="3" t="s">
        <v>154</v>
      </c>
      <c r="K48" s="3" t="s">
        <v>254</v>
      </c>
      <c r="L48" s="3">
        <v>40</v>
      </c>
      <c r="M48" s="3">
        <v>21</v>
      </c>
      <c r="N48" s="6">
        <f>IFERROR(M48/L48*100,0)</f>
        <v>0</v>
      </c>
    </row>
    <row r="49" spans="1:14">
      <c r="A49" s="3">
        <v>46</v>
      </c>
      <c r="B49" s="3" t="s">
        <v>631</v>
      </c>
      <c r="C49" s="4">
        <v>46341</v>
      </c>
      <c r="D49" s="3" t="s">
        <v>111</v>
      </c>
      <c r="E49" s="5" t="s">
        <v>577</v>
      </c>
      <c r="F49" s="5" t="s">
        <v>16</v>
      </c>
      <c r="G49" s="3" t="s">
        <v>31</v>
      </c>
      <c r="H49" s="3" t="s">
        <v>78</v>
      </c>
      <c r="I49" s="3" t="s">
        <v>581</v>
      </c>
      <c r="J49" s="3" t="s">
        <v>142</v>
      </c>
      <c r="K49" s="3" t="s">
        <v>293</v>
      </c>
      <c r="L49" s="3">
        <v>54</v>
      </c>
      <c r="M49" s="3">
        <v>20</v>
      </c>
      <c r="N49" s="6">
        <f>IFERROR(M49/L49*100,0)</f>
        <v>0</v>
      </c>
    </row>
    <row r="50" spans="1:14">
      <c r="A50" s="3">
        <v>47</v>
      </c>
      <c r="B50" s="3" t="s">
        <v>632</v>
      </c>
      <c r="C50" s="4">
        <v>46371</v>
      </c>
      <c r="D50" s="3" t="s">
        <v>122</v>
      </c>
      <c r="E50" s="5" t="s">
        <v>584</v>
      </c>
      <c r="F50" s="5" t="s">
        <v>38</v>
      </c>
      <c r="G50" s="3" t="s">
        <v>21</v>
      </c>
      <c r="H50" s="3" t="s">
        <v>93</v>
      </c>
      <c r="I50" s="3" t="s">
        <v>601</v>
      </c>
      <c r="J50" s="3" t="s">
        <v>162</v>
      </c>
      <c r="K50" s="3" t="s">
        <v>293</v>
      </c>
      <c r="L50" s="3">
        <v>46</v>
      </c>
      <c r="M50" s="3">
        <v>29</v>
      </c>
      <c r="N50" s="6">
        <f>IFERROR(M50/L50*100,0)</f>
        <v>0</v>
      </c>
    </row>
    <row r="51" spans="1:14">
      <c r="A51" s="3">
        <v>48</v>
      </c>
      <c r="B51" s="3" t="s">
        <v>633</v>
      </c>
      <c r="C51" s="4">
        <v>46371</v>
      </c>
      <c r="D51" s="3" t="s">
        <v>122</v>
      </c>
      <c r="E51" s="5" t="s">
        <v>590</v>
      </c>
      <c r="F51" s="5" t="s">
        <v>20</v>
      </c>
      <c r="G51" s="3" t="s">
        <v>82</v>
      </c>
      <c r="H51" s="3" t="s">
        <v>93</v>
      </c>
      <c r="I51" s="3" t="s">
        <v>585</v>
      </c>
      <c r="J51" s="3" t="s">
        <v>142</v>
      </c>
      <c r="K51" s="3" t="s">
        <v>293</v>
      </c>
      <c r="L51" s="3">
        <v>57</v>
      </c>
      <c r="M51" s="3">
        <v>44</v>
      </c>
      <c r="N51" s="6">
        <f>IFERROR(M51/L51*100,0)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5003">
      <formula1>L_Status</formula1>
    </dataValidation>
    <dataValidation type="list" allowBlank="1" showInputMessage="1" showErrorMessage="1" sqref="J4:J5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2.7109375" customWidth="1"/>
    <col min="6" max="6" width="10.7109375" customWidth="1"/>
    <col min="7" max="7" width="14.7109375" customWidth="1"/>
    <col min="8" max="9" width="21.7109375" customWidth="1"/>
    <col min="10" max="10" width="17.7109375" customWidth="1"/>
    <col min="11" max="12" width="23.7109375" customWidth="1"/>
    <col min="13" max="13" width="16.7109375" customWidth="1"/>
    <col min="14" max="14" width="19.7109375" customWidth="1"/>
    <col min="15" max="15" width="9.7109375" customWidth="1"/>
  </cols>
  <sheetData>
    <row r="1" spans="1:17" ht="22" customHeight="1">
      <c r="A1" s="1" t="s">
        <v>645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700</v>
      </c>
      <c r="C3" t="s">
        <v>126</v>
      </c>
      <c r="D3" t="s">
        <v>127</v>
      </c>
      <c r="E3" t="s">
        <v>701</v>
      </c>
      <c r="F3" t="s">
        <v>130</v>
      </c>
      <c r="G3" t="s">
        <v>702</v>
      </c>
      <c r="H3" t="s">
        <v>703</v>
      </c>
      <c r="I3" t="s">
        <v>704</v>
      </c>
      <c r="J3" t="s">
        <v>705</v>
      </c>
      <c r="K3" t="s">
        <v>706</v>
      </c>
      <c r="L3" t="s">
        <v>707</v>
      </c>
      <c r="M3" t="s">
        <v>412</v>
      </c>
      <c r="N3" t="s">
        <v>708</v>
      </c>
      <c r="O3" t="s">
        <v>287</v>
      </c>
    </row>
    <row r="4" spans="1:17">
      <c r="A4" s="3">
        <v>1</v>
      </c>
      <c r="B4" s="3" t="s">
        <v>646</v>
      </c>
      <c r="C4" s="4">
        <v>46029</v>
      </c>
      <c r="D4" s="3" t="s">
        <v>3</v>
      </c>
      <c r="E4" s="5" t="s">
        <v>647</v>
      </c>
      <c r="F4" s="5" t="s">
        <v>14</v>
      </c>
      <c r="G4" s="3" t="s">
        <v>28</v>
      </c>
      <c r="H4" s="3">
        <v>37</v>
      </c>
      <c r="I4" s="3">
        <v>58</v>
      </c>
      <c r="J4" s="6">
        <f>IFERROR(I4/H4*100,0)</f>
        <v>0</v>
      </c>
      <c r="K4" s="3">
        <v>21</v>
      </c>
      <c r="L4" s="3">
        <v>4</v>
      </c>
      <c r="M4" s="3" t="s">
        <v>17</v>
      </c>
      <c r="N4" s="3" t="s">
        <v>40</v>
      </c>
      <c r="O4" s="3" t="s">
        <v>254</v>
      </c>
    </row>
    <row r="5" spans="1:17">
      <c r="A5" s="3">
        <v>2</v>
      </c>
      <c r="B5" s="3" t="s">
        <v>648</v>
      </c>
      <c r="C5" s="4">
        <v>46029</v>
      </c>
      <c r="D5" s="3" t="s">
        <v>3</v>
      </c>
      <c r="E5" s="5" t="s">
        <v>649</v>
      </c>
      <c r="F5" s="5" t="s">
        <v>51</v>
      </c>
      <c r="G5" s="3" t="s">
        <v>15</v>
      </c>
      <c r="H5" s="3">
        <v>13</v>
      </c>
      <c r="I5" s="3">
        <v>29</v>
      </c>
      <c r="J5" s="6">
        <f>IFERROR(I5/H5*100,0)</f>
        <v>0</v>
      </c>
      <c r="K5" s="3">
        <v>6</v>
      </c>
      <c r="L5" s="3">
        <v>11</v>
      </c>
      <c r="M5" s="3" t="s">
        <v>17</v>
      </c>
      <c r="N5" s="3" t="s">
        <v>40</v>
      </c>
      <c r="O5" s="3" t="s">
        <v>293</v>
      </c>
    </row>
    <row r="6" spans="1:17">
      <c r="A6" s="3">
        <v>3</v>
      </c>
      <c r="B6" s="3" t="s">
        <v>650</v>
      </c>
      <c r="C6" s="4">
        <v>46050</v>
      </c>
      <c r="D6" s="3" t="s">
        <v>3</v>
      </c>
      <c r="E6" s="5" t="s">
        <v>651</v>
      </c>
      <c r="F6" s="5" t="s">
        <v>35</v>
      </c>
      <c r="G6" s="3" t="s">
        <v>41</v>
      </c>
      <c r="H6" s="3">
        <v>25</v>
      </c>
      <c r="I6" s="3">
        <v>53</v>
      </c>
      <c r="J6" s="6">
        <f>IFERROR(I6/H6*100,0)</f>
        <v>0</v>
      </c>
      <c r="K6" s="3">
        <v>0</v>
      </c>
      <c r="L6" s="3">
        <v>30</v>
      </c>
      <c r="M6" s="3" t="s">
        <v>24</v>
      </c>
      <c r="N6" s="3" t="s">
        <v>95</v>
      </c>
      <c r="O6" s="3" t="s">
        <v>293</v>
      </c>
    </row>
    <row r="7" spans="1:17">
      <c r="A7" s="3">
        <v>4</v>
      </c>
      <c r="B7" s="3" t="s">
        <v>652</v>
      </c>
      <c r="C7" s="4">
        <v>46038</v>
      </c>
      <c r="D7" s="3" t="s">
        <v>3</v>
      </c>
      <c r="E7" s="5" t="s">
        <v>651</v>
      </c>
      <c r="F7" s="5" t="s">
        <v>80</v>
      </c>
      <c r="G7" s="3" t="s">
        <v>66</v>
      </c>
      <c r="H7" s="3">
        <v>12</v>
      </c>
      <c r="I7" s="3">
        <v>35</v>
      </c>
      <c r="J7" s="6">
        <f>IFERROR(I7/H7*100,0)</f>
        <v>0</v>
      </c>
      <c r="K7" s="3">
        <v>3</v>
      </c>
      <c r="L7" s="3">
        <v>14</v>
      </c>
      <c r="M7" s="3" t="s">
        <v>96</v>
      </c>
      <c r="N7" s="3" t="s">
        <v>40</v>
      </c>
      <c r="O7" s="3" t="s">
        <v>293</v>
      </c>
    </row>
    <row r="8" spans="1:17">
      <c r="A8" s="3">
        <v>5</v>
      </c>
      <c r="B8" s="3" t="s">
        <v>653</v>
      </c>
      <c r="C8" s="4">
        <v>46049</v>
      </c>
      <c r="D8" s="3" t="s">
        <v>3</v>
      </c>
      <c r="E8" s="5" t="s">
        <v>654</v>
      </c>
      <c r="F8" s="5" t="s">
        <v>40</v>
      </c>
      <c r="G8" s="3" t="s">
        <v>15</v>
      </c>
      <c r="H8" s="3">
        <v>26</v>
      </c>
      <c r="I8" s="3">
        <v>29</v>
      </c>
      <c r="J8" s="6">
        <f>IFERROR(I8/H8*100,0)</f>
        <v>0</v>
      </c>
      <c r="K8" s="3">
        <v>20</v>
      </c>
      <c r="L8" s="3">
        <v>18</v>
      </c>
      <c r="M8" s="3" t="s">
        <v>17</v>
      </c>
      <c r="N8" s="3" t="s">
        <v>14</v>
      </c>
      <c r="O8" s="3" t="s">
        <v>293</v>
      </c>
    </row>
    <row r="9" spans="1:17">
      <c r="A9" s="3">
        <v>6</v>
      </c>
      <c r="B9" s="3" t="s">
        <v>655</v>
      </c>
      <c r="C9" s="4">
        <v>46065</v>
      </c>
      <c r="D9" s="3" t="s">
        <v>19</v>
      </c>
      <c r="E9" s="5" t="s">
        <v>651</v>
      </c>
      <c r="F9" s="5" t="s">
        <v>31</v>
      </c>
      <c r="G9" s="3" t="s">
        <v>7</v>
      </c>
      <c r="H9" s="3">
        <v>55</v>
      </c>
      <c r="I9" s="3">
        <v>39</v>
      </c>
      <c r="J9" s="6">
        <f>IFERROR(I9/H9*100,0)</f>
        <v>0</v>
      </c>
      <c r="K9" s="3">
        <v>10</v>
      </c>
      <c r="L9" s="3">
        <v>14</v>
      </c>
      <c r="M9" s="3" t="s">
        <v>42</v>
      </c>
      <c r="N9" s="3" t="s">
        <v>77</v>
      </c>
      <c r="O9" s="3" t="s">
        <v>293</v>
      </c>
    </row>
    <row r="10" spans="1:17">
      <c r="A10" s="3">
        <v>7</v>
      </c>
      <c r="B10" s="3" t="s">
        <v>656</v>
      </c>
      <c r="C10" s="4">
        <v>46057</v>
      </c>
      <c r="D10" s="3" t="s">
        <v>19</v>
      </c>
      <c r="E10" s="5" t="s">
        <v>657</v>
      </c>
      <c r="F10" s="5" t="s">
        <v>31</v>
      </c>
      <c r="G10" s="3" t="s">
        <v>32</v>
      </c>
      <c r="H10" s="3">
        <v>38</v>
      </c>
      <c r="I10" s="3">
        <v>25</v>
      </c>
      <c r="J10" s="6">
        <f>IFERROR(I10/H10*100,0)</f>
        <v>0</v>
      </c>
      <c r="K10" s="3">
        <v>26</v>
      </c>
      <c r="L10" s="3">
        <v>12</v>
      </c>
      <c r="M10" s="3" t="s">
        <v>10</v>
      </c>
      <c r="N10" s="3" t="s">
        <v>51</v>
      </c>
      <c r="O10" s="3" t="s">
        <v>254</v>
      </c>
    </row>
    <row r="11" spans="1:17">
      <c r="A11" s="3">
        <v>8</v>
      </c>
      <c r="B11" s="3" t="s">
        <v>658</v>
      </c>
      <c r="C11" s="4">
        <v>46091</v>
      </c>
      <c r="D11" s="3" t="s">
        <v>44</v>
      </c>
      <c r="E11" s="5" t="s">
        <v>659</v>
      </c>
      <c r="F11" s="5" t="s">
        <v>40</v>
      </c>
      <c r="G11" s="3" t="s">
        <v>32</v>
      </c>
      <c r="H11" s="3">
        <v>35</v>
      </c>
      <c r="I11" s="3">
        <v>39</v>
      </c>
      <c r="J11" s="6">
        <f>IFERROR(I11/H11*100,0)</f>
        <v>0</v>
      </c>
      <c r="K11" s="3">
        <v>8</v>
      </c>
      <c r="L11" s="3">
        <v>10</v>
      </c>
      <c r="M11" s="3" t="s">
        <v>42</v>
      </c>
      <c r="N11" s="3" t="s">
        <v>51</v>
      </c>
      <c r="O11" s="3" t="s">
        <v>293</v>
      </c>
    </row>
    <row r="12" spans="1:17">
      <c r="A12" s="3">
        <v>9</v>
      </c>
      <c r="B12" s="3" t="s">
        <v>660</v>
      </c>
      <c r="C12" s="4">
        <v>46097</v>
      </c>
      <c r="D12" s="3" t="s">
        <v>44</v>
      </c>
      <c r="E12" s="5" t="s">
        <v>657</v>
      </c>
      <c r="F12" s="5" t="s">
        <v>87</v>
      </c>
      <c r="G12" s="3" t="s">
        <v>93</v>
      </c>
      <c r="H12" s="3">
        <v>50</v>
      </c>
      <c r="I12" s="3">
        <v>21</v>
      </c>
      <c r="J12" s="6">
        <f>IFERROR(I12/H12*100,0)</f>
        <v>0</v>
      </c>
      <c r="K12" s="3">
        <v>4</v>
      </c>
      <c r="L12" s="3">
        <v>25</v>
      </c>
      <c r="M12" s="3" t="s">
        <v>96</v>
      </c>
      <c r="N12" s="3" t="s">
        <v>35</v>
      </c>
      <c r="O12" s="3" t="s">
        <v>293</v>
      </c>
    </row>
    <row r="13" spans="1:17">
      <c r="A13" s="3">
        <v>10</v>
      </c>
      <c r="B13" s="3" t="s">
        <v>661</v>
      </c>
      <c r="C13" s="4">
        <v>46109</v>
      </c>
      <c r="D13" s="3" t="s">
        <v>44</v>
      </c>
      <c r="E13" s="5" t="s">
        <v>657</v>
      </c>
      <c r="F13" s="5" t="s">
        <v>35</v>
      </c>
      <c r="G13" s="3" t="s">
        <v>93</v>
      </c>
      <c r="H13" s="3">
        <v>26</v>
      </c>
      <c r="I13" s="3">
        <v>36</v>
      </c>
      <c r="J13" s="6">
        <f>IFERROR(I13/H13*100,0)</f>
        <v>0</v>
      </c>
      <c r="K13" s="3">
        <v>10</v>
      </c>
      <c r="L13" s="3">
        <v>24</v>
      </c>
      <c r="M13" s="3" t="s">
        <v>42</v>
      </c>
      <c r="N13" s="3" t="s">
        <v>82</v>
      </c>
      <c r="O13" s="3" t="s">
        <v>293</v>
      </c>
    </row>
    <row r="14" spans="1:17">
      <c r="A14" s="3">
        <v>11</v>
      </c>
      <c r="B14" s="3" t="s">
        <v>662</v>
      </c>
      <c r="C14" s="4">
        <v>46093</v>
      </c>
      <c r="D14" s="3" t="s">
        <v>44</v>
      </c>
      <c r="E14" s="5" t="s">
        <v>651</v>
      </c>
      <c r="F14" s="5" t="s">
        <v>21</v>
      </c>
      <c r="G14" s="3" t="s">
        <v>7</v>
      </c>
      <c r="H14" s="3">
        <v>26</v>
      </c>
      <c r="I14" s="3">
        <v>58</v>
      </c>
      <c r="J14" s="6">
        <f>IFERROR(I14/H14*100,0)</f>
        <v>0</v>
      </c>
      <c r="K14" s="3">
        <v>1</v>
      </c>
      <c r="L14" s="3">
        <v>4</v>
      </c>
      <c r="M14" s="3" t="s">
        <v>96</v>
      </c>
      <c r="N14" s="3" t="s">
        <v>21</v>
      </c>
      <c r="O14" s="3" t="s">
        <v>254</v>
      </c>
    </row>
    <row r="15" spans="1:17">
      <c r="A15" s="3">
        <v>12</v>
      </c>
      <c r="B15" s="3" t="s">
        <v>663</v>
      </c>
      <c r="C15" s="4">
        <v>46098</v>
      </c>
      <c r="D15" s="3" t="s">
        <v>44</v>
      </c>
      <c r="E15" s="5" t="s">
        <v>657</v>
      </c>
      <c r="F15" s="5" t="s">
        <v>40</v>
      </c>
      <c r="G15" s="3" t="s">
        <v>32</v>
      </c>
      <c r="H15" s="3">
        <v>53</v>
      </c>
      <c r="I15" s="3">
        <v>35</v>
      </c>
      <c r="J15" s="6">
        <f>IFERROR(I15/H15*100,0)</f>
        <v>0</v>
      </c>
      <c r="K15" s="3">
        <v>22</v>
      </c>
      <c r="L15" s="3">
        <v>19</v>
      </c>
      <c r="M15" s="3" t="s">
        <v>96</v>
      </c>
      <c r="N15" s="3" t="s">
        <v>31</v>
      </c>
      <c r="O15" s="3" t="s">
        <v>293</v>
      </c>
    </row>
    <row r="16" spans="1:17">
      <c r="A16" s="3">
        <v>13</v>
      </c>
      <c r="B16" s="3" t="s">
        <v>664</v>
      </c>
      <c r="C16" s="4">
        <v>46120</v>
      </c>
      <c r="D16" s="3" t="s">
        <v>53</v>
      </c>
      <c r="E16" s="5" t="s">
        <v>657</v>
      </c>
      <c r="F16" s="5" t="s">
        <v>77</v>
      </c>
      <c r="G16" s="3" t="s">
        <v>93</v>
      </c>
      <c r="H16" s="3">
        <v>35</v>
      </c>
      <c r="I16" s="3">
        <v>11</v>
      </c>
      <c r="J16" s="6">
        <f>IFERROR(I16/H16*100,0)</f>
        <v>0</v>
      </c>
      <c r="K16" s="3">
        <v>2</v>
      </c>
      <c r="L16" s="3">
        <v>6</v>
      </c>
      <c r="M16" s="3" t="s">
        <v>17</v>
      </c>
      <c r="N16" s="3" t="s">
        <v>87</v>
      </c>
      <c r="O16" s="3" t="s">
        <v>293</v>
      </c>
    </row>
    <row r="17" spans="1:15">
      <c r="A17" s="3">
        <v>14</v>
      </c>
      <c r="B17" s="3" t="s">
        <v>665</v>
      </c>
      <c r="C17" s="4">
        <v>46117</v>
      </c>
      <c r="D17" s="3" t="s">
        <v>53</v>
      </c>
      <c r="E17" s="5" t="s">
        <v>649</v>
      </c>
      <c r="F17" s="5" t="s">
        <v>14</v>
      </c>
      <c r="G17" s="3" t="s">
        <v>68</v>
      </c>
      <c r="H17" s="3">
        <v>34</v>
      </c>
      <c r="I17" s="3">
        <v>58</v>
      </c>
      <c r="J17" s="6">
        <f>IFERROR(I17/H17*100,0)</f>
        <v>0</v>
      </c>
      <c r="K17" s="3">
        <v>15</v>
      </c>
      <c r="L17" s="3">
        <v>1</v>
      </c>
      <c r="M17" s="3" t="s">
        <v>96</v>
      </c>
      <c r="N17" s="3" t="s">
        <v>21</v>
      </c>
      <c r="O17" s="3" t="s">
        <v>293</v>
      </c>
    </row>
    <row r="18" spans="1:15">
      <c r="A18" s="3">
        <v>15</v>
      </c>
      <c r="B18" s="3" t="s">
        <v>666</v>
      </c>
      <c r="C18" s="4">
        <v>46136</v>
      </c>
      <c r="D18" s="3" t="s">
        <v>53</v>
      </c>
      <c r="E18" s="5" t="s">
        <v>659</v>
      </c>
      <c r="F18" s="5" t="s">
        <v>14</v>
      </c>
      <c r="G18" s="3" t="s">
        <v>93</v>
      </c>
      <c r="H18" s="3">
        <v>42</v>
      </c>
      <c r="I18" s="3">
        <v>57</v>
      </c>
      <c r="J18" s="6">
        <f>IFERROR(I18/H18*100,0)</f>
        <v>0</v>
      </c>
      <c r="K18" s="3">
        <v>14</v>
      </c>
      <c r="L18" s="3">
        <v>30</v>
      </c>
      <c r="M18" s="3" t="s">
        <v>96</v>
      </c>
      <c r="N18" s="3" t="s">
        <v>51</v>
      </c>
      <c r="O18" s="3" t="s">
        <v>293</v>
      </c>
    </row>
    <row r="19" spans="1:15">
      <c r="A19" s="3">
        <v>16</v>
      </c>
      <c r="B19" s="3" t="s">
        <v>667</v>
      </c>
      <c r="C19" s="4">
        <v>46132</v>
      </c>
      <c r="D19" s="3" t="s">
        <v>53</v>
      </c>
      <c r="E19" s="5" t="s">
        <v>659</v>
      </c>
      <c r="F19" s="5" t="s">
        <v>87</v>
      </c>
      <c r="G19" s="3" t="s">
        <v>78</v>
      </c>
      <c r="H19" s="3">
        <v>11</v>
      </c>
      <c r="I19" s="3">
        <v>44</v>
      </c>
      <c r="J19" s="6">
        <f>IFERROR(I19/H19*100,0)</f>
        <v>0</v>
      </c>
      <c r="K19" s="3">
        <v>29</v>
      </c>
      <c r="L19" s="3">
        <v>0</v>
      </c>
      <c r="M19" s="3" t="s">
        <v>17</v>
      </c>
      <c r="N19" s="3" t="s">
        <v>21</v>
      </c>
      <c r="O19" s="3" t="s">
        <v>254</v>
      </c>
    </row>
    <row r="20" spans="1:15">
      <c r="A20" s="3">
        <v>17</v>
      </c>
      <c r="B20" s="3" t="s">
        <v>668</v>
      </c>
      <c r="C20" s="4">
        <v>46147</v>
      </c>
      <c r="D20" s="3" t="s">
        <v>60</v>
      </c>
      <c r="E20" s="5" t="s">
        <v>651</v>
      </c>
      <c r="F20" s="5" t="s">
        <v>95</v>
      </c>
      <c r="G20" s="3" t="s">
        <v>7</v>
      </c>
      <c r="H20" s="3">
        <v>31</v>
      </c>
      <c r="I20" s="3">
        <v>25</v>
      </c>
      <c r="J20" s="6">
        <f>IFERROR(I20/H20*100,0)</f>
        <v>0</v>
      </c>
      <c r="K20" s="3">
        <v>8</v>
      </c>
      <c r="L20" s="3">
        <v>10</v>
      </c>
      <c r="M20" s="3" t="s">
        <v>17</v>
      </c>
      <c r="N20" s="3" t="s">
        <v>51</v>
      </c>
      <c r="O20" s="3" t="s">
        <v>293</v>
      </c>
    </row>
    <row r="21" spans="1:15">
      <c r="A21" s="3">
        <v>18</v>
      </c>
      <c r="B21" s="3" t="s">
        <v>669</v>
      </c>
      <c r="C21" s="4">
        <v>46168</v>
      </c>
      <c r="D21" s="3" t="s">
        <v>60</v>
      </c>
      <c r="E21" s="5" t="s">
        <v>649</v>
      </c>
      <c r="F21" s="5" t="s">
        <v>6</v>
      </c>
      <c r="G21" s="3" t="s">
        <v>28</v>
      </c>
      <c r="H21" s="3">
        <v>44</v>
      </c>
      <c r="I21" s="3">
        <v>30</v>
      </c>
      <c r="J21" s="6">
        <f>IFERROR(I21/H21*100,0)</f>
        <v>0</v>
      </c>
      <c r="K21" s="3">
        <v>18</v>
      </c>
      <c r="L21" s="3">
        <v>15</v>
      </c>
      <c r="M21" s="3" t="s">
        <v>10</v>
      </c>
      <c r="N21" s="3" t="s">
        <v>95</v>
      </c>
      <c r="O21" s="3" t="s">
        <v>297</v>
      </c>
    </row>
    <row r="22" spans="1:15">
      <c r="A22" s="3">
        <v>19</v>
      </c>
      <c r="B22" s="3" t="s">
        <v>670</v>
      </c>
      <c r="C22" s="4">
        <v>46144</v>
      </c>
      <c r="D22" s="3" t="s">
        <v>60</v>
      </c>
      <c r="E22" s="5" t="s">
        <v>649</v>
      </c>
      <c r="F22" s="5" t="s">
        <v>77</v>
      </c>
      <c r="G22" s="3" t="s">
        <v>78</v>
      </c>
      <c r="H22" s="3">
        <v>27</v>
      </c>
      <c r="I22" s="3">
        <v>45</v>
      </c>
      <c r="J22" s="6">
        <f>IFERROR(I22/H22*100,0)</f>
        <v>0</v>
      </c>
      <c r="K22" s="3">
        <v>28</v>
      </c>
      <c r="L22" s="3">
        <v>14</v>
      </c>
      <c r="M22" s="3" t="s">
        <v>42</v>
      </c>
      <c r="N22" s="3" t="s">
        <v>6</v>
      </c>
      <c r="O22" s="3" t="s">
        <v>297</v>
      </c>
    </row>
    <row r="23" spans="1:15">
      <c r="A23" s="3">
        <v>20</v>
      </c>
      <c r="B23" s="3" t="s">
        <v>671</v>
      </c>
      <c r="C23" s="4">
        <v>46158</v>
      </c>
      <c r="D23" s="3" t="s">
        <v>60</v>
      </c>
      <c r="E23" s="5" t="s">
        <v>657</v>
      </c>
      <c r="F23" s="5" t="s">
        <v>35</v>
      </c>
      <c r="G23" s="3" t="s">
        <v>22</v>
      </c>
      <c r="H23" s="3">
        <v>49</v>
      </c>
      <c r="I23" s="3">
        <v>28</v>
      </c>
      <c r="J23" s="6">
        <f>IFERROR(I23/H23*100,0)</f>
        <v>0</v>
      </c>
      <c r="K23" s="3">
        <v>4</v>
      </c>
      <c r="L23" s="3">
        <v>24</v>
      </c>
      <c r="M23" s="3" t="s">
        <v>17</v>
      </c>
      <c r="N23" s="3" t="s">
        <v>21</v>
      </c>
      <c r="O23" s="3" t="s">
        <v>293</v>
      </c>
    </row>
    <row r="24" spans="1:15">
      <c r="A24" s="3">
        <v>21</v>
      </c>
      <c r="B24" s="3" t="s">
        <v>672</v>
      </c>
      <c r="C24" s="4">
        <v>46189</v>
      </c>
      <c r="D24" s="3" t="s">
        <v>73</v>
      </c>
      <c r="E24" s="5" t="s">
        <v>654</v>
      </c>
      <c r="F24" s="5" t="s">
        <v>40</v>
      </c>
      <c r="G24" s="3" t="s">
        <v>62</v>
      </c>
      <c r="H24" s="3">
        <v>42</v>
      </c>
      <c r="I24" s="3">
        <v>33</v>
      </c>
      <c r="J24" s="6">
        <f>IFERROR(I24/H24*100,0)</f>
        <v>0</v>
      </c>
      <c r="K24" s="3">
        <v>8</v>
      </c>
      <c r="L24" s="3">
        <v>23</v>
      </c>
      <c r="M24" s="3" t="s">
        <v>96</v>
      </c>
      <c r="N24" s="3" t="s">
        <v>87</v>
      </c>
      <c r="O24" s="3" t="s">
        <v>254</v>
      </c>
    </row>
    <row r="25" spans="1:15">
      <c r="A25" s="3">
        <v>22</v>
      </c>
      <c r="B25" s="3" t="s">
        <v>673</v>
      </c>
      <c r="C25" s="4">
        <v>46179</v>
      </c>
      <c r="D25" s="3" t="s">
        <v>73</v>
      </c>
      <c r="E25" s="5" t="s">
        <v>647</v>
      </c>
      <c r="F25" s="5" t="s">
        <v>87</v>
      </c>
      <c r="G25" s="3" t="s">
        <v>78</v>
      </c>
      <c r="H25" s="3">
        <v>16</v>
      </c>
      <c r="I25" s="3">
        <v>41</v>
      </c>
      <c r="J25" s="6">
        <f>IFERROR(I25/H25*100,0)</f>
        <v>0</v>
      </c>
      <c r="K25" s="3">
        <v>21</v>
      </c>
      <c r="L25" s="3">
        <v>12</v>
      </c>
      <c r="M25" s="3" t="s">
        <v>17</v>
      </c>
      <c r="N25" s="3" t="s">
        <v>35</v>
      </c>
      <c r="O25" s="3" t="s">
        <v>293</v>
      </c>
    </row>
    <row r="26" spans="1:15">
      <c r="A26" s="3">
        <v>23</v>
      </c>
      <c r="B26" s="3" t="s">
        <v>674</v>
      </c>
      <c r="C26" s="4">
        <v>46189</v>
      </c>
      <c r="D26" s="3" t="s">
        <v>73</v>
      </c>
      <c r="E26" s="5" t="s">
        <v>651</v>
      </c>
      <c r="F26" s="5" t="s">
        <v>82</v>
      </c>
      <c r="G26" s="3" t="s">
        <v>32</v>
      </c>
      <c r="H26" s="3">
        <v>56</v>
      </c>
      <c r="I26" s="3">
        <v>16</v>
      </c>
      <c r="J26" s="6">
        <f>IFERROR(I26/H26*100,0)</f>
        <v>0</v>
      </c>
      <c r="K26" s="3">
        <v>3</v>
      </c>
      <c r="L26" s="3">
        <v>25</v>
      </c>
      <c r="M26" s="3" t="s">
        <v>17</v>
      </c>
      <c r="N26" s="3" t="s">
        <v>31</v>
      </c>
      <c r="O26" s="3" t="s">
        <v>254</v>
      </c>
    </row>
    <row r="27" spans="1:15">
      <c r="A27" s="3">
        <v>24</v>
      </c>
      <c r="B27" s="3" t="s">
        <v>675</v>
      </c>
      <c r="C27" s="4">
        <v>46183</v>
      </c>
      <c r="D27" s="3" t="s">
        <v>73</v>
      </c>
      <c r="E27" s="5" t="s">
        <v>649</v>
      </c>
      <c r="F27" s="5" t="s">
        <v>95</v>
      </c>
      <c r="G27" s="3" t="s">
        <v>7</v>
      </c>
      <c r="H27" s="3">
        <v>43</v>
      </c>
      <c r="I27" s="3">
        <v>12</v>
      </c>
      <c r="J27" s="6">
        <f>IFERROR(I27/H27*100,0)</f>
        <v>0</v>
      </c>
      <c r="K27" s="3">
        <v>22</v>
      </c>
      <c r="L27" s="3">
        <v>27</v>
      </c>
      <c r="M27" s="3" t="s">
        <v>24</v>
      </c>
      <c r="N27" s="3" t="s">
        <v>82</v>
      </c>
      <c r="O27" s="3" t="s">
        <v>293</v>
      </c>
    </row>
    <row r="28" spans="1:15">
      <c r="A28" s="3">
        <v>25</v>
      </c>
      <c r="B28" s="3" t="s">
        <v>676</v>
      </c>
      <c r="C28" s="4">
        <v>46196</v>
      </c>
      <c r="D28" s="3" t="s">
        <v>73</v>
      </c>
      <c r="E28" s="5" t="s">
        <v>651</v>
      </c>
      <c r="F28" s="5" t="s">
        <v>21</v>
      </c>
      <c r="G28" s="3" t="s">
        <v>15</v>
      </c>
      <c r="H28" s="3">
        <v>52</v>
      </c>
      <c r="I28" s="3">
        <v>16</v>
      </c>
      <c r="J28" s="6">
        <f>IFERROR(I28/H28*100,0)</f>
        <v>0</v>
      </c>
      <c r="K28" s="3">
        <v>23</v>
      </c>
      <c r="L28" s="3">
        <v>0</v>
      </c>
      <c r="M28" s="3" t="s">
        <v>24</v>
      </c>
      <c r="N28" s="3" t="s">
        <v>14</v>
      </c>
      <c r="O28" s="3" t="s">
        <v>293</v>
      </c>
    </row>
    <row r="29" spans="1:15">
      <c r="A29" s="3">
        <v>26</v>
      </c>
      <c r="B29" s="3" t="s">
        <v>677</v>
      </c>
      <c r="C29" s="4">
        <v>46182</v>
      </c>
      <c r="D29" s="3" t="s">
        <v>73</v>
      </c>
      <c r="E29" s="5" t="s">
        <v>657</v>
      </c>
      <c r="F29" s="5" t="s">
        <v>87</v>
      </c>
      <c r="G29" s="3" t="s">
        <v>104</v>
      </c>
      <c r="H29" s="3">
        <v>22</v>
      </c>
      <c r="I29" s="3">
        <v>11</v>
      </c>
      <c r="J29" s="6">
        <f>IFERROR(I29/H29*100,0)</f>
        <v>0</v>
      </c>
      <c r="K29" s="3">
        <v>23</v>
      </c>
      <c r="L29" s="3">
        <v>24</v>
      </c>
      <c r="M29" s="3" t="s">
        <v>42</v>
      </c>
      <c r="N29" s="3" t="s">
        <v>21</v>
      </c>
      <c r="O29" s="3" t="s">
        <v>297</v>
      </c>
    </row>
    <row r="30" spans="1:15">
      <c r="A30" s="3">
        <v>27</v>
      </c>
      <c r="B30" s="3" t="s">
        <v>678</v>
      </c>
      <c r="C30" s="4">
        <v>46194</v>
      </c>
      <c r="D30" s="3" t="s">
        <v>73</v>
      </c>
      <c r="E30" s="5" t="s">
        <v>651</v>
      </c>
      <c r="F30" s="5" t="s">
        <v>14</v>
      </c>
      <c r="G30" s="3" t="s">
        <v>70</v>
      </c>
      <c r="H30" s="3">
        <v>30</v>
      </c>
      <c r="I30" s="3">
        <v>45</v>
      </c>
      <c r="J30" s="6">
        <f>IFERROR(I30/H30*100,0)</f>
        <v>0</v>
      </c>
      <c r="K30" s="3">
        <v>19</v>
      </c>
      <c r="L30" s="3">
        <v>24</v>
      </c>
      <c r="M30" s="3" t="s">
        <v>42</v>
      </c>
      <c r="N30" s="3" t="s">
        <v>51</v>
      </c>
      <c r="O30" s="3" t="s">
        <v>297</v>
      </c>
    </row>
    <row r="31" spans="1:15">
      <c r="A31" s="3">
        <v>28</v>
      </c>
      <c r="B31" s="3" t="s">
        <v>679</v>
      </c>
      <c r="C31" s="4">
        <v>46226</v>
      </c>
      <c r="D31" s="3" t="s">
        <v>76</v>
      </c>
      <c r="E31" s="5" t="s">
        <v>657</v>
      </c>
      <c r="F31" s="5" t="s">
        <v>14</v>
      </c>
      <c r="G31" s="3" t="s">
        <v>22</v>
      </c>
      <c r="H31" s="3">
        <v>58</v>
      </c>
      <c r="I31" s="3">
        <v>48</v>
      </c>
      <c r="J31" s="6">
        <f>IFERROR(I31/H31*100,0)</f>
        <v>0</v>
      </c>
      <c r="K31" s="3">
        <v>21</v>
      </c>
      <c r="L31" s="3">
        <v>30</v>
      </c>
      <c r="M31" s="3" t="s">
        <v>96</v>
      </c>
      <c r="N31" s="3" t="s">
        <v>95</v>
      </c>
      <c r="O31" s="3" t="s">
        <v>293</v>
      </c>
    </row>
    <row r="32" spans="1:15">
      <c r="A32" s="3">
        <v>29</v>
      </c>
      <c r="B32" s="3" t="s">
        <v>680</v>
      </c>
      <c r="C32" s="4">
        <v>46210</v>
      </c>
      <c r="D32" s="3" t="s">
        <v>76</v>
      </c>
      <c r="E32" s="5" t="s">
        <v>651</v>
      </c>
      <c r="F32" s="5" t="s">
        <v>51</v>
      </c>
      <c r="G32" s="3" t="s">
        <v>104</v>
      </c>
      <c r="H32" s="3">
        <v>38</v>
      </c>
      <c r="I32" s="3">
        <v>55</v>
      </c>
      <c r="J32" s="6">
        <f>IFERROR(I32/H32*100,0)</f>
        <v>0</v>
      </c>
      <c r="K32" s="3">
        <v>30</v>
      </c>
      <c r="L32" s="3">
        <v>16</v>
      </c>
      <c r="M32" s="3" t="s">
        <v>17</v>
      </c>
      <c r="N32" s="3" t="s">
        <v>82</v>
      </c>
      <c r="O32" s="3" t="s">
        <v>293</v>
      </c>
    </row>
    <row r="33" spans="1:15">
      <c r="A33" s="3">
        <v>30</v>
      </c>
      <c r="B33" s="3" t="s">
        <v>681</v>
      </c>
      <c r="C33" s="4">
        <v>46218</v>
      </c>
      <c r="D33" s="3" t="s">
        <v>76</v>
      </c>
      <c r="E33" s="5" t="s">
        <v>657</v>
      </c>
      <c r="F33" s="5" t="s">
        <v>35</v>
      </c>
      <c r="G33" s="3" t="s">
        <v>68</v>
      </c>
      <c r="H33" s="3">
        <v>18</v>
      </c>
      <c r="I33" s="3">
        <v>27</v>
      </c>
      <c r="J33" s="6">
        <f>IFERROR(I33/H33*100,0)</f>
        <v>0</v>
      </c>
      <c r="K33" s="3">
        <v>22</v>
      </c>
      <c r="L33" s="3">
        <v>15</v>
      </c>
      <c r="M33" s="3" t="s">
        <v>17</v>
      </c>
      <c r="N33" s="3" t="s">
        <v>87</v>
      </c>
      <c r="O33" s="3" t="s">
        <v>293</v>
      </c>
    </row>
    <row r="34" spans="1:15">
      <c r="A34" s="3">
        <v>31</v>
      </c>
      <c r="B34" s="3" t="s">
        <v>682</v>
      </c>
      <c r="C34" s="4">
        <v>46249</v>
      </c>
      <c r="D34" s="3" t="s">
        <v>86</v>
      </c>
      <c r="E34" s="5" t="s">
        <v>649</v>
      </c>
      <c r="F34" s="5" t="s">
        <v>31</v>
      </c>
      <c r="G34" s="3" t="s">
        <v>28</v>
      </c>
      <c r="H34" s="3">
        <v>35</v>
      </c>
      <c r="I34" s="3">
        <v>56</v>
      </c>
      <c r="J34" s="6">
        <f>IFERROR(I34/H34*100,0)</f>
        <v>0</v>
      </c>
      <c r="K34" s="3">
        <v>25</v>
      </c>
      <c r="L34" s="3">
        <v>8</v>
      </c>
      <c r="M34" s="3" t="s">
        <v>10</v>
      </c>
      <c r="N34" s="3" t="s">
        <v>6</v>
      </c>
      <c r="O34" s="3" t="s">
        <v>293</v>
      </c>
    </row>
    <row r="35" spans="1:15">
      <c r="A35" s="3">
        <v>32</v>
      </c>
      <c r="B35" s="3" t="s">
        <v>683</v>
      </c>
      <c r="C35" s="4">
        <v>46254</v>
      </c>
      <c r="D35" s="3" t="s">
        <v>86</v>
      </c>
      <c r="E35" s="5" t="s">
        <v>657</v>
      </c>
      <c r="F35" s="5" t="s">
        <v>95</v>
      </c>
      <c r="G35" s="3" t="s">
        <v>93</v>
      </c>
      <c r="H35" s="3">
        <v>10</v>
      </c>
      <c r="I35" s="3">
        <v>40</v>
      </c>
      <c r="J35" s="6">
        <f>IFERROR(I35/H35*100,0)</f>
        <v>0</v>
      </c>
      <c r="K35" s="3">
        <v>14</v>
      </c>
      <c r="L35" s="3">
        <v>15</v>
      </c>
      <c r="M35" s="3" t="s">
        <v>96</v>
      </c>
      <c r="N35" s="3" t="s">
        <v>95</v>
      </c>
      <c r="O35" s="3" t="s">
        <v>293</v>
      </c>
    </row>
    <row r="36" spans="1:15">
      <c r="A36" s="3">
        <v>33</v>
      </c>
      <c r="B36" s="3" t="s">
        <v>684</v>
      </c>
      <c r="C36" s="4">
        <v>46238</v>
      </c>
      <c r="D36" s="3" t="s">
        <v>86</v>
      </c>
      <c r="E36" s="5" t="s">
        <v>651</v>
      </c>
      <c r="F36" s="5" t="s">
        <v>40</v>
      </c>
      <c r="G36" s="3" t="s">
        <v>36</v>
      </c>
      <c r="H36" s="3">
        <v>50</v>
      </c>
      <c r="I36" s="3">
        <v>26</v>
      </c>
      <c r="J36" s="6">
        <f>IFERROR(I36/H36*100,0)</f>
        <v>0</v>
      </c>
      <c r="K36" s="3">
        <v>14</v>
      </c>
      <c r="L36" s="3">
        <v>5</v>
      </c>
      <c r="M36" s="3" t="s">
        <v>96</v>
      </c>
      <c r="N36" s="3" t="s">
        <v>40</v>
      </c>
      <c r="O36" s="3" t="s">
        <v>293</v>
      </c>
    </row>
    <row r="37" spans="1:15">
      <c r="A37" s="3">
        <v>34</v>
      </c>
      <c r="B37" s="3" t="s">
        <v>685</v>
      </c>
      <c r="C37" s="4">
        <v>46247</v>
      </c>
      <c r="D37" s="3" t="s">
        <v>86</v>
      </c>
      <c r="E37" s="5" t="s">
        <v>654</v>
      </c>
      <c r="F37" s="5" t="s">
        <v>14</v>
      </c>
      <c r="G37" s="3" t="s">
        <v>104</v>
      </c>
      <c r="H37" s="3">
        <v>60</v>
      </c>
      <c r="I37" s="3">
        <v>53</v>
      </c>
      <c r="J37" s="6">
        <f>IFERROR(I37/H37*100,0)</f>
        <v>0</v>
      </c>
      <c r="K37" s="3">
        <v>29</v>
      </c>
      <c r="L37" s="3">
        <v>10</v>
      </c>
      <c r="M37" s="3" t="s">
        <v>10</v>
      </c>
      <c r="N37" s="3" t="s">
        <v>35</v>
      </c>
      <c r="O37" s="3" t="s">
        <v>254</v>
      </c>
    </row>
    <row r="38" spans="1:15">
      <c r="A38" s="3">
        <v>35</v>
      </c>
      <c r="B38" s="3" t="s">
        <v>686</v>
      </c>
      <c r="C38" s="4">
        <v>46255</v>
      </c>
      <c r="D38" s="3" t="s">
        <v>86</v>
      </c>
      <c r="E38" s="5" t="s">
        <v>651</v>
      </c>
      <c r="F38" s="5" t="s">
        <v>14</v>
      </c>
      <c r="G38" s="3" t="s">
        <v>32</v>
      </c>
      <c r="H38" s="3">
        <v>17</v>
      </c>
      <c r="I38" s="3">
        <v>17</v>
      </c>
      <c r="J38" s="6">
        <f>IFERROR(I38/H38*100,0)</f>
        <v>0</v>
      </c>
      <c r="K38" s="3">
        <v>4</v>
      </c>
      <c r="L38" s="3">
        <v>6</v>
      </c>
      <c r="M38" s="3" t="s">
        <v>17</v>
      </c>
      <c r="N38" s="3" t="s">
        <v>95</v>
      </c>
      <c r="O38" s="3" t="s">
        <v>293</v>
      </c>
    </row>
    <row r="39" spans="1:15">
      <c r="A39" s="3">
        <v>36</v>
      </c>
      <c r="B39" s="3" t="s">
        <v>687</v>
      </c>
      <c r="C39" s="4">
        <v>46288</v>
      </c>
      <c r="D39" s="3" t="s">
        <v>102</v>
      </c>
      <c r="E39" s="5" t="s">
        <v>657</v>
      </c>
      <c r="F39" s="5" t="s">
        <v>6</v>
      </c>
      <c r="G39" s="3" t="s">
        <v>66</v>
      </c>
      <c r="H39" s="3">
        <v>45</v>
      </c>
      <c r="I39" s="3">
        <v>30</v>
      </c>
      <c r="J39" s="6">
        <f>IFERROR(I39/H39*100,0)</f>
        <v>0</v>
      </c>
      <c r="K39" s="3">
        <v>27</v>
      </c>
      <c r="L39" s="3">
        <v>14</v>
      </c>
      <c r="M39" s="3" t="s">
        <v>42</v>
      </c>
      <c r="N39" s="3" t="s">
        <v>82</v>
      </c>
      <c r="O39" s="3" t="s">
        <v>293</v>
      </c>
    </row>
    <row r="40" spans="1:15">
      <c r="A40" s="3">
        <v>37</v>
      </c>
      <c r="B40" s="3" t="s">
        <v>688</v>
      </c>
      <c r="C40" s="4">
        <v>46279</v>
      </c>
      <c r="D40" s="3" t="s">
        <v>102</v>
      </c>
      <c r="E40" s="5" t="s">
        <v>657</v>
      </c>
      <c r="F40" s="5" t="s">
        <v>6</v>
      </c>
      <c r="G40" s="3" t="s">
        <v>66</v>
      </c>
      <c r="H40" s="3">
        <v>12</v>
      </c>
      <c r="I40" s="3">
        <v>29</v>
      </c>
      <c r="J40" s="6">
        <f>IFERROR(I40/H40*100,0)</f>
        <v>0</v>
      </c>
      <c r="K40" s="3">
        <v>15</v>
      </c>
      <c r="L40" s="3">
        <v>5</v>
      </c>
      <c r="M40" s="3" t="s">
        <v>24</v>
      </c>
      <c r="N40" s="3" t="s">
        <v>77</v>
      </c>
      <c r="O40" s="3" t="s">
        <v>293</v>
      </c>
    </row>
    <row r="41" spans="1:15">
      <c r="A41" s="3">
        <v>38</v>
      </c>
      <c r="B41" s="3" t="s">
        <v>689</v>
      </c>
      <c r="C41" s="4">
        <v>46290</v>
      </c>
      <c r="D41" s="3" t="s">
        <v>102</v>
      </c>
      <c r="E41" s="5" t="s">
        <v>649</v>
      </c>
      <c r="F41" s="5" t="s">
        <v>6</v>
      </c>
      <c r="G41" s="3" t="s">
        <v>7</v>
      </c>
      <c r="H41" s="3">
        <v>14</v>
      </c>
      <c r="I41" s="3">
        <v>50</v>
      </c>
      <c r="J41" s="6">
        <f>IFERROR(I41/H41*100,0)</f>
        <v>0</v>
      </c>
      <c r="K41" s="3">
        <v>26</v>
      </c>
      <c r="L41" s="3">
        <v>2</v>
      </c>
      <c r="M41" s="3" t="s">
        <v>42</v>
      </c>
      <c r="N41" s="3" t="s">
        <v>31</v>
      </c>
      <c r="O41" s="3" t="s">
        <v>238</v>
      </c>
    </row>
    <row r="42" spans="1:15">
      <c r="A42" s="3">
        <v>39</v>
      </c>
      <c r="B42" s="3" t="s">
        <v>690</v>
      </c>
      <c r="C42" s="4">
        <v>46282</v>
      </c>
      <c r="D42" s="3" t="s">
        <v>102</v>
      </c>
      <c r="E42" s="5" t="s">
        <v>654</v>
      </c>
      <c r="F42" s="5" t="s">
        <v>95</v>
      </c>
      <c r="G42" s="3" t="s">
        <v>70</v>
      </c>
      <c r="H42" s="3">
        <v>16</v>
      </c>
      <c r="I42" s="3">
        <v>33</v>
      </c>
      <c r="J42" s="6">
        <f>IFERROR(I42/H42*100,0)</f>
        <v>0</v>
      </c>
      <c r="K42" s="3">
        <v>4</v>
      </c>
      <c r="L42" s="3">
        <v>30</v>
      </c>
      <c r="M42" s="3" t="s">
        <v>96</v>
      </c>
      <c r="N42" s="3" t="s">
        <v>82</v>
      </c>
      <c r="O42" s="3" t="s">
        <v>297</v>
      </c>
    </row>
    <row r="43" spans="1:15">
      <c r="A43" s="3">
        <v>40</v>
      </c>
      <c r="B43" s="3" t="s">
        <v>691</v>
      </c>
      <c r="C43" s="4">
        <v>46287</v>
      </c>
      <c r="D43" s="3" t="s">
        <v>102</v>
      </c>
      <c r="E43" s="5" t="s">
        <v>651</v>
      </c>
      <c r="F43" s="5" t="s">
        <v>77</v>
      </c>
      <c r="G43" s="3" t="s">
        <v>7</v>
      </c>
      <c r="H43" s="3">
        <v>21</v>
      </c>
      <c r="I43" s="3">
        <v>25</v>
      </c>
      <c r="J43" s="6">
        <f>IFERROR(I43/H43*100,0)</f>
        <v>0</v>
      </c>
      <c r="K43" s="3">
        <v>23</v>
      </c>
      <c r="L43" s="3">
        <v>19</v>
      </c>
      <c r="M43" s="3" t="s">
        <v>42</v>
      </c>
      <c r="N43" s="3" t="s">
        <v>95</v>
      </c>
      <c r="O43" s="3" t="s">
        <v>293</v>
      </c>
    </row>
    <row r="44" spans="1:15">
      <c r="A44" s="3">
        <v>41</v>
      </c>
      <c r="B44" s="3" t="s">
        <v>692</v>
      </c>
      <c r="C44" s="4">
        <v>46281</v>
      </c>
      <c r="D44" s="3" t="s">
        <v>102</v>
      </c>
      <c r="E44" s="5" t="s">
        <v>649</v>
      </c>
      <c r="F44" s="5" t="s">
        <v>77</v>
      </c>
      <c r="G44" s="3" t="s">
        <v>41</v>
      </c>
      <c r="H44" s="3">
        <v>43</v>
      </c>
      <c r="I44" s="3">
        <v>33</v>
      </c>
      <c r="J44" s="6">
        <f>IFERROR(I44/H44*100,0)</f>
        <v>0</v>
      </c>
      <c r="K44" s="3">
        <v>22</v>
      </c>
      <c r="L44" s="3">
        <v>13</v>
      </c>
      <c r="M44" s="3" t="s">
        <v>10</v>
      </c>
      <c r="N44" s="3" t="s">
        <v>31</v>
      </c>
      <c r="O44" s="3" t="s">
        <v>293</v>
      </c>
    </row>
    <row r="45" spans="1:15">
      <c r="A45" s="3">
        <v>42</v>
      </c>
      <c r="B45" s="3" t="s">
        <v>693</v>
      </c>
      <c r="C45" s="4">
        <v>46267</v>
      </c>
      <c r="D45" s="3" t="s">
        <v>102</v>
      </c>
      <c r="E45" s="5" t="s">
        <v>649</v>
      </c>
      <c r="F45" s="5" t="s">
        <v>95</v>
      </c>
      <c r="G45" s="3" t="s">
        <v>7</v>
      </c>
      <c r="H45" s="3">
        <v>45</v>
      </c>
      <c r="I45" s="3">
        <v>60</v>
      </c>
      <c r="J45" s="6">
        <f>IFERROR(I45/H45*100,0)</f>
        <v>0</v>
      </c>
      <c r="K45" s="3">
        <v>24</v>
      </c>
      <c r="L45" s="3">
        <v>7</v>
      </c>
      <c r="M45" s="3" t="s">
        <v>10</v>
      </c>
      <c r="N45" s="3" t="s">
        <v>77</v>
      </c>
      <c r="O45" s="3" t="s">
        <v>293</v>
      </c>
    </row>
    <row r="46" spans="1:15">
      <c r="A46" s="3">
        <v>43</v>
      </c>
      <c r="B46" s="3" t="s">
        <v>694</v>
      </c>
      <c r="C46" s="4">
        <v>46317</v>
      </c>
      <c r="D46" s="3" t="s">
        <v>106</v>
      </c>
      <c r="E46" s="5" t="s">
        <v>649</v>
      </c>
      <c r="F46" s="5" t="s">
        <v>87</v>
      </c>
      <c r="G46" s="3" t="s">
        <v>15</v>
      </c>
      <c r="H46" s="3">
        <v>49</v>
      </c>
      <c r="I46" s="3">
        <v>28</v>
      </c>
      <c r="J46" s="6">
        <f>IFERROR(I46/H46*100,0)</f>
        <v>0</v>
      </c>
      <c r="K46" s="3">
        <v>29</v>
      </c>
      <c r="L46" s="3">
        <v>27</v>
      </c>
      <c r="M46" s="3" t="s">
        <v>24</v>
      </c>
      <c r="N46" s="3" t="s">
        <v>95</v>
      </c>
      <c r="O46" s="3" t="s">
        <v>254</v>
      </c>
    </row>
    <row r="47" spans="1:15">
      <c r="A47" s="3">
        <v>44</v>
      </c>
      <c r="B47" s="3" t="s">
        <v>695</v>
      </c>
      <c r="C47" s="4">
        <v>46296</v>
      </c>
      <c r="D47" s="3" t="s">
        <v>106</v>
      </c>
      <c r="E47" s="5" t="s">
        <v>654</v>
      </c>
      <c r="F47" s="5" t="s">
        <v>14</v>
      </c>
      <c r="G47" s="3" t="s">
        <v>66</v>
      </c>
      <c r="H47" s="3">
        <v>30</v>
      </c>
      <c r="I47" s="3">
        <v>37</v>
      </c>
      <c r="J47" s="6">
        <f>IFERROR(I47/H47*100,0)</f>
        <v>0</v>
      </c>
      <c r="K47" s="3">
        <v>10</v>
      </c>
      <c r="L47" s="3">
        <v>14</v>
      </c>
      <c r="M47" s="3" t="s">
        <v>10</v>
      </c>
      <c r="N47" s="3" t="s">
        <v>6</v>
      </c>
      <c r="O47" s="3" t="s">
        <v>293</v>
      </c>
    </row>
    <row r="48" spans="1:15">
      <c r="A48" s="3">
        <v>45</v>
      </c>
      <c r="B48" s="3" t="s">
        <v>696</v>
      </c>
      <c r="C48" s="4">
        <v>46306</v>
      </c>
      <c r="D48" s="3" t="s">
        <v>106</v>
      </c>
      <c r="E48" s="5" t="s">
        <v>659</v>
      </c>
      <c r="F48" s="5" t="s">
        <v>77</v>
      </c>
      <c r="G48" s="3" t="s">
        <v>32</v>
      </c>
      <c r="H48" s="3">
        <v>55</v>
      </c>
      <c r="I48" s="3">
        <v>31</v>
      </c>
      <c r="J48" s="6">
        <f>IFERROR(I48/H48*100,0)</f>
        <v>0</v>
      </c>
      <c r="K48" s="3">
        <v>6</v>
      </c>
      <c r="L48" s="3">
        <v>29</v>
      </c>
      <c r="M48" s="3" t="s">
        <v>96</v>
      </c>
      <c r="N48" s="3" t="s">
        <v>80</v>
      </c>
      <c r="O48" s="3" t="s">
        <v>293</v>
      </c>
    </row>
    <row r="49" spans="1:15">
      <c r="A49" s="3">
        <v>46</v>
      </c>
      <c r="B49" s="3" t="s">
        <v>697</v>
      </c>
      <c r="C49" s="4">
        <v>46345</v>
      </c>
      <c r="D49" s="3" t="s">
        <v>111</v>
      </c>
      <c r="E49" s="5" t="s">
        <v>657</v>
      </c>
      <c r="F49" s="5" t="s">
        <v>31</v>
      </c>
      <c r="G49" s="3" t="s">
        <v>32</v>
      </c>
      <c r="H49" s="3">
        <v>58</v>
      </c>
      <c r="I49" s="3">
        <v>43</v>
      </c>
      <c r="J49" s="6">
        <f>IFERROR(I49/H49*100,0)</f>
        <v>0</v>
      </c>
      <c r="K49" s="3">
        <v>4</v>
      </c>
      <c r="L49" s="3">
        <v>15</v>
      </c>
      <c r="M49" s="3" t="s">
        <v>17</v>
      </c>
      <c r="N49" s="3" t="s">
        <v>6</v>
      </c>
      <c r="O49" s="3" t="s">
        <v>293</v>
      </c>
    </row>
    <row r="50" spans="1:15">
      <c r="A50" s="3">
        <v>47</v>
      </c>
      <c r="B50" s="3" t="s">
        <v>698</v>
      </c>
      <c r="C50" s="4">
        <v>46350</v>
      </c>
      <c r="D50" s="3" t="s">
        <v>111</v>
      </c>
      <c r="E50" s="5" t="s">
        <v>654</v>
      </c>
      <c r="F50" s="5" t="s">
        <v>14</v>
      </c>
      <c r="G50" s="3" t="s">
        <v>41</v>
      </c>
      <c r="H50" s="3">
        <v>29</v>
      </c>
      <c r="I50" s="3">
        <v>58</v>
      </c>
      <c r="J50" s="6">
        <f>IFERROR(I50/H50*100,0)</f>
        <v>0</v>
      </c>
      <c r="K50" s="3">
        <v>3</v>
      </c>
      <c r="L50" s="3">
        <v>9</v>
      </c>
      <c r="M50" s="3" t="s">
        <v>24</v>
      </c>
      <c r="N50" s="3" t="s">
        <v>31</v>
      </c>
      <c r="O50" s="3" t="s">
        <v>293</v>
      </c>
    </row>
    <row r="51" spans="1:15">
      <c r="A51" s="3">
        <v>48</v>
      </c>
      <c r="B51" s="3" t="s">
        <v>699</v>
      </c>
      <c r="C51" s="4">
        <v>46367</v>
      </c>
      <c r="D51" s="3" t="s">
        <v>122</v>
      </c>
      <c r="E51" s="5" t="s">
        <v>659</v>
      </c>
      <c r="F51" s="5" t="s">
        <v>82</v>
      </c>
      <c r="G51" s="3" t="s">
        <v>70</v>
      </c>
      <c r="H51" s="3">
        <v>59</v>
      </c>
      <c r="I51" s="3">
        <v>45</v>
      </c>
      <c r="J51" s="6">
        <f>IFERROR(I51/H51*100,0)</f>
        <v>0</v>
      </c>
      <c r="K51" s="3">
        <v>1</v>
      </c>
      <c r="L51" s="3">
        <v>12</v>
      </c>
      <c r="M51" s="3" t="s">
        <v>24</v>
      </c>
      <c r="N51" s="3" t="s">
        <v>6</v>
      </c>
      <c r="O51" s="3" t="s">
        <v>293</v>
      </c>
    </row>
  </sheetData>
  <mergeCells count="2">
    <mergeCell ref="A1:O1"/>
    <mergeCell ref="A2:O2"/>
  </mergeCells>
  <dataValidations count="2">
    <dataValidation type="list" allowBlank="1" showInputMessage="1" showErrorMessage="1" sqref="F4:F5003">
      <formula1>L_Loc</formula1>
    </dataValidation>
    <dataValidation type="list" allowBlank="1" showInputMessage="1" showErrorMessage="1" sqref="O4:O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3.7109375" customWidth="1"/>
    <col min="6" max="7" width="12.7109375" customWidth="1"/>
    <col min="8" max="8" width="10.7109375" customWidth="1"/>
    <col min="9" max="9" width="14.7109375" customWidth="1"/>
    <col min="10" max="10" width="13.7109375" customWidth="1"/>
    <col min="11" max="11" width="17.7109375" customWidth="1"/>
    <col min="12" max="13" width="10.7109375" customWidth="1"/>
    <col min="14" max="14" width="14.7109375" customWidth="1"/>
    <col min="15" max="15" width="17.7109375" customWidth="1"/>
    <col min="16" max="16" width="9.7109375" customWidth="1"/>
  </cols>
  <sheetData>
    <row r="1" spans="1:18" ht="22" customHeight="1">
      <c r="A1" s="1" t="s">
        <v>709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764</v>
      </c>
      <c r="C3" t="s">
        <v>126</v>
      </c>
      <c r="D3" t="s">
        <v>127</v>
      </c>
      <c r="E3" t="s">
        <v>765</v>
      </c>
      <c r="F3" t="s">
        <v>766</v>
      </c>
      <c r="G3" t="s">
        <v>129</v>
      </c>
      <c r="H3" t="s">
        <v>130</v>
      </c>
      <c r="I3" t="s">
        <v>767</v>
      </c>
      <c r="J3" t="s">
        <v>209</v>
      </c>
      <c r="K3" t="s">
        <v>768</v>
      </c>
      <c r="L3" t="s">
        <v>769</v>
      </c>
      <c r="M3" t="s">
        <v>770</v>
      </c>
      <c r="N3" t="s">
        <v>771</v>
      </c>
      <c r="O3" t="s">
        <v>772</v>
      </c>
      <c r="P3" t="s">
        <v>287</v>
      </c>
    </row>
    <row r="4" spans="1:18">
      <c r="A4" s="3">
        <v>1</v>
      </c>
      <c r="B4" s="3" t="s">
        <v>710</v>
      </c>
      <c r="C4" s="4">
        <v>46031</v>
      </c>
      <c r="D4" s="3" t="s">
        <v>3</v>
      </c>
      <c r="E4" s="5" t="s">
        <v>45</v>
      </c>
      <c r="F4" s="5" t="s">
        <v>711</v>
      </c>
      <c r="G4" s="3" t="s">
        <v>39</v>
      </c>
      <c r="H4" s="3" t="s">
        <v>87</v>
      </c>
      <c r="I4" s="3" t="s">
        <v>41</v>
      </c>
      <c r="J4" s="3" t="s">
        <v>22</v>
      </c>
      <c r="K4" s="3" t="s">
        <v>49</v>
      </c>
      <c r="L4" s="3">
        <v>7</v>
      </c>
      <c r="M4" s="3">
        <v>1</v>
      </c>
      <c r="N4" s="3">
        <v>7</v>
      </c>
      <c r="O4" s="3">
        <v>4</v>
      </c>
      <c r="P4" s="3" t="s">
        <v>238</v>
      </c>
    </row>
    <row r="5" spans="1:18">
      <c r="A5" s="3">
        <v>2</v>
      </c>
      <c r="B5" s="3" t="s">
        <v>712</v>
      </c>
      <c r="C5" s="4">
        <v>46042</v>
      </c>
      <c r="D5" s="3" t="s">
        <v>3</v>
      </c>
      <c r="E5" s="5" t="s">
        <v>4</v>
      </c>
      <c r="F5" s="5" t="s">
        <v>713</v>
      </c>
      <c r="G5" s="3" t="s">
        <v>46</v>
      </c>
      <c r="H5" s="3" t="s">
        <v>35</v>
      </c>
      <c r="I5" s="3" t="s">
        <v>22</v>
      </c>
      <c r="J5" s="3" t="s">
        <v>7</v>
      </c>
      <c r="K5" s="3" t="s">
        <v>38</v>
      </c>
      <c r="L5" s="3">
        <v>2</v>
      </c>
      <c r="M5" s="3">
        <v>1</v>
      </c>
      <c r="N5" s="3">
        <v>6</v>
      </c>
      <c r="O5" s="3">
        <v>5</v>
      </c>
      <c r="P5" s="3" t="s">
        <v>293</v>
      </c>
    </row>
    <row r="6" spans="1:18">
      <c r="A6" s="3">
        <v>3</v>
      </c>
      <c r="B6" s="3" t="s">
        <v>714</v>
      </c>
      <c r="C6" s="4">
        <v>46026</v>
      </c>
      <c r="D6" s="3" t="s">
        <v>3</v>
      </c>
      <c r="E6" s="5" t="s">
        <v>26</v>
      </c>
      <c r="F6" s="5" t="s">
        <v>715</v>
      </c>
      <c r="G6" s="3" t="s">
        <v>92</v>
      </c>
      <c r="H6" s="3" t="s">
        <v>21</v>
      </c>
      <c r="I6" s="3" t="s">
        <v>7</v>
      </c>
      <c r="J6" s="3" t="s">
        <v>32</v>
      </c>
      <c r="K6" s="3" t="s">
        <v>16</v>
      </c>
      <c r="L6" s="3">
        <v>3</v>
      </c>
      <c r="M6" s="3">
        <v>1</v>
      </c>
      <c r="N6" s="3">
        <v>7</v>
      </c>
      <c r="O6" s="3">
        <v>3</v>
      </c>
      <c r="P6" s="3" t="s">
        <v>293</v>
      </c>
    </row>
    <row r="7" spans="1:18">
      <c r="A7" s="3">
        <v>4</v>
      </c>
      <c r="B7" s="3" t="s">
        <v>716</v>
      </c>
      <c r="C7" s="4">
        <v>46037</v>
      </c>
      <c r="D7" s="3" t="s">
        <v>3</v>
      </c>
      <c r="E7" s="5" t="s">
        <v>57</v>
      </c>
      <c r="F7" s="5" t="s">
        <v>717</v>
      </c>
      <c r="G7" s="3" t="s">
        <v>27</v>
      </c>
      <c r="H7" s="3" t="s">
        <v>6</v>
      </c>
      <c r="I7" s="3" t="s">
        <v>70</v>
      </c>
      <c r="J7" s="3" t="s">
        <v>68</v>
      </c>
      <c r="K7" s="3" t="s">
        <v>38</v>
      </c>
      <c r="L7" s="3">
        <v>4</v>
      </c>
      <c r="M7" s="3">
        <v>8</v>
      </c>
      <c r="N7" s="3">
        <v>0</v>
      </c>
      <c r="O7" s="3">
        <v>8</v>
      </c>
      <c r="P7" s="3" t="s">
        <v>293</v>
      </c>
    </row>
    <row r="8" spans="1:18">
      <c r="A8" s="3">
        <v>5</v>
      </c>
      <c r="B8" s="3" t="s">
        <v>718</v>
      </c>
      <c r="C8" s="4">
        <v>46047</v>
      </c>
      <c r="D8" s="3" t="s">
        <v>3</v>
      </c>
      <c r="E8" s="5" t="s">
        <v>30</v>
      </c>
      <c r="F8" s="5" t="s">
        <v>717</v>
      </c>
      <c r="G8" s="3" t="s">
        <v>13</v>
      </c>
      <c r="H8" s="3" t="s">
        <v>80</v>
      </c>
      <c r="I8" s="3" t="s">
        <v>22</v>
      </c>
      <c r="J8" s="3" t="s">
        <v>7</v>
      </c>
      <c r="K8" s="3" t="s">
        <v>57</v>
      </c>
      <c r="L8" s="3">
        <v>8</v>
      </c>
      <c r="M8" s="3">
        <v>5</v>
      </c>
      <c r="N8" s="3">
        <v>0</v>
      </c>
      <c r="O8" s="3">
        <v>1</v>
      </c>
      <c r="P8" s="3" t="s">
        <v>293</v>
      </c>
    </row>
    <row r="9" spans="1:18">
      <c r="A9" s="3">
        <v>6</v>
      </c>
      <c r="B9" s="3" t="s">
        <v>719</v>
      </c>
      <c r="C9" s="4">
        <v>46067</v>
      </c>
      <c r="D9" s="3" t="s">
        <v>19</v>
      </c>
      <c r="E9" s="5" t="s">
        <v>61</v>
      </c>
      <c r="F9" s="5" t="s">
        <v>711</v>
      </c>
      <c r="G9" s="3" t="s">
        <v>5</v>
      </c>
      <c r="H9" s="3" t="s">
        <v>82</v>
      </c>
      <c r="I9" s="3" t="s">
        <v>41</v>
      </c>
      <c r="J9" s="3" t="s">
        <v>36</v>
      </c>
      <c r="K9" s="3" t="s">
        <v>91</v>
      </c>
      <c r="L9" s="3">
        <v>5</v>
      </c>
      <c r="M9" s="3">
        <v>0</v>
      </c>
      <c r="N9" s="3">
        <v>2</v>
      </c>
      <c r="O9" s="3">
        <v>5</v>
      </c>
      <c r="P9" s="3" t="s">
        <v>293</v>
      </c>
    </row>
    <row r="10" spans="1:18">
      <c r="A10" s="3">
        <v>7</v>
      </c>
      <c r="B10" s="3" t="s">
        <v>720</v>
      </c>
      <c r="C10" s="4">
        <v>46075</v>
      </c>
      <c r="D10" s="3" t="s">
        <v>19</v>
      </c>
      <c r="E10" s="5" t="s">
        <v>91</v>
      </c>
      <c r="F10" s="5" t="s">
        <v>711</v>
      </c>
      <c r="G10" s="3" t="s">
        <v>89</v>
      </c>
      <c r="H10" s="3" t="s">
        <v>40</v>
      </c>
      <c r="I10" s="3" t="s">
        <v>104</v>
      </c>
      <c r="J10" s="3" t="s">
        <v>78</v>
      </c>
      <c r="K10" s="3" t="s">
        <v>49</v>
      </c>
      <c r="L10" s="3">
        <v>7</v>
      </c>
      <c r="M10" s="3">
        <v>7</v>
      </c>
      <c r="N10" s="3">
        <v>0</v>
      </c>
      <c r="O10" s="3">
        <v>0</v>
      </c>
      <c r="P10" s="3" t="s">
        <v>254</v>
      </c>
    </row>
    <row r="11" spans="1:18">
      <c r="A11" s="3">
        <v>8</v>
      </c>
      <c r="B11" s="3" t="s">
        <v>721</v>
      </c>
      <c r="C11" s="4">
        <v>46068</v>
      </c>
      <c r="D11" s="3" t="s">
        <v>19</v>
      </c>
      <c r="E11" s="5" t="s">
        <v>61</v>
      </c>
      <c r="F11" s="5" t="s">
        <v>722</v>
      </c>
      <c r="G11" s="3" t="s">
        <v>39</v>
      </c>
      <c r="H11" s="3" t="s">
        <v>77</v>
      </c>
      <c r="I11" s="3" t="s">
        <v>28</v>
      </c>
      <c r="J11" s="3" t="s">
        <v>62</v>
      </c>
      <c r="K11" s="3" t="s">
        <v>45</v>
      </c>
      <c r="L11" s="3">
        <v>7</v>
      </c>
      <c r="M11" s="3">
        <v>5</v>
      </c>
      <c r="N11" s="3">
        <v>5</v>
      </c>
      <c r="O11" s="3">
        <v>8</v>
      </c>
      <c r="P11" s="3" t="s">
        <v>238</v>
      </c>
    </row>
    <row r="12" spans="1:18">
      <c r="A12" s="3">
        <v>9</v>
      </c>
      <c r="B12" s="3" t="s">
        <v>723</v>
      </c>
      <c r="C12" s="4">
        <v>46080</v>
      </c>
      <c r="D12" s="3" t="s">
        <v>19</v>
      </c>
      <c r="E12" s="5" t="s">
        <v>26</v>
      </c>
      <c r="F12" s="5" t="s">
        <v>717</v>
      </c>
      <c r="G12" s="3" t="s">
        <v>27</v>
      </c>
      <c r="H12" s="3" t="s">
        <v>14</v>
      </c>
      <c r="I12" s="3" t="s">
        <v>28</v>
      </c>
      <c r="J12" s="3" t="s">
        <v>93</v>
      </c>
      <c r="K12" s="3" t="s">
        <v>20</v>
      </c>
      <c r="L12" s="3">
        <v>0</v>
      </c>
      <c r="M12" s="3">
        <v>4</v>
      </c>
      <c r="N12" s="3">
        <v>3</v>
      </c>
      <c r="O12" s="3">
        <v>3</v>
      </c>
      <c r="P12" s="3" t="s">
        <v>254</v>
      </c>
    </row>
    <row r="13" spans="1:18">
      <c r="A13" s="3">
        <v>10</v>
      </c>
      <c r="B13" s="3" t="s">
        <v>724</v>
      </c>
      <c r="C13" s="4">
        <v>46104</v>
      </c>
      <c r="D13" s="3" t="s">
        <v>44</v>
      </c>
      <c r="E13" s="5" t="s">
        <v>49</v>
      </c>
      <c r="F13" s="5" t="s">
        <v>717</v>
      </c>
      <c r="G13" s="3" t="s">
        <v>5</v>
      </c>
      <c r="H13" s="3" t="s">
        <v>31</v>
      </c>
      <c r="I13" s="3" t="s">
        <v>28</v>
      </c>
      <c r="J13" s="3" t="s">
        <v>104</v>
      </c>
      <c r="K13" s="3" t="s">
        <v>49</v>
      </c>
      <c r="L13" s="3">
        <v>1</v>
      </c>
      <c r="M13" s="3">
        <v>4</v>
      </c>
      <c r="N13" s="3">
        <v>7</v>
      </c>
      <c r="O13" s="3">
        <v>5</v>
      </c>
      <c r="P13" s="3" t="s">
        <v>254</v>
      </c>
    </row>
    <row r="14" spans="1:18">
      <c r="A14" s="3">
        <v>11</v>
      </c>
      <c r="B14" s="3" t="s">
        <v>725</v>
      </c>
      <c r="C14" s="4">
        <v>46092</v>
      </c>
      <c r="D14" s="3" t="s">
        <v>44</v>
      </c>
      <c r="E14" s="5" t="s">
        <v>26</v>
      </c>
      <c r="F14" s="5" t="s">
        <v>713</v>
      </c>
      <c r="G14" s="3" t="s">
        <v>50</v>
      </c>
      <c r="H14" s="3" t="s">
        <v>31</v>
      </c>
      <c r="I14" s="3" t="s">
        <v>36</v>
      </c>
      <c r="J14" s="3" t="s">
        <v>7</v>
      </c>
      <c r="K14" s="3" t="s">
        <v>64</v>
      </c>
      <c r="L14" s="3">
        <v>5</v>
      </c>
      <c r="M14" s="3">
        <v>5</v>
      </c>
      <c r="N14" s="3">
        <v>4</v>
      </c>
      <c r="O14" s="3">
        <v>7</v>
      </c>
      <c r="P14" s="3" t="s">
        <v>254</v>
      </c>
    </row>
    <row r="15" spans="1:18">
      <c r="A15" s="3">
        <v>12</v>
      </c>
      <c r="B15" s="3" t="s">
        <v>726</v>
      </c>
      <c r="C15" s="4">
        <v>46087</v>
      </c>
      <c r="D15" s="3" t="s">
        <v>44</v>
      </c>
      <c r="E15" s="5" t="s">
        <v>91</v>
      </c>
      <c r="F15" s="5" t="s">
        <v>717</v>
      </c>
      <c r="G15" s="3" t="s">
        <v>92</v>
      </c>
      <c r="H15" s="3" t="s">
        <v>21</v>
      </c>
      <c r="I15" s="3" t="s">
        <v>15</v>
      </c>
      <c r="J15" s="3" t="s">
        <v>15</v>
      </c>
      <c r="K15" s="3" t="s">
        <v>61</v>
      </c>
      <c r="L15" s="3">
        <v>7</v>
      </c>
      <c r="M15" s="3">
        <v>8</v>
      </c>
      <c r="N15" s="3">
        <v>0</v>
      </c>
      <c r="O15" s="3">
        <v>5</v>
      </c>
      <c r="P15" s="3" t="s">
        <v>293</v>
      </c>
    </row>
    <row r="16" spans="1:18">
      <c r="A16" s="3">
        <v>13</v>
      </c>
      <c r="B16" s="3" t="s">
        <v>727</v>
      </c>
      <c r="C16" s="4">
        <v>46086</v>
      </c>
      <c r="D16" s="3" t="s">
        <v>44</v>
      </c>
      <c r="E16" s="5" t="s">
        <v>49</v>
      </c>
      <c r="F16" s="5" t="s">
        <v>713</v>
      </c>
      <c r="G16" s="3" t="s">
        <v>5</v>
      </c>
      <c r="H16" s="3" t="s">
        <v>21</v>
      </c>
      <c r="I16" s="3" t="s">
        <v>78</v>
      </c>
      <c r="J16" s="3" t="s">
        <v>22</v>
      </c>
      <c r="K16" s="3" t="s">
        <v>12</v>
      </c>
      <c r="L16" s="3">
        <v>3</v>
      </c>
      <c r="M16" s="3">
        <v>6</v>
      </c>
      <c r="N16" s="3">
        <v>5</v>
      </c>
      <c r="O16" s="3">
        <v>4</v>
      </c>
      <c r="P16" s="3" t="s">
        <v>293</v>
      </c>
    </row>
    <row r="17" spans="1:16">
      <c r="A17" s="3">
        <v>14</v>
      </c>
      <c r="B17" s="3" t="s">
        <v>728</v>
      </c>
      <c r="C17" s="4">
        <v>46087</v>
      </c>
      <c r="D17" s="3" t="s">
        <v>44</v>
      </c>
      <c r="E17" s="5" t="s">
        <v>4</v>
      </c>
      <c r="F17" s="5" t="s">
        <v>722</v>
      </c>
      <c r="G17" s="3" t="s">
        <v>92</v>
      </c>
      <c r="H17" s="3" t="s">
        <v>51</v>
      </c>
      <c r="I17" s="3" t="s">
        <v>32</v>
      </c>
      <c r="J17" s="3" t="s">
        <v>78</v>
      </c>
      <c r="K17" s="3" t="s">
        <v>12</v>
      </c>
      <c r="L17" s="3">
        <v>1</v>
      </c>
      <c r="M17" s="3">
        <v>1</v>
      </c>
      <c r="N17" s="3">
        <v>8</v>
      </c>
      <c r="O17" s="3">
        <v>5</v>
      </c>
      <c r="P17" s="3" t="s">
        <v>238</v>
      </c>
    </row>
    <row r="18" spans="1:16">
      <c r="A18" s="3">
        <v>15</v>
      </c>
      <c r="B18" s="3" t="s">
        <v>729</v>
      </c>
      <c r="C18" s="4">
        <v>46122</v>
      </c>
      <c r="D18" s="3" t="s">
        <v>53</v>
      </c>
      <c r="E18" s="5" t="s">
        <v>20</v>
      </c>
      <c r="F18" s="5" t="s">
        <v>717</v>
      </c>
      <c r="G18" s="3" t="s">
        <v>13</v>
      </c>
      <c r="H18" s="3" t="s">
        <v>77</v>
      </c>
      <c r="I18" s="3" t="s">
        <v>15</v>
      </c>
      <c r="J18" s="3" t="s">
        <v>15</v>
      </c>
      <c r="K18" s="3" t="s">
        <v>91</v>
      </c>
      <c r="L18" s="3">
        <v>8</v>
      </c>
      <c r="M18" s="3">
        <v>5</v>
      </c>
      <c r="N18" s="3">
        <v>6</v>
      </c>
      <c r="O18" s="3">
        <v>2</v>
      </c>
      <c r="P18" s="3" t="s">
        <v>293</v>
      </c>
    </row>
    <row r="19" spans="1:16">
      <c r="A19" s="3">
        <v>16</v>
      </c>
      <c r="B19" s="3" t="s">
        <v>730</v>
      </c>
      <c r="C19" s="4">
        <v>46133</v>
      </c>
      <c r="D19" s="3" t="s">
        <v>53</v>
      </c>
      <c r="E19" s="5" t="s">
        <v>16</v>
      </c>
      <c r="F19" s="5" t="s">
        <v>715</v>
      </c>
      <c r="G19" s="3" t="s">
        <v>92</v>
      </c>
      <c r="H19" s="3" t="s">
        <v>31</v>
      </c>
      <c r="I19" s="3" t="s">
        <v>93</v>
      </c>
      <c r="J19" s="3" t="s">
        <v>78</v>
      </c>
      <c r="K19" s="3" t="s">
        <v>64</v>
      </c>
      <c r="L19" s="3">
        <v>8</v>
      </c>
      <c r="M19" s="3">
        <v>1</v>
      </c>
      <c r="N19" s="3">
        <v>3</v>
      </c>
      <c r="O19" s="3">
        <v>8</v>
      </c>
      <c r="P19" s="3" t="s">
        <v>293</v>
      </c>
    </row>
    <row r="20" spans="1:16">
      <c r="A20" s="3">
        <v>17</v>
      </c>
      <c r="B20" s="3" t="s">
        <v>731</v>
      </c>
      <c r="C20" s="4">
        <v>46120</v>
      </c>
      <c r="D20" s="3" t="s">
        <v>53</v>
      </c>
      <c r="E20" s="5" t="s">
        <v>12</v>
      </c>
      <c r="F20" s="5" t="s">
        <v>711</v>
      </c>
      <c r="G20" s="3" t="s">
        <v>5</v>
      </c>
      <c r="H20" s="3" t="s">
        <v>6</v>
      </c>
      <c r="I20" s="3" t="s">
        <v>68</v>
      </c>
      <c r="J20" s="3" t="s">
        <v>32</v>
      </c>
      <c r="K20" s="3" t="s">
        <v>38</v>
      </c>
      <c r="L20" s="3">
        <v>3</v>
      </c>
      <c r="M20" s="3">
        <v>5</v>
      </c>
      <c r="N20" s="3">
        <v>1</v>
      </c>
      <c r="O20" s="3">
        <v>0</v>
      </c>
      <c r="P20" s="3" t="s">
        <v>293</v>
      </c>
    </row>
    <row r="21" spans="1:16">
      <c r="A21" s="3">
        <v>18</v>
      </c>
      <c r="B21" s="3" t="s">
        <v>732</v>
      </c>
      <c r="C21" s="4">
        <v>46137</v>
      </c>
      <c r="D21" s="3" t="s">
        <v>53</v>
      </c>
      <c r="E21" s="5" t="s">
        <v>57</v>
      </c>
      <c r="F21" s="5" t="s">
        <v>717</v>
      </c>
      <c r="G21" s="3" t="s">
        <v>58</v>
      </c>
      <c r="H21" s="3" t="s">
        <v>95</v>
      </c>
      <c r="I21" s="3" t="s">
        <v>15</v>
      </c>
      <c r="J21" s="3" t="s">
        <v>104</v>
      </c>
      <c r="K21" s="3" t="s">
        <v>54</v>
      </c>
      <c r="L21" s="3">
        <v>5</v>
      </c>
      <c r="M21" s="3">
        <v>4</v>
      </c>
      <c r="N21" s="3">
        <v>0</v>
      </c>
      <c r="O21" s="3">
        <v>6</v>
      </c>
      <c r="P21" s="3" t="s">
        <v>297</v>
      </c>
    </row>
    <row r="22" spans="1:16">
      <c r="A22" s="3">
        <v>19</v>
      </c>
      <c r="B22" s="3" t="s">
        <v>733</v>
      </c>
      <c r="C22" s="4">
        <v>46122</v>
      </c>
      <c r="D22" s="3" t="s">
        <v>53</v>
      </c>
      <c r="E22" s="5" t="s">
        <v>30</v>
      </c>
      <c r="F22" s="5" t="s">
        <v>717</v>
      </c>
      <c r="G22" s="3" t="s">
        <v>39</v>
      </c>
      <c r="H22" s="3" t="s">
        <v>95</v>
      </c>
      <c r="I22" s="3" t="s">
        <v>78</v>
      </c>
      <c r="J22" s="3" t="s">
        <v>93</v>
      </c>
      <c r="K22" s="3" t="s">
        <v>26</v>
      </c>
      <c r="L22" s="3">
        <v>3</v>
      </c>
      <c r="M22" s="3">
        <v>0</v>
      </c>
      <c r="N22" s="3">
        <v>1</v>
      </c>
      <c r="O22" s="3">
        <v>0</v>
      </c>
      <c r="P22" s="3" t="s">
        <v>293</v>
      </c>
    </row>
    <row r="23" spans="1:16">
      <c r="A23" s="3">
        <v>20</v>
      </c>
      <c r="B23" s="3" t="s">
        <v>734</v>
      </c>
      <c r="C23" s="4">
        <v>46163</v>
      </c>
      <c r="D23" s="3" t="s">
        <v>60</v>
      </c>
      <c r="E23" s="5" t="s">
        <v>16</v>
      </c>
      <c r="F23" s="5" t="s">
        <v>713</v>
      </c>
      <c r="G23" s="3" t="s">
        <v>58</v>
      </c>
      <c r="H23" s="3" t="s">
        <v>31</v>
      </c>
      <c r="I23" s="3" t="s">
        <v>36</v>
      </c>
      <c r="J23" s="3" t="s">
        <v>7</v>
      </c>
      <c r="K23" s="3" t="s">
        <v>30</v>
      </c>
      <c r="L23" s="3">
        <v>7</v>
      </c>
      <c r="M23" s="3">
        <v>2</v>
      </c>
      <c r="N23" s="3">
        <v>1</v>
      </c>
      <c r="O23" s="3">
        <v>1</v>
      </c>
      <c r="P23" s="3" t="s">
        <v>297</v>
      </c>
    </row>
    <row r="24" spans="1:16">
      <c r="A24" s="3">
        <v>21</v>
      </c>
      <c r="B24" s="3" t="s">
        <v>735</v>
      </c>
      <c r="C24" s="4">
        <v>46168</v>
      </c>
      <c r="D24" s="3" t="s">
        <v>60</v>
      </c>
      <c r="E24" s="5" t="s">
        <v>57</v>
      </c>
      <c r="F24" s="5" t="s">
        <v>713</v>
      </c>
      <c r="G24" s="3" t="s">
        <v>50</v>
      </c>
      <c r="H24" s="3" t="s">
        <v>87</v>
      </c>
      <c r="I24" s="3" t="s">
        <v>66</v>
      </c>
      <c r="J24" s="3" t="s">
        <v>68</v>
      </c>
      <c r="K24" s="3" t="s">
        <v>26</v>
      </c>
      <c r="L24" s="3">
        <v>5</v>
      </c>
      <c r="M24" s="3">
        <v>5</v>
      </c>
      <c r="N24" s="3">
        <v>4</v>
      </c>
      <c r="O24" s="3">
        <v>8</v>
      </c>
      <c r="P24" s="3" t="s">
        <v>293</v>
      </c>
    </row>
    <row r="25" spans="1:16">
      <c r="A25" s="3">
        <v>22</v>
      </c>
      <c r="B25" s="3" t="s">
        <v>736</v>
      </c>
      <c r="C25" s="4">
        <v>46163</v>
      </c>
      <c r="D25" s="3" t="s">
        <v>60</v>
      </c>
      <c r="E25" s="5" t="s">
        <v>20</v>
      </c>
      <c r="F25" s="5" t="s">
        <v>715</v>
      </c>
      <c r="G25" s="3" t="s">
        <v>65</v>
      </c>
      <c r="H25" s="3" t="s">
        <v>95</v>
      </c>
      <c r="I25" s="3" t="s">
        <v>7</v>
      </c>
      <c r="J25" s="3" t="s">
        <v>32</v>
      </c>
      <c r="K25" s="3" t="s">
        <v>91</v>
      </c>
      <c r="L25" s="3">
        <v>8</v>
      </c>
      <c r="M25" s="3">
        <v>6</v>
      </c>
      <c r="N25" s="3">
        <v>2</v>
      </c>
      <c r="O25" s="3">
        <v>0</v>
      </c>
      <c r="P25" s="3" t="s">
        <v>293</v>
      </c>
    </row>
    <row r="26" spans="1:16">
      <c r="A26" s="3">
        <v>23</v>
      </c>
      <c r="B26" s="3" t="s">
        <v>737</v>
      </c>
      <c r="C26" s="4">
        <v>46195</v>
      </c>
      <c r="D26" s="3" t="s">
        <v>73</v>
      </c>
      <c r="E26" s="5" t="s">
        <v>30</v>
      </c>
      <c r="F26" s="5" t="s">
        <v>713</v>
      </c>
      <c r="G26" s="3" t="s">
        <v>46</v>
      </c>
      <c r="H26" s="3" t="s">
        <v>35</v>
      </c>
      <c r="I26" s="3" t="s">
        <v>32</v>
      </c>
      <c r="J26" s="3" t="s">
        <v>22</v>
      </c>
      <c r="K26" s="3" t="s">
        <v>38</v>
      </c>
      <c r="L26" s="3">
        <v>0</v>
      </c>
      <c r="M26" s="3">
        <v>2</v>
      </c>
      <c r="N26" s="3">
        <v>1</v>
      </c>
      <c r="O26" s="3">
        <v>1</v>
      </c>
      <c r="P26" s="3" t="s">
        <v>293</v>
      </c>
    </row>
    <row r="27" spans="1:16">
      <c r="A27" s="3">
        <v>24</v>
      </c>
      <c r="B27" s="3" t="s">
        <v>738</v>
      </c>
      <c r="C27" s="4">
        <v>46181</v>
      </c>
      <c r="D27" s="3" t="s">
        <v>73</v>
      </c>
      <c r="E27" s="5" t="s">
        <v>4</v>
      </c>
      <c r="F27" s="5" t="s">
        <v>715</v>
      </c>
      <c r="G27" s="3" t="s">
        <v>92</v>
      </c>
      <c r="H27" s="3" t="s">
        <v>6</v>
      </c>
      <c r="I27" s="3" t="s">
        <v>93</v>
      </c>
      <c r="J27" s="3" t="s">
        <v>68</v>
      </c>
      <c r="K27" s="3" t="s">
        <v>38</v>
      </c>
      <c r="L27" s="3">
        <v>8</v>
      </c>
      <c r="M27" s="3">
        <v>6</v>
      </c>
      <c r="N27" s="3">
        <v>1</v>
      </c>
      <c r="O27" s="3">
        <v>2</v>
      </c>
      <c r="P27" s="3" t="s">
        <v>293</v>
      </c>
    </row>
    <row r="28" spans="1:16">
      <c r="A28" s="3">
        <v>25</v>
      </c>
      <c r="B28" s="3" t="s">
        <v>739</v>
      </c>
      <c r="C28" s="4">
        <v>46184</v>
      </c>
      <c r="D28" s="3" t="s">
        <v>73</v>
      </c>
      <c r="E28" s="5" t="s">
        <v>57</v>
      </c>
      <c r="F28" s="5" t="s">
        <v>740</v>
      </c>
      <c r="G28" s="3" t="s">
        <v>46</v>
      </c>
      <c r="H28" s="3" t="s">
        <v>35</v>
      </c>
      <c r="I28" s="3" t="s">
        <v>104</v>
      </c>
      <c r="J28" s="3" t="s">
        <v>32</v>
      </c>
      <c r="K28" s="3" t="s">
        <v>4</v>
      </c>
      <c r="L28" s="3">
        <v>2</v>
      </c>
      <c r="M28" s="3">
        <v>5</v>
      </c>
      <c r="N28" s="3">
        <v>6</v>
      </c>
      <c r="O28" s="3">
        <v>7</v>
      </c>
      <c r="P28" s="3" t="s">
        <v>293</v>
      </c>
    </row>
    <row r="29" spans="1:16">
      <c r="A29" s="3">
        <v>26</v>
      </c>
      <c r="B29" s="3" t="s">
        <v>741</v>
      </c>
      <c r="C29" s="4">
        <v>46185</v>
      </c>
      <c r="D29" s="3" t="s">
        <v>73</v>
      </c>
      <c r="E29" s="5" t="s">
        <v>61</v>
      </c>
      <c r="F29" s="5" t="s">
        <v>717</v>
      </c>
      <c r="G29" s="3" t="s">
        <v>50</v>
      </c>
      <c r="H29" s="3" t="s">
        <v>82</v>
      </c>
      <c r="I29" s="3" t="s">
        <v>78</v>
      </c>
      <c r="J29" s="3" t="s">
        <v>41</v>
      </c>
      <c r="K29" s="3" t="s">
        <v>20</v>
      </c>
      <c r="L29" s="3">
        <v>1</v>
      </c>
      <c r="M29" s="3">
        <v>4</v>
      </c>
      <c r="N29" s="3">
        <v>3</v>
      </c>
      <c r="O29" s="3">
        <v>4</v>
      </c>
      <c r="P29" s="3" t="s">
        <v>293</v>
      </c>
    </row>
    <row r="30" spans="1:16">
      <c r="A30" s="3">
        <v>27</v>
      </c>
      <c r="B30" s="3" t="s">
        <v>742</v>
      </c>
      <c r="C30" s="4">
        <v>46188</v>
      </c>
      <c r="D30" s="3" t="s">
        <v>73</v>
      </c>
      <c r="E30" s="5" t="s">
        <v>61</v>
      </c>
      <c r="F30" s="5" t="s">
        <v>711</v>
      </c>
      <c r="G30" s="3" t="s">
        <v>5</v>
      </c>
      <c r="H30" s="3" t="s">
        <v>21</v>
      </c>
      <c r="I30" s="3" t="s">
        <v>15</v>
      </c>
      <c r="J30" s="3" t="s">
        <v>15</v>
      </c>
      <c r="K30" s="3" t="s">
        <v>38</v>
      </c>
      <c r="L30" s="3">
        <v>8</v>
      </c>
      <c r="M30" s="3">
        <v>5</v>
      </c>
      <c r="N30" s="3">
        <v>2</v>
      </c>
      <c r="O30" s="3">
        <v>8</v>
      </c>
      <c r="P30" s="3" t="s">
        <v>238</v>
      </c>
    </row>
    <row r="31" spans="1:16">
      <c r="A31" s="3">
        <v>28</v>
      </c>
      <c r="B31" s="3" t="s">
        <v>743</v>
      </c>
      <c r="C31" s="4">
        <v>46215</v>
      </c>
      <c r="D31" s="3" t="s">
        <v>76</v>
      </c>
      <c r="E31" s="5" t="s">
        <v>91</v>
      </c>
      <c r="F31" s="5" t="s">
        <v>715</v>
      </c>
      <c r="G31" s="3" t="s">
        <v>46</v>
      </c>
      <c r="H31" s="3" t="s">
        <v>82</v>
      </c>
      <c r="I31" s="3" t="s">
        <v>68</v>
      </c>
      <c r="J31" s="3" t="s">
        <v>36</v>
      </c>
      <c r="K31" s="3" t="s">
        <v>38</v>
      </c>
      <c r="L31" s="3">
        <v>7</v>
      </c>
      <c r="M31" s="3">
        <v>1</v>
      </c>
      <c r="N31" s="3">
        <v>0</v>
      </c>
      <c r="O31" s="3">
        <v>7</v>
      </c>
      <c r="P31" s="3" t="s">
        <v>293</v>
      </c>
    </row>
    <row r="32" spans="1:16">
      <c r="A32" s="3">
        <v>29</v>
      </c>
      <c r="B32" s="3" t="s">
        <v>744</v>
      </c>
      <c r="C32" s="4">
        <v>46256</v>
      </c>
      <c r="D32" s="3" t="s">
        <v>86</v>
      </c>
      <c r="E32" s="5" t="s">
        <v>12</v>
      </c>
      <c r="F32" s="5" t="s">
        <v>740</v>
      </c>
      <c r="G32" s="3" t="s">
        <v>92</v>
      </c>
      <c r="H32" s="3" t="s">
        <v>95</v>
      </c>
      <c r="I32" s="3" t="s">
        <v>104</v>
      </c>
      <c r="J32" s="3" t="s">
        <v>15</v>
      </c>
      <c r="K32" s="3" t="s">
        <v>49</v>
      </c>
      <c r="L32" s="3">
        <v>7</v>
      </c>
      <c r="M32" s="3">
        <v>4</v>
      </c>
      <c r="N32" s="3">
        <v>7</v>
      </c>
      <c r="O32" s="3">
        <v>4</v>
      </c>
      <c r="P32" s="3" t="s">
        <v>293</v>
      </c>
    </row>
    <row r="33" spans="1:16">
      <c r="A33" s="3">
        <v>30</v>
      </c>
      <c r="B33" s="3" t="s">
        <v>745</v>
      </c>
      <c r="C33" s="4">
        <v>46251</v>
      </c>
      <c r="D33" s="3" t="s">
        <v>86</v>
      </c>
      <c r="E33" s="5" t="s">
        <v>38</v>
      </c>
      <c r="F33" s="5" t="s">
        <v>715</v>
      </c>
      <c r="G33" s="3" t="s">
        <v>50</v>
      </c>
      <c r="H33" s="3" t="s">
        <v>21</v>
      </c>
      <c r="I33" s="3" t="s">
        <v>93</v>
      </c>
      <c r="J33" s="3" t="s">
        <v>36</v>
      </c>
      <c r="K33" s="3" t="s">
        <v>16</v>
      </c>
      <c r="L33" s="3">
        <v>2</v>
      </c>
      <c r="M33" s="3">
        <v>7</v>
      </c>
      <c r="N33" s="3">
        <v>2</v>
      </c>
      <c r="O33" s="3">
        <v>1</v>
      </c>
      <c r="P33" s="3" t="s">
        <v>293</v>
      </c>
    </row>
    <row r="34" spans="1:16">
      <c r="A34" s="3">
        <v>31</v>
      </c>
      <c r="B34" s="3" t="s">
        <v>746</v>
      </c>
      <c r="C34" s="4">
        <v>46237</v>
      </c>
      <c r="D34" s="3" t="s">
        <v>86</v>
      </c>
      <c r="E34" s="5" t="s">
        <v>16</v>
      </c>
      <c r="F34" s="5" t="s">
        <v>713</v>
      </c>
      <c r="G34" s="3" t="s">
        <v>13</v>
      </c>
      <c r="H34" s="3" t="s">
        <v>77</v>
      </c>
      <c r="I34" s="3" t="s">
        <v>68</v>
      </c>
      <c r="J34" s="3" t="s">
        <v>22</v>
      </c>
      <c r="K34" s="3" t="s">
        <v>38</v>
      </c>
      <c r="L34" s="3">
        <v>7</v>
      </c>
      <c r="M34" s="3">
        <v>0</v>
      </c>
      <c r="N34" s="3">
        <v>0</v>
      </c>
      <c r="O34" s="3">
        <v>4</v>
      </c>
      <c r="P34" s="3" t="s">
        <v>293</v>
      </c>
    </row>
    <row r="35" spans="1:16">
      <c r="A35" s="3">
        <v>32</v>
      </c>
      <c r="B35" s="3" t="s">
        <v>747</v>
      </c>
      <c r="C35" s="4">
        <v>46244</v>
      </c>
      <c r="D35" s="3" t="s">
        <v>86</v>
      </c>
      <c r="E35" s="5" t="s">
        <v>61</v>
      </c>
      <c r="F35" s="5" t="s">
        <v>717</v>
      </c>
      <c r="G35" s="3" t="s">
        <v>5</v>
      </c>
      <c r="H35" s="3" t="s">
        <v>87</v>
      </c>
      <c r="I35" s="3" t="s">
        <v>78</v>
      </c>
      <c r="J35" s="3" t="s">
        <v>70</v>
      </c>
      <c r="K35" s="3" t="s">
        <v>91</v>
      </c>
      <c r="L35" s="3">
        <v>8</v>
      </c>
      <c r="M35" s="3">
        <v>1</v>
      </c>
      <c r="N35" s="3">
        <v>8</v>
      </c>
      <c r="O35" s="3">
        <v>1</v>
      </c>
      <c r="P35" s="3" t="s">
        <v>293</v>
      </c>
    </row>
    <row r="36" spans="1:16">
      <c r="A36" s="3">
        <v>33</v>
      </c>
      <c r="B36" s="3" t="s">
        <v>748</v>
      </c>
      <c r="C36" s="4">
        <v>46239</v>
      </c>
      <c r="D36" s="3" t="s">
        <v>86</v>
      </c>
      <c r="E36" s="5" t="s">
        <v>49</v>
      </c>
      <c r="F36" s="5" t="s">
        <v>722</v>
      </c>
      <c r="G36" s="3" t="s">
        <v>39</v>
      </c>
      <c r="H36" s="3" t="s">
        <v>31</v>
      </c>
      <c r="I36" s="3" t="s">
        <v>36</v>
      </c>
      <c r="J36" s="3" t="s">
        <v>104</v>
      </c>
      <c r="K36" s="3" t="s">
        <v>64</v>
      </c>
      <c r="L36" s="3">
        <v>4</v>
      </c>
      <c r="M36" s="3">
        <v>1</v>
      </c>
      <c r="N36" s="3">
        <v>3</v>
      </c>
      <c r="O36" s="3">
        <v>3</v>
      </c>
      <c r="P36" s="3" t="s">
        <v>297</v>
      </c>
    </row>
    <row r="37" spans="1:16">
      <c r="A37" s="3">
        <v>34</v>
      </c>
      <c r="B37" s="3" t="s">
        <v>749</v>
      </c>
      <c r="C37" s="4">
        <v>46237</v>
      </c>
      <c r="D37" s="3" t="s">
        <v>86</v>
      </c>
      <c r="E37" s="5" t="s">
        <v>61</v>
      </c>
      <c r="F37" s="5" t="s">
        <v>713</v>
      </c>
      <c r="G37" s="3" t="s">
        <v>27</v>
      </c>
      <c r="H37" s="3" t="s">
        <v>31</v>
      </c>
      <c r="I37" s="3" t="s">
        <v>32</v>
      </c>
      <c r="J37" s="3" t="s">
        <v>66</v>
      </c>
      <c r="K37" s="3" t="s">
        <v>61</v>
      </c>
      <c r="L37" s="3">
        <v>5</v>
      </c>
      <c r="M37" s="3">
        <v>1</v>
      </c>
      <c r="N37" s="3">
        <v>4</v>
      </c>
      <c r="O37" s="3">
        <v>2</v>
      </c>
      <c r="P37" s="3" t="s">
        <v>254</v>
      </c>
    </row>
    <row r="38" spans="1:16">
      <c r="A38" s="3">
        <v>35</v>
      </c>
      <c r="B38" s="3" t="s">
        <v>750</v>
      </c>
      <c r="C38" s="4">
        <v>46243</v>
      </c>
      <c r="D38" s="3" t="s">
        <v>86</v>
      </c>
      <c r="E38" s="5" t="s">
        <v>49</v>
      </c>
      <c r="F38" s="5" t="s">
        <v>711</v>
      </c>
      <c r="G38" s="3" t="s">
        <v>89</v>
      </c>
      <c r="H38" s="3" t="s">
        <v>6</v>
      </c>
      <c r="I38" s="3" t="s">
        <v>68</v>
      </c>
      <c r="J38" s="3" t="s">
        <v>62</v>
      </c>
      <c r="K38" s="3" t="s">
        <v>4</v>
      </c>
      <c r="L38" s="3">
        <v>4</v>
      </c>
      <c r="M38" s="3">
        <v>7</v>
      </c>
      <c r="N38" s="3">
        <v>2</v>
      </c>
      <c r="O38" s="3">
        <v>2</v>
      </c>
      <c r="P38" s="3" t="s">
        <v>238</v>
      </c>
    </row>
    <row r="39" spans="1:16">
      <c r="A39" s="3">
        <v>36</v>
      </c>
      <c r="B39" s="3" t="s">
        <v>751</v>
      </c>
      <c r="C39" s="4">
        <v>46260</v>
      </c>
      <c r="D39" s="3" t="s">
        <v>86</v>
      </c>
      <c r="E39" s="5" t="s">
        <v>61</v>
      </c>
      <c r="F39" s="5" t="s">
        <v>715</v>
      </c>
      <c r="G39" s="3" t="s">
        <v>92</v>
      </c>
      <c r="H39" s="3" t="s">
        <v>87</v>
      </c>
      <c r="I39" s="3" t="s">
        <v>68</v>
      </c>
      <c r="J39" s="3" t="s">
        <v>70</v>
      </c>
      <c r="K39" s="3" t="s">
        <v>16</v>
      </c>
      <c r="L39" s="3">
        <v>7</v>
      </c>
      <c r="M39" s="3">
        <v>2</v>
      </c>
      <c r="N39" s="3">
        <v>1</v>
      </c>
      <c r="O39" s="3">
        <v>8</v>
      </c>
      <c r="P39" s="3" t="s">
        <v>254</v>
      </c>
    </row>
    <row r="40" spans="1:16">
      <c r="A40" s="3">
        <v>37</v>
      </c>
      <c r="B40" s="3" t="s">
        <v>752</v>
      </c>
      <c r="C40" s="4">
        <v>46237</v>
      </c>
      <c r="D40" s="3" t="s">
        <v>86</v>
      </c>
      <c r="E40" s="5" t="s">
        <v>54</v>
      </c>
      <c r="F40" s="5" t="s">
        <v>740</v>
      </c>
      <c r="G40" s="3" t="s">
        <v>46</v>
      </c>
      <c r="H40" s="3" t="s">
        <v>77</v>
      </c>
      <c r="I40" s="3" t="s">
        <v>70</v>
      </c>
      <c r="J40" s="3" t="s">
        <v>7</v>
      </c>
      <c r="K40" s="3" t="s">
        <v>12</v>
      </c>
      <c r="L40" s="3">
        <v>3</v>
      </c>
      <c r="M40" s="3">
        <v>0</v>
      </c>
      <c r="N40" s="3">
        <v>3</v>
      </c>
      <c r="O40" s="3">
        <v>0</v>
      </c>
      <c r="P40" s="3" t="s">
        <v>293</v>
      </c>
    </row>
    <row r="41" spans="1:16">
      <c r="A41" s="3">
        <v>38</v>
      </c>
      <c r="B41" s="3" t="s">
        <v>753</v>
      </c>
      <c r="C41" s="4">
        <v>46274</v>
      </c>
      <c r="D41" s="3" t="s">
        <v>102</v>
      </c>
      <c r="E41" s="5" t="s">
        <v>54</v>
      </c>
      <c r="F41" s="5" t="s">
        <v>715</v>
      </c>
      <c r="G41" s="3" t="s">
        <v>13</v>
      </c>
      <c r="H41" s="3" t="s">
        <v>35</v>
      </c>
      <c r="I41" s="3" t="s">
        <v>22</v>
      </c>
      <c r="J41" s="3" t="s">
        <v>15</v>
      </c>
      <c r="K41" s="3" t="s">
        <v>57</v>
      </c>
      <c r="L41" s="3">
        <v>5</v>
      </c>
      <c r="M41" s="3">
        <v>7</v>
      </c>
      <c r="N41" s="3">
        <v>7</v>
      </c>
      <c r="O41" s="3">
        <v>6</v>
      </c>
      <c r="P41" s="3" t="s">
        <v>297</v>
      </c>
    </row>
    <row r="42" spans="1:16">
      <c r="A42" s="3">
        <v>39</v>
      </c>
      <c r="B42" s="3" t="s">
        <v>754</v>
      </c>
      <c r="C42" s="4">
        <v>46278</v>
      </c>
      <c r="D42" s="3" t="s">
        <v>102</v>
      </c>
      <c r="E42" s="5" t="s">
        <v>12</v>
      </c>
      <c r="F42" s="5" t="s">
        <v>740</v>
      </c>
      <c r="G42" s="3" t="s">
        <v>27</v>
      </c>
      <c r="H42" s="3" t="s">
        <v>6</v>
      </c>
      <c r="I42" s="3" t="s">
        <v>7</v>
      </c>
      <c r="J42" s="3" t="s">
        <v>7</v>
      </c>
      <c r="K42" s="3" t="s">
        <v>49</v>
      </c>
      <c r="L42" s="3">
        <v>4</v>
      </c>
      <c r="M42" s="3">
        <v>3</v>
      </c>
      <c r="N42" s="3">
        <v>7</v>
      </c>
      <c r="O42" s="3">
        <v>1</v>
      </c>
      <c r="P42" s="3" t="s">
        <v>238</v>
      </c>
    </row>
    <row r="43" spans="1:16">
      <c r="A43" s="3">
        <v>40</v>
      </c>
      <c r="B43" s="3" t="s">
        <v>755</v>
      </c>
      <c r="C43" s="4">
        <v>46302</v>
      </c>
      <c r="D43" s="3" t="s">
        <v>106</v>
      </c>
      <c r="E43" s="5" t="s">
        <v>20</v>
      </c>
      <c r="F43" s="5" t="s">
        <v>711</v>
      </c>
      <c r="G43" s="3" t="s">
        <v>65</v>
      </c>
      <c r="H43" s="3" t="s">
        <v>21</v>
      </c>
      <c r="I43" s="3" t="s">
        <v>93</v>
      </c>
      <c r="J43" s="3" t="s">
        <v>68</v>
      </c>
      <c r="K43" s="3" t="s">
        <v>49</v>
      </c>
      <c r="L43" s="3">
        <v>7</v>
      </c>
      <c r="M43" s="3">
        <v>8</v>
      </c>
      <c r="N43" s="3">
        <v>5</v>
      </c>
      <c r="O43" s="3">
        <v>1</v>
      </c>
      <c r="P43" s="3" t="s">
        <v>293</v>
      </c>
    </row>
    <row r="44" spans="1:16">
      <c r="A44" s="3">
        <v>41</v>
      </c>
      <c r="B44" s="3" t="s">
        <v>756</v>
      </c>
      <c r="C44" s="4">
        <v>46328</v>
      </c>
      <c r="D44" s="3" t="s">
        <v>111</v>
      </c>
      <c r="E44" s="5" t="s">
        <v>64</v>
      </c>
      <c r="F44" s="5" t="s">
        <v>740</v>
      </c>
      <c r="G44" s="3" t="s">
        <v>65</v>
      </c>
      <c r="H44" s="3" t="s">
        <v>82</v>
      </c>
      <c r="I44" s="3" t="s">
        <v>15</v>
      </c>
      <c r="J44" s="3" t="s">
        <v>32</v>
      </c>
      <c r="K44" s="3" t="s">
        <v>64</v>
      </c>
      <c r="L44" s="3">
        <v>6</v>
      </c>
      <c r="M44" s="3">
        <v>1</v>
      </c>
      <c r="N44" s="3">
        <v>6</v>
      </c>
      <c r="O44" s="3">
        <v>4</v>
      </c>
      <c r="P44" s="3" t="s">
        <v>293</v>
      </c>
    </row>
    <row r="45" spans="1:16">
      <c r="A45" s="3">
        <v>42</v>
      </c>
      <c r="B45" s="3" t="s">
        <v>757</v>
      </c>
      <c r="C45" s="4">
        <v>46336</v>
      </c>
      <c r="D45" s="3" t="s">
        <v>111</v>
      </c>
      <c r="E45" s="5" t="s">
        <v>64</v>
      </c>
      <c r="F45" s="5" t="s">
        <v>711</v>
      </c>
      <c r="G45" s="3" t="s">
        <v>89</v>
      </c>
      <c r="H45" s="3" t="s">
        <v>40</v>
      </c>
      <c r="I45" s="3" t="s">
        <v>70</v>
      </c>
      <c r="J45" s="3" t="s">
        <v>41</v>
      </c>
      <c r="K45" s="3" t="s">
        <v>91</v>
      </c>
      <c r="L45" s="3">
        <v>8</v>
      </c>
      <c r="M45" s="3">
        <v>6</v>
      </c>
      <c r="N45" s="3">
        <v>1</v>
      </c>
      <c r="O45" s="3">
        <v>7</v>
      </c>
      <c r="P45" s="3" t="s">
        <v>293</v>
      </c>
    </row>
    <row r="46" spans="1:16">
      <c r="A46" s="3">
        <v>43</v>
      </c>
      <c r="B46" s="3" t="s">
        <v>758</v>
      </c>
      <c r="C46" s="4">
        <v>46347</v>
      </c>
      <c r="D46" s="3" t="s">
        <v>111</v>
      </c>
      <c r="E46" s="5" t="s">
        <v>61</v>
      </c>
      <c r="F46" s="5" t="s">
        <v>713</v>
      </c>
      <c r="G46" s="3" t="s">
        <v>65</v>
      </c>
      <c r="H46" s="3" t="s">
        <v>40</v>
      </c>
      <c r="I46" s="3" t="s">
        <v>22</v>
      </c>
      <c r="J46" s="3" t="s">
        <v>15</v>
      </c>
      <c r="K46" s="3" t="s">
        <v>4</v>
      </c>
      <c r="L46" s="3">
        <v>5</v>
      </c>
      <c r="M46" s="3">
        <v>5</v>
      </c>
      <c r="N46" s="3">
        <v>5</v>
      </c>
      <c r="O46" s="3">
        <v>6</v>
      </c>
      <c r="P46" s="3" t="s">
        <v>293</v>
      </c>
    </row>
    <row r="47" spans="1:16">
      <c r="A47" s="3">
        <v>44</v>
      </c>
      <c r="B47" s="3" t="s">
        <v>759</v>
      </c>
      <c r="C47" s="4">
        <v>46335</v>
      </c>
      <c r="D47" s="3" t="s">
        <v>111</v>
      </c>
      <c r="E47" s="5" t="s">
        <v>4</v>
      </c>
      <c r="F47" s="5" t="s">
        <v>717</v>
      </c>
      <c r="G47" s="3" t="s">
        <v>92</v>
      </c>
      <c r="H47" s="3" t="s">
        <v>87</v>
      </c>
      <c r="I47" s="3" t="s">
        <v>68</v>
      </c>
      <c r="J47" s="3" t="s">
        <v>70</v>
      </c>
      <c r="K47" s="3" t="s">
        <v>16</v>
      </c>
      <c r="L47" s="3">
        <v>4</v>
      </c>
      <c r="M47" s="3">
        <v>0</v>
      </c>
      <c r="N47" s="3">
        <v>5</v>
      </c>
      <c r="O47" s="3">
        <v>0</v>
      </c>
      <c r="P47" s="3" t="s">
        <v>293</v>
      </c>
    </row>
    <row r="48" spans="1:16">
      <c r="A48" s="3">
        <v>45</v>
      </c>
      <c r="B48" s="3" t="s">
        <v>760</v>
      </c>
      <c r="C48" s="4">
        <v>46336</v>
      </c>
      <c r="D48" s="3" t="s">
        <v>111</v>
      </c>
      <c r="E48" s="5" t="s">
        <v>64</v>
      </c>
      <c r="F48" s="5" t="s">
        <v>740</v>
      </c>
      <c r="G48" s="3" t="s">
        <v>92</v>
      </c>
      <c r="H48" s="3" t="s">
        <v>80</v>
      </c>
      <c r="I48" s="3" t="s">
        <v>32</v>
      </c>
      <c r="J48" s="3" t="s">
        <v>41</v>
      </c>
      <c r="K48" s="3" t="s">
        <v>57</v>
      </c>
      <c r="L48" s="3">
        <v>0</v>
      </c>
      <c r="M48" s="3">
        <v>7</v>
      </c>
      <c r="N48" s="3">
        <v>4</v>
      </c>
      <c r="O48" s="3">
        <v>3</v>
      </c>
      <c r="P48" s="3" t="s">
        <v>297</v>
      </c>
    </row>
    <row r="49" spans="1:16">
      <c r="A49" s="3">
        <v>46</v>
      </c>
      <c r="B49" s="3" t="s">
        <v>761</v>
      </c>
      <c r="C49" s="4">
        <v>46333</v>
      </c>
      <c r="D49" s="3" t="s">
        <v>111</v>
      </c>
      <c r="E49" s="5" t="s">
        <v>49</v>
      </c>
      <c r="F49" s="5" t="s">
        <v>722</v>
      </c>
      <c r="G49" s="3" t="s">
        <v>50</v>
      </c>
      <c r="H49" s="3" t="s">
        <v>80</v>
      </c>
      <c r="I49" s="3" t="s">
        <v>15</v>
      </c>
      <c r="J49" s="3" t="s">
        <v>68</v>
      </c>
      <c r="K49" s="3" t="s">
        <v>64</v>
      </c>
      <c r="L49" s="3">
        <v>0</v>
      </c>
      <c r="M49" s="3">
        <v>7</v>
      </c>
      <c r="N49" s="3">
        <v>3</v>
      </c>
      <c r="O49" s="3">
        <v>8</v>
      </c>
      <c r="P49" s="3" t="s">
        <v>254</v>
      </c>
    </row>
    <row r="50" spans="1:16">
      <c r="A50" s="3">
        <v>47</v>
      </c>
      <c r="B50" s="3" t="s">
        <v>762</v>
      </c>
      <c r="C50" s="4">
        <v>46350</v>
      </c>
      <c r="D50" s="3" t="s">
        <v>111</v>
      </c>
      <c r="E50" s="5" t="s">
        <v>4</v>
      </c>
      <c r="F50" s="5" t="s">
        <v>717</v>
      </c>
      <c r="G50" s="3" t="s">
        <v>50</v>
      </c>
      <c r="H50" s="3" t="s">
        <v>35</v>
      </c>
      <c r="I50" s="3" t="s">
        <v>78</v>
      </c>
      <c r="J50" s="3" t="s">
        <v>66</v>
      </c>
      <c r="K50" s="3" t="s">
        <v>57</v>
      </c>
      <c r="L50" s="3">
        <v>0</v>
      </c>
      <c r="M50" s="3">
        <v>1</v>
      </c>
      <c r="N50" s="3">
        <v>8</v>
      </c>
      <c r="O50" s="3">
        <v>8</v>
      </c>
      <c r="P50" s="3" t="s">
        <v>297</v>
      </c>
    </row>
    <row r="51" spans="1:16">
      <c r="A51" s="3">
        <v>48</v>
      </c>
      <c r="B51" s="3" t="s">
        <v>763</v>
      </c>
      <c r="C51" s="4">
        <v>46368</v>
      </c>
      <c r="D51" s="3" t="s">
        <v>122</v>
      </c>
      <c r="E51" s="5" t="s">
        <v>45</v>
      </c>
      <c r="F51" s="5" t="s">
        <v>713</v>
      </c>
      <c r="G51" s="3" t="s">
        <v>58</v>
      </c>
      <c r="H51" s="3" t="s">
        <v>82</v>
      </c>
      <c r="I51" s="3" t="s">
        <v>68</v>
      </c>
      <c r="J51" s="3" t="s">
        <v>62</v>
      </c>
      <c r="K51" s="3" t="s">
        <v>61</v>
      </c>
      <c r="L51" s="3">
        <v>0</v>
      </c>
      <c r="M51" s="3">
        <v>0</v>
      </c>
      <c r="N51" s="3">
        <v>1</v>
      </c>
      <c r="O51" s="3">
        <v>2</v>
      </c>
      <c r="P51" s="3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P4:P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3.7109375" customWidth="1"/>
    <col min="6" max="7" width="12.7109375" customWidth="1"/>
    <col min="8" max="8" width="10.7109375" customWidth="1"/>
    <col min="9" max="9" width="14.7109375" customWidth="1"/>
    <col min="10" max="10" width="13.7109375" customWidth="1"/>
    <col min="11" max="11" width="17.7109375" customWidth="1"/>
    <col min="12" max="13" width="10.7109375" customWidth="1"/>
    <col min="14" max="14" width="14.7109375" customWidth="1"/>
    <col min="15" max="15" width="17.7109375" customWidth="1"/>
    <col min="16" max="16" width="9.7109375" customWidth="1"/>
  </cols>
  <sheetData>
    <row r="1" spans="1:18" ht="22" customHeight="1">
      <c r="A1" s="1" t="s">
        <v>773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R1" s="2" t="s">
        <v>139</v>
      </c>
    </row>
    <row r="2" spans="1:18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8">
      <c r="A3" t="s">
        <v>124</v>
      </c>
      <c r="B3" t="s">
        <v>764</v>
      </c>
      <c r="C3" t="s">
        <v>126</v>
      </c>
      <c r="D3" t="s">
        <v>127</v>
      </c>
      <c r="E3" t="s">
        <v>765</v>
      </c>
      <c r="F3" t="s">
        <v>766</v>
      </c>
      <c r="G3" t="s">
        <v>129</v>
      </c>
      <c r="H3" t="s">
        <v>130</v>
      </c>
      <c r="I3" t="s">
        <v>767</v>
      </c>
      <c r="J3" t="s">
        <v>209</v>
      </c>
      <c r="K3" t="s">
        <v>768</v>
      </c>
      <c r="L3" t="s">
        <v>769</v>
      </c>
      <c r="M3" t="s">
        <v>770</v>
      </c>
      <c r="N3" t="s">
        <v>771</v>
      </c>
      <c r="O3" t="s">
        <v>772</v>
      </c>
      <c r="P3" t="s">
        <v>287</v>
      </c>
    </row>
    <row r="4" spans="1:18">
      <c r="A4" s="3">
        <v>1</v>
      </c>
      <c r="B4" s="3" t="s">
        <v>774</v>
      </c>
      <c r="C4" s="4">
        <v>46037</v>
      </c>
      <c r="D4" s="3" t="s">
        <v>3</v>
      </c>
      <c r="E4" s="5" t="s">
        <v>54</v>
      </c>
      <c r="F4" s="5" t="s">
        <v>717</v>
      </c>
      <c r="G4" s="3" t="s">
        <v>27</v>
      </c>
      <c r="H4" s="3" t="s">
        <v>40</v>
      </c>
      <c r="I4" s="3" t="s">
        <v>32</v>
      </c>
      <c r="J4" s="3" t="s">
        <v>66</v>
      </c>
      <c r="K4" s="3" t="s">
        <v>91</v>
      </c>
      <c r="L4" s="3">
        <v>6</v>
      </c>
      <c r="M4" s="3">
        <v>8</v>
      </c>
      <c r="N4" s="3">
        <v>3</v>
      </c>
      <c r="O4" s="3">
        <v>8</v>
      </c>
      <c r="P4" s="3" t="s">
        <v>293</v>
      </c>
    </row>
    <row r="5" spans="1:18">
      <c r="A5" s="3">
        <v>2</v>
      </c>
      <c r="B5" s="3" t="s">
        <v>775</v>
      </c>
      <c r="C5" s="4">
        <v>46050</v>
      </c>
      <c r="D5" s="3" t="s">
        <v>3</v>
      </c>
      <c r="E5" s="5" t="s">
        <v>45</v>
      </c>
      <c r="F5" s="5" t="s">
        <v>740</v>
      </c>
      <c r="G5" s="3" t="s">
        <v>50</v>
      </c>
      <c r="H5" s="3" t="s">
        <v>95</v>
      </c>
      <c r="I5" s="3" t="s">
        <v>7</v>
      </c>
      <c r="J5" s="3" t="s">
        <v>28</v>
      </c>
      <c r="K5" s="3" t="s">
        <v>16</v>
      </c>
      <c r="L5" s="3">
        <v>4</v>
      </c>
      <c r="M5" s="3">
        <v>1</v>
      </c>
      <c r="N5" s="3">
        <v>7</v>
      </c>
      <c r="O5" s="3">
        <v>3</v>
      </c>
      <c r="P5" s="3" t="s">
        <v>254</v>
      </c>
    </row>
    <row r="6" spans="1:18">
      <c r="A6" s="3">
        <v>3</v>
      </c>
      <c r="B6" s="3" t="s">
        <v>776</v>
      </c>
      <c r="C6" s="4">
        <v>46039</v>
      </c>
      <c r="D6" s="3" t="s">
        <v>3</v>
      </c>
      <c r="E6" s="5" t="s">
        <v>64</v>
      </c>
      <c r="F6" s="5" t="s">
        <v>717</v>
      </c>
      <c r="G6" s="3" t="s">
        <v>46</v>
      </c>
      <c r="H6" s="3" t="s">
        <v>51</v>
      </c>
      <c r="I6" s="3" t="s">
        <v>7</v>
      </c>
      <c r="J6" s="3" t="s">
        <v>70</v>
      </c>
      <c r="K6" s="3" t="s">
        <v>61</v>
      </c>
      <c r="L6" s="3">
        <v>7</v>
      </c>
      <c r="M6" s="3">
        <v>3</v>
      </c>
      <c r="N6" s="3">
        <v>1</v>
      </c>
      <c r="O6" s="3">
        <v>6</v>
      </c>
      <c r="P6" s="3" t="s">
        <v>293</v>
      </c>
    </row>
    <row r="7" spans="1:18">
      <c r="A7" s="3">
        <v>4</v>
      </c>
      <c r="B7" s="3" t="s">
        <v>777</v>
      </c>
      <c r="C7" s="4">
        <v>46044</v>
      </c>
      <c r="D7" s="3" t="s">
        <v>3</v>
      </c>
      <c r="E7" s="5" t="s">
        <v>16</v>
      </c>
      <c r="F7" s="5" t="s">
        <v>740</v>
      </c>
      <c r="G7" s="3" t="s">
        <v>27</v>
      </c>
      <c r="H7" s="3" t="s">
        <v>87</v>
      </c>
      <c r="I7" s="3" t="s">
        <v>41</v>
      </c>
      <c r="J7" s="3" t="s">
        <v>41</v>
      </c>
      <c r="K7" s="3" t="s">
        <v>4</v>
      </c>
      <c r="L7" s="3">
        <v>4</v>
      </c>
      <c r="M7" s="3">
        <v>8</v>
      </c>
      <c r="N7" s="3">
        <v>5</v>
      </c>
      <c r="O7" s="3">
        <v>3</v>
      </c>
      <c r="P7" s="3" t="s">
        <v>293</v>
      </c>
    </row>
    <row r="8" spans="1:18">
      <c r="A8" s="3">
        <v>5</v>
      </c>
      <c r="B8" s="3" t="s">
        <v>778</v>
      </c>
      <c r="C8" s="4">
        <v>46078</v>
      </c>
      <c r="D8" s="3" t="s">
        <v>19</v>
      </c>
      <c r="E8" s="5" t="s">
        <v>16</v>
      </c>
      <c r="F8" s="5" t="s">
        <v>722</v>
      </c>
      <c r="G8" s="3" t="s">
        <v>5</v>
      </c>
      <c r="H8" s="3" t="s">
        <v>95</v>
      </c>
      <c r="I8" s="3" t="s">
        <v>36</v>
      </c>
      <c r="J8" s="3" t="s">
        <v>15</v>
      </c>
      <c r="K8" s="3" t="s">
        <v>20</v>
      </c>
      <c r="L8" s="3">
        <v>6</v>
      </c>
      <c r="M8" s="3">
        <v>3</v>
      </c>
      <c r="N8" s="3">
        <v>3</v>
      </c>
      <c r="O8" s="3">
        <v>0</v>
      </c>
      <c r="P8" s="3" t="s">
        <v>293</v>
      </c>
    </row>
    <row r="9" spans="1:18">
      <c r="A9" s="3">
        <v>6</v>
      </c>
      <c r="B9" s="3" t="s">
        <v>779</v>
      </c>
      <c r="C9" s="4">
        <v>46060</v>
      </c>
      <c r="D9" s="3" t="s">
        <v>19</v>
      </c>
      <c r="E9" s="5" t="s">
        <v>30</v>
      </c>
      <c r="F9" s="5" t="s">
        <v>740</v>
      </c>
      <c r="G9" s="3" t="s">
        <v>5</v>
      </c>
      <c r="H9" s="3" t="s">
        <v>6</v>
      </c>
      <c r="I9" s="3" t="s">
        <v>62</v>
      </c>
      <c r="J9" s="3" t="s">
        <v>66</v>
      </c>
      <c r="K9" s="3" t="s">
        <v>16</v>
      </c>
      <c r="L9" s="3">
        <v>1</v>
      </c>
      <c r="M9" s="3">
        <v>8</v>
      </c>
      <c r="N9" s="3">
        <v>0</v>
      </c>
      <c r="O9" s="3">
        <v>6</v>
      </c>
      <c r="P9" s="3" t="s">
        <v>293</v>
      </c>
    </row>
    <row r="10" spans="1:18">
      <c r="A10" s="3">
        <v>7</v>
      </c>
      <c r="B10" s="3" t="s">
        <v>780</v>
      </c>
      <c r="C10" s="4">
        <v>46069</v>
      </c>
      <c r="D10" s="3" t="s">
        <v>19</v>
      </c>
      <c r="E10" s="5" t="s">
        <v>38</v>
      </c>
      <c r="F10" s="5" t="s">
        <v>717</v>
      </c>
      <c r="G10" s="3" t="s">
        <v>50</v>
      </c>
      <c r="H10" s="3" t="s">
        <v>51</v>
      </c>
      <c r="I10" s="3" t="s">
        <v>66</v>
      </c>
      <c r="J10" s="3" t="s">
        <v>22</v>
      </c>
      <c r="K10" s="3" t="s">
        <v>64</v>
      </c>
      <c r="L10" s="3">
        <v>3</v>
      </c>
      <c r="M10" s="3">
        <v>1</v>
      </c>
      <c r="N10" s="3">
        <v>5</v>
      </c>
      <c r="O10" s="3">
        <v>7</v>
      </c>
      <c r="P10" s="3" t="s">
        <v>293</v>
      </c>
    </row>
    <row r="11" spans="1:18">
      <c r="A11" s="3">
        <v>8</v>
      </c>
      <c r="B11" s="3" t="s">
        <v>781</v>
      </c>
      <c r="C11" s="4">
        <v>46100</v>
      </c>
      <c r="D11" s="3" t="s">
        <v>44</v>
      </c>
      <c r="E11" s="5" t="s">
        <v>30</v>
      </c>
      <c r="F11" s="5" t="s">
        <v>711</v>
      </c>
      <c r="G11" s="3" t="s">
        <v>50</v>
      </c>
      <c r="H11" s="3" t="s">
        <v>40</v>
      </c>
      <c r="I11" s="3" t="s">
        <v>78</v>
      </c>
      <c r="J11" s="3" t="s">
        <v>78</v>
      </c>
      <c r="K11" s="3" t="s">
        <v>4</v>
      </c>
      <c r="L11" s="3">
        <v>6</v>
      </c>
      <c r="M11" s="3">
        <v>4</v>
      </c>
      <c r="N11" s="3">
        <v>6</v>
      </c>
      <c r="O11" s="3">
        <v>0</v>
      </c>
      <c r="P11" s="3" t="s">
        <v>293</v>
      </c>
    </row>
    <row r="12" spans="1:18">
      <c r="A12" s="3">
        <v>9</v>
      </c>
      <c r="B12" s="3" t="s">
        <v>782</v>
      </c>
      <c r="C12" s="4">
        <v>46082</v>
      </c>
      <c r="D12" s="3" t="s">
        <v>44</v>
      </c>
      <c r="E12" s="5" t="s">
        <v>30</v>
      </c>
      <c r="F12" s="5" t="s">
        <v>713</v>
      </c>
      <c r="G12" s="3" t="s">
        <v>65</v>
      </c>
      <c r="H12" s="3" t="s">
        <v>31</v>
      </c>
      <c r="I12" s="3" t="s">
        <v>104</v>
      </c>
      <c r="J12" s="3" t="s">
        <v>32</v>
      </c>
      <c r="K12" s="3" t="s">
        <v>16</v>
      </c>
      <c r="L12" s="3">
        <v>2</v>
      </c>
      <c r="M12" s="3">
        <v>0</v>
      </c>
      <c r="N12" s="3">
        <v>8</v>
      </c>
      <c r="O12" s="3">
        <v>3</v>
      </c>
      <c r="P12" s="3" t="s">
        <v>293</v>
      </c>
    </row>
    <row r="13" spans="1:18">
      <c r="A13" s="3">
        <v>10</v>
      </c>
      <c r="B13" s="3" t="s">
        <v>783</v>
      </c>
      <c r="C13" s="4">
        <v>46089</v>
      </c>
      <c r="D13" s="3" t="s">
        <v>44</v>
      </c>
      <c r="E13" s="5" t="s">
        <v>45</v>
      </c>
      <c r="F13" s="5" t="s">
        <v>711</v>
      </c>
      <c r="G13" s="3" t="s">
        <v>92</v>
      </c>
      <c r="H13" s="3" t="s">
        <v>21</v>
      </c>
      <c r="I13" s="3" t="s">
        <v>28</v>
      </c>
      <c r="J13" s="3" t="s">
        <v>22</v>
      </c>
      <c r="K13" s="3" t="s">
        <v>38</v>
      </c>
      <c r="L13" s="3">
        <v>4</v>
      </c>
      <c r="M13" s="3">
        <v>2</v>
      </c>
      <c r="N13" s="3">
        <v>4</v>
      </c>
      <c r="O13" s="3">
        <v>2</v>
      </c>
      <c r="P13" s="3" t="s">
        <v>293</v>
      </c>
    </row>
    <row r="14" spans="1:18">
      <c r="A14" s="3">
        <v>11</v>
      </c>
      <c r="B14" s="3" t="s">
        <v>784</v>
      </c>
      <c r="C14" s="4">
        <v>46136</v>
      </c>
      <c r="D14" s="3" t="s">
        <v>53</v>
      </c>
      <c r="E14" s="5" t="s">
        <v>4</v>
      </c>
      <c r="F14" s="5" t="s">
        <v>740</v>
      </c>
      <c r="G14" s="3" t="s">
        <v>58</v>
      </c>
      <c r="H14" s="3" t="s">
        <v>95</v>
      </c>
      <c r="I14" s="3" t="s">
        <v>66</v>
      </c>
      <c r="J14" s="3" t="s">
        <v>22</v>
      </c>
      <c r="K14" s="3" t="s">
        <v>12</v>
      </c>
      <c r="L14" s="3">
        <v>0</v>
      </c>
      <c r="M14" s="3">
        <v>3</v>
      </c>
      <c r="N14" s="3">
        <v>2</v>
      </c>
      <c r="O14" s="3">
        <v>7</v>
      </c>
      <c r="P14" s="3" t="s">
        <v>293</v>
      </c>
    </row>
    <row r="15" spans="1:18">
      <c r="A15" s="3">
        <v>12</v>
      </c>
      <c r="B15" s="3" t="s">
        <v>785</v>
      </c>
      <c r="C15" s="4">
        <v>46131</v>
      </c>
      <c r="D15" s="3" t="s">
        <v>53</v>
      </c>
      <c r="E15" s="5" t="s">
        <v>64</v>
      </c>
      <c r="F15" s="5" t="s">
        <v>715</v>
      </c>
      <c r="G15" s="3" t="s">
        <v>92</v>
      </c>
      <c r="H15" s="3" t="s">
        <v>87</v>
      </c>
      <c r="I15" s="3" t="s">
        <v>36</v>
      </c>
      <c r="J15" s="3" t="s">
        <v>41</v>
      </c>
      <c r="K15" s="3" t="s">
        <v>54</v>
      </c>
      <c r="L15" s="3">
        <v>5</v>
      </c>
      <c r="M15" s="3">
        <v>5</v>
      </c>
      <c r="N15" s="3">
        <v>6</v>
      </c>
      <c r="O15" s="3">
        <v>0</v>
      </c>
      <c r="P15" s="3" t="s">
        <v>293</v>
      </c>
    </row>
    <row r="16" spans="1:18">
      <c r="A16" s="3">
        <v>13</v>
      </c>
      <c r="B16" s="3" t="s">
        <v>786</v>
      </c>
      <c r="C16" s="4">
        <v>46137</v>
      </c>
      <c r="D16" s="3" t="s">
        <v>53</v>
      </c>
      <c r="E16" s="5" t="s">
        <v>12</v>
      </c>
      <c r="F16" s="5" t="s">
        <v>717</v>
      </c>
      <c r="G16" s="3" t="s">
        <v>92</v>
      </c>
      <c r="H16" s="3" t="s">
        <v>40</v>
      </c>
      <c r="I16" s="3" t="s">
        <v>66</v>
      </c>
      <c r="J16" s="3" t="s">
        <v>32</v>
      </c>
      <c r="K16" s="3" t="s">
        <v>4</v>
      </c>
      <c r="L16" s="3">
        <v>7</v>
      </c>
      <c r="M16" s="3">
        <v>4</v>
      </c>
      <c r="N16" s="3">
        <v>6</v>
      </c>
      <c r="O16" s="3">
        <v>7</v>
      </c>
      <c r="P16" s="3" t="s">
        <v>293</v>
      </c>
    </row>
    <row r="17" spans="1:16">
      <c r="A17" s="3">
        <v>14</v>
      </c>
      <c r="B17" s="3" t="s">
        <v>787</v>
      </c>
      <c r="C17" s="4">
        <v>46139</v>
      </c>
      <c r="D17" s="3" t="s">
        <v>53</v>
      </c>
      <c r="E17" s="5" t="s">
        <v>20</v>
      </c>
      <c r="F17" s="5" t="s">
        <v>722</v>
      </c>
      <c r="G17" s="3" t="s">
        <v>89</v>
      </c>
      <c r="H17" s="3" t="s">
        <v>80</v>
      </c>
      <c r="I17" s="3" t="s">
        <v>22</v>
      </c>
      <c r="J17" s="3" t="s">
        <v>93</v>
      </c>
      <c r="K17" s="3" t="s">
        <v>91</v>
      </c>
      <c r="L17" s="3">
        <v>0</v>
      </c>
      <c r="M17" s="3">
        <v>6</v>
      </c>
      <c r="N17" s="3">
        <v>3</v>
      </c>
      <c r="O17" s="3">
        <v>1</v>
      </c>
      <c r="P17" s="3" t="s">
        <v>293</v>
      </c>
    </row>
    <row r="18" spans="1:16">
      <c r="A18" s="3">
        <v>15</v>
      </c>
      <c r="B18" s="3" t="s">
        <v>788</v>
      </c>
      <c r="C18" s="4">
        <v>46170</v>
      </c>
      <c r="D18" s="3" t="s">
        <v>60</v>
      </c>
      <c r="E18" s="5" t="s">
        <v>57</v>
      </c>
      <c r="F18" s="5" t="s">
        <v>722</v>
      </c>
      <c r="G18" s="3" t="s">
        <v>27</v>
      </c>
      <c r="H18" s="3" t="s">
        <v>82</v>
      </c>
      <c r="I18" s="3" t="s">
        <v>32</v>
      </c>
      <c r="J18" s="3" t="s">
        <v>15</v>
      </c>
      <c r="K18" s="3" t="s">
        <v>30</v>
      </c>
      <c r="L18" s="3">
        <v>5</v>
      </c>
      <c r="M18" s="3">
        <v>3</v>
      </c>
      <c r="N18" s="3">
        <v>6</v>
      </c>
      <c r="O18" s="3">
        <v>0</v>
      </c>
      <c r="P18" s="3" t="s">
        <v>293</v>
      </c>
    </row>
    <row r="19" spans="1:16">
      <c r="A19" s="3">
        <v>16</v>
      </c>
      <c r="B19" s="3" t="s">
        <v>789</v>
      </c>
      <c r="C19" s="4">
        <v>46146</v>
      </c>
      <c r="D19" s="3" t="s">
        <v>60</v>
      </c>
      <c r="E19" s="5" t="s">
        <v>16</v>
      </c>
      <c r="F19" s="5" t="s">
        <v>740</v>
      </c>
      <c r="G19" s="3" t="s">
        <v>50</v>
      </c>
      <c r="H19" s="3" t="s">
        <v>35</v>
      </c>
      <c r="I19" s="3" t="s">
        <v>62</v>
      </c>
      <c r="J19" s="3" t="s">
        <v>15</v>
      </c>
      <c r="K19" s="3" t="s">
        <v>91</v>
      </c>
      <c r="L19" s="3">
        <v>1</v>
      </c>
      <c r="M19" s="3">
        <v>2</v>
      </c>
      <c r="N19" s="3">
        <v>5</v>
      </c>
      <c r="O19" s="3">
        <v>1</v>
      </c>
      <c r="P19" s="3" t="s">
        <v>293</v>
      </c>
    </row>
    <row r="20" spans="1:16">
      <c r="A20" s="3">
        <v>17</v>
      </c>
      <c r="B20" s="3" t="s">
        <v>790</v>
      </c>
      <c r="C20" s="4">
        <v>46160</v>
      </c>
      <c r="D20" s="3" t="s">
        <v>60</v>
      </c>
      <c r="E20" s="5" t="s">
        <v>57</v>
      </c>
      <c r="F20" s="5" t="s">
        <v>715</v>
      </c>
      <c r="G20" s="3" t="s">
        <v>46</v>
      </c>
      <c r="H20" s="3" t="s">
        <v>6</v>
      </c>
      <c r="I20" s="3" t="s">
        <v>104</v>
      </c>
      <c r="J20" s="3" t="s">
        <v>41</v>
      </c>
      <c r="K20" s="3" t="s">
        <v>91</v>
      </c>
      <c r="L20" s="3">
        <v>8</v>
      </c>
      <c r="M20" s="3">
        <v>1</v>
      </c>
      <c r="N20" s="3">
        <v>7</v>
      </c>
      <c r="O20" s="3">
        <v>0</v>
      </c>
      <c r="P20" s="3" t="s">
        <v>297</v>
      </c>
    </row>
    <row r="21" spans="1:16">
      <c r="A21" s="3">
        <v>18</v>
      </c>
      <c r="B21" s="3" t="s">
        <v>791</v>
      </c>
      <c r="C21" s="4">
        <v>46170</v>
      </c>
      <c r="D21" s="3" t="s">
        <v>60</v>
      </c>
      <c r="E21" s="5" t="s">
        <v>49</v>
      </c>
      <c r="F21" s="5" t="s">
        <v>722</v>
      </c>
      <c r="G21" s="3" t="s">
        <v>92</v>
      </c>
      <c r="H21" s="3" t="s">
        <v>51</v>
      </c>
      <c r="I21" s="3" t="s">
        <v>104</v>
      </c>
      <c r="J21" s="3" t="s">
        <v>7</v>
      </c>
      <c r="K21" s="3" t="s">
        <v>54</v>
      </c>
      <c r="L21" s="3">
        <v>3</v>
      </c>
      <c r="M21" s="3">
        <v>5</v>
      </c>
      <c r="N21" s="3">
        <v>7</v>
      </c>
      <c r="O21" s="3">
        <v>7</v>
      </c>
      <c r="P21" s="3" t="s">
        <v>297</v>
      </c>
    </row>
    <row r="22" spans="1:16">
      <c r="A22" s="3">
        <v>19</v>
      </c>
      <c r="B22" s="3" t="s">
        <v>792</v>
      </c>
      <c r="C22" s="4">
        <v>46178</v>
      </c>
      <c r="D22" s="3" t="s">
        <v>73</v>
      </c>
      <c r="E22" s="5" t="s">
        <v>49</v>
      </c>
      <c r="F22" s="5" t="s">
        <v>722</v>
      </c>
      <c r="G22" s="3" t="s">
        <v>92</v>
      </c>
      <c r="H22" s="3" t="s">
        <v>31</v>
      </c>
      <c r="I22" s="3" t="s">
        <v>7</v>
      </c>
      <c r="J22" s="3" t="s">
        <v>22</v>
      </c>
      <c r="K22" s="3" t="s">
        <v>38</v>
      </c>
      <c r="L22" s="3">
        <v>0</v>
      </c>
      <c r="M22" s="3">
        <v>6</v>
      </c>
      <c r="N22" s="3">
        <v>2</v>
      </c>
      <c r="O22" s="3">
        <v>8</v>
      </c>
      <c r="P22" s="3" t="s">
        <v>254</v>
      </c>
    </row>
    <row r="23" spans="1:16">
      <c r="A23" s="3">
        <v>20</v>
      </c>
      <c r="B23" s="3" t="s">
        <v>793</v>
      </c>
      <c r="C23" s="4">
        <v>46183</v>
      </c>
      <c r="D23" s="3" t="s">
        <v>73</v>
      </c>
      <c r="E23" s="5" t="s">
        <v>54</v>
      </c>
      <c r="F23" s="5" t="s">
        <v>717</v>
      </c>
      <c r="G23" s="3" t="s">
        <v>89</v>
      </c>
      <c r="H23" s="3" t="s">
        <v>77</v>
      </c>
      <c r="I23" s="3" t="s">
        <v>22</v>
      </c>
      <c r="J23" s="3" t="s">
        <v>22</v>
      </c>
      <c r="K23" s="3" t="s">
        <v>57</v>
      </c>
      <c r="L23" s="3">
        <v>5</v>
      </c>
      <c r="M23" s="3">
        <v>8</v>
      </c>
      <c r="N23" s="3">
        <v>2</v>
      </c>
      <c r="O23" s="3">
        <v>1</v>
      </c>
      <c r="P23" s="3" t="s">
        <v>293</v>
      </c>
    </row>
    <row r="24" spans="1:16">
      <c r="A24" s="3">
        <v>21</v>
      </c>
      <c r="B24" s="3" t="s">
        <v>794</v>
      </c>
      <c r="C24" s="4">
        <v>46182</v>
      </c>
      <c r="D24" s="3" t="s">
        <v>73</v>
      </c>
      <c r="E24" s="5" t="s">
        <v>20</v>
      </c>
      <c r="F24" s="5" t="s">
        <v>740</v>
      </c>
      <c r="G24" s="3" t="s">
        <v>92</v>
      </c>
      <c r="H24" s="3" t="s">
        <v>87</v>
      </c>
      <c r="I24" s="3" t="s">
        <v>70</v>
      </c>
      <c r="J24" s="3" t="s">
        <v>66</v>
      </c>
      <c r="K24" s="3" t="s">
        <v>54</v>
      </c>
      <c r="L24" s="3">
        <v>4</v>
      </c>
      <c r="M24" s="3">
        <v>3</v>
      </c>
      <c r="N24" s="3">
        <v>5</v>
      </c>
      <c r="O24" s="3">
        <v>4</v>
      </c>
      <c r="P24" s="3" t="s">
        <v>297</v>
      </c>
    </row>
    <row r="25" spans="1:16">
      <c r="A25" s="3">
        <v>22</v>
      </c>
      <c r="B25" s="3" t="s">
        <v>795</v>
      </c>
      <c r="C25" s="4">
        <v>46176</v>
      </c>
      <c r="D25" s="3" t="s">
        <v>73</v>
      </c>
      <c r="E25" s="5" t="s">
        <v>57</v>
      </c>
      <c r="F25" s="5" t="s">
        <v>740</v>
      </c>
      <c r="G25" s="3" t="s">
        <v>58</v>
      </c>
      <c r="H25" s="3" t="s">
        <v>21</v>
      </c>
      <c r="I25" s="3" t="s">
        <v>68</v>
      </c>
      <c r="J25" s="3" t="s">
        <v>104</v>
      </c>
      <c r="K25" s="3" t="s">
        <v>54</v>
      </c>
      <c r="L25" s="3">
        <v>3</v>
      </c>
      <c r="M25" s="3">
        <v>0</v>
      </c>
      <c r="N25" s="3">
        <v>5</v>
      </c>
      <c r="O25" s="3">
        <v>8</v>
      </c>
      <c r="P25" s="3" t="s">
        <v>293</v>
      </c>
    </row>
    <row r="26" spans="1:16">
      <c r="A26" s="3">
        <v>23</v>
      </c>
      <c r="B26" s="3" t="s">
        <v>796</v>
      </c>
      <c r="C26" s="4">
        <v>46178</v>
      </c>
      <c r="D26" s="3" t="s">
        <v>73</v>
      </c>
      <c r="E26" s="5" t="s">
        <v>20</v>
      </c>
      <c r="F26" s="5" t="s">
        <v>717</v>
      </c>
      <c r="G26" s="3" t="s">
        <v>5</v>
      </c>
      <c r="H26" s="3" t="s">
        <v>14</v>
      </c>
      <c r="I26" s="3" t="s">
        <v>41</v>
      </c>
      <c r="J26" s="3" t="s">
        <v>36</v>
      </c>
      <c r="K26" s="3" t="s">
        <v>49</v>
      </c>
      <c r="L26" s="3">
        <v>3</v>
      </c>
      <c r="M26" s="3">
        <v>1</v>
      </c>
      <c r="N26" s="3">
        <v>5</v>
      </c>
      <c r="O26" s="3">
        <v>2</v>
      </c>
      <c r="P26" s="3" t="s">
        <v>293</v>
      </c>
    </row>
    <row r="27" spans="1:16">
      <c r="A27" s="3">
        <v>24</v>
      </c>
      <c r="B27" s="3" t="s">
        <v>797</v>
      </c>
      <c r="C27" s="4">
        <v>46178</v>
      </c>
      <c r="D27" s="3" t="s">
        <v>73</v>
      </c>
      <c r="E27" s="5" t="s">
        <v>45</v>
      </c>
      <c r="F27" s="5" t="s">
        <v>713</v>
      </c>
      <c r="G27" s="3" t="s">
        <v>65</v>
      </c>
      <c r="H27" s="3" t="s">
        <v>6</v>
      </c>
      <c r="I27" s="3" t="s">
        <v>93</v>
      </c>
      <c r="J27" s="3" t="s">
        <v>41</v>
      </c>
      <c r="K27" s="3" t="s">
        <v>61</v>
      </c>
      <c r="L27" s="3">
        <v>5</v>
      </c>
      <c r="M27" s="3">
        <v>5</v>
      </c>
      <c r="N27" s="3">
        <v>8</v>
      </c>
      <c r="O27" s="3">
        <v>7</v>
      </c>
      <c r="P27" s="3" t="s">
        <v>293</v>
      </c>
    </row>
    <row r="28" spans="1:16">
      <c r="A28" s="3">
        <v>25</v>
      </c>
      <c r="B28" s="3" t="s">
        <v>798</v>
      </c>
      <c r="C28" s="4">
        <v>46174</v>
      </c>
      <c r="D28" s="3" t="s">
        <v>73</v>
      </c>
      <c r="E28" s="5" t="s">
        <v>12</v>
      </c>
      <c r="F28" s="5" t="s">
        <v>713</v>
      </c>
      <c r="G28" s="3" t="s">
        <v>89</v>
      </c>
      <c r="H28" s="3" t="s">
        <v>77</v>
      </c>
      <c r="I28" s="3" t="s">
        <v>68</v>
      </c>
      <c r="J28" s="3" t="s">
        <v>7</v>
      </c>
      <c r="K28" s="3" t="s">
        <v>64</v>
      </c>
      <c r="L28" s="3">
        <v>8</v>
      </c>
      <c r="M28" s="3">
        <v>6</v>
      </c>
      <c r="N28" s="3">
        <v>4</v>
      </c>
      <c r="O28" s="3">
        <v>5</v>
      </c>
      <c r="P28" s="3" t="s">
        <v>297</v>
      </c>
    </row>
    <row r="29" spans="1:16">
      <c r="A29" s="3">
        <v>26</v>
      </c>
      <c r="B29" s="3" t="s">
        <v>799</v>
      </c>
      <c r="C29" s="4">
        <v>46177</v>
      </c>
      <c r="D29" s="3" t="s">
        <v>73</v>
      </c>
      <c r="E29" s="5" t="s">
        <v>30</v>
      </c>
      <c r="F29" s="5" t="s">
        <v>722</v>
      </c>
      <c r="G29" s="3" t="s">
        <v>27</v>
      </c>
      <c r="H29" s="3" t="s">
        <v>80</v>
      </c>
      <c r="I29" s="3" t="s">
        <v>68</v>
      </c>
      <c r="J29" s="3" t="s">
        <v>28</v>
      </c>
      <c r="K29" s="3" t="s">
        <v>16</v>
      </c>
      <c r="L29" s="3">
        <v>2</v>
      </c>
      <c r="M29" s="3">
        <v>7</v>
      </c>
      <c r="N29" s="3">
        <v>0</v>
      </c>
      <c r="O29" s="3">
        <v>5</v>
      </c>
      <c r="P29" s="3" t="s">
        <v>293</v>
      </c>
    </row>
    <row r="30" spans="1:16">
      <c r="A30" s="3">
        <v>27</v>
      </c>
      <c r="B30" s="3" t="s">
        <v>800</v>
      </c>
      <c r="C30" s="4">
        <v>46209</v>
      </c>
      <c r="D30" s="3" t="s">
        <v>76</v>
      </c>
      <c r="E30" s="5" t="s">
        <v>49</v>
      </c>
      <c r="F30" s="5" t="s">
        <v>715</v>
      </c>
      <c r="G30" s="3" t="s">
        <v>5</v>
      </c>
      <c r="H30" s="3" t="s">
        <v>21</v>
      </c>
      <c r="I30" s="3" t="s">
        <v>15</v>
      </c>
      <c r="J30" s="3" t="s">
        <v>7</v>
      </c>
      <c r="K30" s="3" t="s">
        <v>38</v>
      </c>
      <c r="L30" s="3">
        <v>3</v>
      </c>
      <c r="M30" s="3">
        <v>7</v>
      </c>
      <c r="N30" s="3">
        <v>0</v>
      </c>
      <c r="O30" s="3">
        <v>1</v>
      </c>
      <c r="P30" s="3" t="s">
        <v>293</v>
      </c>
    </row>
    <row r="31" spans="1:16">
      <c r="A31" s="3">
        <v>28</v>
      </c>
      <c r="B31" s="3" t="s">
        <v>801</v>
      </c>
      <c r="C31" s="4">
        <v>46215</v>
      </c>
      <c r="D31" s="3" t="s">
        <v>76</v>
      </c>
      <c r="E31" s="5" t="s">
        <v>26</v>
      </c>
      <c r="F31" s="5" t="s">
        <v>711</v>
      </c>
      <c r="G31" s="3" t="s">
        <v>58</v>
      </c>
      <c r="H31" s="3" t="s">
        <v>51</v>
      </c>
      <c r="I31" s="3" t="s">
        <v>36</v>
      </c>
      <c r="J31" s="3" t="s">
        <v>7</v>
      </c>
      <c r="K31" s="3" t="s">
        <v>54</v>
      </c>
      <c r="L31" s="3">
        <v>6</v>
      </c>
      <c r="M31" s="3">
        <v>0</v>
      </c>
      <c r="N31" s="3">
        <v>4</v>
      </c>
      <c r="O31" s="3">
        <v>0</v>
      </c>
      <c r="P31" s="3" t="s">
        <v>297</v>
      </c>
    </row>
    <row r="32" spans="1:16">
      <c r="A32" s="3">
        <v>29</v>
      </c>
      <c r="B32" s="3" t="s">
        <v>802</v>
      </c>
      <c r="C32" s="4">
        <v>46208</v>
      </c>
      <c r="D32" s="3" t="s">
        <v>76</v>
      </c>
      <c r="E32" s="5" t="s">
        <v>38</v>
      </c>
      <c r="F32" s="5" t="s">
        <v>713</v>
      </c>
      <c r="G32" s="3" t="s">
        <v>46</v>
      </c>
      <c r="H32" s="3" t="s">
        <v>95</v>
      </c>
      <c r="I32" s="3" t="s">
        <v>68</v>
      </c>
      <c r="J32" s="3" t="s">
        <v>28</v>
      </c>
      <c r="K32" s="3" t="s">
        <v>26</v>
      </c>
      <c r="L32" s="3">
        <v>4</v>
      </c>
      <c r="M32" s="3">
        <v>5</v>
      </c>
      <c r="N32" s="3">
        <v>0</v>
      </c>
      <c r="O32" s="3">
        <v>4</v>
      </c>
      <c r="P32" s="3" t="s">
        <v>238</v>
      </c>
    </row>
    <row r="33" spans="1:16">
      <c r="A33" s="3">
        <v>30</v>
      </c>
      <c r="B33" s="3" t="s">
        <v>803</v>
      </c>
      <c r="C33" s="4">
        <v>46241</v>
      </c>
      <c r="D33" s="3" t="s">
        <v>86</v>
      </c>
      <c r="E33" s="5" t="s">
        <v>45</v>
      </c>
      <c r="F33" s="5" t="s">
        <v>740</v>
      </c>
      <c r="G33" s="3" t="s">
        <v>50</v>
      </c>
      <c r="H33" s="3" t="s">
        <v>31</v>
      </c>
      <c r="I33" s="3" t="s">
        <v>93</v>
      </c>
      <c r="J33" s="3" t="s">
        <v>32</v>
      </c>
      <c r="K33" s="3" t="s">
        <v>49</v>
      </c>
      <c r="L33" s="3">
        <v>8</v>
      </c>
      <c r="M33" s="3">
        <v>1</v>
      </c>
      <c r="N33" s="3">
        <v>7</v>
      </c>
      <c r="O33" s="3">
        <v>3</v>
      </c>
      <c r="P33" s="3" t="s">
        <v>293</v>
      </c>
    </row>
    <row r="34" spans="1:16">
      <c r="A34" s="3">
        <v>31</v>
      </c>
      <c r="B34" s="3" t="s">
        <v>804</v>
      </c>
      <c r="C34" s="4">
        <v>46243</v>
      </c>
      <c r="D34" s="3" t="s">
        <v>86</v>
      </c>
      <c r="E34" s="5" t="s">
        <v>49</v>
      </c>
      <c r="F34" s="5" t="s">
        <v>715</v>
      </c>
      <c r="G34" s="3" t="s">
        <v>27</v>
      </c>
      <c r="H34" s="3" t="s">
        <v>6</v>
      </c>
      <c r="I34" s="3" t="s">
        <v>36</v>
      </c>
      <c r="J34" s="3" t="s">
        <v>104</v>
      </c>
      <c r="K34" s="3" t="s">
        <v>20</v>
      </c>
      <c r="L34" s="3">
        <v>5</v>
      </c>
      <c r="M34" s="3">
        <v>2</v>
      </c>
      <c r="N34" s="3">
        <v>2</v>
      </c>
      <c r="O34" s="3">
        <v>5</v>
      </c>
      <c r="P34" s="3" t="s">
        <v>297</v>
      </c>
    </row>
    <row r="35" spans="1:16">
      <c r="A35" s="3">
        <v>32</v>
      </c>
      <c r="B35" s="3" t="s">
        <v>805</v>
      </c>
      <c r="C35" s="4">
        <v>46278</v>
      </c>
      <c r="D35" s="3" t="s">
        <v>102</v>
      </c>
      <c r="E35" s="5" t="s">
        <v>45</v>
      </c>
      <c r="F35" s="5" t="s">
        <v>722</v>
      </c>
      <c r="G35" s="3" t="s">
        <v>50</v>
      </c>
      <c r="H35" s="3" t="s">
        <v>6</v>
      </c>
      <c r="I35" s="3" t="s">
        <v>22</v>
      </c>
      <c r="J35" s="3" t="s">
        <v>28</v>
      </c>
      <c r="K35" s="3" t="s">
        <v>16</v>
      </c>
      <c r="L35" s="3">
        <v>7</v>
      </c>
      <c r="M35" s="3">
        <v>5</v>
      </c>
      <c r="N35" s="3">
        <v>0</v>
      </c>
      <c r="O35" s="3">
        <v>4</v>
      </c>
      <c r="P35" s="3" t="s">
        <v>293</v>
      </c>
    </row>
    <row r="36" spans="1:16">
      <c r="A36" s="3">
        <v>33</v>
      </c>
      <c r="B36" s="3" t="s">
        <v>806</v>
      </c>
      <c r="C36" s="4">
        <v>46281</v>
      </c>
      <c r="D36" s="3" t="s">
        <v>102</v>
      </c>
      <c r="E36" s="5" t="s">
        <v>4</v>
      </c>
      <c r="F36" s="5" t="s">
        <v>740</v>
      </c>
      <c r="G36" s="3" t="s">
        <v>58</v>
      </c>
      <c r="H36" s="3" t="s">
        <v>40</v>
      </c>
      <c r="I36" s="3" t="s">
        <v>22</v>
      </c>
      <c r="J36" s="3" t="s">
        <v>28</v>
      </c>
      <c r="K36" s="3" t="s">
        <v>4</v>
      </c>
      <c r="L36" s="3">
        <v>1</v>
      </c>
      <c r="M36" s="3">
        <v>0</v>
      </c>
      <c r="N36" s="3">
        <v>6</v>
      </c>
      <c r="O36" s="3">
        <v>4</v>
      </c>
      <c r="P36" s="3" t="s">
        <v>238</v>
      </c>
    </row>
    <row r="37" spans="1:16">
      <c r="A37" s="3">
        <v>34</v>
      </c>
      <c r="B37" s="3" t="s">
        <v>807</v>
      </c>
      <c r="C37" s="4">
        <v>46272</v>
      </c>
      <c r="D37" s="3" t="s">
        <v>102</v>
      </c>
      <c r="E37" s="5" t="s">
        <v>26</v>
      </c>
      <c r="F37" s="5" t="s">
        <v>715</v>
      </c>
      <c r="G37" s="3" t="s">
        <v>39</v>
      </c>
      <c r="H37" s="3" t="s">
        <v>31</v>
      </c>
      <c r="I37" s="3" t="s">
        <v>32</v>
      </c>
      <c r="J37" s="3" t="s">
        <v>70</v>
      </c>
      <c r="K37" s="3" t="s">
        <v>61</v>
      </c>
      <c r="L37" s="3">
        <v>7</v>
      </c>
      <c r="M37" s="3">
        <v>5</v>
      </c>
      <c r="N37" s="3">
        <v>5</v>
      </c>
      <c r="O37" s="3">
        <v>2</v>
      </c>
      <c r="P37" s="3" t="s">
        <v>254</v>
      </c>
    </row>
    <row r="38" spans="1:16">
      <c r="A38" s="3">
        <v>35</v>
      </c>
      <c r="B38" s="3" t="s">
        <v>808</v>
      </c>
      <c r="C38" s="4">
        <v>46309</v>
      </c>
      <c r="D38" s="3" t="s">
        <v>106</v>
      </c>
      <c r="E38" s="5" t="s">
        <v>49</v>
      </c>
      <c r="F38" s="5" t="s">
        <v>711</v>
      </c>
      <c r="G38" s="3" t="s">
        <v>58</v>
      </c>
      <c r="H38" s="3" t="s">
        <v>40</v>
      </c>
      <c r="I38" s="3" t="s">
        <v>68</v>
      </c>
      <c r="J38" s="3" t="s">
        <v>15</v>
      </c>
      <c r="K38" s="3" t="s">
        <v>4</v>
      </c>
      <c r="L38" s="3">
        <v>5</v>
      </c>
      <c r="M38" s="3">
        <v>1</v>
      </c>
      <c r="N38" s="3">
        <v>8</v>
      </c>
      <c r="O38" s="3">
        <v>6</v>
      </c>
      <c r="P38" s="3" t="s">
        <v>293</v>
      </c>
    </row>
    <row r="39" spans="1:16">
      <c r="A39" s="3">
        <v>36</v>
      </c>
      <c r="B39" s="3" t="s">
        <v>809</v>
      </c>
      <c r="C39" s="4">
        <v>46297</v>
      </c>
      <c r="D39" s="3" t="s">
        <v>106</v>
      </c>
      <c r="E39" s="5" t="s">
        <v>38</v>
      </c>
      <c r="F39" s="5" t="s">
        <v>715</v>
      </c>
      <c r="G39" s="3" t="s">
        <v>89</v>
      </c>
      <c r="H39" s="3" t="s">
        <v>87</v>
      </c>
      <c r="I39" s="3" t="s">
        <v>62</v>
      </c>
      <c r="J39" s="3" t="s">
        <v>104</v>
      </c>
      <c r="K39" s="3" t="s">
        <v>49</v>
      </c>
      <c r="L39" s="3">
        <v>4</v>
      </c>
      <c r="M39" s="3">
        <v>5</v>
      </c>
      <c r="N39" s="3">
        <v>7</v>
      </c>
      <c r="O39" s="3">
        <v>5</v>
      </c>
      <c r="P39" s="3" t="s">
        <v>293</v>
      </c>
    </row>
    <row r="40" spans="1:16">
      <c r="A40" s="3">
        <v>37</v>
      </c>
      <c r="B40" s="3" t="s">
        <v>810</v>
      </c>
      <c r="C40" s="4">
        <v>46302</v>
      </c>
      <c r="D40" s="3" t="s">
        <v>106</v>
      </c>
      <c r="E40" s="5" t="s">
        <v>49</v>
      </c>
      <c r="F40" s="5" t="s">
        <v>722</v>
      </c>
      <c r="G40" s="3" t="s">
        <v>13</v>
      </c>
      <c r="H40" s="3" t="s">
        <v>77</v>
      </c>
      <c r="I40" s="3" t="s">
        <v>7</v>
      </c>
      <c r="J40" s="3" t="s">
        <v>104</v>
      </c>
      <c r="K40" s="3" t="s">
        <v>57</v>
      </c>
      <c r="L40" s="3">
        <v>7</v>
      </c>
      <c r="M40" s="3">
        <v>1</v>
      </c>
      <c r="N40" s="3">
        <v>2</v>
      </c>
      <c r="O40" s="3">
        <v>2</v>
      </c>
      <c r="P40" s="3" t="s">
        <v>293</v>
      </c>
    </row>
    <row r="41" spans="1:16">
      <c r="A41" s="3">
        <v>38</v>
      </c>
      <c r="B41" s="3" t="s">
        <v>811</v>
      </c>
      <c r="C41" s="4">
        <v>46297</v>
      </c>
      <c r="D41" s="3" t="s">
        <v>106</v>
      </c>
      <c r="E41" s="5" t="s">
        <v>30</v>
      </c>
      <c r="F41" s="5" t="s">
        <v>711</v>
      </c>
      <c r="G41" s="3" t="s">
        <v>50</v>
      </c>
      <c r="H41" s="3" t="s">
        <v>77</v>
      </c>
      <c r="I41" s="3" t="s">
        <v>22</v>
      </c>
      <c r="J41" s="3" t="s">
        <v>28</v>
      </c>
      <c r="K41" s="3" t="s">
        <v>61</v>
      </c>
      <c r="L41" s="3">
        <v>5</v>
      </c>
      <c r="M41" s="3">
        <v>5</v>
      </c>
      <c r="N41" s="3">
        <v>3</v>
      </c>
      <c r="O41" s="3">
        <v>2</v>
      </c>
      <c r="P41" s="3" t="s">
        <v>293</v>
      </c>
    </row>
    <row r="42" spans="1:16">
      <c r="A42" s="3">
        <v>39</v>
      </c>
      <c r="B42" s="3" t="s">
        <v>812</v>
      </c>
      <c r="C42" s="4">
        <v>46304</v>
      </c>
      <c r="D42" s="3" t="s">
        <v>106</v>
      </c>
      <c r="E42" s="5" t="s">
        <v>54</v>
      </c>
      <c r="F42" s="5" t="s">
        <v>717</v>
      </c>
      <c r="G42" s="3" t="s">
        <v>92</v>
      </c>
      <c r="H42" s="3" t="s">
        <v>40</v>
      </c>
      <c r="I42" s="3" t="s">
        <v>66</v>
      </c>
      <c r="J42" s="3" t="s">
        <v>15</v>
      </c>
      <c r="K42" s="3" t="s">
        <v>12</v>
      </c>
      <c r="L42" s="3">
        <v>0</v>
      </c>
      <c r="M42" s="3">
        <v>6</v>
      </c>
      <c r="N42" s="3">
        <v>5</v>
      </c>
      <c r="O42" s="3">
        <v>1</v>
      </c>
      <c r="P42" s="3" t="s">
        <v>254</v>
      </c>
    </row>
    <row r="43" spans="1:16">
      <c r="A43" s="3">
        <v>40</v>
      </c>
      <c r="B43" s="3" t="s">
        <v>813</v>
      </c>
      <c r="C43" s="4">
        <v>46334</v>
      </c>
      <c r="D43" s="3" t="s">
        <v>111</v>
      </c>
      <c r="E43" s="5" t="s">
        <v>57</v>
      </c>
      <c r="F43" s="5" t="s">
        <v>715</v>
      </c>
      <c r="G43" s="3" t="s">
        <v>27</v>
      </c>
      <c r="H43" s="3" t="s">
        <v>51</v>
      </c>
      <c r="I43" s="3" t="s">
        <v>15</v>
      </c>
      <c r="J43" s="3" t="s">
        <v>104</v>
      </c>
      <c r="K43" s="3" t="s">
        <v>4</v>
      </c>
      <c r="L43" s="3">
        <v>6</v>
      </c>
      <c r="M43" s="3">
        <v>0</v>
      </c>
      <c r="N43" s="3">
        <v>1</v>
      </c>
      <c r="O43" s="3">
        <v>3</v>
      </c>
      <c r="P43" s="3" t="s">
        <v>254</v>
      </c>
    </row>
    <row r="44" spans="1:16">
      <c r="A44" s="3">
        <v>41</v>
      </c>
      <c r="B44" s="3" t="s">
        <v>814</v>
      </c>
      <c r="C44" s="4">
        <v>46332</v>
      </c>
      <c r="D44" s="3" t="s">
        <v>111</v>
      </c>
      <c r="E44" s="5" t="s">
        <v>12</v>
      </c>
      <c r="F44" s="5" t="s">
        <v>715</v>
      </c>
      <c r="G44" s="3" t="s">
        <v>89</v>
      </c>
      <c r="H44" s="3" t="s">
        <v>40</v>
      </c>
      <c r="I44" s="3" t="s">
        <v>28</v>
      </c>
      <c r="J44" s="3" t="s">
        <v>28</v>
      </c>
      <c r="K44" s="3" t="s">
        <v>26</v>
      </c>
      <c r="L44" s="3">
        <v>6</v>
      </c>
      <c r="M44" s="3">
        <v>3</v>
      </c>
      <c r="N44" s="3">
        <v>3</v>
      </c>
      <c r="O44" s="3">
        <v>6</v>
      </c>
      <c r="P44" s="3" t="s">
        <v>293</v>
      </c>
    </row>
    <row r="45" spans="1:16">
      <c r="A45" s="3">
        <v>42</v>
      </c>
      <c r="B45" s="3" t="s">
        <v>815</v>
      </c>
      <c r="C45" s="4">
        <v>46353</v>
      </c>
      <c r="D45" s="3" t="s">
        <v>111</v>
      </c>
      <c r="E45" s="5" t="s">
        <v>12</v>
      </c>
      <c r="F45" s="5" t="s">
        <v>717</v>
      </c>
      <c r="G45" s="3" t="s">
        <v>13</v>
      </c>
      <c r="H45" s="3" t="s">
        <v>31</v>
      </c>
      <c r="I45" s="3" t="s">
        <v>7</v>
      </c>
      <c r="J45" s="3" t="s">
        <v>93</v>
      </c>
      <c r="K45" s="3" t="s">
        <v>16</v>
      </c>
      <c r="L45" s="3">
        <v>4</v>
      </c>
      <c r="M45" s="3">
        <v>5</v>
      </c>
      <c r="N45" s="3">
        <v>0</v>
      </c>
      <c r="O45" s="3">
        <v>3</v>
      </c>
      <c r="P45" s="3" t="s">
        <v>254</v>
      </c>
    </row>
    <row r="46" spans="1:16">
      <c r="A46" s="3">
        <v>43</v>
      </c>
      <c r="B46" s="3" t="s">
        <v>816</v>
      </c>
      <c r="C46" s="4">
        <v>46338</v>
      </c>
      <c r="D46" s="3" t="s">
        <v>111</v>
      </c>
      <c r="E46" s="5" t="s">
        <v>20</v>
      </c>
      <c r="F46" s="5" t="s">
        <v>713</v>
      </c>
      <c r="G46" s="3" t="s">
        <v>5</v>
      </c>
      <c r="H46" s="3" t="s">
        <v>40</v>
      </c>
      <c r="I46" s="3" t="s">
        <v>36</v>
      </c>
      <c r="J46" s="3" t="s">
        <v>78</v>
      </c>
      <c r="K46" s="3" t="s">
        <v>91</v>
      </c>
      <c r="L46" s="3">
        <v>5</v>
      </c>
      <c r="M46" s="3">
        <v>3</v>
      </c>
      <c r="N46" s="3">
        <v>3</v>
      </c>
      <c r="O46" s="3">
        <v>1</v>
      </c>
      <c r="P46" s="3" t="s">
        <v>297</v>
      </c>
    </row>
    <row r="47" spans="1:16">
      <c r="A47" s="3">
        <v>44</v>
      </c>
      <c r="B47" s="3" t="s">
        <v>817</v>
      </c>
      <c r="C47" s="4">
        <v>46361</v>
      </c>
      <c r="D47" s="3" t="s">
        <v>122</v>
      </c>
      <c r="E47" s="5" t="s">
        <v>30</v>
      </c>
      <c r="F47" s="5" t="s">
        <v>740</v>
      </c>
      <c r="G47" s="3" t="s">
        <v>5</v>
      </c>
      <c r="H47" s="3" t="s">
        <v>35</v>
      </c>
      <c r="I47" s="3" t="s">
        <v>15</v>
      </c>
      <c r="J47" s="3" t="s">
        <v>93</v>
      </c>
      <c r="K47" s="3" t="s">
        <v>12</v>
      </c>
      <c r="L47" s="3">
        <v>7</v>
      </c>
      <c r="M47" s="3">
        <v>7</v>
      </c>
      <c r="N47" s="3">
        <v>3</v>
      </c>
      <c r="O47" s="3">
        <v>3</v>
      </c>
      <c r="P47" s="3" t="s">
        <v>254</v>
      </c>
    </row>
    <row r="48" spans="1:16">
      <c r="A48" s="3">
        <v>45</v>
      </c>
      <c r="B48" s="3" t="s">
        <v>818</v>
      </c>
      <c r="C48" s="4">
        <v>46370</v>
      </c>
      <c r="D48" s="3" t="s">
        <v>122</v>
      </c>
      <c r="E48" s="5" t="s">
        <v>4</v>
      </c>
      <c r="F48" s="5" t="s">
        <v>715</v>
      </c>
      <c r="G48" s="3" t="s">
        <v>46</v>
      </c>
      <c r="H48" s="3" t="s">
        <v>14</v>
      </c>
      <c r="I48" s="3" t="s">
        <v>68</v>
      </c>
      <c r="J48" s="3" t="s">
        <v>36</v>
      </c>
      <c r="K48" s="3" t="s">
        <v>61</v>
      </c>
      <c r="L48" s="3">
        <v>8</v>
      </c>
      <c r="M48" s="3">
        <v>5</v>
      </c>
      <c r="N48" s="3">
        <v>7</v>
      </c>
      <c r="O48" s="3">
        <v>5</v>
      </c>
      <c r="P48" s="3" t="s">
        <v>293</v>
      </c>
    </row>
    <row r="49" spans="1:16">
      <c r="A49" s="3">
        <v>46</v>
      </c>
      <c r="B49" s="3" t="s">
        <v>819</v>
      </c>
      <c r="C49" s="4">
        <v>46372</v>
      </c>
      <c r="D49" s="3" t="s">
        <v>122</v>
      </c>
      <c r="E49" s="5" t="s">
        <v>12</v>
      </c>
      <c r="F49" s="5" t="s">
        <v>722</v>
      </c>
      <c r="G49" s="3" t="s">
        <v>89</v>
      </c>
      <c r="H49" s="3" t="s">
        <v>21</v>
      </c>
      <c r="I49" s="3" t="s">
        <v>66</v>
      </c>
      <c r="J49" s="3" t="s">
        <v>62</v>
      </c>
      <c r="K49" s="3" t="s">
        <v>30</v>
      </c>
      <c r="L49" s="3">
        <v>3</v>
      </c>
      <c r="M49" s="3">
        <v>5</v>
      </c>
      <c r="N49" s="3">
        <v>3</v>
      </c>
      <c r="O49" s="3">
        <v>2</v>
      </c>
      <c r="P49" s="3" t="s">
        <v>293</v>
      </c>
    </row>
    <row r="50" spans="1:16">
      <c r="A50" s="3">
        <v>47</v>
      </c>
      <c r="B50" s="3" t="s">
        <v>820</v>
      </c>
      <c r="C50" s="4">
        <v>46374</v>
      </c>
      <c r="D50" s="3" t="s">
        <v>122</v>
      </c>
      <c r="E50" s="5" t="s">
        <v>4</v>
      </c>
      <c r="F50" s="5" t="s">
        <v>713</v>
      </c>
      <c r="G50" s="3" t="s">
        <v>5</v>
      </c>
      <c r="H50" s="3" t="s">
        <v>51</v>
      </c>
      <c r="I50" s="3" t="s">
        <v>22</v>
      </c>
      <c r="J50" s="3" t="s">
        <v>22</v>
      </c>
      <c r="K50" s="3" t="s">
        <v>61</v>
      </c>
      <c r="L50" s="3">
        <v>4</v>
      </c>
      <c r="M50" s="3">
        <v>0</v>
      </c>
      <c r="N50" s="3">
        <v>7</v>
      </c>
      <c r="O50" s="3">
        <v>1</v>
      </c>
      <c r="P50" s="3" t="s">
        <v>293</v>
      </c>
    </row>
    <row r="51" spans="1:16">
      <c r="A51" s="3">
        <v>48</v>
      </c>
      <c r="B51" s="3" t="s">
        <v>821</v>
      </c>
      <c r="C51" s="4">
        <v>46378</v>
      </c>
      <c r="D51" s="3" t="s">
        <v>122</v>
      </c>
      <c r="E51" s="5" t="s">
        <v>64</v>
      </c>
      <c r="F51" s="5" t="s">
        <v>722</v>
      </c>
      <c r="G51" s="3" t="s">
        <v>65</v>
      </c>
      <c r="H51" s="3" t="s">
        <v>82</v>
      </c>
      <c r="I51" s="3" t="s">
        <v>22</v>
      </c>
      <c r="J51" s="3" t="s">
        <v>36</v>
      </c>
      <c r="K51" s="3" t="s">
        <v>61</v>
      </c>
      <c r="L51" s="3">
        <v>3</v>
      </c>
      <c r="M51" s="3">
        <v>8</v>
      </c>
      <c r="N51" s="3">
        <v>8</v>
      </c>
      <c r="O51" s="3">
        <v>7</v>
      </c>
      <c r="P51" s="3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H4:H5003">
      <formula1>L_Loc</formula1>
    </dataValidation>
    <dataValidation type="list" allowBlank="1" showInputMessage="1" showErrorMessage="1" sqref="P4:P5003">
      <formula1>L_Status</formula1>
    </dataValidation>
  </dataValidations>
  <hyperlinks>
    <hyperlink ref="R1" location="'Home'!A1" display="Hom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6" width="12.7109375" customWidth="1"/>
    <col min="7" max="7" width="10.7109375" customWidth="1"/>
    <col min="8" max="8" width="12.7109375" customWidth="1"/>
    <col min="9" max="9" width="16.7109375" customWidth="1"/>
    <col min="10" max="10" width="19.7109375" customWidth="1"/>
    <col min="11" max="12" width="16.7109375" customWidth="1"/>
    <col min="13" max="13" width="13.7109375" customWidth="1"/>
    <col min="14" max="14" width="9.7109375" customWidth="1"/>
  </cols>
  <sheetData>
    <row r="1" spans="1:16" ht="22" customHeight="1">
      <c r="A1" s="1" t="s">
        <v>822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875</v>
      </c>
      <c r="C3" t="s">
        <v>126</v>
      </c>
      <c r="D3" t="s">
        <v>127</v>
      </c>
      <c r="E3" t="s">
        <v>876</v>
      </c>
      <c r="F3" t="s">
        <v>129</v>
      </c>
      <c r="G3" t="s">
        <v>130</v>
      </c>
      <c r="H3" t="s">
        <v>877</v>
      </c>
      <c r="I3" t="s">
        <v>135</v>
      </c>
      <c r="J3" t="s">
        <v>878</v>
      </c>
      <c r="K3" t="s">
        <v>879</v>
      </c>
      <c r="L3" t="s">
        <v>572</v>
      </c>
      <c r="M3" t="s">
        <v>573</v>
      </c>
      <c r="N3" t="s">
        <v>287</v>
      </c>
    </row>
    <row r="4" spans="1:16">
      <c r="A4" s="3">
        <v>1</v>
      </c>
      <c r="B4" s="3" t="s">
        <v>823</v>
      </c>
      <c r="C4" s="4">
        <v>46035</v>
      </c>
      <c r="D4" s="3" t="s">
        <v>3</v>
      </c>
      <c r="E4" s="5" t="s">
        <v>824</v>
      </c>
      <c r="F4" s="5" t="s">
        <v>92</v>
      </c>
      <c r="G4" s="3" t="s">
        <v>80</v>
      </c>
      <c r="H4" s="3" t="s">
        <v>62</v>
      </c>
      <c r="I4" s="3">
        <v>106</v>
      </c>
      <c r="J4" s="3">
        <v>5</v>
      </c>
      <c r="K4" s="3">
        <v>1</v>
      </c>
      <c r="L4" s="3">
        <v>4</v>
      </c>
      <c r="M4" s="6">
        <f>IFERROR(L4/K4*100,0)</f>
        <v>0</v>
      </c>
      <c r="N4" s="3" t="s">
        <v>254</v>
      </c>
    </row>
    <row r="5" spans="1:16">
      <c r="A5" s="3">
        <v>2</v>
      </c>
      <c r="B5" s="3" t="s">
        <v>825</v>
      </c>
      <c r="C5" s="4">
        <v>46046</v>
      </c>
      <c r="D5" s="3" t="s">
        <v>3</v>
      </c>
      <c r="E5" s="5" t="s">
        <v>826</v>
      </c>
      <c r="F5" s="5" t="s">
        <v>65</v>
      </c>
      <c r="G5" s="3" t="s">
        <v>82</v>
      </c>
      <c r="H5" s="3" t="s">
        <v>68</v>
      </c>
      <c r="I5" s="3">
        <v>24</v>
      </c>
      <c r="J5" s="3">
        <v>2</v>
      </c>
      <c r="K5" s="3">
        <v>5</v>
      </c>
      <c r="L5" s="3">
        <v>7</v>
      </c>
      <c r="M5" s="6">
        <f>IFERROR(L5/K5*100,0)</f>
        <v>0</v>
      </c>
      <c r="N5" s="3" t="s">
        <v>293</v>
      </c>
    </row>
    <row r="6" spans="1:16">
      <c r="A6" s="3">
        <v>3</v>
      </c>
      <c r="B6" s="3" t="s">
        <v>827</v>
      </c>
      <c r="C6" s="4">
        <v>46065</v>
      </c>
      <c r="D6" s="3" t="s">
        <v>19</v>
      </c>
      <c r="E6" s="5" t="s">
        <v>824</v>
      </c>
      <c r="F6" s="5" t="s">
        <v>58</v>
      </c>
      <c r="G6" s="3" t="s">
        <v>51</v>
      </c>
      <c r="H6" s="3" t="s">
        <v>22</v>
      </c>
      <c r="I6" s="3">
        <v>37</v>
      </c>
      <c r="J6" s="3">
        <v>4</v>
      </c>
      <c r="K6" s="3">
        <v>0</v>
      </c>
      <c r="L6" s="3">
        <v>4</v>
      </c>
      <c r="M6" s="6">
        <f>IFERROR(L6/K6*100,0)</f>
        <v>0</v>
      </c>
      <c r="N6" s="3" t="s">
        <v>293</v>
      </c>
    </row>
    <row r="7" spans="1:16">
      <c r="A7" s="3">
        <v>4</v>
      </c>
      <c r="B7" s="3" t="s">
        <v>828</v>
      </c>
      <c r="C7" s="4">
        <v>46079</v>
      </c>
      <c r="D7" s="3" t="s">
        <v>19</v>
      </c>
      <c r="E7" s="5" t="s">
        <v>824</v>
      </c>
      <c r="F7" s="5" t="s">
        <v>58</v>
      </c>
      <c r="G7" s="3" t="s">
        <v>14</v>
      </c>
      <c r="H7" s="3" t="s">
        <v>22</v>
      </c>
      <c r="I7" s="3">
        <v>80</v>
      </c>
      <c r="J7" s="3">
        <v>7</v>
      </c>
      <c r="K7" s="3">
        <v>1</v>
      </c>
      <c r="L7" s="3">
        <v>5</v>
      </c>
      <c r="M7" s="6">
        <f>IFERROR(L7/K7*100,0)</f>
        <v>0</v>
      </c>
      <c r="N7" s="3" t="s">
        <v>293</v>
      </c>
    </row>
    <row r="8" spans="1:16">
      <c r="A8" s="3">
        <v>5</v>
      </c>
      <c r="B8" s="3" t="s">
        <v>829</v>
      </c>
      <c r="C8" s="4">
        <v>46079</v>
      </c>
      <c r="D8" s="3" t="s">
        <v>19</v>
      </c>
      <c r="E8" s="5" t="s">
        <v>826</v>
      </c>
      <c r="F8" s="5" t="s">
        <v>39</v>
      </c>
      <c r="G8" s="3" t="s">
        <v>80</v>
      </c>
      <c r="H8" s="3" t="s">
        <v>104</v>
      </c>
      <c r="I8" s="3">
        <v>113</v>
      </c>
      <c r="J8" s="3">
        <v>5</v>
      </c>
      <c r="K8" s="3">
        <v>2</v>
      </c>
      <c r="L8" s="3">
        <v>1</v>
      </c>
      <c r="M8" s="6">
        <f>IFERROR(L8/K8*100,0)</f>
        <v>0</v>
      </c>
      <c r="N8" s="3" t="s">
        <v>254</v>
      </c>
    </row>
    <row r="9" spans="1:16">
      <c r="A9" s="3">
        <v>6</v>
      </c>
      <c r="B9" s="3" t="s">
        <v>830</v>
      </c>
      <c r="C9" s="4">
        <v>46081</v>
      </c>
      <c r="D9" s="3" t="s">
        <v>19</v>
      </c>
      <c r="E9" s="5" t="s">
        <v>831</v>
      </c>
      <c r="F9" s="5" t="s">
        <v>92</v>
      </c>
      <c r="G9" s="3" t="s">
        <v>82</v>
      </c>
      <c r="H9" s="3" t="s">
        <v>41</v>
      </c>
      <c r="I9" s="3">
        <v>66</v>
      </c>
      <c r="J9" s="3">
        <v>4</v>
      </c>
      <c r="K9" s="3">
        <v>3</v>
      </c>
      <c r="L9" s="3">
        <v>2</v>
      </c>
      <c r="M9" s="6">
        <f>IFERROR(L9/K9*100,0)</f>
        <v>0</v>
      </c>
      <c r="N9" s="3" t="s">
        <v>254</v>
      </c>
    </row>
    <row r="10" spans="1:16">
      <c r="A10" s="3">
        <v>7</v>
      </c>
      <c r="B10" s="3" t="s">
        <v>832</v>
      </c>
      <c r="C10" s="4">
        <v>46072</v>
      </c>
      <c r="D10" s="3" t="s">
        <v>19</v>
      </c>
      <c r="E10" s="5" t="s">
        <v>831</v>
      </c>
      <c r="F10" s="5" t="s">
        <v>58</v>
      </c>
      <c r="G10" s="3" t="s">
        <v>14</v>
      </c>
      <c r="H10" s="3" t="s">
        <v>7</v>
      </c>
      <c r="I10" s="3">
        <v>68</v>
      </c>
      <c r="J10" s="3">
        <v>0</v>
      </c>
      <c r="K10" s="3">
        <v>7</v>
      </c>
      <c r="L10" s="3">
        <v>1</v>
      </c>
      <c r="M10" s="6">
        <f>IFERROR(L10/K10*100,0)</f>
        <v>0</v>
      </c>
      <c r="N10" s="3" t="s">
        <v>293</v>
      </c>
    </row>
    <row r="11" spans="1:16">
      <c r="A11" s="3">
        <v>8</v>
      </c>
      <c r="B11" s="3" t="s">
        <v>833</v>
      </c>
      <c r="C11" s="4">
        <v>46062</v>
      </c>
      <c r="D11" s="3" t="s">
        <v>19</v>
      </c>
      <c r="E11" s="5" t="s">
        <v>826</v>
      </c>
      <c r="F11" s="5" t="s">
        <v>92</v>
      </c>
      <c r="G11" s="3" t="s">
        <v>6</v>
      </c>
      <c r="H11" s="3" t="s">
        <v>70</v>
      </c>
      <c r="I11" s="3">
        <v>28</v>
      </c>
      <c r="J11" s="3">
        <v>4</v>
      </c>
      <c r="K11" s="3">
        <v>6</v>
      </c>
      <c r="L11" s="3">
        <v>2</v>
      </c>
      <c r="M11" s="6">
        <f>IFERROR(L11/K11*100,0)</f>
        <v>0</v>
      </c>
      <c r="N11" s="3" t="s">
        <v>293</v>
      </c>
    </row>
    <row r="12" spans="1:16">
      <c r="A12" s="3">
        <v>9</v>
      </c>
      <c r="B12" s="3" t="s">
        <v>834</v>
      </c>
      <c r="C12" s="4">
        <v>46058</v>
      </c>
      <c r="D12" s="3" t="s">
        <v>19</v>
      </c>
      <c r="E12" s="5" t="s">
        <v>826</v>
      </c>
      <c r="F12" s="5" t="s">
        <v>58</v>
      </c>
      <c r="G12" s="3" t="s">
        <v>35</v>
      </c>
      <c r="H12" s="3" t="s">
        <v>62</v>
      </c>
      <c r="I12" s="3">
        <v>57</v>
      </c>
      <c r="J12" s="3">
        <v>0</v>
      </c>
      <c r="K12" s="3">
        <v>3</v>
      </c>
      <c r="L12" s="3">
        <v>4</v>
      </c>
      <c r="M12" s="6">
        <f>IFERROR(L12/K12*100,0)</f>
        <v>0</v>
      </c>
      <c r="N12" s="3" t="s">
        <v>293</v>
      </c>
    </row>
    <row r="13" spans="1:16">
      <c r="A13" s="3">
        <v>10</v>
      </c>
      <c r="B13" s="3" t="s">
        <v>835</v>
      </c>
      <c r="C13" s="4">
        <v>46061</v>
      </c>
      <c r="D13" s="3" t="s">
        <v>19</v>
      </c>
      <c r="E13" s="5" t="s">
        <v>836</v>
      </c>
      <c r="F13" s="5" t="s">
        <v>65</v>
      </c>
      <c r="G13" s="3" t="s">
        <v>40</v>
      </c>
      <c r="H13" s="3" t="s">
        <v>104</v>
      </c>
      <c r="I13" s="3">
        <v>102</v>
      </c>
      <c r="J13" s="3">
        <v>6</v>
      </c>
      <c r="K13" s="3">
        <v>6</v>
      </c>
      <c r="L13" s="3">
        <v>8</v>
      </c>
      <c r="M13" s="6">
        <f>IFERROR(L13/K13*100,0)</f>
        <v>0</v>
      </c>
      <c r="N13" s="3" t="s">
        <v>293</v>
      </c>
    </row>
    <row r="14" spans="1:16">
      <c r="A14" s="3">
        <v>11</v>
      </c>
      <c r="B14" s="3" t="s">
        <v>837</v>
      </c>
      <c r="C14" s="4">
        <v>46096</v>
      </c>
      <c r="D14" s="3" t="s">
        <v>44</v>
      </c>
      <c r="E14" s="5" t="s">
        <v>831</v>
      </c>
      <c r="F14" s="5" t="s">
        <v>58</v>
      </c>
      <c r="G14" s="3" t="s">
        <v>40</v>
      </c>
      <c r="H14" s="3" t="s">
        <v>70</v>
      </c>
      <c r="I14" s="3">
        <v>96</v>
      </c>
      <c r="J14" s="3">
        <v>7</v>
      </c>
      <c r="K14" s="3">
        <v>6</v>
      </c>
      <c r="L14" s="3">
        <v>1</v>
      </c>
      <c r="M14" s="6">
        <f>IFERROR(L14/K14*100,0)</f>
        <v>0</v>
      </c>
      <c r="N14" s="3" t="s">
        <v>254</v>
      </c>
    </row>
    <row r="15" spans="1:16">
      <c r="A15" s="3">
        <v>12</v>
      </c>
      <c r="B15" s="3" t="s">
        <v>838</v>
      </c>
      <c r="C15" s="4">
        <v>46082</v>
      </c>
      <c r="D15" s="3" t="s">
        <v>44</v>
      </c>
      <c r="E15" s="5" t="s">
        <v>824</v>
      </c>
      <c r="F15" s="5" t="s">
        <v>89</v>
      </c>
      <c r="G15" s="3" t="s">
        <v>14</v>
      </c>
      <c r="H15" s="3" t="s">
        <v>36</v>
      </c>
      <c r="I15" s="3">
        <v>96</v>
      </c>
      <c r="J15" s="3">
        <v>4</v>
      </c>
      <c r="K15" s="3">
        <v>6</v>
      </c>
      <c r="L15" s="3">
        <v>4</v>
      </c>
      <c r="M15" s="6">
        <f>IFERROR(L15/K15*100,0)</f>
        <v>0</v>
      </c>
      <c r="N15" s="3" t="s">
        <v>293</v>
      </c>
    </row>
    <row r="16" spans="1:16">
      <c r="A16" s="3">
        <v>13</v>
      </c>
      <c r="B16" s="3" t="s">
        <v>839</v>
      </c>
      <c r="C16" s="4">
        <v>46103</v>
      </c>
      <c r="D16" s="3" t="s">
        <v>44</v>
      </c>
      <c r="E16" s="5" t="s">
        <v>824</v>
      </c>
      <c r="F16" s="5" t="s">
        <v>5</v>
      </c>
      <c r="G16" s="3" t="s">
        <v>40</v>
      </c>
      <c r="H16" s="3" t="s">
        <v>15</v>
      </c>
      <c r="I16" s="3">
        <v>44</v>
      </c>
      <c r="J16" s="3">
        <v>7</v>
      </c>
      <c r="K16" s="3">
        <v>3</v>
      </c>
      <c r="L16" s="3">
        <v>2</v>
      </c>
      <c r="M16" s="6">
        <f>IFERROR(L16/K16*100,0)</f>
        <v>0</v>
      </c>
      <c r="N16" s="3" t="s">
        <v>238</v>
      </c>
    </row>
    <row r="17" spans="1:14">
      <c r="A17" s="3">
        <v>14</v>
      </c>
      <c r="B17" s="3" t="s">
        <v>840</v>
      </c>
      <c r="C17" s="4">
        <v>46101</v>
      </c>
      <c r="D17" s="3" t="s">
        <v>44</v>
      </c>
      <c r="E17" s="5" t="s">
        <v>826</v>
      </c>
      <c r="F17" s="5" t="s">
        <v>50</v>
      </c>
      <c r="G17" s="3" t="s">
        <v>82</v>
      </c>
      <c r="H17" s="3" t="s">
        <v>104</v>
      </c>
      <c r="I17" s="3">
        <v>89</v>
      </c>
      <c r="J17" s="3">
        <v>8</v>
      </c>
      <c r="K17" s="3">
        <v>4</v>
      </c>
      <c r="L17" s="3">
        <v>5</v>
      </c>
      <c r="M17" s="6">
        <f>IFERROR(L17/K17*100,0)</f>
        <v>0</v>
      </c>
      <c r="N17" s="3" t="s">
        <v>254</v>
      </c>
    </row>
    <row r="18" spans="1:14">
      <c r="A18" s="3">
        <v>15</v>
      </c>
      <c r="B18" s="3" t="s">
        <v>841</v>
      </c>
      <c r="C18" s="4">
        <v>46140</v>
      </c>
      <c r="D18" s="3" t="s">
        <v>53</v>
      </c>
      <c r="E18" s="5" t="s">
        <v>826</v>
      </c>
      <c r="F18" s="5" t="s">
        <v>89</v>
      </c>
      <c r="G18" s="3" t="s">
        <v>31</v>
      </c>
      <c r="H18" s="3" t="s">
        <v>104</v>
      </c>
      <c r="I18" s="3">
        <v>76</v>
      </c>
      <c r="J18" s="3">
        <v>6</v>
      </c>
      <c r="K18" s="3">
        <v>7</v>
      </c>
      <c r="L18" s="3">
        <v>4</v>
      </c>
      <c r="M18" s="6">
        <f>IFERROR(L18/K18*100,0)</f>
        <v>0</v>
      </c>
      <c r="N18" s="3" t="s">
        <v>293</v>
      </c>
    </row>
    <row r="19" spans="1:14">
      <c r="A19" s="3">
        <v>16</v>
      </c>
      <c r="B19" s="3" t="s">
        <v>842</v>
      </c>
      <c r="C19" s="4">
        <v>46136</v>
      </c>
      <c r="D19" s="3" t="s">
        <v>53</v>
      </c>
      <c r="E19" s="5" t="s">
        <v>831</v>
      </c>
      <c r="F19" s="5" t="s">
        <v>58</v>
      </c>
      <c r="G19" s="3" t="s">
        <v>95</v>
      </c>
      <c r="H19" s="3" t="s">
        <v>78</v>
      </c>
      <c r="I19" s="3">
        <v>45</v>
      </c>
      <c r="J19" s="3">
        <v>8</v>
      </c>
      <c r="K19" s="3">
        <v>7</v>
      </c>
      <c r="L19" s="3">
        <v>7</v>
      </c>
      <c r="M19" s="6">
        <f>IFERROR(L19/K19*100,0)</f>
        <v>0</v>
      </c>
      <c r="N19" s="3" t="s">
        <v>293</v>
      </c>
    </row>
    <row r="20" spans="1:14">
      <c r="A20" s="3">
        <v>17</v>
      </c>
      <c r="B20" s="3" t="s">
        <v>843</v>
      </c>
      <c r="C20" s="4">
        <v>46119</v>
      </c>
      <c r="D20" s="3" t="s">
        <v>53</v>
      </c>
      <c r="E20" s="5" t="s">
        <v>824</v>
      </c>
      <c r="F20" s="5" t="s">
        <v>46</v>
      </c>
      <c r="G20" s="3" t="s">
        <v>40</v>
      </c>
      <c r="H20" s="3" t="s">
        <v>78</v>
      </c>
      <c r="I20" s="3">
        <v>67</v>
      </c>
      <c r="J20" s="3">
        <v>0</v>
      </c>
      <c r="K20" s="3">
        <v>4</v>
      </c>
      <c r="L20" s="3">
        <v>0</v>
      </c>
      <c r="M20" s="6">
        <f>IFERROR(L20/K20*100,0)</f>
        <v>0</v>
      </c>
      <c r="N20" s="3" t="s">
        <v>293</v>
      </c>
    </row>
    <row r="21" spans="1:14">
      <c r="A21" s="3">
        <v>18</v>
      </c>
      <c r="B21" s="3" t="s">
        <v>844</v>
      </c>
      <c r="C21" s="4">
        <v>46118</v>
      </c>
      <c r="D21" s="3" t="s">
        <v>53</v>
      </c>
      <c r="E21" s="5" t="s">
        <v>826</v>
      </c>
      <c r="F21" s="5" t="s">
        <v>50</v>
      </c>
      <c r="G21" s="3" t="s">
        <v>6</v>
      </c>
      <c r="H21" s="3" t="s">
        <v>93</v>
      </c>
      <c r="I21" s="3">
        <v>90</v>
      </c>
      <c r="J21" s="3">
        <v>5</v>
      </c>
      <c r="K21" s="3">
        <v>5</v>
      </c>
      <c r="L21" s="3">
        <v>8</v>
      </c>
      <c r="M21" s="6">
        <f>IFERROR(L21/K21*100,0)</f>
        <v>0</v>
      </c>
      <c r="N21" s="3" t="s">
        <v>293</v>
      </c>
    </row>
    <row r="22" spans="1:14">
      <c r="A22" s="3">
        <v>19</v>
      </c>
      <c r="B22" s="3" t="s">
        <v>845</v>
      </c>
      <c r="C22" s="4">
        <v>46124</v>
      </c>
      <c r="D22" s="3" t="s">
        <v>53</v>
      </c>
      <c r="E22" s="5" t="s">
        <v>836</v>
      </c>
      <c r="F22" s="5" t="s">
        <v>65</v>
      </c>
      <c r="G22" s="3" t="s">
        <v>6</v>
      </c>
      <c r="H22" s="3" t="s">
        <v>62</v>
      </c>
      <c r="I22" s="3">
        <v>22</v>
      </c>
      <c r="J22" s="3">
        <v>3</v>
      </c>
      <c r="K22" s="3">
        <v>4</v>
      </c>
      <c r="L22" s="3">
        <v>3</v>
      </c>
      <c r="M22" s="6">
        <f>IFERROR(L22/K22*100,0)</f>
        <v>0</v>
      </c>
      <c r="N22" s="3" t="s">
        <v>254</v>
      </c>
    </row>
    <row r="23" spans="1:14">
      <c r="A23" s="3">
        <v>20</v>
      </c>
      <c r="B23" s="3" t="s">
        <v>846</v>
      </c>
      <c r="C23" s="4">
        <v>46118</v>
      </c>
      <c r="D23" s="3" t="s">
        <v>53</v>
      </c>
      <c r="E23" s="5" t="s">
        <v>836</v>
      </c>
      <c r="F23" s="5" t="s">
        <v>65</v>
      </c>
      <c r="G23" s="3" t="s">
        <v>95</v>
      </c>
      <c r="H23" s="3" t="s">
        <v>66</v>
      </c>
      <c r="I23" s="3">
        <v>59</v>
      </c>
      <c r="J23" s="3">
        <v>2</v>
      </c>
      <c r="K23" s="3">
        <v>5</v>
      </c>
      <c r="L23" s="3">
        <v>6</v>
      </c>
      <c r="M23" s="6">
        <f>IFERROR(L23/K23*100,0)</f>
        <v>0</v>
      </c>
      <c r="N23" s="3" t="s">
        <v>293</v>
      </c>
    </row>
    <row r="24" spans="1:14">
      <c r="A24" s="3">
        <v>21</v>
      </c>
      <c r="B24" s="3" t="s">
        <v>847</v>
      </c>
      <c r="C24" s="4">
        <v>46123</v>
      </c>
      <c r="D24" s="3" t="s">
        <v>53</v>
      </c>
      <c r="E24" s="5" t="s">
        <v>836</v>
      </c>
      <c r="F24" s="5" t="s">
        <v>65</v>
      </c>
      <c r="G24" s="3" t="s">
        <v>77</v>
      </c>
      <c r="H24" s="3" t="s">
        <v>70</v>
      </c>
      <c r="I24" s="3">
        <v>119</v>
      </c>
      <c r="J24" s="3">
        <v>4</v>
      </c>
      <c r="K24" s="3">
        <v>7</v>
      </c>
      <c r="L24" s="3">
        <v>1</v>
      </c>
      <c r="M24" s="6">
        <f>IFERROR(L24/K24*100,0)</f>
        <v>0</v>
      </c>
      <c r="N24" s="3" t="s">
        <v>293</v>
      </c>
    </row>
    <row r="25" spans="1:14">
      <c r="A25" s="3">
        <v>22</v>
      </c>
      <c r="B25" s="3" t="s">
        <v>848</v>
      </c>
      <c r="C25" s="4">
        <v>46114</v>
      </c>
      <c r="D25" s="3" t="s">
        <v>53</v>
      </c>
      <c r="E25" s="5" t="s">
        <v>826</v>
      </c>
      <c r="F25" s="5" t="s">
        <v>50</v>
      </c>
      <c r="G25" s="3" t="s">
        <v>31</v>
      </c>
      <c r="H25" s="3" t="s">
        <v>28</v>
      </c>
      <c r="I25" s="3">
        <v>106</v>
      </c>
      <c r="J25" s="3">
        <v>1</v>
      </c>
      <c r="K25" s="3">
        <v>1</v>
      </c>
      <c r="L25" s="3">
        <v>1</v>
      </c>
      <c r="M25" s="6">
        <f>IFERROR(L25/K25*100,0)</f>
        <v>0</v>
      </c>
      <c r="N25" s="3" t="s">
        <v>254</v>
      </c>
    </row>
    <row r="26" spans="1:14">
      <c r="A26" s="3">
        <v>23</v>
      </c>
      <c r="B26" s="3" t="s">
        <v>849</v>
      </c>
      <c r="C26" s="4">
        <v>46145</v>
      </c>
      <c r="D26" s="3" t="s">
        <v>60</v>
      </c>
      <c r="E26" s="5" t="s">
        <v>824</v>
      </c>
      <c r="F26" s="5" t="s">
        <v>92</v>
      </c>
      <c r="G26" s="3" t="s">
        <v>35</v>
      </c>
      <c r="H26" s="3" t="s">
        <v>70</v>
      </c>
      <c r="I26" s="3">
        <v>40</v>
      </c>
      <c r="J26" s="3">
        <v>2</v>
      </c>
      <c r="K26" s="3">
        <v>7</v>
      </c>
      <c r="L26" s="3">
        <v>2</v>
      </c>
      <c r="M26" s="6">
        <f>IFERROR(L26/K26*100,0)</f>
        <v>0</v>
      </c>
      <c r="N26" s="3" t="s">
        <v>254</v>
      </c>
    </row>
    <row r="27" spans="1:14">
      <c r="A27" s="3">
        <v>24</v>
      </c>
      <c r="B27" s="3" t="s">
        <v>850</v>
      </c>
      <c r="C27" s="4">
        <v>46143</v>
      </c>
      <c r="D27" s="3" t="s">
        <v>60</v>
      </c>
      <c r="E27" s="5" t="s">
        <v>831</v>
      </c>
      <c r="F27" s="5" t="s">
        <v>46</v>
      </c>
      <c r="G27" s="3" t="s">
        <v>51</v>
      </c>
      <c r="H27" s="3" t="s">
        <v>68</v>
      </c>
      <c r="I27" s="3">
        <v>34</v>
      </c>
      <c r="J27" s="3">
        <v>7</v>
      </c>
      <c r="K27" s="3">
        <v>5</v>
      </c>
      <c r="L27" s="3">
        <v>5</v>
      </c>
      <c r="M27" s="6">
        <f>IFERROR(L27/K27*100,0)</f>
        <v>0</v>
      </c>
      <c r="N27" s="3" t="s">
        <v>254</v>
      </c>
    </row>
    <row r="28" spans="1:14">
      <c r="A28" s="3">
        <v>25</v>
      </c>
      <c r="B28" s="3" t="s">
        <v>851</v>
      </c>
      <c r="C28" s="4">
        <v>46201</v>
      </c>
      <c r="D28" s="3" t="s">
        <v>73</v>
      </c>
      <c r="E28" s="5" t="s">
        <v>831</v>
      </c>
      <c r="F28" s="5" t="s">
        <v>92</v>
      </c>
      <c r="G28" s="3" t="s">
        <v>82</v>
      </c>
      <c r="H28" s="3" t="s">
        <v>66</v>
      </c>
      <c r="I28" s="3">
        <v>31</v>
      </c>
      <c r="J28" s="3">
        <v>4</v>
      </c>
      <c r="K28" s="3">
        <v>3</v>
      </c>
      <c r="L28" s="3">
        <v>8</v>
      </c>
      <c r="M28" s="6">
        <f>IFERROR(L28/K28*100,0)</f>
        <v>0</v>
      </c>
      <c r="N28" s="3" t="s">
        <v>293</v>
      </c>
    </row>
    <row r="29" spans="1:14">
      <c r="A29" s="3">
        <v>26</v>
      </c>
      <c r="B29" s="3" t="s">
        <v>852</v>
      </c>
      <c r="C29" s="4">
        <v>46197</v>
      </c>
      <c r="D29" s="3" t="s">
        <v>73</v>
      </c>
      <c r="E29" s="5" t="s">
        <v>831</v>
      </c>
      <c r="F29" s="5" t="s">
        <v>46</v>
      </c>
      <c r="G29" s="3" t="s">
        <v>80</v>
      </c>
      <c r="H29" s="3" t="s">
        <v>66</v>
      </c>
      <c r="I29" s="3">
        <v>76</v>
      </c>
      <c r="J29" s="3">
        <v>4</v>
      </c>
      <c r="K29" s="3">
        <v>5</v>
      </c>
      <c r="L29" s="3">
        <v>1</v>
      </c>
      <c r="M29" s="6">
        <f>IFERROR(L29/K29*100,0)</f>
        <v>0</v>
      </c>
      <c r="N29" s="3" t="s">
        <v>254</v>
      </c>
    </row>
    <row r="30" spans="1:14">
      <c r="A30" s="3">
        <v>27</v>
      </c>
      <c r="B30" s="3" t="s">
        <v>853</v>
      </c>
      <c r="C30" s="4">
        <v>46180</v>
      </c>
      <c r="D30" s="3" t="s">
        <v>73</v>
      </c>
      <c r="E30" s="5" t="s">
        <v>836</v>
      </c>
      <c r="F30" s="5" t="s">
        <v>50</v>
      </c>
      <c r="G30" s="3" t="s">
        <v>77</v>
      </c>
      <c r="H30" s="3" t="s">
        <v>68</v>
      </c>
      <c r="I30" s="3">
        <v>74</v>
      </c>
      <c r="J30" s="3">
        <v>3</v>
      </c>
      <c r="K30" s="3">
        <v>6</v>
      </c>
      <c r="L30" s="3">
        <v>5</v>
      </c>
      <c r="M30" s="6">
        <f>IFERROR(L30/K30*100,0)</f>
        <v>0</v>
      </c>
      <c r="N30" s="3" t="s">
        <v>297</v>
      </c>
    </row>
    <row r="31" spans="1:14">
      <c r="A31" s="3">
        <v>28</v>
      </c>
      <c r="B31" s="3" t="s">
        <v>854</v>
      </c>
      <c r="C31" s="4">
        <v>46189</v>
      </c>
      <c r="D31" s="3" t="s">
        <v>73</v>
      </c>
      <c r="E31" s="5" t="s">
        <v>836</v>
      </c>
      <c r="F31" s="5" t="s">
        <v>13</v>
      </c>
      <c r="G31" s="3" t="s">
        <v>95</v>
      </c>
      <c r="H31" s="3" t="s">
        <v>28</v>
      </c>
      <c r="I31" s="3">
        <v>43</v>
      </c>
      <c r="J31" s="3">
        <v>2</v>
      </c>
      <c r="K31" s="3">
        <v>1</v>
      </c>
      <c r="L31" s="3">
        <v>4</v>
      </c>
      <c r="M31" s="6">
        <f>IFERROR(L31/K31*100,0)</f>
        <v>0</v>
      </c>
      <c r="N31" s="3" t="s">
        <v>254</v>
      </c>
    </row>
    <row r="32" spans="1:14">
      <c r="A32" s="3">
        <v>29</v>
      </c>
      <c r="B32" s="3" t="s">
        <v>855</v>
      </c>
      <c r="C32" s="4">
        <v>46177</v>
      </c>
      <c r="D32" s="3" t="s">
        <v>73</v>
      </c>
      <c r="E32" s="5" t="s">
        <v>824</v>
      </c>
      <c r="F32" s="5" t="s">
        <v>65</v>
      </c>
      <c r="G32" s="3" t="s">
        <v>82</v>
      </c>
      <c r="H32" s="3" t="s">
        <v>15</v>
      </c>
      <c r="I32" s="3">
        <v>89</v>
      </c>
      <c r="J32" s="3">
        <v>6</v>
      </c>
      <c r="K32" s="3">
        <v>1</v>
      </c>
      <c r="L32" s="3">
        <v>2</v>
      </c>
      <c r="M32" s="6">
        <f>IFERROR(L32/K32*100,0)</f>
        <v>0</v>
      </c>
      <c r="N32" s="3" t="s">
        <v>293</v>
      </c>
    </row>
    <row r="33" spans="1:14">
      <c r="A33" s="3">
        <v>30</v>
      </c>
      <c r="B33" s="3" t="s">
        <v>856</v>
      </c>
      <c r="C33" s="4">
        <v>46210</v>
      </c>
      <c r="D33" s="3" t="s">
        <v>76</v>
      </c>
      <c r="E33" s="5" t="s">
        <v>836</v>
      </c>
      <c r="F33" s="5" t="s">
        <v>13</v>
      </c>
      <c r="G33" s="3" t="s">
        <v>21</v>
      </c>
      <c r="H33" s="3" t="s">
        <v>62</v>
      </c>
      <c r="I33" s="3">
        <v>51</v>
      </c>
      <c r="J33" s="3">
        <v>8</v>
      </c>
      <c r="K33" s="3">
        <v>2</v>
      </c>
      <c r="L33" s="3">
        <v>1</v>
      </c>
      <c r="M33" s="6">
        <f>IFERROR(L33/K33*100,0)</f>
        <v>0</v>
      </c>
      <c r="N33" s="3" t="s">
        <v>293</v>
      </c>
    </row>
    <row r="34" spans="1:14">
      <c r="A34" s="3">
        <v>31</v>
      </c>
      <c r="B34" s="3" t="s">
        <v>857</v>
      </c>
      <c r="C34" s="4">
        <v>46220</v>
      </c>
      <c r="D34" s="3" t="s">
        <v>76</v>
      </c>
      <c r="E34" s="5" t="s">
        <v>824</v>
      </c>
      <c r="F34" s="5" t="s">
        <v>89</v>
      </c>
      <c r="G34" s="3" t="s">
        <v>95</v>
      </c>
      <c r="H34" s="3" t="s">
        <v>22</v>
      </c>
      <c r="I34" s="3">
        <v>76</v>
      </c>
      <c r="J34" s="3">
        <v>2</v>
      </c>
      <c r="K34" s="3">
        <v>8</v>
      </c>
      <c r="L34" s="3">
        <v>8</v>
      </c>
      <c r="M34" s="6">
        <f>IFERROR(L34/K34*100,0)</f>
        <v>0</v>
      </c>
      <c r="N34" s="3" t="s">
        <v>293</v>
      </c>
    </row>
    <row r="35" spans="1:14">
      <c r="A35" s="3">
        <v>32</v>
      </c>
      <c r="B35" s="3" t="s">
        <v>858</v>
      </c>
      <c r="C35" s="4">
        <v>46204</v>
      </c>
      <c r="D35" s="3" t="s">
        <v>76</v>
      </c>
      <c r="E35" s="5" t="s">
        <v>824</v>
      </c>
      <c r="F35" s="5" t="s">
        <v>50</v>
      </c>
      <c r="G35" s="3" t="s">
        <v>31</v>
      </c>
      <c r="H35" s="3" t="s">
        <v>70</v>
      </c>
      <c r="I35" s="3">
        <v>27</v>
      </c>
      <c r="J35" s="3">
        <v>3</v>
      </c>
      <c r="K35" s="3">
        <v>2</v>
      </c>
      <c r="L35" s="3">
        <v>4</v>
      </c>
      <c r="M35" s="6">
        <f>IFERROR(L35/K35*100,0)</f>
        <v>0</v>
      </c>
      <c r="N35" s="3" t="s">
        <v>293</v>
      </c>
    </row>
    <row r="36" spans="1:14">
      <c r="A36" s="3">
        <v>33</v>
      </c>
      <c r="B36" s="3" t="s">
        <v>859</v>
      </c>
      <c r="C36" s="4">
        <v>46238</v>
      </c>
      <c r="D36" s="3" t="s">
        <v>86</v>
      </c>
      <c r="E36" s="5" t="s">
        <v>831</v>
      </c>
      <c r="F36" s="5" t="s">
        <v>65</v>
      </c>
      <c r="G36" s="3" t="s">
        <v>51</v>
      </c>
      <c r="H36" s="3" t="s">
        <v>62</v>
      </c>
      <c r="I36" s="3">
        <v>68</v>
      </c>
      <c r="J36" s="3">
        <v>6</v>
      </c>
      <c r="K36" s="3">
        <v>3</v>
      </c>
      <c r="L36" s="3">
        <v>8</v>
      </c>
      <c r="M36" s="6">
        <f>IFERROR(L36/K36*100,0)</f>
        <v>0</v>
      </c>
      <c r="N36" s="3" t="s">
        <v>293</v>
      </c>
    </row>
    <row r="37" spans="1:14">
      <c r="A37" s="3">
        <v>34</v>
      </c>
      <c r="B37" s="3" t="s">
        <v>860</v>
      </c>
      <c r="C37" s="4">
        <v>46250</v>
      </c>
      <c r="D37" s="3" t="s">
        <v>86</v>
      </c>
      <c r="E37" s="5" t="s">
        <v>831</v>
      </c>
      <c r="F37" s="5" t="s">
        <v>50</v>
      </c>
      <c r="G37" s="3" t="s">
        <v>21</v>
      </c>
      <c r="H37" s="3" t="s">
        <v>68</v>
      </c>
      <c r="I37" s="3">
        <v>101</v>
      </c>
      <c r="J37" s="3">
        <v>1</v>
      </c>
      <c r="K37" s="3">
        <v>2</v>
      </c>
      <c r="L37" s="3">
        <v>1</v>
      </c>
      <c r="M37" s="6">
        <f>IFERROR(L37/K37*100,0)</f>
        <v>0</v>
      </c>
      <c r="N37" s="3" t="s">
        <v>293</v>
      </c>
    </row>
    <row r="38" spans="1:14">
      <c r="A38" s="3">
        <v>35</v>
      </c>
      <c r="B38" s="3" t="s">
        <v>861</v>
      </c>
      <c r="C38" s="4">
        <v>46249</v>
      </c>
      <c r="D38" s="3" t="s">
        <v>86</v>
      </c>
      <c r="E38" s="5" t="s">
        <v>831</v>
      </c>
      <c r="F38" s="5" t="s">
        <v>92</v>
      </c>
      <c r="G38" s="3" t="s">
        <v>77</v>
      </c>
      <c r="H38" s="3" t="s">
        <v>36</v>
      </c>
      <c r="I38" s="3">
        <v>76</v>
      </c>
      <c r="J38" s="3">
        <v>2</v>
      </c>
      <c r="K38" s="3">
        <v>3</v>
      </c>
      <c r="L38" s="3">
        <v>0</v>
      </c>
      <c r="M38" s="6">
        <f>IFERROR(L38/K38*100,0)</f>
        <v>0</v>
      </c>
      <c r="N38" s="3" t="s">
        <v>293</v>
      </c>
    </row>
    <row r="39" spans="1:14">
      <c r="A39" s="3">
        <v>36</v>
      </c>
      <c r="B39" s="3" t="s">
        <v>862</v>
      </c>
      <c r="C39" s="4">
        <v>46254</v>
      </c>
      <c r="D39" s="3" t="s">
        <v>86</v>
      </c>
      <c r="E39" s="5" t="s">
        <v>824</v>
      </c>
      <c r="F39" s="5" t="s">
        <v>50</v>
      </c>
      <c r="G39" s="3" t="s">
        <v>87</v>
      </c>
      <c r="H39" s="3" t="s">
        <v>68</v>
      </c>
      <c r="I39" s="3">
        <v>28</v>
      </c>
      <c r="J39" s="3">
        <v>6</v>
      </c>
      <c r="K39" s="3">
        <v>6</v>
      </c>
      <c r="L39" s="3">
        <v>0</v>
      </c>
      <c r="M39" s="6">
        <f>IFERROR(L39/K39*100,0)</f>
        <v>0</v>
      </c>
      <c r="N39" s="3" t="s">
        <v>293</v>
      </c>
    </row>
    <row r="40" spans="1:14">
      <c r="A40" s="3">
        <v>37</v>
      </c>
      <c r="B40" s="3" t="s">
        <v>863</v>
      </c>
      <c r="C40" s="4">
        <v>46271</v>
      </c>
      <c r="D40" s="3" t="s">
        <v>102</v>
      </c>
      <c r="E40" s="5" t="s">
        <v>831</v>
      </c>
      <c r="F40" s="5" t="s">
        <v>39</v>
      </c>
      <c r="G40" s="3" t="s">
        <v>77</v>
      </c>
      <c r="H40" s="3" t="s">
        <v>32</v>
      </c>
      <c r="I40" s="3">
        <v>118</v>
      </c>
      <c r="J40" s="3">
        <v>3</v>
      </c>
      <c r="K40" s="3">
        <v>3</v>
      </c>
      <c r="L40" s="3">
        <v>3</v>
      </c>
      <c r="M40" s="6">
        <f>IFERROR(L40/K40*100,0)</f>
        <v>0</v>
      </c>
      <c r="N40" s="3" t="s">
        <v>297</v>
      </c>
    </row>
    <row r="41" spans="1:14">
      <c r="A41" s="3">
        <v>38</v>
      </c>
      <c r="B41" s="3" t="s">
        <v>864</v>
      </c>
      <c r="C41" s="4">
        <v>46281</v>
      </c>
      <c r="D41" s="3" t="s">
        <v>102</v>
      </c>
      <c r="E41" s="5" t="s">
        <v>836</v>
      </c>
      <c r="F41" s="5" t="s">
        <v>58</v>
      </c>
      <c r="G41" s="3" t="s">
        <v>77</v>
      </c>
      <c r="H41" s="3" t="s">
        <v>36</v>
      </c>
      <c r="I41" s="3">
        <v>35</v>
      </c>
      <c r="J41" s="3">
        <v>0</v>
      </c>
      <c r="K41" s="3">
        <v>4</v>
      </c>
      <c r="L41" s="3">
        <v>6</v>
      </c>
      <c r="M41" s="6">
        <f>IFERROR(L41/K41*100,0)</f>
        <v>0</v>
      </c>
      <c r="N41" s="3" t="s">
        <v>293</v>
      </c>
    </row>
    <row r="42" spans="1:14">
      <c r="A42" s="3">
        <v>39</v>
      </c>
      <c r="B42" s="3" t="s">
        <v>865</v>
      </c>
      <c r="C42" s="4">
        <v>46267</v>
      </c>
      <c r="D42" s="3" t="s">
        <v>102</v>
      </c>
      <c r="E42" s="5" t="s">
        <v>824</v>
      </c>
      <c r="F42" s="5" t="s">
        <v>50</v>
      </c>
      <c r="G42" s="3" t="s">
        <v>82</v>
      </c>
      <c r="H42" s="3" t="s">
        <v>93</v>
      </c>
      <c r="I42" s="3">
        <v>84</v>
      </c>
      <c r="J42" s="3">
        <v>2</v>
      </c>
      <c r="K42" s="3">
        <v>6</v>
      </c>
      <c r="L42" s="3">
        <v>5</v>
      </c>
      <c r="M42" s="6">
        <f>IFERROR(L42/K42*100,0)</f>
        <v>0</v>
      </c>
      <c r="N42" s="3" t="s">
        <v>293</v>
      </c>
    </row>
    <row r="43" spans="1:14">
      <c r="A43" s="3">
        <v>40</v>
      </c>
      <c r="B43" s="3" t="s">
        <v>866</v>
      </c>
      <c r="C43" s="4">
        <v>46305</v>
      </c>
      <c r="D43" s="3" t="s">
        <v>106</v>
      </c>
      <c r="E43" s="5" t="s">
        <v>831</v>
      </c>
      <c r="F43" s="5" t="s">
        <v>58</v>
      </c>
      <c r="G43" s="3" t="s">
        <v>6</v>
      </c>
      <c r="H43" s="3" t="s">
        <v>32</v>
      </c>
      <c r="I43" s="3">
        <v>26</v>
      </c>
      <c r="J43" s="3">
        <v>7</v>
      </c>
      <c r="K43" s="3">
        <v>1</v>
      </c>
      <c r="L43" s="3">
        <v>1</v>
      </c>
      <c r="M43" s="6">
        <f>IFERROR(L43/K43*100,0)</f>
        <v>0</v>
      </c>
      <c r="N43" s="3" t="s">
        <v>254</v>
      </c>
    </row>
    <row r="44" spans="1:14">
      <c r="A44" s="3">
        <v>41</v>
      </c>
      <c r="B44" s="3" t="s">
        <v>867</v>
      </c>
      <c r="C44" s="4">
        <v>46309</v>
      </c>
      <c r="D44" s="3" t="s">
        <v>106</v>
      </c>
      <c r="E44" s="5" t="s">
        <v>826</v>
      </c>
      <c r="F44" s="5" t="s">
        <v>46</v>
      </c>
      <c r="G44" s="3" t="s">
        <v>82</v>
      </c>
      <c r="H44" s="3" t="s">
        <v>32</v>
      </c>
      <c r="I44" s="3">
        <v>100</v>
      </c>
      <c r="J44" s="3">
        <v>0</v>
      </c>
      <c r="K44" s="3">
        <v>6</v>
      </c>
      <c r="L44" s="3">
        <v>2</v>
      </c>
      <c r="M44" s="6">
        <f>IFERROR(L44/K44*100,0)</f>
        <v>0</v>
      </c>
      <c r="N44" s="3" t="s">
        <v>254</v>
      </c>
    </row>
    <row r="45" spans="1:14">
      <c r="A45" s="3">
        <v>42</v>
      </c>
      <c r="B45" s="3" t="s">
        <v>868</v>
      </c>
      <c r="C45" s="4">
        <v>46315</v>
      </c>
      <c r="D45" s="3" t="s">
        <v>106</v>
      </c>
      <c r="E45" s="5" t="s">
        <v>836</v>
      </c>
      <c r="F45" s="5" t="s">
        <v>13</v>
      </c>
      <c r="G45" s="3" t="s">
        <v>80</v>
      </c>
      <c r="H45" s="3" t="s">
        <v>28</v>
      </c>
      <c r="I45" s="3">
        <v>81</v>
      </c>
      <c r="J45" s="3">
        <v>4</v>
      </c>
      <c r="K45" s="3">
        <v>0</v>
      </c>
      <c r="L45" s="3">
        <v>1</v>
      </c>
      <c r="M45" s="6">
        <f>IFERROR(L45/K45*100,0)</f>
        <v>0</v>
      </c>
      <c r="N45" s="3" t="s">
        <v>293</v>
      </c>
    </row>
    <row r="46" spans="1:14">
      <c r="A46" s="3">
        <v>43</v>
      </c>
      <c r="B46" s="3" t="s">
        <v>869</v>
      </c>
      <c r="C46" s="4">
        <v>46318</v>
      </c>
      <c r="D46" s="3" t="s">
        <v>106</v>
      </c>
      <c r="E46" s="5" t="s">
        <v>824</v>
      </c>
      <c r="F46" s="5" t="s">
        <v>50</v>
      </c>
      <c r="G46" s="3" t="s">
        <v>31</v>
      </c>
      <c r="H46" s="3" t="s">
        <v>32</v>
      </c>
      <c r="I46" s="3">
        <v>59</v>
      </c>
      <c r="J46" s="3">
        <v>1</v>
      </c>
      <c r="K46" s="3">
        <v>2</v>
      </c>
      <c r="L46" s="3">
        <v>1</v>
      </c>
      <c r="M46" s="6">
        <f>IFERROR(L46/K46*100,0)</f>
        <v>0</v>
      </c>
      <c r="N46" s="3" t="s">
        <v>254</v>
      </c>
    </row>
    <row r="47" spans="1:14">
      <c r="A47" s="3">
        <v>44</v>
      </c>
      <c r="B47" s="3" t="s">
        <v>870</v>
      </c>
      <c r="C47" s="4">
        <v>46335</v>
      </c>
      <c r="D47" s="3" t="s">
        <v>111</v>
      </c>
      <c r="E47" s="5" t="s">
        <v>824</v>
      </c>
      <c r="F47" s="5" t="s">
        <v>58</v>
      </c>
      <c r="G47" s="3" t="s">
        <v>31</v>
      </c>
      <c r="H47" s="3" t="s">
        <v>66</v>
      </c>
      <c r="I47" s="3">
        <v>16</v>
      </c>
      <c r="J47" s="3">
        <v>5</v>
      </c>
      <c r="K47" s="3">
        <v>4</v>
      </c>
      <c r="L47" s="3">
        <v>6</v>
      </c>
      <c r="M47" s="6">
        <f>IFERROR(L47/K47*100,0)</f>
        <v>0</v>
      </c>
      <c r="N47" s="3" t="s">
        <v>293</v>
      </c>
    </row>
    <row r="48" spans="1:14">
      <c r="A48" s="3">
        <v>45</v>
      </c>
      <c r="B48" s="3" t="s">
        <v>871</v>
      </c>
      <c r="C48" s="4">
        <v>46362</v>
      </c>
      <c r="D48" s="3" t="s">
        <v>122</v>
      </c>
      <c r="E48" s="5" t="s">
        <v>831</v>
      </c>
      <c r="F48" s="5" t="s">
        <v>39</v>
      </c>
      <c r="G48" s="3" t="s">
        <v>14</v>
      </c>
      <c r="H48" s="3" t="s">
        <v>7</v>
      </c>
      <c r="I48" s="3">
        <v>31</v>
      </c>
      <c r="J48" s="3">
        <v>8</v>
      </c>
      <c r="K48" s="3">
        <v>0</v>
      </c>
      <c r="L48" s="3">
        <v>6</v>
      </c>
      <c r="M48" s="6">
        <f>IFERROR(L48/K48*100,0)</f>
        <v>0</v>
      </c>
      <c r="N48" s="3" t="s">
        <v>293</v>
      </c>
    </row>
    <row r="49" spans="1:14">
      <c r="A49" s="3">
        <v>46</v>
      </c>
      <c r="B49" s="3" t="s">
        <v>872</v>
      </c>
      <c r="C49" s="4">
        <v>46366</v>
      </c>
      <c r="D49" s="3" t="s">
        <v>122</v>
      </c>
      <c r="E49" s="5" t="s">
        <v>826</v>
      </c>
      <c r="F49" s="5" t="s">
        <v>5</v>
      </c>
      <c r="G49" s="3" t="s">
        <v>31</v>
      </c>
      <c r="H49" s="3" t="s">
        <v>28</v>
      </c>
      <c r="I49" s="3">
        <v>97</v>
      </c>
      <c r="J49" s="3">
        <v>2</v>
      </c>
      <c r="K49" s="3">
        <v>7</v>
      </c>
      <c r="L49" s="3">
        <v>3</v>
      </c>
      <c r="M49" s="6">
        <f>IFERROR(L49/K49*100,0)</f>
        <v>0</v>
      </c>
      <c r="N49" s="3" t="s">
        <v>297</v>
      </c>
    </row>
    <row r="50" spans="1:14">
      <c r="A50" s="3">
        <v>47</v>
      </c>
      <c r="B50" s="3" t="s">
        <v>873</v>
      </c>
      <c r="C50" s="4">
        <v>46361</v>
      </c>
      <c r="D50" s="3" t="s">
        <v>122</v>
      </c>
      <c r="E50" s="5" t="s">
        <v>826</v>
      </c>
      <c r="F50" s="5" t="s">
        <v>46</v>
      </c>
      <c r="G50" s="3" t="s">
        <v>77</v>
      </c>
      <c r="H50" s="3" t="s">
        <v>104</v>
      </c>
      <c r="I50" s="3">
        <v>66</v>
      </c>
      <c r="J50" s="3">
        <v>5</v>
      </c>
      <c r="K50" s="3">
        <v>0</v>
      </c>
      <c r="L50" s="3">
        <v>2</v>
      </c>
      <c r="M50" s="6">
        <f>IFERROR(L50/K50*100,0)</f>
        <v>0</v>
      </c>
      <c r="N50" s="3" t="s">
        <v>293</v>
      </c>
    </row>
    <row r="51" spans="1:14">
      <c r="A51" s="3">
        <v>48</v>
      </c>
      <c r="B51" s="3" t="s">
        <v>874</v>
      </c>
      <c r="C51" s="4">
        <v>46370</v>
      </c>
      <c r="D51" s="3" t="s">
        <v>122</v>
      </c>
      <c r="E51" s="5" t="s">
        <v>826</v>
      </c>
      <c r="F51" s="5" t="s">
        <v>13</v>
      </c>
      <c r="G51" s="3" t="s">
        <v>87</v>
      </c>
      <c r="H51" s="3" t="s">
        <v>104</v>
      </c>
      <c r="I51" s="3">
        <v>85</v>
      </c>
      <c r="J51" s="3">
        <v>8</v>
      </c>
      <c r="K51" s="3">
        <v>0</v>
      </c>
      <c r="L51" s="3">
        <v>5</v>
      </c>
      <c r="M51" s="6">
        <f>IFERROR(L51/K51*100,0)</f>
        <v>0</v>
      </c>
      <c r="N51" s="3" t="s">
        <v>293</v>
      </c>
    </row>
  </sheetData>
  <mergeCells count="2">
    <mergeCell ref="A1:N1"/>
    <mergeCell ref="A2:N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N4:N5003">
      <formula1>L_Status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14.7109375" customWidth="1"/>
    <col min="6" max="6" width="12.7109375" customWidth="1"/>
    <col min="7" max="7" width="17.7109375" customWidth="1"/>
    <col min="8" max="8" width="18.7109375" customWidth="1"/>
    <col min="9" max="9" width="14.7109375" customWidth="1"/>
    <col min="10" max="11" width="16.7109375" customWidth="1"/>
    <col min="12" max="12" width="18.7109375" customWidth="1"/>
    <col min="13" max="13" width="13.7109375" customWidth="1"/>
    <col min="14" max="14" width="17.7109375" customWidth="1"/>
    <col min="15" max="15" width="9.7109375" customWidth="1"/>
  </cols>
  <sheetData>
    <row r="1" spans="1:17" ht="22" customHeight="1">
      <c r="A1" s="1" t="s">
        <v>880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929</v>
      </c>
      <c r="C3" t="s">
        <v>126</v>
      </c>
      <c r="D3" t="s">
        <v>127</v>
      </c>
      <c r="E3" t="s">
        <v>930</v>
      </c>
      <c r="F3" t="s">
        <v>568</v>
      </c>
      <c r="G3" t="s">
        <v>931</v>
      </c>
      <c r="H3" t="s">
        <v>932</v>
      </c>
      <c r="I3" t="s">
        <v>134</v>
      </c>
      <c r="J3" t="s">
        <v>135</v>
      </c>
      <c r="K3" t="s">
        <v>933</v>
      </c>
      <c r="L3" t="s">
        <v>934</v>
      </c>
      <c r="M3" t="s">
        <v>573</v>
      </c>
      <c r="N3" t="s">
        <v>935</v>
      </c>
      <c r="O3" t="s">
        <v>287</v>
      </c>
    </row>
    <row r="4" spans="1:17">
      <c r="A4" s="3">
        <v>1</v>
      </c>
      <c r="B4" s="3" t="s">
        <v>881</v>
      </c>
      <c r="C4" s="4">
        <v>46034</v>
      </c>
      <c r="D4" s="3" t="s">
        <v>3</v>
      </c>
      <c r="E4" s="5" t="s">
        <v>20</v>
      </c>
      <c r="F4" s="5" t="s">
        <v>66</v>
      </c>
      <c r="G4" s="3">
        <v>12</v>
      </c>
      <c r="H4" s="3">
        <v>31</v>
      </c>
      <c r="I4" s="6">
        <f>IFERROR(H4/G4*100,0)</f>
        <v>0</v>
      </c>
      <c r="J4" s="3">
        <v>89</v>
      </c>
      <c r="K4" s="3">
        <v>5</v>
      </c>
      <c r="L4" s="3" t="s">
        <v>70</v>
      </c>
      <c r="M4" s="3"/>
      <c r="N4" s="3" t="s">
        <v>23</v>
      </c>
      <c r="O4" s="3" t="s">
        <v>238</v>
      </c>
    </row>
    <row r="5" spans="1:17">
      <c r="A5" s="3">
        <v>2</v>
      </c>
      <c r="B5" s="3" t="s">
        <v>882</v>
      </c>
      <c r="C5" s="4">
        <v>46033</v>
      </c>
      <c r="D5" s="3" t="s">
        <v>3</v>
      </c>
      <c r="E5" s="5" t="s">
        <v>16</v>
      </c>
      <c r="F5" s="5" t="s">
        <v>41</v>
      </c>
      <c r="G5" s="3">
        <v>13</v>
      </c>
      <c r="H5" s="3">
        <v>41</v>
      </c>
      <c r="I5" s="6">
        <f>IFERROR(H5/G5*100,0)</f>
        <v>0</v>
      </c>
      <c r="J5" s="3">
        <v>68</v>
      </c>
      <c r="K5" s="3">
        <v>6</v>
      </c>
      <c r="L5" s="3" t="s">
        <v>93</v>
      </c>
      <c r="M5" s="3"/>
      <c r="N5" s="3" t="s">
        <v>23</v>
      </c>
      <c r="O5" s="3" t="s">
        <v>254</v>
      </c>
    </row>
    <row r="6" spans="1:17">
      <c r="A6" s="3">
        <v>3</v>
      </c>
      <c r="B6" s="3" t="s">
        <v>883</v>
      </c>
      <c r="C6" s="4">
        <v>46033</v>
      </c>
      <c r="D6" s="3" t="s">
        <v>3</v>
      </c>
      <c r="E6" s="5" t="s">
        <v>91</v>
      </c>
      <c r="F6" s="5" t="s">
        <v>62</v>
      </c>
      <c r="G6" s="3">
        <v>39</v>
      </c>
      <c r="H6" s="3">
        <v>56</v>
      </c>
      <c r="I6" s="6">
        <f>IFERROR(H6/G6*100,0)</f>
        <v>0</v>
      </c>
      <c r="J6" s="3">
        <v>32</v>
      </c>
      <c r="K6" s="3">
        <v>6</v>
      </c>
      <c r="L6" s="3" t="s">
        <v>22</v>
      </c>
      <c r="M6" s="3"/>
      <c r="N6" s="3" t="s">
        <v>23</v>
      </c>
      <c r="O6" s="3" t="s">
        <v>254</v>
      </c>
    </row>
    <row r="7" spans="1:17">
      <c r="A7" s="3">
        <v>4</v>
      </c>
      <c r="B7" s="3" t="s">
        <v>884</v>
      </c>
      <c r="C7" s="4">
        <v>46028</v>
      </c>
      <c r="D7" s="3" t="s">
        <v>3</v>
      </c>
      <c r="E7" s="5" t="s">
        <v>64</v>
      </c>
      <c r="F7" s="5" t="s">
        <v>70</v>
      </c>
      <c r="G7" s="3">
        <v>45</v>
      </c>
      <c r="H7" s="3">
        <v>39</v>
      </c>
      <c r="I7" s="6">
        <f>IFERROR(H7/G7*100,0)</f>
        <v>0</v>
      </c>
      <c r="J7" s="3">
        <v>35</v>
      </c>
      <c r="K7" s="3">
        <v>1</v>
      </c>
      <c r="L7" s="3" t="s">
        <v>32</v>
      </c>
      <c r="M7" s="3"/>
      <c r="N7" s="3" t="s">
        <v>23</v>
      </c>
      <c r="O7" s="3" t="s">
        <v>254</v>
      </c>
    </row>
    <row r="8" spans="1:17">
      <c r="A8" s="3">
        <v>5</v>
      </c>
      <c r="B8" s="3" t="s">
        <v>885</v>
      </c>
      <c r="C8" s="4">
        <v>46028</v>
      </c>
      <c r="D8" s="3" t="s">
        <v>3</v>
      </c>
      <c r="E8" s="5" t="s">
        <v>12</v>
      </c>
      <c r="F8" s="5" t="s">
        <v>66</v>
      </c>
      <c r="G8" s="3">
        <v>58</v>
      </c>
      <c r="H8" s="3">
        <v>53</v>
      </c>
      <c r="I8" s="6">
        <f>IFERROR(H8/G8*100,0)</f>
        <v>0</v>
      </c>
      <c r="J8" s="3">
        <v>87</v>
      </c>
      <c r="K8" s="3">
        <v>2</v>
      </c>
      <c r="L8" s="3" t="s">
        <v>32</v>
      </c>
      <c r="M8" s="3"/>
      <c r="N8" s="3" t="s">
        <v>9</v>
      </c>
      <c r="O8" s="3" t="s">
        <v>293</v>
      </c>
    </row>
    <row r="9" spans="1:17">
      <c r="A9" s="3">
        <v>6</v>
      </c>
      <c r="B9" s="3" t="s">
        <v>886</v>
      </c>
      <c r="C9" s="4">
        <v>46056</v>
      </c>
      <c r="D9" s="3" t="s">
        <v>19</v>
      </c>
      <c r="E9" s="5" t="s">
        <v>57</v>
      </c>
      <c r="F9" s="5" t="s">
        <v>22</v>
      </c>
      <c r="G9" s="3">
        <v>50</v>
      </c>
      <c r="H9" s="3">
        <v>32</v>
      </c>
      <c r="I9" s="6">
        <f>IFERROR(H9/G9*100,0)</f>
        <v>0</v>
      </c>
      <c r="J9" s="3">
        <v>120</v>
      </c>
      <c r="K9" s="3">
        <v>8</v>
      </c>
      <c r="L9" s="3" t="s">
        <v>15</v>
      </c>
      <c r="M9" s="3"/>
      <c r="N9" s="3" t="s">
        <v>23</v>
      </c>
      <c r="O9" s="3" t="s">
        <v>293</v>
      </c>
    </row>
    <row r="10" spans="1:17">
      <c r="A10" s="3">
        <v>7</v>
      </c>
      <c r="B10" s="3" t="s">
        <v>887</v>
      </c>
      <c r="C10" s="4">
        <v>46065</v>
      </c>
      <c r="D10" s="3" t="s">
        <v>19</v>
      </c>
      <c r="E10" s="5" t="s">
        <v>57</v>
      </c>
      <c r="F10" s="5" t="s">
        <v>70</v>
      </c>
      <c r="G10" s="3">
        <v>29</v>
      </c>
      <c r="H10" s="3">
        <v>37</v>
      </c>
      <c r="I10" s="6">
        <f>IFERROR(H10/G10*100,0)</f>
        <v>0</v>
      </c>
      <c r="J10" s="3">
        <v>80</v>
      </c>
      <c r="K10" s="3">
        <v>0</v>
      </c>
      <c r="L10" s="3" t="s">
        <v>22</v>
      </c>
      <c r="M10" s="3"/>
      <c r="N10" s="3" t="s">
        <v>23</v>
      </c>
      <c r="O10" s="3" t="s">
        <v>293</v>
      </c>
    </row>
    <row r="11" spans="1:17">
      <c r="A11" s="3">
        <v>8</v>
      </c>
      <c r="B11" s="3" t="s">
        <v>888</v>
      </c>
      <c r="C11" s="4">
        <v>46070</v>
      </c>
      <c r="D11" s="3" t="s">
        <v>19</v>
      </c>
      <c r="E11" s="5" t="s">
        <v>61</v>
      </c>
      <c r="F11" s="5" t="s">
        <v>7</v>
      </c>
      <c r="G11" s="3">
        <v>20</v>
      </c>
      <c r="H11" s="3">
        <v>27</v>
      </c>
      <c r="I11" s="6">
        <f>IFERROR(H11/G11*100,0)</f>
        <v>0</v>
      </c>
      <c r="J11" s="3">
        <v>76</v>
      </c>
      <c r="K11" s="3">
        <v>2</v>
      </c>
      <c r="L11" s="3" t="s">
        <v>32</v>
      </c>
      <c r="M11" s="3"/>
      <c r="N11" s="3" t="s">
        <v>9</v>
      </c>
      <c r="O11" s="3" t="s">
        <v>297</v>
      </c>
    </row>
    <row r="12" spans="1:17">
      <c r="A12" s="3">
        <v>9</v>
      </c>
      <c r="B12" s="3" t="s">
        <v>889</v>
      </c>
      <c r="C12" s="4">
        <v>46069</v>
      </c>
      <c r="D12" s="3" t="s">
        <v>19</v>
      </c>
      <c r="E12" s="5" t="s">
        <v>49</v>
      </c>
      <c r="F12" s="5" t="s">
        <v>15</v>
      </c>
      <c r="G12" s="3">
        <v>57</v>
      </c>
      <c r="H12" s="3">
        <v>10</v>
      </c>
      <c r="I12" s="6">
        <f>IFERROR(H12/G12*100,0)</f>
        <v>0</v>
      </c>
      <c r="J12" s="3">
        <v>48</v>
      </c>
      <c r="K12" s="3">
        <v>6</v>
      </c>
      <c r="L12" s="3" t="s">
        <v>104</v>
      </c>
      <c r="M12" s="3"/>
      <c r="N12" s="3" t="s">
        <v>9</v>
      </c>
      <c r="O12" s="3" t="s">
        <v>293</v>
      </c>
    </row>
    <row r="13" spans="1:17">
      <c r="A13" s="3">
        <v>10</v>
      </c>
      <c r="B13" s="3" t="s">
        <v>890</v>
      </c>
      <c r="C13" s="4">
        <v>46082</v>
      </c>
      <c r="D13" s="3" t="s">
        <v>44</v>
      </c>
      <c r="E13" s="5" t="s">
        <v>4</v>
      </c>
      <c r="F13" s="5" t="s">
        <v>66</v>
      </c>
      <c r="G13" s="3">
        <v>50</v>
      </c>
      <c r="H13" s="3">
        <v>45</v>
      </c>
      <c r="I13" s="6">
        <f>IFERROR(H13/G13*100,0)</f>
        <v>0</v>
      </c>
      <c r="J13" s="3">
        <v>108</v>
      </c>
      <c r="K13" s="3">
        <v>8</v>
      </c>
      <c r="L13" s="3" t="s">
        <v>78</v>
      </c>
      <c r="M13" s="3"/>
      <c r="N13" s="3" t="s">
        <v>9</v>
      </c>
      <c r="O13" s="3" t="s">
        <v>293</v>
      </c>
    </row>
    <row r="14" spans="1:17">
      <c r="A14" s="3">
        <v>11</v>
      </c>
      <c r="B14" s="3" t="s">
        <v>891</v>
      </c>
      <c r="C14" s="4">
        <v>46085</v>
      </c>
      <c r="D14" s="3" t="s">
        <v>44</v>
      </c>
      <c r="E14" s="5" t="s">
        <v>16</v>
      </c>
      <c r="F14" s="5" t="s">
        <v>32</v>
      </c>
      <c r="G14" s="3">
        <v>19</v>
      </c>
      <c r="H14" s="3">
        <v>11</v>
      </c>
      <c r="I14" s="6">
        <f>IFERROR(H14/G14*100,0)</f>
        <v>0</v>
      </c>
      <c r="J14" s="3">
        <v>109</v>
      </c>
      <c r="K14" s="3">
        <v>7</v>
      </c>
      <c r="L14" s="3" t="s">
        <v>36</v>
      </c>
      <c r="M14" s="3"/>
      <c r="N14" s="3" t="s">
        <v>23</v>
      </c>
      <c r="O14" s="3" t="s">
        <v>293</v>
      </c>
    </row>
    <row r="15" spans="1:17">
      <c r="A15" s="3">
        <v>12</v>
      </c>
      <c r="B15" s="3" t="s">
        <v>892</v>
      </c>
      <c r="C15" s="4">
        <v>46091</v>
      </c>
      <c r="D15" s="3" t="s">
        <v>44</v>
      </c>
      <c r="E15" s="5" t="s">
        <v>12</v>
      </c>
      <c r="F15" s="5" t="s">
        <v>68</v>
      </c>
      <c r="G15" s="3">
        <v>20</v>
      </c>
      <c r="H15" s="3">
        <v>48</v>
      </c>
      <c r="I15" s="6">
        <f>IFERROR(H15/G15*100,0)</f>
        <v>0</v>
      </c>
      <c r="J15" s="3">
        <v>72</v>
      </c>
      <c r="K15" s="3">
        <v>5</v>
      </c>
      <c r="L15" s="3" t="s">
        <v>15</v>
      </c>
      <c r="M15" s="3"/>
      <c r="N15" s="3" t="s">
        <v>23</v>
      </c>
      <c r="O15" s="3" t="s">
        <v>293</v>
      </c>
    </row>
    <row r="16" spans="1:17">
      <c r="A16" s="3">
        <v>13</v>
      </c>
      <c r="B16" s="3" t="s">
        <v>893</v>
      </c>
      <c r="C16" s="4">
        <v>46094</v>
      </c>
      <c r="D16" s="3" t="s">
        <v>44</v>
      </c>
      <c r="E16" s="5" t="s">
        <v>54</v>
      </c>
      <c r="F16" s="5" t="s">
        <v>22</v>
      </c>
      <c r="G16" s="3">
        <v>42</v>
      </c>
      <c r="H16" s="3">
        <v>53</v>
      </c>
      <c r="I16" s="6">
        <f>IFERROR(H16/G16*100,0)</f>
        <v>0</v>
      </c>
      <c r="J16" s="3">
        <v>47</v>
      </c>
      <c r="K16" s="3">
        <v>4</v>
      </c>
      <c r="L16" s="3" t="s">
        <v>62</v>
      </c>
      <c r="M16" s="3"/>
      <c r="N16" s="3" t="s">
        <v>23</v>
      </c>
      <c r="O16" s="3" t="s">
        <v>293</v>
      </c>
    </row>
    <row r="17" spans="1:15">
      <c r="A17" s="3">
        <v>14</v>
      </c>
      <c r="B17" s="3" t="s">
        <v>894</v>
      </c>
      <c r="C17" s="4">
        <v>46101</v>
      </c>
      <c r="D17" s="3" t="s">
        <v>44</v>
      </c>
      <c r="E17" s="5" t="s">
        <v>38</v>
      </c>
      <c r="F17" s="5" t="s">
        <v>15</v>
      </c>
      <c r="G17" s="3">
        <v>40</v>
      </c>
      <c r="H17" s="3">
        <v>20</v>
      </c>
      <c r="I17" s="6">
        <f>IFERROR(H17/G17*100,0)</f>
        <v>0</v>
      </c>
      <c r="J17" s="3">
        <v>56</v>
      </c>
      <c r="K17" s="3">
        <v>7</v>
      </c>
      <c r="L17" s="3" t="s">
        <v>28</v>
      </c>
      <c r="M17" s="3"/>
      <c r="N17" s="3" t="s">
        <v>23</v>
      </c>
      <c r="O17" s="3" t="s">
        <v>293</v>
      </c>
    </row>
    <row r="18" spans="1:15">
      <c r="A18" s="3">
        <v>15</v>
      </c>
      <c r="B18" s="3" t="s">
        <v>895</v>
      </c>
      <c r="C18" s="4">
        <v>46086</v>
      </c>
      <c r="D18" s="3" t="s">
        <v>44</v>
      </c>
      <c r="E18" s="5" t="s">
        <v>57</v>
      </c>
      <c r="F18" s="5" t="s">
        <v>70</v>
      </c>
      <c r="G18" s="3">
        <v>39</v>
      </c>
      <c r="H18" s="3">
        <v>56</v>
      </c>
      <c r="I18" s="6">
        <f>IFERROR(H18/G18*100,0)</f>
        <v>0</v>
      </c>
      <c r="J18" s="3">
        <v>42</v>
      </c>
      <c r="K18" s="3">
        <v>0</v>
      </c>
      <c r="L18" s="3" t="s">
        <v>70</v>
      </c>
      <c r="M18" s="3"/>
      <c r="N18" s="3" t="s">
        <v>23</v>
      </c>
      <c r="O18" s="3" t="s">
        <v>293</v>
      </c>
    </row>
    <row r="19" spans="1:15">
      <c r="A19" s="3">
        <v>16</v>
      </c>
      <c r="B19" s="3" t="s">
        <v>896</v>
      </c>
      <c r="C19" s="4">
        <v>46113</v>
      </c>
      <c r="D19" s="3" t="s">
        <v>53</v>
      </c>
      <c r="E19" s="5" t="s">
        <v>12</v>
      </c>
      <c r="F19" s="5" t="s">
        <v>104</v>
      </c>
      <c r="G19" s="3">
        <v>46</v>
      </c>
      <c r="H19" s="3">
        <v>30</v>
      </c>
      <c r="I19" s="6">
        <f>IFERROR(H19/G19*100,0)</f>
        <v>0</v>
      </c>
      <c r="J19" s="3">
        <v>73</v>
      </c>
      <c r="K19" s="3">
        <v>2</v>
      </c>
      <c r="L19" s="3" t="s">
        <v>62</v>
      </c>
      <c r="M19" s="3"/>
      <c r="N19" s="3" t="s">
        <v>9</v>
      </c>
      <c r="O19" s="3" t="s">
        <v>293</v>
      </c>
    </row>
    <row r="20" spans="1:15">
      <c r="A20" s="3">
        <v>17</v>
      </c>
      <c r="B20" s="3" t="s">
        <v>897</v>
      </c>
      <c r="C20" s="4">
        <v>46138</v>
      </c>
      <c r="D20" s="3" t="s">
        <v>53</v>
      </c>
      <c r="E20" s="5" t="s">
        <v>45</v>
      </c>
      <c r="F20" s="5" t="s">
        <v>78</v>
      </c>
      <c r="G20" s="3">
        <v>23</v>
      </c>
      <c r="H20" s="3">
        <v>33</v>
      </c>
      <c r="I20" s="6">
        <f>IFERROR(H20/G20*100,0)</f>
        <v>0</v>
      </c>
      <c r="J20" s="3">
        <v>47</v>
      </c>
      <c r="K20" s="3">
        <v>4</v>
      </c>
      <c r="L20" s="3" t="s">
        <v>104</v>
      </c>
      <c r="M20" s="3"/>
      <c r="N20" s="3" t="s">
        <v>9</v>
      </c>
      <c r="O20" s="3" t="s">
        <v>238</v>
      </c>
    </row>
    <row r="21" spans="1:15">
      <c r="A21" s="3">
        <v>18</v>
      </c>
      <c r="B21" s="3" t="s">
        <v>898</v>
      </c>
      <c r="C21" s="4">
        <v>46137</v>
      </c>
      <c r="D21" s="3" t="s">
        <v>53</v>
      </c>
      <c r="E21" s="5" t="s">
        <v>38</v>
      </c>
      <c r="F21" s="5" t="s">
        <v>22</v>
      </c>
      <c r="G21" s="3">
        <v>47</v>
      </c>
      <c r="H21" s="3">
        <v>28</v>
      </c>
      <c r="I21" s="6">
        <f>IFERROR(H21/G21*100,0)</f>
        <v>0</v>
      </c>
      <c r="J21" s="3">
        <v>69</v>
      </c>
      <c r="K21" s="3">
        <v>8</v>
      </c>
      <c r="L21" s="3" t="s">
        <v>41</v>
      </c>
      <c r="M21" s="3"/>
      <c r="N21" s="3" t="s">
        <v>9</v>
      </c>
      <c r="O21" s="3" t="s">
        <v>293</v>
      </c>
    </row>
    <row r="22" spans="1:15">
      <c r="A22" s="3">
        <v>19</v>
      </c>
      <c r="B22" s="3" t="s">
        <v>899</v>
      </c>
      <c r="C22" s="4">
        <v>46140</v>
      </c>
      <c r="D22" s="3" t="s">
        <v>53</v>
      </c>
      <c r="E22" s="5" t="s">
        <v>54</v>
      </c>
      <c r="F22" s="5" t="s">
        <v>66</v>
      </c>
      <c r="G22" s="3">
        <v>46</v>
      </c>
      <c r="H22" s="3">
        <v>13</v>
      </c>
      <c r="I22" s="6">
        <f>IFERROR(H22/G22*100,0)</f>
        <v>0</v>
      </c>
      <c r="J22" s="3">
        <v>109</v>
      </c>
      <c r="K22" s="3">
        <v>4</v>
      </c>
      <c r="L22" s="3" t="s">
        <v>104</v>
      </c>
      <c r="M22" s="3"/>
      <c r="N22" s="3" t="s">
        <v>9</v>
      </c>
      <c r="O22" s="3" t="s">
        <v>293</v>
      </c>
    </row>
    <row r="23" spans="1:15">
      <c r="A23" s="3">
        <v>20</v>
      </c>
      <c r="B23" s="3" t="s">
        <v>900</v>
      </c>
      <c r="C23" s="4">
        <v>46162</v>
      </c>
      <c r="D23" s="3" t="s">
        <v>60</v>
      </c>
      <c r="E23" s="5" t="s">
        <v>4</v>
      </c>
      <c r="F23" s="5" t="s">
        <v>7</v>
      </c>
      <c r="G23" s="3">
        <v>49</v>
      </c>
      <c r="H23" s="3">
        <v>13</v>
      </c>
      <c r="I23" s="6">
        <f>IFERROR(H23/G23*100,0)</f>
        <v>0</v>
      </c>
      <c r="J23" s="3">
        <v>43</v>
      </c>
      <c r="K23" s="3">
        <v>2</v>
      </c>
      <c r="L23" s="3" t="s">
        <v>15</v>
      </c>
      <c r="M23" s="3"/>
      <c r="N23" s="3" t="s">
        <v>23</v>
      </c>
      <c r="O23" s="3" t="s">
        <v>293</v>
      </c>
    </row>
    <row r="24" spans="1:15">
      <c r="A24" s="3">
        <v>21</v>
      </c>
      <c r="B24" s="3" t="s">
        <v>901</v>
      </c>
      <c r="C24" s="4">
        <v>46147</v>
      </c>
      <c r="D24" s="3" t="s">
        <v>60</v>
      </c>
      <c r="E24" s="5" t="s">
        <v>91</v>
      </c>
      <c r="F24" s="5" t="s">
        <v>104</v>
      </c>
      <c r="G24" s="3">
        <v>16</v>
      </c>
      <c r="H24" s="3">
        <v>58</v>
      </c>
      <c r="I24" s="6">
        <f>IFERROR(H24/G24*100,0)</f>
        <v>0</v>
      </c>
      <c r="J24" s="3">
        <v>96</v>
      </c>
      <c r="K24" s="3">
        <v>4</v>
      </c>
      <c r="L24" s="3" t="s">
        <v>7</v>
      </c>
      <c r="M24" s="3"/>
      <c r="N24" s="3" t="s">
        <v>9</v>
      </c>
      <c r="O24" s="3" t="s">
        <v>293</v>
      </c>
    </row>
    <row r="25" spans="1:15">
      <c r="A25" s="3">
        <v>22</v>
      </c>
      <c r="B25" s="3" t="s">
        <v>902</v>
      </c>
      <c r="C25" s="4">
        <v>46145</v>
      </c>
      <c r="D25" s="3" t="s">
        <v>60</v>
      </c>
      <c r="E25" s="5" t="s">
        <v>57</v>
      </c>
      <c r="F25" s="5" t="s">
        <v>32</v>
      </c>
      <c r="G25" s="3">
        <v>56</v>
      </c>
      <c r="H25" s="3">
        <v>47</v>
      </c>
      <c r="I25" s="6">
        <f>IFERROR(H25/G25*100,0)</f>
        <v>0</v>
      </c>
      <c r="J25" s="3">
        <v>73</v>
      </c>
      <c r="K25" s="3">
        <v>3</v>
      </c>
      <c r="L25" s="3" t="s">
        <v>78</v>
      </c>
      <c r="M25" s="3"/>
      <c r="N25" s="3" t="s">
        <v>23</v>
      </c>
      <c r="O25" s="3" t="s">
        <v>293</v>
      </c>
    </row>
    <row r="26" spans="1:15">
      <c r="A26" s="3">
        <v>23</v>
      </c>
      <c r="B26" s="3" t="s">
        <v>903</v>
      </c>
      <c r="C26" s="4">
        <v>46193</v>
      </c>
      <c r="D26" s="3" t="s">
        <v>73</v>
      </c>
      <c r="E26" s="5" t="s">
        <v>12</v>
      </c>
      <c r="F26" s="5" t="s">
        <v>22</v>
      </c>
      <c r="G26" s="3">
        <v>57</v>
      </c>
      <c r="H26" s="3">
        <v>48</v>
      </c>
      <c r="I26" s="6">
        <f>IFERROR(H26/G26*100,0)</f>
        <v>0</v>
      </c>
      <c r="J26" s="3">
        <v>97</v>
      </c>
      <c r="K26" s="3">
        <v>0</v>
      </c>
      <c r="L26" s="3" t="s">
        <v>70</v>
      </c>
      <c r="M26" s="3"/>
      <c r="N26" s="3" t="s">
        <v>23</v>
      </c>
      <c r="O26" s="3" t="s">
        <v>293</v>
      </c>
    </row>
    <row r="27" spans="1:15">
      <c r="A27" s="3">
        <v>24</v>
      </c>
      <c r="B27" s="3" t="s">
        <v>904</v>
      </c>
      <c r="C27" s="4">
        <v>46186</v>
      </c>
      <c r="D27" s="3" t="s">
        <v>73</v>
      </c>
      <c r="E27" s="5" t="s">
        <v>30</v>
      </c>
      <c r="F27" s="5" t="s">
        <v>36</v>
      </c>
      <c r="G27" s="3">
        <v>18</v>
      </c>
      <c r="H27" s="3">
        <v>19</v>
      </c>
      <c r="I27" s="6">
        <f>IFERROR(H27/G27*100,0)</f>
        <v>0</v>
      </c>
      <c r="J27" s="3">
        <v>59</v>
      </c>
      <c r="K27" s="3">
        <v>6</v>
      </c>
      <c r="L27" s="3" t="s">
        <v>62</v>
      </c>
      <c r="M27" s="3"/>
      <c r="N27" s="3" t="s">
        <v>9</v>
      </c>
      <c r="O27" s="3" t="s">
        <v>293</v>
      </c>
    </row>
    <row r="28" spans="1:15">
      <c r="A28" s="3">
        <v>25</v>
      </c>
      <c r="B28" s="3" t="s">
        <v>905</v>
      </c>
      <c r="C28" s="4">
        <v>46177</v>
      </c>
      <c r="D28" s="3" t="s">
        <v>73</v>
      </c>
      <c r="E28" s="5" t="s">
        <v>4</v>
      </c>
      <c r="F28" s="5" t="s">
        <v>78</v>
      </c>
      <c r="G28" s="3">
        <v>37</v>
      </c>
      <c r="H28" s="3">
        <v>36</v>
      </c>
      <c r="I28" s="6">
        <f>IFERROR(H28/G28*100,0)</f>
        <v>0</v>
      </c>
      <c r="J28" s="3">
        <v>84</v>
      </c>
      <c r="K28" s="3">
        <v>3</v>
      </c>
      <c r="L28" s="3" t="s">
        <v>104</v>
      </c>
      <c r="M28" s="3"/>
      <c r="N28" s="3" t="s">
        <v>23</v>
      </c>
      <c r="O28" s="3" t="s">
        <v>293</v>
      </c>
    </row>
    <row r="29" spans="1:15">
      <c r="A29" s="3">
        <v>26</v>
      </c>
      <c r="B29" s="3" t="s">
        <v>906</v>
      </c>
      <c r="C29" s="4">
        <v>46210</v>
      </c>
      <c r="D29" s="3" t="s">
        <v>76</v>
      </c>
      <c r="E29" s="5" t="s">
        <v>54</v>
      </c>
      <c r="F29" s="5" t="s">
        <v>28</v>
      </c>
      <c r="G29" s="3">
        <v>49</v>
      </c>
      <c r="H29" s="3">
        <v>53</v>
      </c>
      <c r="I29" s="6">
        <f>IFERROR(H29/G29*100,0)</f>
        <v>0</v>
      </c>
      <c r="J29" s="3">
        <v>106</v>
      </c>
      <c r="K29" s="3">
        <v>2</v>
      </c>
      <c r="L29" s="3" t="s">
        <v>15</v>
      </c>
      <c r="M29" s="3"/>
      <c r="N29" s="3" t="s">
        <v>9</v>
      </c>
      <c r="O29" s="3" t="s">
        <v>254</v>
      </c>
    </row>
    <row r="30" spans="1:15">
      <c r="A30" s="3">
        <v>27</v>
      </c>
      <c r="B30" s="3" t="s">
        <v>907</v>
      </c>
      <c r="C30" s="4">
        <v>46216</v>
      </c>
      <c r="D30" s="3" t="s">
        <v>76</v>
      </c>
      <c r="E30" s="5" t="s">
        <v>57</v>
      </c>
      <c r="F30" s="5" t="s">
        <v>62</v>
      </c>
      <c r="G30" s="3">
        <v>51</v>
      </c>
      <c r="H30" s="3">
        <v>51</v>
      </c>
      <c r="I30" s="6">
        <f>IFERROR(H30/G30*100,0)</f>
        <v>0</v>
      </c>
      <c r="J30" s="3">
        <v>109</v>
      </c>
      <c r="K30" s="3">
        <v>3</v>
      </c>
      <c r="L30" s="3" t="s">
        <v>32</v>
      </c>
      <c r="M30" s="3"/>
      <c r="N30" s="3" t="s">
        <v>9</v>
      </c>
      <c r="O30" s="3" t="s">
        <v>238</v>
      </c>
    </row>
    <row r="31" spans="1:15">
      <c r="A31" s="3">
        <v>28</v>
      </c>
      <c r="B31" s="3" t="s">
        <v>908</v>
      </c>
      <c r="C31" s="4">
        <v>46206</v>
      </c>
      <c r="D31" s="3" t="s">
        <v>76</v>
      </c>
      <c r="E31" s="5" t="s">
        <v>20</v>
      </c>
      <c r="F31" s="5" t="s">
        <v>62</v>
      </c>
      <c r="G31" s="3">
        <v>55</v>
      </c>
      <c r="H31" s="3">
        <v>28</v>
      </c>
      <c r="I31" s="6">
        <f>IFERROR(H31/G31*100,0)</f>
        <v>0</v>
      </c>
      <c r="J31" s="3">
        <v>111</v>
      </c>
      <c r="K31" s="3">
        <v>0</v>
      </c>
      <c r="L31" s="3" t="s">
        <v>41</v>
      </c>
      <c r="M31" s="3"/>
      <c r="N31" s="3" t="s">
        <v>23</v>
      </c>
      <c r="O31" s="3" t="s">
        <v>297</v>
      </c>
    </row>
    <row r="32" spans="1:15">
      <c r="A32" s="3">
        <v>29</v>
      </c>
      <c r="B32" s="3" t="s">
        <v>909</v>
      </c>
      <c r="C32" s="4">
        <v>46250</v>
      </c>
      <c r="D32" s="3" t="s">
        <v>86</v>
      </c>
      <c r="E32" s="5" t="s">
        <v>30</v>
      </c>
      <c r="F32" s="5" t="s">
        <v>78</v>
      </c>
      <c r="G32" s="3">
        <v>41</v>
      </c>
      <c r="H32" s="3">
        <v>32</v>
      </c>
      <c r="I32" s="6">
        <f>IFERROR(H32/G32*100,0)</f>
        <v>0</v>
      </c>
      <c r="J32" s="3">
        <v>111</v>
      </c>
      <c r="K32" s="3">
        <v>6</v>
      </c>
      <c r="L32" s="3" t="s">
        <v>36</v>
      </c>
      <c r="M32" s="3"/>
      <c r="N32" s="3" t="s">
        <v>23</v>
      </c>
      <c r="O32" s="3" t="s">
        <v>254</v>
      </c>
    </row>
    <row r="33" spans="1:15">
      <c r="A33" s="3">
        <v>30</v>
      </c>
      <c r="B33" s="3" t="s">
        <v>910</v>
      </c>
      <c r="C33" s="4">
        <v>46235</v>
      </c>
      <c r="D33" s="3" t="s">
        <v>86</v>
      </c>
      <c r="E33" s="5" t="s">
        <v>20</v>
      </c>
      <c r="F33" s="5" t="s">
        <v>93</v>
      </c>
      <c r="G33" s="3">
        <v>28</v>
      </c>
      <c r="H33" s="3">
        <v>13</v>
      </c>
      <c r="I33" s="6">
        <f>IFERROR(H33/G33*100,0)</f>
        <v>0</v>
      </c>
      <c r="J33" s="3">
        <v>37</v>
      </c>
      <c r="K33" s="3">
        <v>8</v>
      </c>
      <c r="L33" s="3" t="s">
        <v>41</v>
      </c>
      <c r="M33" s="3"/>
      <c r="N33" s="3" t="s">
        <v>9</v>
      </c>
      <c r="O33" s="3" t="s">
        <v>254</v>
      </c>
    </row>
    <row r="34" spans="1:15">
      <c r="A34" s="3">
        <v>31</v>
      </c>
      <c r="B34" s="3" t="s">
        <v>911</v>
      </c>
      <c r="C34" s="4">
        <v>46240</v>
      </c>
      <c r="D34" s="3" t="s">
        <v>86</v>
      </c>
      <c r="E34" s="5" t="s">
        <v>49</v>
      </c>
      <c r="F34" s="5" t="s">
        <v>104</v>
      </c>
      <c r="G34" s="3">
        <v>44</v>
      </c>
      <c r="H34" s="3">
        <v>18</v>
      </c>
      <c r="I34" s="6">
        <f>IFERROR(H34/G34*100,0)</f>
        <v>0</v>
      </c>
      <c r="J34" s="3">
        <v>15</v>
      </c>
      <c r="K34" s="3">
        <v>7</v>
      </c>
      <c r="L34" s="3" t="s">
        <v>70</v>
      </c>
      <c r="M34" s="3"/>
      <c r="N34" s="3" t="s">
        <v>23</v>
      </c>
      <c r="O34" s="3" t="s">
        <v>297</v>
      </c>
    </row>
    <row r="35" spans="1:15">
      <c r="A35" s="3">
        <v>32</v>
      </c>
      <c r="B35" s="3" t="s">
        <v>912</v>
      </c>
      <c r="C35" s="4">
        <v>46240</v>
      </c>
      <c r="D35" s="3" t="s">
        <v>86</v>
      </c>
      <c r="E35" s="5" t="s">
        <v>20</v>
      </c>
      <c r="F35" s="5" t="s">
        <v>36</v>
      </c>
      <c r="G35" s="3">
        <v>49</v>
      </c>
      <c r="H35" s="3">
        <v>30</v>
      </c>
      <c r="I35" s="6">
        <f>IFERROR(H35/G35*100,0)</f>
        <v>0</v>
      </c>
      <c r="J35" s="3">
        <v>24</v>
      </c>
      <c r="K35" s="3">
        <v>5</v>
      </c>
      <c r="L35" s="3" t="s">
        <v>41</v>
      </c>
      <c r="M35" s="3"/>
      <c r="N35" s="3" t="s">
        <v>9</v>
      </c>
      <c r="O35" s="3" t="s">
        <v>293</v>
      </c>
    </row>
    <row r="36" spans="1:15">
      <c r="A36" s="3">
        <v>33</v>
      </c>
      <c r="B36" s="3" t="s">
        <v>913</v>
      </c>
      <c r="C36" s="4">
        <v>46252</v>
      </c>
      <c r="D36" s="3" t="s">
        <v>86</v>
      </c>
      <c r="E36" s="5" t="s">
        <v>4</v>
      </c>
      <c r="F36" s="5" t="s">
        <v>93</v>
      </c>
      <c r="G36" s="3">
        <v>10</v>
      </c>
      <c r="H36" s="3">
        <v>60</v>
      </c>
      <c r="I36" s="6">
        <f>IFERROR(H36/G36*100,0)</f>
        <v>0</v>
      </c>
      <c r="J36" s="3">
        <v>59</v>
      </c>
      <c r="K36" s="3">
        <v>7</v>
      </c>
      <c r="L36" s="3" t="s">
        <v>32</v>
      </c>
      <c r="M36" s="3"/>
      <c r="N36" s="3" t="s">
        <v>23</v>
      </c>
      <c r="O36" s="3" t="s">
        <v>293</v>
      </c>
    </row>
    <row r="37" spans="1:15">
      <c r="A37" s="3">
        <v>34</v>
      </c>
      <c r="B37" s="3" t="s">
        <v>914</v>
      </c>
      <c r="C37" s="4">
        <v>46268</v>
      </c>
      <c r="D37" s="3" t="s">
        <v>102</v>
      </c>
      <c r="E37" s="5" t="s">
        <v>20</v>
      </c>
      <c r="F37" s="5" t="s">
        <v>36</v>
      </c>
      <c r="G37" s="3">
        <v>30</v>
      </c>
      <c r="H37" s="3">
        <v>28</v>
      </c>
      <c r="I37" s="6">
        <f>IFERROR(H37/G37*100,0)</f>
        <v>0</v>
      </c>
      <c r="J37" s="3">
        <v>105</v>
      </c>
      <c r="K37" s="3">
        <v>5</v>
      </c>
      <c r="L37" s="3" t="s">
        <v>22</v>
      </c>
      <c r="M37" s="3"/>
      <c r="N37" s="3" t="s">
        <v>23</v>
      </c>
      <c r="O37" s="3" t="s">
        <v>293</v>
      </c>
    </row>
    <row r="38" spans="1:15">
      <c r="A38" s="3">
        <v>35</v>
      </c>
      <c r="B38" s="3" t="s">
        <v>915</v>
      </c>
      <c r="C38" s="4">
        <v>46284</v>
      </c>
      <c r="D38" s="3" t="s">
        <v>102</v>
      </c>
      <c r="E38" s="5" t="s">
        <v>4</v>
      </c>
      <c r="F38" s="5" t="s">
        <v>93</v>
      </c>
      <c r="G38" s="3">
        <v>51</v>
      </c>
      <c r="H38" s="3">
        <v>21</v>
      </c>
      <c r="I38" s="6">
        <f>IFERROR(H38/G38*100,0)</f>
        <v>0</v>
      </c>
      <c r="J38" s="3">
        <v>116</v>
      </c>
      <c r="K38" s="3">
        <v>5</v>
      </c>
      <c r="L38" s="3" t="s">
        <v>66</v>
      </c>
      <c r="M38" s="3"/>
      <c r="N38" s="3" t="s">
        <v>23</v>
      </c>
      <c r="O38" s="3" t="s">
        <v>293</v>
      </c>
    </row>
    <row r="39" spans="1:15">
      <c r="A39" s="3">
        <v>36</v>
      </c>
      <c r="B39" s="3" t="s">
        <v>916</v>
      </c>
      <c r="C39" s="4">
        <v>46274</v>
      </c>
      <c r="D39" s="3" t="s">
        <v>102</v>
      </c>
      <c r="E39" s="5" t="s">
        <v>12</v>
      </c>
      <c r="F39" s="5" t="s">
        <v>32</v>
      </c>
      <c r="G39" s="3">
        <v>12</v>
      </c>
      <c r="H39" s="3">
        <v>25</v>
      </c>
      <c r="I39" s="6">
        <f>IFERROR(H39/G39*100,0)</f>
        <v>0</v>
      </c>
      <c r="J39" s="3">
        <v>84</v>
      </c>
      <c r="K39" s="3">
        <v>2</v>
      </c>
      <c r="L39" s="3" t="s">
        <v>36</v>
      </c>
      <c r="M39" s="3"/>
      <c r="N39" s="3" t="s">
        <v>23</v>
      </c>
      <c r="O39" s="3" t="s">
        <v>254</v>
      </c>
    </row>
    <row r="40" spans="1:15">
      <c r="A40" s="3">
        <v>37</v>
      </c>
      <c r="B40" s="3" t="s">
        <v>917</v>
      </c>
      <c r="C40" s="4">
        <v>46323</v>
      </c>
      <c r="D40" s="3" t="s">
        <v>106</v>
      </c>
      <c r="E40" s="5" t="s">
        <v>64</v>
      </c>
      <c r="F40" s="5" t="s">
        <v>78</v>
      </c>
      <c r="G40" s="3">
        <v>21</v>
      </c>
      <c r="H40" s="3">
        <v>36</v>
      </c>
      <c r="I40" s="6">
        <f>IFERROR(H40/G40*100,0)</f>
        <v>0</v>
      </c>
      <c r="J40" s="3">
        <v>55</v>
      </c>
      <c r="K40" s="3">
        <v>5</v>
      </c>
      <c r="L40" s="3" t="s">
        <v>66</v>
      </c>
      <c r="M40" s="3"/>
      <c r="N40" s="3" t="s">
        <v>23</v>
      </c>
      <c r="O40" s="3" t="s">
        <v>293</v>
      </c>
    </row>
    <row r="41" spans="1:15">
      <c r="A41" s="3">
        <v>38</v>
      </c>
      <c r="B41" s="3" t="s">
        <v>918</v>
      </c>
      <c r="C41" s="4">
        <v>46298</v>
      </c>
      <c r="D41" s="3" t="s">
        <v>106</v>
      </c>
      <c r="E41" s="5" t="s">
        <v>91</v>
      </c>
      <c r="F41" s="5" t="s">
        <v>78</v>
      </c>
      <c r="G41" s="3">
        <v>17</v>
      </c>
      <c r="H41" s="3">
        <v>35</v>
      </c>
      <c r="I41" s="6">
        <f>IFERROR(H41/G41*100,0)</f>
        <v>0</v>
      </c>
      <c r="J41" s="3">
        <v>107</v>
      </c>
      <c r="K41" s="3">
        <v>2</v>
      </c>
      <c r="L41" s="3" t="s">
        <v>78</v>
      </c>
      <c r="M41" s="3"/>
      <c r="N41" s="3" t="s">
        <v>9</v>
      </c>
      <c r="O41" s="3" t="s">
        <v>254</v>
      </c>
    </row>
    <row r="42" spans="1:15">
      <c r="A42" s="3">
        <v>39</v>
      </c>
      <c r="B42" s="3" t="s">
        <v>919</v>
      </c>
      <c r="C42" s="4">
        <v>46320</v>
      </c>
      <c r="D42" s="3" t="s">
        <v>106</v>
      </c>
      <c r="E42" s="5" t="s">
        <v>49</v>
      </c>
      <c r="F42" s="5" t="s">
        <v>32</v>
      </c>
      <c r="G42" s="3">
        <v>55</v>
      </c>
      <c r="H42" s="3">
        <v>15</v>
      </c>
      <c r="I42" s="6">
        <f>IFERROR(H42/G42*100,0)</f>
        <v>0</v>
      </c>
      <c r="J42" s="3">
        <v>68</v>
      </c>
      <c r="K42" s="3">
        <v>8</v>
      </c>
      <c r="L42" s="3" t="s">
        <v>78</v>
      </c>
      <c r="M42" s="3"/>
      <c r="N42" s="3" t="s">
        <v>9</v>
      </c>
      <c r="O42" s="3" t="s">
        <v>297</v>
      </c>
    </row>
    <row r="43" spans="1:15">
      <c r="A43" s="3">
        <v>40</v>
      </c>
      <c r="B43" s="3" t="s">
        <v>920</v>
      </c>
      <c r="C43" s="4">
        <v>46297</v>
      </c>
      <c r="D43" s="3" t="s">
        <v>106</v>
      </c>
      <c r="E43" s="5" t="s">
        <v>49</v>
      </c>
      <c r="F43" s="5" t="s">
        <v>32</v>
      </c>
      <c r="G43" s="3">
        <v>57</v>
      </c>
      <c r="H43" s="3">
        <v>48</v>
      </c>
      <c r="I43" s="6">
        <f>IFERROR(H43/G43*100,0)</f>
        <v>0</v>
      </c>
      <c r="J43" s="3">
        <v>113</v>
      </c>
      <c r="K43" s="3">
        <v>0</v>
      </c>
      <c r="L43" s="3" t="s">
        <v>15</v>
      </c>
      <c r="M43" s="3"/>
      <c r="N43" s="3" t="s">
        <v>9</v>
      </c>
      <c r="O43" s="3" t="s">
        <v>293</v>
      </c>
    </row>
    <row r="44" spans="1:15">
      <c r="A44" s="3">
        <v>41</v>
      </c>
      <c r="B44" s="3" t="s">
        <v>921</v>
      </c>
      <c r="C44" s="4">
        <v>46318</v>
      </c>
      <c r="D44" s="3" t="s">
        <v>106</v>
      </c>
      <c r="E44" s="5" t="s">
        <v>64</v>
      </c>
      <c r="F44" s="5" t="s">
        <v>93</v>
      </c>
      <c r="G44" s="3">
        <v>31</v>
      </c>
      <c r="H44" s="3">
        <v>22</v>
      </c>
      <c r="I44" s="6">
        <f>IFERROR(H44/G44*100,0)</f>
        <v>0</v>
      </c>
      <c r="J44" s="3">
        <v>66</v>
      </c>
      <c r="K44" s="3">
        <v>5</v>
      </c>
      <c r="L44" s="3" t="s">
        <v>68</v>
      </c>
      <c r="M44" s="3"/>
      <c r="N44" s="3" t="s">
        <v>23</v>
      </c>
      <c r="O44" s="3" t="s">
        <v>293</v>
      </c>
    </row>
    <row r="45" spans="1:15">
      <c r="A45" s="3">
        <v>42</v>
      </c>
      <c r="B45" s="3" t="s">
        <v>922</v>
      </c>
      <c r="C45" s="4">
        <v>46300</v>
      </c>
      <c r="D45" s="3" t="s">
        <v>106</v>
      </c>
      <c r="E45" s="5" t="s">
        <v>30</v>
      </c>
      <c r="F45" s="5" t="s">
        <v>70</v>
      </c>
      <c r="G45" s="3">
        <v>37</v>
      </c>
      <c r="H45" s="3">
        <v>46</v>
      </c>
      <c r="I45" s="6">
        <f>IFERROR(H45/G45*100,0)</f>
        <v>0</v>
      </c>
      <c r="J45" s="3">
        <v>56</v>
      </c>
      <c r="K45" s="3">
        <v>2</v>
      </c>
      <c r="L45" s="3" t="s">
        <v>36</v>
      </c>
      <c r="M45" s="3"/>
      <c r="N45" s="3" t="s">
        <v>23</v>
      </c>
      <c r="O45" s="3" t="s">
        <v>293</v>
      </c>
    </row>
    <row r="46" spans="1:15">
      <c r="A46" s="3">
        <v>43</v>
      </c>
      <c r="B46" s="3" t="s">
        <v>923</v>
      </c>
      <c r="C46" s="4">
        <v>46316</v>
      </c>
      <c r="D46" s="3" t="s">
        <v>106</v>
      </c>
      <c r="E46" s="5" t="s">
        <v>57</v>
      </c>
      <c r="F46" s="5" t="s">
        <v>41</v>
      </c>
      <c r="G46" s="3">
        <v>50</v>
      </c>
      <c r="H46" s="3">
        <v>54</v>
      </c>
      <c r="I46" s="6">
        <f>IFERROR(H46/G46*100,0)</f>
        <v>0</v>
      </c>
      <c r="J46" s="3">
        <v>74</v>
      </c>
      <c r="K46" s="3">
        <v>7</v>
      </c>
      <c r="L46" s="3" t="s">
        <v>32</v>
      </c>
      <c r="M46" s="3"/>
      <c r="N46" s="3" t="s">
        <v>9</v>
      </c>
      <c r="O46" s="3" t="s">
        <v>254</v>
      </c>
    </row>
    <row r="47" spans="1:15">
      <c r="A47" s="3">
        <v>44</v>
      </c>
      <c r="B47" s="3" t="s">
        <v>924</v>
      </c>
      <c r="C47" s="4">
        <v>46305</v>
      </c>
      <c r="D47" s="3" t="s">
        <v>106</v>
      </c>
      <c r="E47" s="5" t="s">
        <v>20</v>
      </c>
      <c r="F47" s="5" t="s">
        <v>36</v>
      </c>
      <c r="G47" s="3">
        <v>10</v>
      </c>
      <c r="H47" s="3">
        <v>21</v>
      </c>
      <c r="I47" s="6">
        <f>IFERROR(H47/G47*100,0)</f>
        <v>0</v>
      </c>
      <c r="J47" s="3">
        <v>52</v>
      </c>
      <c r="K47" s="3">
        <v>0</v>
      </c>
      <c r="L47" s="3" t="s">
        <v>104</v>
      </c>
      <c r="M47" s="3"/>
      <c r="N47" s="3" t="s">
        <v>9</v>
      </c>
      <c r="O47" s="3" t="s">
        <v>293</v>
      </c>
    </row>
    <row r="48" spans="1:15">
      <c r="A48" s="3">
        <v>45</v>
      </c>
      <c r="B48" s="3" t="s">
        <v>925</v>
      </c>
      <c r="C48" s="4">
        <v>46320</v>
      </c>
      <c r="D48" s="3" t="s">
        <v>106</v>
      </c>
      <c r="E48" s="5" t="s">
        <v>38</v>
      </c>
      <c r="F48" s="5" t="s">
        <v>22</v>
      </c>
      <c r="G48" s="3">
        <v>34</v>
      </c>
      <c r="H48" s="3">
        <v>28</v>
      </c>
      <c r="I48" s="6">
        <f>IFERROR(H48/G48*100,0)</f>
        <v>0</v>
      </c>
      <c r="J48" s="3">
        <v>119</v>
      </c>
      <c r="K48" s="3">
        <v>7</v>
      </c>
      <c r="L48" s="3" t="s">
        <v>93</v>
      </c>
      <c r="M48" s="3"/>
      <c r="N48" s="3" t="s">
        <v>9</v>
      </c>
      <c r="O48" s="3" t="s">
        <v>293</v>
      </c>
    </row>
    <row r="49" spans="1:15">
      <c r="A49" s="3">
        <v>46</v>
      </c>
      <c r="B49" s="3" t="s">
        <v>926</v>
      </c>
      <c r="C49" s="4">
        <v>46303</v>
      </c>
      <c r="D49" s="3" t="s">
        <v>106</v>
      </c>
      <c r="E49" s="5" t="s">
        <v>61</v>
      </c>
      <c r="F49" s="5" t="s">
        <v>41</v>
      </c>
      <c r="G49" s="3">
        <v>36</v>
      </c>
      <c r="H49" s="3">
        <v>46</v>
      </c>
      <c r="I49" s="6">
        <f>IFERROR(H49/G49*100,0)</f>
        <v>0</v>
      </c>
      <c r="J49" s="3">
        <v>79</v>
      </c>
      <c r="K49" s="3">
        <v>7</v>
      </c>
      <c r="L49" s="3" t="s">
        <v>70</v>
      </c>
      <c r="M49" s="3"/>
      <c r="N49" s="3" t="s">
        <v>9</v>
      </c>
      <c r="O49" s="3" t="s">
        <v>293</v>
      </c>
    </row>
    <row r="50" spans="1:15">
      <c r="A50" s="3">
        <v>47</v>
      </c>
      <c r="B50" s="3" t="s">
        <v>927</v>
      </c>
      <c r="C50" s="4">
        <v>46331</v>
      </c>
      <c r="D50" s="3" t="s">
        <v>111</v>
      </c>
      <c r="E50" s="5" t="s">
        <v>16</v>
      </c>
      <c r="F50" s="5" t="s">
        <v>70</v>
      </c>
      <c r="G50" s="3">
        <v>20</v>
      </c>
      <c r="H50" s="3">
        <v>45</v>
      </c>
      <c r="I50" s="6">
        <f>IFERROR(H50/G50*100,0)</f>
        <v>0</v>
      </c>
      <c r="J50" s="3">
        <v>94</v>
      </c>
      <c r="K50" s="3">
        <v>6</v>
      </c>
      <c r="L50" s="3" t="s">
        <v>93</v>
      </c>
      <c r="M50" s="3"/>
      <c r="N50" s="3" t="s">
        <v>23</v>
      </c>
      <c r="O50" s="3" t="s">
        <v>293</v>
      </c>
    </row>
    <row r="51" spans="1:15">
      <c r="A51" s="3">
        <v>48</v>
      </c>
      <c r="B51" s="3" t="s">
        <v>928</v>
      </c>
      <c r="C51" s="4">
        <v>46337</v>
      </c>
      <c r="D51" s="3" t="s">
        <v>111</v>
      </c>
      <c r="E51" s="5" t="s">
        <v>12</v>
      </c>
      <c r="F51" s="5" t="s">
        <v>41</v>
      </c>
      <c r="G51" s="3">
        <v>32</v>
      </c>
      <c r="H51" s="3">
        <v>12</v>
      </c>
      <c r="I51" s="6">
        <f>IFERROR(H51/G51*100,0)</f>
        <v>0</v>
      </c>
      <c r="J51" s="3">
        <v>20</v>
      </c>
      <c r="K51" s="3">
        <v>2</v>
      </c>
      <c r="L51" s="3" t="s">
        <v>15</v>
      </c>
      <c r="M51" s="3"/>
      <c r="N51" s="3" t="s">
        <v>23</v>
      </c>
      <c r="O51" s="3" t="s">
        <v>238</v>
      </c>
    </row>
  </sheetData>
  <mergeCells count="2">
    <mergeCell ref="A1:O1"/>
    <mergeCell ref="A2:O2"/>
  </mergeCells>
  <dataValidations count="1">
    <dataValidation type="list" allowBlank="1" showInputMessage="1" showErrorMessage="1" sqref="O4:O5003">
      <formula1>L_Status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6.7109375" customWidth="1"/>
    <col min="6" max="6" width="12.7109375" customWidth="1"/>
    <col min="7" max="7" width="15.7109375" customWidth="1"/>
    <col min="8" max="8" width="14.7109375" customWidth="1"/>
    <col min="9" max="9" width="15.7109375" customWidth="1"/>
    <col min="10" max="10" width="13.7109375" customWidth="1"/>
    <col min="11" max="11" width="9.7109375" customWidth="1"/>
  </cols>
  <sheetData>
    <row r="1" spans="1:13" ht="22" customHeight="1">
      <c r="A1" s="1" t="s">
        <v>936</v>
      </c>
      <c r="B1" s="1"/>
      <c r="C1" s="1"/>
      <c r="D1" s="1"/>
      <c r="E1" s="1"/>
      <c r="F1" s="1"/>
      <c r="G1" s="1"/>
      <c r="H1" s="1"/>
      <c r="I1" s="1"/>
      <c r="J1" s="1"/>
      <c r="K1" s="1"/>
      <c r="M1" s="2" t="s">
        <v>139</v>
      </c>
    </row>
    <row r="2" spans="1:13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 spans="1:13">
      <c r="A3" t="s">
        <v>124</v>
      </c>
      <c r="B3" t="s">
        <v>994</v>
      </c>
      <c r="C3" t="s">
        <v>126</v>
      </c>
      <c r="D3" t="s">
        <v>127</v>
      </c>
      <c r="E3" t="s">
        <v>995</v>
      </c>
      <c r="F3" t="s">
        <v>129</v>
      </c>
      <c r="G3" t="s">
        <v>996</v>
      </c>
      <c r="H3" t="s">
        <v>356</v>
      </c>
      <c r="I3" t="s">
        <v>997</v>
      </c>
      <c r="J3" t="s">
        <v>209</v>
      </c>
      <c r="K3" t="s">
        <v>287</v>
      </c>
    </row>
    <row r="4" spans="1:13">
      <c r="A4" s="3">
        <v>1</v>
      </c>
      <c r="B4" s="3" t="s">
        <v>937</v>
      </c>
      <c r="C4" s="4">
        <v>46047</v>
      </c>
      <c r="D4" s="3" t="s">
        <v>3</v>
      </c>
      <c r="E4" s="5" t="s">
        <v>938</v>
      </c>
      <c r="F4" s="5" t="s">
        <v>58</v>
      </c>
      <c r="G4" s="3" t="s">
        <v>62</v>
      </c>
      <c r="H4" s="3" t="s">
        <v>313</v>
      </c>
      <c r="I4" s="3" t="s">
        <v>939</v>
      </c>
      <c r="J4" s="3" t="s">
        <v>41</v>
      </c>
      <c r="K4" s="3" t="s">
        <v>297</v>
      </c>
    </row>
    <row r="5" spans="1:13">
      <c r="A5" s="3">
        <v>2</v>
      </c>
      <c r="B5" s="3" t="s">
        <v>940</v>
      </c>
      <c r="C5" s="4">
        <v>46043</v>
      </c>
      <c r="D5" s="3" t="s">
        <v>3</v>
      </c>
      <c r="E5" s="5" t="s">
        <v>938</v>
      </c>
      <c r="F5" s="5" t="s">
        <v>5</v>
      </c>
      <c r="G5" s="3" t="s">
        <v>62</v>
      </c>
      <c r="H5" s="3" t="s">
        <v>298</v>
      </c>
      <c r="I5" s="3" t="s">
        <v>939</v>
      </c>
      <c r="J5" s="3" t="s">
        <v>7</v>
      </c>
      <c r="K5" s="3" t="s">
        <v>293</v>
      </c>
    </row>
    <row r="6" spans="1:13">
      <c r="A6" s="3">
        <v>3</v>
      </c>
      <c r="B6" s="3" t="s">
        <v>941</v>
      </c>
      <c r="C6" s="4">
        <v>46028</v>
      </c>
      <c r="D6" s="3" t="s">
        <v>3</v>
      </c>
      <c r="E6" s="5" t="s">
        <v>942</v>
      </c>
      <c r="F6" s="5" t="s">
        <v>58</v>
      </c>
      <c r="G6" s="3" t="s">
        <v>70</v>
      </c>
      <c r="H6" s="3" t="s">
        <v>313</v>
      </c>
      <c r="I6" s="3" t="s">
        <v>939</v>
      </c>
      <c r="J6" s="3" t="s">
        <v>7</v>
      </c>
      <c r="K6" s="3" t="s">
        <v>293</v>
      </c>
    </row>
    <row r="7" spans="1:13">
      <c r="A7" s="3">
        <v>4</v>
      </c>
      <c r="B7" s="3" t="s">
        <v>943</v>
      </c>
      <c r="C7" s="4">
        <v>46062</v>
      </c>
      <c r="D7" s="3" t="s">
        <v>19</v>
      </c>
      <c r="E7" s="5" t="s">
        <v>938</v>
      </c>
      <c r="F7" s="5" t="s">
        <v>27</v>
      </c>
      <c r="G7" s="3" t="s">
        <v>70</v>
      </c>
      <c r="H7" s="3" t="s">
        <v>310</v>
      </c>
      <c r="I7" s="3" t="s">
        <v>944</v>
      </c>
      <c r="J7" s="3" t="s">
        <v>41</v>
      </c>
      <c r="K7" s="3" t="s">
        <v>254</v>
      </c>
    </row>
    <row r="8" spans="1:13">
      <c r="A8" s="3">
        <v>5</v>
      </c>
      <c r="B8" s="3" t="s">
        <v>945</v>
      </c>
      <c r="C8" s="4">
        <v>46056</v>
      </c>
      <c r="D8" s="3" t="s">
        <v>19</v>
      </c>
      <c r="E8" s="5" t="s">
        <v>946</v>
      </c>
      <c r="F8" s="5" t="s">
        <v>58</v>
      </c>
      <c r="G8" s="3" t="s">
        <v>66</v>
      </c>
      <c r="H8" s="3" t="s">
        <v>298</v>
      </c>
      <c r="I8" s="3" t="s">
        <v>947</v>
      </c>
      <c r="J8" s="3" t="s">
        <v>66</v>
      </c>
      <c r="K8" s="3" t="s">
        <v>293</v>
      </c>
    </row>
    <row r="9" spans="1:13">
      <c r="A9" s="3">
        <v>6</v>
      </c>
      <c r="B9" s="3" t="s">
        <v>948</v>
      </c>
      <c r="C9" s="4">
        <v>46092</v>
      </c>
      <c r="D9" s="3" t="s">
        <v>44</v>
      </c>
      <c r="E9" s="5" t="s">
        <v>946</v>
      </c>
      <c r="F9" s="5" t="s">
        <v>50</v>
      </c>
      <c r="G9" s="3" t="s">
        <v>15</v>
      </c>
      <c r="H9" s="3" t="s">
        <v>310</v>
      </c>
      <c r="I9" s="3" t="s">
        <v>939</v>
      </c>
      <c r="J9" s="3" t="s">
        <v>22</v>
      </c>
      <c r="K9" s="3" t="s">
        <v>254</v>
      </c>
    </row>
    <row r="10" spans="1:13">
      <c r="A10" s="3">
        <v>7</v>
      </c>
      <c r="B10" s="3" t="s">
        <v>949</v>
      </c>
      <c r="C10" s="4">
        <v>46100</v>
      </c>
      <c r="D10" s="3" t="s">
        <v>44</v>
      </c>
      <c r="E10" s="5" t="s">
        <v>938</v>
      </c>
      <c r="F10" s="5" t="s">
        <v>65</v>
      </c>
      <c r="G10" s="3" t="s">
        <v>22</v>
      </c>
      <c r="H10" s="3" t="s">
        <v>313</v>
      </c>
      <c r="I10" s="3" t="s">
        <v>944</v>
      </c>
      <c r="J10" s="3" t="s">
        <v>22</v>
      </c>
      <c r="K10" s="3" t="s">
        <v>254</v>
      </c>
    </row>
    <row r="11" spans="1:13">
      <c r="A11" s="3">
        <v>8</v>
      </c>
      <c r="B11" s="3" t="s">
        <v>950</v>
      </c>
      <c r="C11" s="4">
        <v>46100</v>
      </c>
      <c r="D11" s="3" t="s">
        <v>44</v>
      </c>
      <c r="E11" s="5" t="s">
        <v>951</v>
      </c>
      <c r="F11" s="5" t="s">
        <v>5</v>
      </c>
      <c r="G11" s="3" t="s">
        <v>32</v>
      </c>
      <c r="H11" s="3" t="s">
        <v>313</v>
      </c>
      <c r="I11" s="3" t="s">
        <v>939</v>
      </c>
      <c r="J11" s="3" t="s">
        <v>104</v>
      </c>
      <c r="K11" s="3" t="s">
        <v>293</v>
      </c>
    </row>
    <row r="12" spans="1:13">
      <c r="A12" s="3">
        <v>9</v>
      </c>
      <c r="B12" s="3" t="s">
        <v>952</v>
      </c>
      <c r="C12" s="4">
        <v>46138</v>
      </c>
      <c r="D12" s="3" t="s">
        <v>53</v>
      </c>
      <c r="E12" s="5" t="s">
        <v>938</v>
      </c>
      <c r="F12" s="5" t="s">
        <v>92</v>
      </c>
      <c r="G12" s="3" t="s">
        <v>32</v>
      </c>
      <c r="H12" s="3" t="s">
        <v>294</v>
      </c>
      <c r="I12" s="3" t="s">
        <v>939</v>
      </c>
      <c r="J12" s="3" t="s">
        <v>15</v>
      </c>
      <c r="K12" s="3" t="s">
        <v>293</v>
      </c>
    </row>
    <row r="13" spans="1:13">
      <c r="A13" s="3">
        <v>10</v>
      </c>
      <c r="B13" s="3" t="s">
        <v>953</v>
      </c>
      <c r="C13" s="4">
        <v>46136</v>
      </c>
      <c r="D13" s="3" t="s">
        <v>53</v>
      </c>
      <c r="E13" s="5" t="s">
        <v>954</v>
      </c>
      <c r="F13" s="5" t="s">
        <v>89</v>
      </c>
      <c r="G13" s="3" t="s">
        <v>104</v>
      </c>
      <c r="H13" s="3" t="s">
        <v>310</v>
      </c>
      <c r="I13" s="3" t="s">
        <v>947</v>
      </c>
      <c r="J13" s="3" t="s">
        <v>66</v>
      </c>
      <c r="K13" s="3" t="s">
        <v>293</v>
      </c>
    </row>
    <row r="14" spans="1:13">
      <c r="A14" s="3">
        <v>11</v>
      </c>
      <c r="B14" s="3" t="s">
        <v>955</v>
      </c>
      <c r="C14" s="4">
        <v>46151</v>
      </c>
      <c r="D14" s="3" t="s">
        <v>60</v>
      </c>
      <c r="E14" s="5" t="s">
        <v>942</v>
      </c>
      <c r="F14" s="5" t="s">
        <v>46</v>
      </c>
      <c r="G14" s="3" t="s">
        <v>15</v>
      </c>
      <c r="H14" s="3" t="s">
        <v>298</v>
      </c>
      <c r="I14" s="3" t="s">
        <v>939</v>
      </c>
      <c r="J14" s="3" t="s">
        <v>28</v>
      </c>
      <c r="K14" s="3" t="s">
        <v>238</v>
      </c>
    </row>
    <row r="15" spans="1:13">
      <c r="A15" s="3">
        <v>12</v>
      </c>
      <c r="B15" s="3" t="s">
        <v>956</v>
      </c>
      <c r="C15" s="4">
        <v>46157</v>
      </c>
      <c r="D15" s="3" t="s">
        <v>60</v>
      </c>
      <c r="E15" s="5" t="s">
        <v>942</v>
      </c>
      <c r="F15" s="5" t="s">
        <v>27</v>
      </c>
      <c r="G15" s="3" t="s">
        <v>66</v>
      </c>
      <c r="H15" s="3" t="s">
        <v>310</v>
      </c>
      <c r="I15" s="3" t="s">
        <v>939</v>
      </c>
      <c r="J15" s="3" t="s">
        <v>15</v>
      </c>
      <c r="K15" s="3" t="s">
        <v>297</v>
      </c>
    </row>
    <row r="16" spans="1:13">
      <c r="A16" s="3">
        <v>13</v>
      </c>
      <c r="B16" s="3" t="s">
        <v>957</v>
      </c>
      <c r="C16" s="4">
        <v>46150</v>
      </c>
      <c r="D16" s="3" t="s">
        <v>60</v>
      </c>
      <c r="E16" s="5" t="s">
        <v>958</v>
      </c>
      <c r="F16" s="5" t="s">
        <v>13</v>
      </c>
      <c r="G16" s="3" t="s">
        <v>15</v>
      </c>
      <c r="H16" s="3" t="s">
        <v>303</v>
      </c>
      <c r="I16" s="3" t="s">
        <v>944</v>
      </c>
      <c r="J16" s="3" t="s">
        <v>62</v>
      </c>
      <c r="K16" s="3" t="s">
        <v>293</v>
      </c>
    </row>
    <row r="17" spans="1:11">
      <c r="A17" s="3">
        <v>14</v>
      </c>
      <c r="B17" s="3" t="s">
        <v>959</v>
      </c>
      <c r="C17" s="4">
        <v>46144</v>
      </c>
      <c r="D17" s="3" t="s">
        <v>60</v>
      </c>
      <c r="E17" s="5" t="s">
        <v>942</v>
      </c>
      <c r="F17" s="5" t="s">
        <v>58</v>
      </c>
      <c r="G17" s="3" t="s">
        <v>66</v>
      </c>
      <c r="H17" s="3" t="s">
        <v>310</v>
      </c>
      <c r="I17" s="3" t="s">
        <v>947</v>
      </c>
      <c r="J17" s="3" t="s">
        <v>28</v>
      </c>
      <c r="K17" s="3" t="s">
        <v>254</v>
      </c>
    </row>
    <row r="18" spans="1:11">
      <c r="A18" s="3">
        <v>15</v>
      </c>
      <c r="B18" s="3" t="s">
        <v>960</v>
      </c>
      <c r="C18" s="4">
        <v>46165</v>
      </c>
      <c r="D18" s="3" t="s">
        <v>60</v>
      </c>
      <c r="E18" s="5" t="s">
        <v>942</v>
      </c>
      <c r="F18" s="5" t="s">
        <v>13</v>
      </c>
      <c r="G18" s="3" t="s">
        <v>7</v>
      </c>
      <c r="H18" s="3" t="s">
        <v>313</v>
      </c>
      <c r="I18" s="3" t="s">
        <v>944</v>
      </c>
      <c r="J18" s="3" t="s">
        <v>32</v>
      </c>
      <c r="K18" s="3" t="s">
        <v>254</v>
      </c>
    </row>
    <row r="19" spans="1:11">
      <c r="A19" s="3">
        <v>16</v>
      </c>
      <c r="B19" s="3" t="s">
        <v>961</v>
      </c>
      <c r="C19" s="4">
        <v>46160</v>
      </c>
      <c r="D19" s="3" t="s">
        <v>60</v>
      </c>
      <c r="E19" s="5" t="s">
        <v>954</v>
      </c>
      <c r="F19" s="5" t="s">
        <v>39</v>
      </c>
      <c r="G19" s="3" t="s">
        <v>7</v>
      </c>
      <c r="H19" s="3" t="s">
        <v>294</v>
      </c>
      <c r="I19" s="3" t="s">
        <v>947</v>
      </c>
      <c r="J19" s="3" t="s">
        <v>66</v>
      </c>
      <c r="K19" s="3" t="s">
        <v>293</v>
      </c>
    </row>
    <row r="20" spans="1:11">
      <c r="A20" s="3">
        <v>17</v>
      </c>
      <c r="B20" s="3" t="s">
        <v>962</v>
      </c>
      <c r="C20" s="4">
        <v>46196</v>
      </c>
      <c r="D20" s="3" t="s">
        <v>73</v>
      </c>
      <c r="E20" s="5" t="s">
        <v>958</v>
      </c>
      <c r="F20" s="5" t="s">
        <v>5</v>
      </c>
      <c r="G20" s="3" t="s">
        <v>66</v>
      </c>
      <c r="H20" s="3" t="s">
        <v>294</v>
      </c>
      <c r="I20" s="3" t="s">
        <v>947</v>
      </c>
      <c r="J20" s="3" t="s">
        <v>15</v>
      </c>
      <c r="K20" s="3" t="s">
        <v>293</v>
      </c>
    </row>
    <row r="21" spans="1:11">
      <c r="A21" s="3">
        <v>18</v>
      </c>
      <c r="B21" s="3" t="s">
        <v>963</v>
      </c>
      <c r="C21" s="4">
        <v>46186</v>
      </c>
      <c r="D21" s="3" t="s">
        <v>73</v>
      </c>
      <c r="E21" s="5" t="s">
        <v>958</v>
      </c>
      <c r="F21" s="5" t="s">
        <v>65</v>
      </c>
      <c r="G21" s="3" t="s">
        <v>78</v>
      </c>
      <c r="H21" s="3" t="s">
        <v>294</v>
      </c>
      <c r="I21" s="3" t="s">
        <v>939</v>
      </c>
      <c r="J21" s="3" t="s">
        <v>36</v>
      </c>
      <c r="K21" s="3" t="s">
        <v>293</v>
      </c>
    </row>
    <row r="22" spans="1:11">
      <c r="A22" s="3">
        <v>19</v>
      </c>
      <c r="B22" s="3" t="s">
        <v>964</v>
      </c>
      <c r="C22" s="4">
        <v>46191</v>
      </c>
      <c r="D22" s="3" t="s">
        <v>73</v>
      </c>
      <c r="E22" s="5" t="s">
        <v>958</v>
      </c>
      <c r="F22" s="5" t="s">
        <v>27</v>
      </c>
      <c r="G22" s="3" t="s">
        <v>22</v>
      </c>
      <c r="H22" s="3" t="s">
        <v>294</v>
      </c>
      <c r="I22" s="3" t="s">
        <v>944</v>
      </c>
      <c r="J22" s="3" t="s">
        <v>93</v>
      </c>
      <c r="K22" s="3" t="s">
        <v>293</v>
      </c>
    </row>
    <row r="23" spans="1:11">
      <c r="A23" s="3">
        <v>20</v>
      </c>
      <c r="B23" s="3" t="s">
        <v>965</v>
      </c>
      <c r="C23" s="4">
        <v>46189</v>
      </c>
      <c r="D23" s="3" t="s">
        <v>73</v>
      </c>
      <c r="E23" s="5" t="s">
        <v>958</v>
      </c>
      <c r="F23" s="5" t="s">
        <v>50</v>
      </c>
      <c r="G23" s="3" t="s">
        <v>93</v>
      </c>
      <c r="H23" s="3" t="s">
        <v>310</v>
      </c>
      <c r="I23" s="3" t="s">
        <v>944</v>
      </c>
      <c r="J23" s="3" t="s">
        <v>15</v>
      </c>
      <c r="K23" s="3" t="s">
        <v>254</v>
      </c>
    </row>
    <row r="24" spans="1:11">
      <c r="A24" s="3">
        <v>21</v>
      </c>
      <c r="B24" s="3" t="s">
        <v>966</v>
      </c>
      <c r="C24" s="4">
        <v>46204</v>
      </c>
      <c r="D24" s="3" t="s">
        <v>76</v>
      </c>
      <c r="E24" s="5" t="s">
        <v>958</v>
      </c>
      <c r="F24" s="5" t="s">
        <v>46</v>
      </c>
      <c r="G24" s="3" t="s">
        <v>62</v>
      </c>
      <c r="H24" s="3" t="s">
        <v>298</v>
      </c>
      <c r="I24" s="3" t="s">
        <v>939</v>
      </c>
      <c r="J24" s="3" t="s">
        <v>70</v>
      </c>
      <c r="K24" s="3" t="s">
        <v>254</v>
      </c>
    </row>
    <row r="25" spans="1:11">
      <c r="A25" s="3">
        <v>22</v>
      </c>
      <c r="B25" s="3" t="s">
        <v>967</v>
      </c>
      <c r="C25" s="4">
        <v>46223</v>
      </c>
      <c r="D25" s="3" t="s">
        <v>76</v>
      </c>
      <c r="E25" s="5" t="s">
        <v>954</v>
      </c>
      <c r="F25" s="5" t="s">
        <v>13</v>
      </c>
      <c r="G25" s="3" t="s">
        <v>15</v>
      </c>
      <c r="H25" s="3" t="s">
        <v>294</v>
      </c>
      <c r="I25" s="3" t="s">
        <v>944</v>
      </c>
      <c r="J25" s="3" t="s">
        <v>104</v>
      </c>
      <c r="K25" s="3" t="s">
        <v>293</v>
      </c>
    </row>
    <row r="26" spans="1:11">
      <c r="A26" s="3">
        <v>23</v>
      </c>
      <c r="B26" s="3" t="s">
        <v>968</v>
      </c>
      <c r="C26" s="4">
        <v>46227</v>
      </c>
      <c r="D26" s="3" t="s">
        <v>76</v>
      </c>
      <c r="E26" s="5" t="s">
        <v>951</v>
      </c>
      <c r="F26" s="5" t="s">
        <v>50</v>
      </c>
      <c r="G26" s="3" t="s">
        <v>62</v>
      </c>
      <c r="H26" s="3" t="s">
        <v>294</v>
      </c>
      <c r="I26" s="3" t="s">
        <v>947</v>
      </c>
      <c r="J26" s="3" t="s">
        <v>62</v>
      </c>
      <c r="K26" s="3" t="s">
        <v>293</v>
      </c>
    </row>
    <row r="27" spans="1:11">
      <c r="A27" s="3">
        <v>24</v>
      </c>
      <c r="B27" s="3" t="s">
        <v>969</v>
      </c>
      <c r="C27" s="4">
        <v>46253</v>
      </c>
      <c r="D27" s="3" t="s">
        <v>86</v>
      </c>
      <c r="E27" s="5" t="s">
        <v>942</v>
      </c>
      <c r="F27" s="5" t="s">
        <v>13</v>
      </c>
      <c r="G27" s="3" t="s">
        <v>22</v>
      </c>
      <c r="H27" s="3" t="s">
        <v>298</v>
      </c>
      <c r="I27" s="3" t="s">
        <v>939</v>
      </c>
      <c r="J27" s="3" t="s">
        <v>93</v>
      </c>
      <c r="K27" s="3" t="s">
        <v>293</v>
      </c>
    </row>
    <row r="28" spans="1:11">
      <c r="A28" s="3">
        <v>25</v>
      </c>
      <c r="B28" s="3" t="s">
        <v>970</v>
      </c>
      <c r="C28" s="4">
        <v>46258</v>
      </c>
      <c r="D28" s="3" t="s">
        <v>86</v>
      </c>
      <c r="E28" s="5" t="s">
        <v>942</v>
      </c>
      <c r="F28" s="5" t="s">
        <v>65</v>
      </c>
      <c r="G28" s="3" t="s">
        <v>68</v>
      </c>
      <c r="H28" s="3" t="s">
        <v>313</v>
      </c>
      <c r="I28" s="3" t="s">
        <v>944</v>
      </c>
      <c r="J28" s="3" t="s">
        <v>68</v>
      </c>
      <c r="K28" s="3" t="s">
        <v>293</v>
      </c>
    </row>
    <row r="29" spans="1:11">
      <c r="A29" s="3">
        <v>26</v>
      </c>
      <c r="B29" s="3" t="s">
        <v>971</v>
      </c>
      <c r="C29" s="4">
        <v>46256</v>
      </c>
      <c r="D29" s="3" t="s">
        <v>86</v>
      </c>
      <c r="E29" s="5" t="s">
        <v>954</v>
      </c>
      <c r="F29" s="5" t="s">
        <v>13</v>
      </c>
      <c r="G29" s="3" t="s">
        <v>7</v>
      </c>
      <c r="H29" s="3" t="s">
        <v>313</v>
      </c>
      <c r="I29" s="3" t="s">
        <v>944</v>
      </c>
      <c r="J29" s="3" t="s">
        <v>68</v>
      </c>
      <c r="K29" s="3" t="s">
        <v>238</v>
      </c>
    </row>
    <row r="30" spans="1:11">
      <c r="A30" s="3">
        <v>27</v>
      </c>
      <c r="B30" s="3" t="s">
        <v>972</v>
      </c>
      <c r="C30" s="4">
        <v>46255</v>
      </c>
      <c r="D30" s="3" t="s">
        <v>86</v>
      </c>
      <c r="E30" s="5" t="s">
        <v>951</v>
      </c>
      <c r="F30" s="5" t="s">
        <v>27</v>
      </c>
      <c r="G30" s="3" t="s">
        <v>22</v>
      </c>
      <c r="H30" s="3" t="s">
        <v>303</v>
      </c>
      <c r="I30" s="3" t="s">
        <v>944</v>
      </c>
      <c r="J30" s="3" t="s">
        <v>62</v>
      </c>
      <c r="K30" s="3" t="s">
        <v>297</v>
      </c>
    </row>
    <row r="31" spans="1:11">
      <c r="A31" s="3">
        <v>28</v>
      </c>
      <c r="B31" s="3" t="s">
        <v>973</v>
      </c>
      <c r="C31" s="4">
        <v>46261</v>
      </c>
      <c r="D31" s="3" t="s">
        <v>86</v>
      </c>
      <c r="E31" s="5" t="s">
        <v>951</v>
      </c>
      <c r="F31" s="5" t="s">
        <v>13</v>
      </c>
      <c r="G31" s="3" t="s">
        <v>15</v>
      </c>
      <c r="H31" s="3" t="s">
        <v>298</v>
      </c>
      <c r="I31" s="3" t="s">
        <v>944</v>
      </c>
      <c r="J31" s="3" t="s">
        <v>7</v>
      </c>
      <c r="K31" s="3" t="s">
        <v>293</v>
      </c>
    </row>
    <row r="32" spans="1:11">
      <c r="A32" s="3">
        <v>29</v>
      </c>
      <c r="B32" s="3" t="s">
        <v>974</v>
      </c>
      <c r="C32" s="4">
        <v>46245</v>
      </c>
      <c r="D32" s="3" t="s">
        <v>86</v>
      </c>
      <c r="E32" s="5" t="s">
        <v>951</v>
      </c>
      <c r="F32" s="5" t="s">
        <v>89</v>
      </c>
      <c r="G32" s="3" t="s">
        <v>70</v>
      </c>
      <c r="H32" s="3" t="s">
        <v>310</v>
      </c>
      <c r="I32" s="3" t="s">
        <v>944</v>
      </c>
      <c r="J32" s="3" t="s">
        <v>68</v>
      </c>
      <c r="K32" s="3" t="s">
        <v>293</v>
      </c>
    </row>
    <row r="33" spans="1:11">
      <c r="A33" s="3">
        <v>30</v>
      </c>
      <c r="B33" s="3" t="s">
        <v>975</v>
      </c>
      <c r="C33" s="4">
        <v>46278</v>
      </c>
      <c r="D33" s="3" t="s">
        <v>102</v>
      </c>
      <c r="E33" s="5" t="s">
        <v>954</v>
      </c>
      <c r="F33" s="5" t="s">
        <v>50</v>
      </c>
      <c r="G33" s="3" t="s">
        <v>78</v>
      </c>
      <c r="H33" s="3" t="s">
        <v>303</v>
      </c>
      <c r="I33" s="3" t="s">
        <v>947</v>
      </c>
      <c r="J33" s="3" t="s">
        <v>62</v>
      </c>
      <c r="K33" s="3" t="s">
        <v>297</v>
      </c>
    </row>
    <row r="34" spans="1:11">
      <c r="A34" s="3">
        <v>31</v>
      </c>
      <c r="B34" s="3" t="s">
        <v>976</v>
      </c>
      <c r="C34" s="4">
        <v>46286</v>
      </c>
      <c r="D34" s="3" t="s">
        <v>102</v>
      </c>
      <c r="E34" s="5" t="s">
        <v>951</v>
      </c>
      <c r="F34" s="5" t="s">
        <v>27</v>
      </c>
      <c r="G34" s="3" t="s">
        <v>41</v>
      </c>
      <c r="H34" s="3" t="s">
        <v>303</v>
      </c>
      <c r="I34" s="3" t="s">
        <v>944</v>
      </c>
      <c r="J34" s="3" t="s">
        <v>22</v>
      </c>
      <c r="K34" s="3" t="s">
        <v>254</v>
      </c>
    </row>
    <row r="35" spans="1:11">
      <c r="A35" s="3">
        <v>32</v>
      </c>
      <c r="B35" s="3" t="s">
        <v>977</v>
      </c>
      <c r="C35" s="4">
        <v>46268</v>
      </c>
      <c r="D35" s="3" t="s">
        <v>102</v>
      </c>
      <c r="E35" s="5" t="s">
        <v>958</v>
      </c>
      <c r="F35" s="5" t="s">
        <v>92</v>
      </c>
      <c r="G35" s="3" t="s">
        <v>70</v>
      </c>
      <c r="H35" s="3" t="s">
        <v>298</v>
      </c>
      <c r="I35" s="3" t="s">
        <v>944</v>
      </c>
      <c r="J35" s="3" t="s">
        <v>36</v>
      </c>
      <c r="K35" s="3" t="s">
        <v>293</v>
      </c>
    </row>
    <row r="36" spans="1:11">
      <c r="A36" s="3">
        <v>33</v>
      </c>
      <c r="B36" s="3" t="s">
        <v>978</v>
      </c>
      <c r="C36" s="4">
        <v>46292</v>
      </c>
      <c r="D36" s="3" t="s">
        <v>102</v>
      </c>
      <c r="E36" s="5" t="s">
        <v>946</v>
      </c>
      <c r="F36" s="5" t="s">
        <v>50</v>
      </c>
      <c r="G36" s="3" t="s">
        <v>93</v>
      </c>
      <c r="H36" s="3" t="s">
        <v>298</v>
      </c>
      <c r="I36" s="3" t="s">
        <v>944</v>
      </c>
      <c r="J36" s="3" t="s">
        <v>28</v>
      </c>
      <c r="K36" s="3" t="s">
        <v>293</v>
      </c>
    </row>
    <row r="37" spans="1:11">
      <c r="A37" s="3">
        <v>34</v>
      </c>
      <c r="B37" s="3" t="s">
        <v>979</v>
      </c>
      <c r="C37" s="4">
        <v>46267</v>
      </c>
      <c r="D37" s="3" t="s">
        <v>102</v>
      </c>
      <c r="E37" s="5" t="s">
        <v>954</v>
      </c>
      <c r="F37" s="5" t="s">
        <v>13</v>
      </c>
      <c r="G37" s="3" t="s">
        <v>62</v>
      </c>
      <c r="H37" s="3" t="s">
        <v>294</v>
      </c>
      <c r="I37" s="3" t="s">
        <v>939</v>
      </c>
      <c r="J37" s="3" t="s">
        <v>32</v>
      </c>
      <c r="K37" s="3" t="s">
        <v>297</v>
      </c>
    </row>
    <row r="38" spans="1:11">
      <c r="A38" s="3">
        <v>35</v>
      </c>
      <c r="B38" s="3" t="s">
        <v>980</v>
      </c>
      <c r="C38" s="4">
        <v>46271</v>
      </c>
      <c r="D38" s="3" t="s">
        <v>102</v>
      </c>
      <c r="E38" s="5" t="s">
        <v>938</v>
      </c>
      <c r="F38" s="5" t="s">
        <v>92</v>
      </c>
      <c r="G38" s="3" t="s">
        <v>32</v>
      </c>
      <c r="H38" s="3" t="s">
        <v>303</v>
      </c>
      <c r="I38" s="3" t="s">
        <v>947</v>
      </c>
      <c r="J38" s="3" t="s">
        <v>7</v>
      </c>
      <c r="K38" s="3" t="s">
        <v>238</v>
      </c>
    </row>
    <row r="39" spans="1:11">
      <c r="A39" s="3">
        <v>36</v>
      </c>
      <c r="B39" s="3" t="s">
        <v>981</v>
      </c>
      <c r="C39" s="4">
        <v>46311</v>
      </c>
      <c r="D39" s="3" t="s">
        <v>106</v>
      </c>
      <c r="E39" s="5" t="s">
        <v>951</v>
      </c>
      <c r="F39" s="5" t="s">
        <v>13</v>
      </c>
      <c r="G39" s="3" t="s">
        <v>32</v>
      </c>
      <c r="H39" s="3" t="s">
        <v>313</v>
      </c>
      <c r="I39" s="3" t="s">
        <v>947</v>
      </c>
      <c r="J39" s="3" t="s">
        <v>62</v>
      </c>
      <c r="K39" s="3" t="s">
        <v>293</v>
      </c>
    </row>
    <row r="40" spans="1:11">
      <c r="A40" s="3">
        <v>37</v>
      </c>
      <c r="B40" s="3" t="s">
        <v>982</v>
      </c>
      <c r="C40" s="4">
        <v>46298</v>
      </c>
      <c r="D40" s="3" t="s">
        <v>106</v>
      </c>
      <c r="E40" s="5" t="s">
        <v>958</v>
      </c>
      <c r="F40" s="5" t="s">
        <v>92</v>
      </c>
      <c r="G40" s="3" t="s">
        <v>15</v>
      </c>
      <c r="H40" s="3" t="s">
        <v>303</v>
      </c>
      <c r="I40" s="3" t="s">
        <v>939</v>
      </c>
      <c r="J40" s="3" t="s">
        <v>68</v>
      </c>
      <c r="K40" s="3" t="s">
        <v>293</v>
      </c>
    </row>
    <row r="41" spans="1:11">
      <c r="A41" s="3">
        <v>38</v>
      </c>
      <c r="B41" s="3" t="s">
        <v>983</v>
      </c>
      <c r="C41" s="4">
        <v>46302</v>
      </c>
      <c r="D41" s="3" t="s">
        <v>106</v>
      </c>
      <c r="E41" s="5" t="s">
        <v>938</v>
      </c>
      <c r="F41" s="5" t="s">
        <v>50</v>
      </c>
      <c r="G41" s="3" t="s">
        <v>15</v>
      </c>
      <c r="H41" s="3" t="s">
        <v>294</v>
      </c>
      <c r="I41" s="3" t="s">
        <v>939</v>
      </c>
      <c r="J41" s="3" t="s">
        <v>15</v>
      </c>
      <c r="K41" s="3" t="s">
        <v>293</v>
      </c>
    </row>
    <row r="42" spans="1:11">
      <c r="A42" s="3">
        <v>39</v>
      </c>
      <c r="B42" s="3" t="s">
        <v>984</v>
      </c>
      <c r="C42" s="4">
        <v>46305</v>
      </c>
      <c r="D42" s="3" t="s">
        <v>106</v>
      </c>
      <c r="E42" s="5" t="s">
        <v>946</v>
      </c>
      <c r="F42" s="5" t="s">
        <v>65</v>
      </c>
      <c r="G42" s="3" t="s">
        <v>28</v>
      </c>
      <c r="H42" s="3" t="s">
        <v>313</v>
      </c>
      <c r="I42" s="3" t="s">
        <v>947</v>
      </c>
      <c r="J42" s="3" t="s">
        <v>32</v>
      </c>
      <c r="K42" s="3" t="s">
        <v>293</v>
      </c>
    </row>
    <row r="43" spans="1:11">
      <c r="A43" s="3">
        <v>40</v>
      </c>
      <c r="B43" s="3" t="s">
        <v>985</v>
      </c>
      <c r="C43" s="4">
        <v>46305</v>
      </c>
      <c r="D43" s="3" t="s">
        <v>106</v>
      </c>
      <c r="E43" s="5" t="s">
        <v>958</v>
      </c>
      <c r="F43" s="5" t="s">
        <v>65</v>
      </c>
      <c r="G43" s="3" t="s">
        <v>66</v>
      </c>
      <c r="H43" s="3" t="s">
        <v>298</v>
      </c>
      <c r="I43" s="3" t="s">
        <v>939</v>
      </c>
      <c r="J43" s="3" t="s">
        <v>70</v>
      </c>
      <c r="K43" s="3" t="s">
        <v>293</v>
      </c>
    </row>
    <row r="44" spans="1:11">
      <c r="A44" s="3">
        <v>41</v>
      </c>
      <c r="B44" s="3" t="s">
        <v>986</v>
      </c>
      <c r="C44" s="4">
        <v>46301</v>
      </c>
      <c r="D44" s="3" t="s">
        <v>106</v>
      </c>
      <c r="E44" s="5" t="s">
        <v>958</v>
      </c>
      <c r="F44" s="5" t="s">
        <v>27</v>
      </c>
      <c r="G44" s="3" t="s">
        <v>36</v>
      </c>
      <c r="H44" s="3" t="s">
        <v>313</v>
      </c>
      <c r="I44" s="3" t="s">
        <v>939</v>
      </c>
      <c r="J44" s="3" t="s">
        <v>104</v>
      </c>
      <c r="K44" s="3" t="s">
        <v>293</v>
      </c>
    </row>
    <row r="45" spans="1:11">
      <c r="A45" s="3">
        <v>42</v>
      </c>
      <c r="B45" s="3" t="s">
        <v>987</v>
      </c>
      <c r="C45" s="4">
        <v>46309</v>
      </c>
      <c r="D45" s="3" t="s">
        <v>106</v>
      </c>
      <c r="E45" s="5" t="s">
        <v>954</v>
      </c>
      <c r="F45" s="5" t="s">
        <v>46</v>
      </c>
      <c r="G45" s="3" t="s">
        <v>7</v>
      </c>
      <c r="H45" s="3" t="s">
        <v>303</v>
      </c>
      <c r="I45" s="3" t="s">
        <v>947</v>
      </c>
      <c r="J45" s="3" t="s">
        <v>78</v>
      </c>
      <c r="K45" s="3" t="s">
        <v>293</v>
      </c>
    </row>
    <row r="46" spans="1:11">
      <c r="A46" s="3">
        <v>43</v>
      </c>
      <c r="B46" s="3" t="s">
        <v>988</v>
      </c>
      <c r="C46" s="4">
        <v>46341</v>
      </c>
      <c r="D46" s="3" t="s">
        <v>111</v>
      </c>
      <c r="E46" s="5" t="s">
        <v>942</v>
      </c>
      <c r="F46" s="5" t="s">
        <v>39</v>
      </c>
      <c r="G46" s="3" t="s">
        <v>78</v>
      </c>
      <c r="H46" s="3" t="s">
        <v>298</v>
      </c>
      <c r="I46" s="3" t="s">
        <v>939</v>
      </c>
      <c r="J46" s="3" t="s">
        <v>78</v>
      </c>
      <c r="K46" s="3" t="s">
        <v>293</v>
      </c>
    </row>
    <row r="47" spans="1:11">
      <c r="A47" s="3">
        <v>44</v>
      </c>
      <c r="B47" s="3" t="s">
        <v>989</v>
      </c>
      <c r="C47" s="4">
        <v>46340</v>
      </c>
      <c r="D47" s="3" t="s">
        <v>111</v>
      </c>
      <c r="E47" s="5" t="s">
        <v>946</v>
      </c>
      <c r="F47" s="5" t="s">
        <v>13</v>
      </c>
      <c r="G47" s="3" t="s">
        <v>62</v>
      </c>
      <c r="H47" s="3" t="s">
        <v>294</v>
      </c>
      <c r="I47" s="3" t="s">
        <v>939</v>
      </c>
      <c r="J47" s="3" t="s">
        <v>68</v>
      </c>
      <c r="K47" s="3" t="s">
        <v>297</v>
      </c>
    </row>
    <row r="48" spans="1:11">
      <c r="A48" s="3">
        <v>45</v>
      </c>
      <c r="B48" s="3" t="s">
        <v>990</v>
      </c>
      <c r="C48" s="4">
        <v>46333</v>
      </c>
      <c r="D48" s="3" t="s">
        <v>111</v>
      </c>
      <c r="E48" s="5" t="s">
        <v>954</v>
      </c>
      <c r="F48" s="5" t="s">
        <v>50</v>
      </c>
      <c r="G48" s="3" t="s">
        <v>22</v>
      </c>
      <c r="H48" s="3" t="s">
        <v>313</v>
      </c>
      <c r="I48" s="3" t="s">
        <v>939</v>
      </c>
      <c r="J48" s="3" t="s">
        <v>66</v>
      </c>
      <c r="K48" s="3" t="s">
        <v>293</v>
      </c>
    </row>
    <row r="49" spans="1:11">
      <c r="A49" s="3">
        <v>46</v>
      </c>
      <c r="B49" s="3" t="s">
        <v>991</v>
      </c>
      <c r="C49" s="4">
        <v>46352</v>
      </c>
      <c r="D49" s="3" t="s">
        <v>111</v>
      </c>
      <c r="E49" s="5" t="s">
        <v>938</v>
      </c>
      <c r="F49" s="5" t="s">
        <v>46</v>
      </c>
      <c r="G49" s="3" t="s">
        <v>66</v>
      </c>
      <c r="H49" s="3" t="s">
        <v>313</v>
      </c>
      <c r="I49" s="3" t="s">
        <v>944</v>
      </c>
      <c r="J49" s="3" t="s">
        <v>78</v>
      </c>
      <c r="K49" s="3" t="s">
        <v>293</v>
      </c>
    </row>
    <row r="50" spans="1:11">
      <c r="A50" s="3">
        <v>47</v>
      </c>
      <c r="B50" s="3" t="s">
        <v>992</v>
      </c>
      <c r="C50" s="4">
        <v>46369</v>
      </c>
      <c r="D50" s="3" t="s">
        <v>122</v>
      </c>
      <c r="E50" s="5" t="s">
        <v>938</v>
      </c>
      <c r="F50" s="5" t="s">
        <v>65</v>
      </c>
      <c r="G50" s="3" t="s">
        <v>104</v>
      </c>
      <c r="H50" s="3" t="s">
        <v>310</v>
      </c>
      <c r="I50" s="3" t="s">
        <v>939</v>
      </c>
      <c r="J50" s="3" t="s">
        <v>78</v>
      </c>
      <c r="K50" s="3" t="s">
        <v>238</v>
      </c>
    </row>
    <row r="51" spans="1:11">
      <c r="A51" s="3">
        <v>48</v>
      </c>
      <c r="B51" s="3" t="s">
        <v>993</v>
      </c>
      <c r="C51" s="4">
        <v>46371</v>
      </c>
      <c r="D51" s="3" t="s">
        <v>122</v>
      </c>
      <c r="E51" s="5" t="s">
        <v>938</v>
      </c>
      <c r="F51" s="5" t="s">
        <v>13</v>
      </c>
      <c r="G51" s="3" t="s">
        <v>28</v>
      </c>
      <c r="H51" s="3" t="s">
        <v>310</v>
      </c>
      <c r="I51" s="3" t="s">
        <v>947</v>
      </c>
      <c r="J51" s="3" t="s">
        <v>36</v>
      </c>
      <c r="K51" s="3" t="s">
        <v>293</v>
      </c>
    </row>
  </sheetData>
  <mergeCells count="2">
    <mergeCell ref="A1:K1"/>
    <mergeCell ref="A2:K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K4:K5003">
      <formula1>L_Status</formula1>
    </dataValidation>
  </dataValidations>
  <hyperlinks>
    <hyperlink ref="M1" location="'Home'!A1" display="Hom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4" width="9.7109375" customWidth="1"/>
    <col min="5" max="5" width="16.7109375" customWidth="1"/>
    <col min="6" max="6" width="12.7109375" customWidth="1"/>
    <col min="7" max="7" width="11.7109375" customWidth="1"/>
    <col min="8" max="8" width="13.7109375" customWidth="1"/>
    <col min="9" max="9" width="14.7109375" customWidth="1"/>
    <col min="10" max="10" width="9.7109375" customWidth="1"/>
  </cols>
  <sheetData>
    <row r="1" spans="1:12" ht="22" customHeight="1">
      <c r="A1" s="1" t="s">
        <v>998</v>
      </c>
      <c r="B1" s="1"/>
      <c r="C1" s="1"/>
      <c r="D1" s="1"/>
      <c r="E1" s="1"/>
      <c r="F1" s="1"/>
      <c r="G1" s="1"/>
      <c r="H1" s="1"/>
      <c r="I1" s="1"/>
      <c r="J1" s="1"/>
      <c r="L1" s="2" t="s">
        <v>139</v>
      </c>
    </row>
    <row r="2" spans="1:1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</row>
    <row r="3" spans="1:12">
      <c r="A3" t="s">
        <v>124</v>
      </c>
      <c r="B3" t="s">
        <v>1058</v>
      </c>
      <c r="C3" t="s">
        <v>126</v>
      </c>
      <c r="D3" t="s">
        <v>127</v>
      </c>
      <c r="E3" t="s">
        <v>1059</v>
      </c>
      <c r="F3" t="s">
        <v>129</v>
      </c>
      <c r="G3" t="s">
        <v>1060</v>
      </c>
      <c r="H3" t="s">
        <v>1061</v>
      </c>
      <c r="I3" t="s">
        <v>1062</v>
      </c>
      <c r="J3" t="s">
        <v>287</v>
      </c>
    </row>
    <row r="4" spans="1:12">
      <c r="A4" s="3">
        <v>1</v>
      </c>
      <c r="B4" s="3" t="s">
        <v>999</v>
      </c>
      <c r="C4" s="4">
        <v>46044</v>
      </c>
      <c r="D4" s="3" t="s">
        <v>3</v>
      </c>
      <c r="E4" s="5" t="s">
        <v>1000</v>
      </c>
      <c r="F4" s="5" t="s">
        <v>89</v>
      </c>
      <c r="G4" s="3" t="s">
        <v>62</v>
      </c>
      <c r="H4" s="3" t="s">
        <v>1001</v>
      </c>
      <c r="I4" s="3" t="s">
        <v>66</v>
      </c>
      <c r="J4" s="3" t="s">
        <v>254</v>
      </c>
    </row>
    <row r="5" spans="1:12">
      <c r="A5" s="3">
        <v>2</v>
      </c>
      <c r="B5" s="3" t="s">
        <v>1002</v>
      </c>
      <c r="C5" s="4">
        <v>46024</v>
      </c>
      <c r="D5" s="3" t="s">
        <v>3</v>
      </c>
      <c r="E5" s="5" t="s">
        <v>1003</v>
      </c>
      <c r="F5" s="5" t="s">
        <v>65</v>
      </c>
      <c r="G5" s="3" t="s">
        <v>62</v>
      </c>
      <c r="H5" s="3" t="s">
        <v>1004</v>
      </c>
      <c r="I5" s="3" t="s">
        <v>22</v>
      </c>
      <c r="J5" s="3" t="s">
        <v>293</v>
      </c>
    </row>
    <row r="6" spans="1:12">
      <c r="A6" s="3">
        <v>3</v>
      </c>
      <c r="B6" s="3" t="s">
        <v>1005</v>
      </c>
      <c r="C6" s="4">
        <v>46026</v>
      </c>
      <c r="D6" s="3" t="s">
        <v>3</v>
      </c>
      <c r="E6" s="5" t="s">
        <v>1006</v>
      </c>
      <c r="F6" s="5" t="s">
        <v>92</v>
      </c>
      <c r="G6" s="3" t="s">
        <v>22</v>
      </c>
      <c r="H6" s="3" t="s">
        <v>1007</v>
      </c>
      <c r="I6" s="3" t="s">
        <v>66</v>
      </c>
      <c r="J6" s="3" t="s">
        <v>293</v>
      </c>
    </row>
    <row r="7" spans="1:12">
      <c r="A7" s="3">
        <v>4</v>
      </c>
      <c r="B7" s="3" t="s">
        <v>1008</v>
      </c>
      <c r="C7" s="4">
        <v>46065</v>
      </c>
      <c r="D7" s="3" t="s">
        <v>19</v>
      </c>
      <c r="E7" s="5" t="s">
        <v>1009</v>
      </c>
      <c r="F7" s="5" t="s">
        <v>92</v>
      </c>
      <c r="G7" s="3" t="s">
        <v>22</v>
      </c>
      <c r="H7" s="3" t="s">
        <v>1010</v>
      </c>
      <c r="I7" s="3" t="s">
        <v>7</v>
      </c>
      <c r="J7" s="3" t="s">
        <v>238</v>
      </c>
    </row>
    <row r="8" spans="1:12">
      <c r="A8" s="3">
        <v>5</v>
      </c>
      <c r="B8" s="3" t="s">
        <v>1011</v>
      </c>
      <c r="C8" s="4">
        <v>46069</v>
      </c>
      <c r="D8" s="3" t="s">
        <v>19</v>
      </c>
      <c r="E8" s="5" t="s">
        <v>1009</v>
      </c>
      <c r="F8" s="5" t="s">
        <v>39</v>
      </c>
      <c r="G8" s="3" t="s">
        <v>7</v>
      </c>
      <c r="H8" s="3" t="s">
        <v>1004</v>
      </c>
      <c r="I8" s="3" t="s">
        <v>32</v>
      </c>
      <c r="J8" s="3" t="s">
        <v>293</v>
      </c>
    </row>
    <row r="9" spans="1:12">
      <c r="A9" s="3">
        <v>6</v>
      </c>
      <c r="B9" s="3" t="s">
        <v>1012</v>
      </c>
      <c r="C9" s="4">
        <v>46065</v>
      </c>
      <c r="D9" s="3" t="s">
        <v>19</v>
      </c>
      <c r="E9" s="5" t="s">
        <v>1000</v>
      </c>
      <c r="F9" s="5" t="s">
        <v>13</v>
      </c>
      <c r="G9" s="3" t="s">
        <v>70</v>
      </c>
      <c r="H9" s="3" t="s">
        <v>1010</v>
      </c>
      <c r="I9" s="3" t="s">
        <v>70</v>
      </c>
      <c r="J9" s="3" t="s">
        <v>293</v>
      </c>
    </row>
    <row r="10" spans="1:12">
      <c r="A10" s="3">
        <v>7</v>
      </c>
      <c r="B10" s="3" t="s">
        <v>1013</v>
      </c>
      <c r="C10" s="4">
        <v>46064</v>
      </c>
      <c r="D10" s="3" t="s">
        <v>19</v>
      </c>
      <c r="E10" s="5" t="s">
        <v>1000</v>
      </c>
      <c r="F10" s="5" t="s">
        <v>58</v>
      </c>
      <c r="G10" s="3" t="s">
        <v>22</v>
      </c>
      <c r="H10" s="3" t="s">
        <v>1010</v>
      </c>
      <c r="I10" s="3" t="s">
        <v>62</v>
      </c>
      <c r="J10" s="3" t="s">
        <v>238</v>
      </c>
    </row>
    <row r="11" spans="1:12">
      <c r="A11" s="3">
        <v>8</v>
      </c>
      <c r="B11" s="3" t="s">
        <v>1014</v>
      </c>
      <c r="C11" s="4">
        <v>46055</v>
      </c>
      <c r="D11" s="3" t="s">
        <v>19</v>
      </c>
      <c r="E11" s="5" t="s">
        <v>1015</v>
      </c>
      <c r="F11" s="5" t="s">
        <v>58</v>
      </c>
      <c r="G11" s="3" t="s">
        <v>93</v>
      </c>
      <c r="H11" s="3" t="s">
        <v>1004</v>
      </c>
      <c r="I11" s="3" t="s">
        <v>22</v>
      </c>
      <c r="J11" s="3" t="s">
        <v>293</v>
      </c>
    </row>
    <row r="12" spans="1:12">
      <c r="A12" s="3">
        <v>9</v>
      </c>
      <c r="B12" s="3" t="s">
        <v>1016</v>
      </c>
      <c r="C12" s="4">
        <v>46091</v>
      </c>
      <c r="D12" s="3" t="s">
        <v>44</v>
      </c>
      <c r="E12" s="5" t="s">
        <v>1009</v>
      </c>
      <c r="F12" s="5" t="s">
        <v>65</v>
      </c>
      <c r="G12" s="3" t="s">
        <v>68</v>
      </c>
      <c r="H12" s="3" t="s">
        <v>1007</v>
      </c>
      <c r="I12" s="3" t="s">
        <v>68</v>
      </c>
      <c r="J12" s="3" t="s">
        <v>293</v>
      </c>
    </row>
    <row r="13" spans="1:12">
      <c r="A13" s="3">
        <v>10</v>
      </c>
      <c r="B13" s="3" t="s">
        <v>1017</v>
      </c>
      <c r="C13" s="4">
        <v>46108</v>
      </c>
      <c r="D13" s="3" t="s">
        <v>44</v>
      </c>
      <c r="E13" s="5" t="s">
        <v>1015</v>
      </c>
      <c r="F13" s="5" t="s">
        <v>46</v>
      </c>
      <c r="G13" s="3" t="s">
        <v>93</v>
      </c>
      <c r="H13" s="3" t="s">
        <v>1007</v>
      </c>
      <c r="I13" s="3" t="s">
        <v>41</v>
      </c>
      <c r="J13" s="3" t="s">
        <v>293</v>
      </c>
    </row>
    <row r="14" spans="1:12">
      <c r="A14" s="3">
        <v>11</v>
      </c>
      <c r="B14" s="3" t="s">
        <v>1018</v>
      </c>
      <c r="C14" s="4">
        <v>46093</v>
      </c>
      <c r="D14" s="3" t="s">
        <v>44</v>
      </c>
      <c r="E14" s="5" t="s">
        <v>1019</v>
      </c>
      <c r="F14" s="5" t="s">
        <v>46</v>
      </c>
      <c r="G14" s="3" t="s">
        <v>22</v>
      </c>
      <c r="H14" s="3" t="s">
        <v>1010</v>
      </c>
      <c r="I14" s="3" t="s">
        <v>68</v>
      </c>
      <c r="J14" s="3" t="s">
        <v>254</v>
      </c>
    </row>
    <row r="15" spans="1:12">
      <c r="A15" s="3">
        <v>12</v>
      </c>
      <c r="B15" s="3" t="s">
        <v>1020</v>
      </c>
      <c r="C15" s="4">
        <v>46119</v>
      </c>
      <c r="D15" s="3" t="s">
        <v>53</v>
      </c>
      <c r="E15" s="5" t="s">
        <v>1000</v>
      </c>
      <c r="F15" s="5" t="s">
        <v>5</v>
      </c>
      <c r="G15" s="3" t="s">
        <v>22</v>
      </c>
      <c r="H15" s="3" t="s">
        <v>1004</v>
      </c>
      <c r="I15" s="3" t="s">
        <v>15</v>
      </c>
      <c r="J15" s="3" t="s">
        <v>297</v>
      </c>
    </row>
    <row r="16" spans="1:12">
      <c r="A16" s="3">
        <v>13</v>
      </c>
      <c r="B16" s="3" t="s">
        <v>1021</v>
      </c>
      <c r="C16" s="4">
        <v>46128</v>
      </c>
      <c r="D16" s="3" t="s">
        <v>53</v>
      </c>
      <c r="E16" s="5" t="s">
        <v>1006</v>
      </c>
      <c r="F16" s="5" t="s">
        <v>58</v>
      </c>
      <c r="G16" s="3" t="s">
        <v>7</v>
      </c>
      <c r="H16" s="3" t="s">
        <v>1022</v>
      </c>
      <c r="I16" s="3" t="s">
        <v>93</v>
      </c>
      <c r="J16" s="3" t="s">
        <v>293</v>
      </c>
    </row>
    <row r="17" spans="1:10">
      <c r="A17" s="3">
        <v>14</v>
      </c>
      <c r="B17" s="3" t="s">
        <v>1023</v>
      </c>
      <c r="C17" s="4">
        <v>46134</v>
      </c>
      <c r="D17" s="3" t="s">
        <v>53</v>
      </c>
      <c r="E17" s="5" t="s">
        <v>1000</v>
      </c>
      <c r="F17" s="5" t="s">
        <v>13</v>
      </c>
      <c r="G17" s="3" t="s">
        <v>28</v>
      </c>
      <c r="H17" s="3" t="s">
        <v>1022</v>
      </c>
      <c r="I17" s="3" t="s">
        <v>104</v>
      </c>
      <c r="J17" s="3" t="s">
        <v>297</v>
      </c>
    </row>
    <row r="18" spans="1:10">
      <c r="A18" s="3">
        <v>15</v>
      </c>
      <c r="B18" s="3" t="s">
        <v>1024</v>
      </c>
      <c r="C18" s="4">
        <v>46123</v>
      </c>
      <c r="D18" s="3" t="s">
        <v>53</v>
      </c>
      <c r="E18" s="5" t="s">
        <v>1003</v>
      </c>
      <c r="F18" s="5" t="s">
        <v>5</v>
      </c>
      <c r="G18" s="3" t="s">
        <v>70</v>
      </c>
      <c r="H18" s="3" t="s">
        <v>1007</v>
      </c>
      <c r="I18" s="3" t="s">
        <v>22</v>
      </c>
      <c r="J18" s="3" t="s">
        <v>293</v>
      </c>
    </row>
    <row r="19" spans="1:10">
      <c r="A19" s="3">
        <v>16</v>
      </c>
      <c r="B19" s="3" t="s">
        <v>1025</v>
      </c>
      <c r="C19" s="4">
        <v>46135</v>
      </c>
      <c r="D19" s="3" t="s">
        <v>53</v>
      </c>
      <c r="E19" s="5" t="s">
        <v>1019</v>
      </c>
      <c r="F19" s="5" t="s">
        <v>92</v>
      </c>
      <c r="G19" s="3" t="s">
        <v>15</v>
      </c>
      <c r="H19" s="3" t="s">
        <v>1004</v>
      </c>
      <c r="I19" s="3" t="s">
        <v>32</v>
      </c>
      <c r="J19" s="3" t="s">
        <v>293</v>
      </c>
    </row>
    <row r="20" spans="1:10">
      <c r="A20" s="3">
        <v>17</v>
      </c>
      <c r="B20" s="3" t="s">
        <v>1026</v>
      </c>
      <c r="C20" s="4">
        <v>46119</v>
      </c>
      <c r="D20" s="3" t="s">
        <v>53</v>
      </c>
      <c r="E20" s="5" t="s">
        <v>1000</v>
      </c>
      <c r="F20" s="5" t="s">
        <v>13</v>
      </c>
      <c r="G20" s="3" t="s">
        <v>7</v>
      </c>
      <c r="H20" s="3" t="s">
        <v>1010</v>
      </c>
      <c r="I20" s="3" t="s">
        <v>41</v>
      </c>
      <c r="J20" s="3" t="s">
        <v>293</v>
      </c>
    </row>
    <row r="21" spans="1:10">
      <c r="A21" s="3">
        <v>18</v>
      </c>
      <c r="B21" s="3" t="s">
        <v>1027</v>
      </c>
      <c r="C21" s="4">
        <v>46124</v>
      </c>
      <c r="D21" s="3" t="s">
        <v>53</v>
      </c>
      <c r="E21" s="5" t="s">
        <v>1015</v>
      </c>
      <c r="F21" s="5" t="s">
        <v>65</v>
      </c>
      <c r="G21" s="3" t="s">
        <v>22</v>
      </c>
      <c r="H21" s="3" t="s">
        <v>1022</v>
      </c>
      <c r="I21" s="3" t="s">
        <v>41</v>
      </c>
      <c r="J21" s="3" t="s">
        <v>293</v>
      </c>
    </row>
    <row r="22" spans="1:10">
      <c r="A22" s="3">
        <v>19</v>
      </c>
      <c r="B22" s="3" t="s">
        <v>1028</v>
      </c>
      <c r="C22" s="4">
        <v>46143</v>
      </c>
      <c r="D22" s="3" t="s">
        <v>60</v>
      </c>
      <c r="E22" s="5" t="s">
        <v>1000</v>
      </c>
      <c r="F22" s="5" t="s">
        <v>58</v>
      </c>
      <c r="G22" s="3" t="s">
        <v>68</v>
      </c>
      <c r="H22" s="3" t="s">
        <v>1010</v>
      </c>
      <c r="I22" s="3" t="s">
        <v>78</v>
      </c>
      <c r="J22" s="3" t="s">
        <v>293</v>
      </c>
    </row>
    <row r="23" spans="1:10">
      <c r="A23" s="3">
        <v>20</v>
      </c>
      <c r="B23" s="3" t="s">
        <v>1029</v>
      </c>
      <c r="C23" s="4">
        <v>46145</v>
      </c>
      <c r="D23" s="3" t="s">
        <v>60</v>
      </c>
      <c r="E23" s="5" t="s">
        <v>1006</v>
      </c>
      <c r="F23" s="5" t="s">
        <v>27</v>
      </c>
      <c r="G23" s="3" t="s">
        <v>22</v>
      </c>
      <c r="H23" s="3" t="s">
        <v>1010</v>
      </c>
      <c r="I23" s="3" t="s">
        <v>104</v>
      </c>
      <c r="J23" s="3" t="s">
        <v>293</v>
      </c>
    </row>
    <row r="24" spans="1:10">
      <c r="A24" s="3">
        <v>21</v>
      </c>
      <c r="B24" s="3" t="s">
        <v>1030</v>
      </c>
      <c r="C24" s="4">
        <v>46166</v>
      </c>
      <c r="D24" s="3" t="s">
        <v>60</v>
      </c>
      <c r="E24" s="5" t="s">
        <v>1019</v>
      </c>
      <c r="F24" s="5" t="s">
        <v>50</v>
      </c>
      <c r="G24" s="3" t="s">
        <v>28</v>
      </c>
      <c r="H24" s="3" t="s">
        <v>1004</v>
      </c>
      <c r="I24" s="3" t="s">
        <v>62</v>
      </c>
      <c r="J24" s="3" t="s">
        <v>254</v>
      </c>
    </row>
    <row r="25" spans="1:10">
      <c r="A25" s="3">
        <v>22</v>
      </c>
      <c r="B25" s="3" t="s">
        <v>1031</v>
      </c>
      <c r="C25" s="4">
        <v>46167</v>
      </c>
      <c r="D25" s="3" t="s">
        <v>60</v>
      </c>
      <c r="E25" s="5" t="s">
        <v>1015</v>
      </c>
      <c r="F25" s="5" t="s">
        <v>39</v>
      </c>
      <c r="G25" s="3" t="s">
        <v>78</v>
      </c>
      <c r="H25" s="3" t="s">
        <v>1004</v>
      </c>
      <c r="I25" s="3" t="s">
        <v>36</v>
      </c>
      <c r="J25" s="3" t="s">
        <v>297</v>
      </c>
    </row>
    <row r="26" spans="1:10">
      <c r="A26" s="3">
        <v>23</v>
      </c>
      <c r="B26" s="3" t="s">
        <v>1032</v>
      </c>
      <c r="C26" s="4">
        <v>46185</v>
      </c>
      <c r="D26" s="3" t="s">
        <v>73</v>
      </c>
      <c r="E26" s="5" t="s">
        <v>1006</v>
      </c>
      <c r="F26" s="5" t="s">
        <v>89</v>
      </c>
      <c r="G26" s="3" t="s">
        <v>62</v>
      </c>
      <c r="H26" s="3" t="s">
        <v>1007</v>
      </c>
      <c r="I26" s="3" t="s">
        <v>93</v>
      </c>
      <c r="J26" s="3" t="s">
        <v>293</v>
      </c>
    </row>
    <row r="27" spans="1:10">
      <c r="A27" s="3">
        <v>24</v>
      </c>
      <c r="B27" s="3" t="s">
        <v>1033</v>
      </c>
      <c r="C27" s="4">
        <v>46189</v>
      </c>
      <c r="D27" s="3" t="s">
        <v>73</v>
      </c>
      <c r="E27" s="5" t="s">
        <v>1015</v>
      </c>
      <c r="F27" s="5" t="s">
        <v>58</v>
      </c>
      <c r="G27" s="3" t="s">
        <v>78</v>
      </c>
      <c r="H27" s="3" t="s">
        <v>1004</v>
      </c>
      <c r="I27" s="3" t="s">
        <v>104</v>
      </c>
      <c r="J27" s="3" t="s">
        <v>293</v>
      </c>
    </row>
    <row r="28" spans="1:10">
      <c r="A28" s="3">
        <v>25</v>
      </c>
      <c r="B28" s="3" t="s">
        <v>1034</v>
      </c>
      <c r="C28" s="4">
        <v>46189</v>
      </c>
      <c r="D28" s="3" t="s">
        <v>73</v>
      </c>
      <c r="E28" s="5" t="s">
        <v>1000</v>
      </c>
      <c r="F28" s="5" t="s">
        <v>27</v>
      </c>
      <c r="G28" s="3" t="s">
        <v>62</v>
      </c>
      <c r="H28" s="3" t="s">
        <v>1010</v>
      </c>
      <c r="I28" s="3" t="s">
        <v>70</v>
      </c>
      <c r="J28" s="3" t="s">
        <v>238</v>
      </c>
    </row>
    <row r="29" spans="1:10">
      <c r="A29" s="3">
        <v>26</v>
      </c>
      <c r="B29" s="3" t="s">
        <v>1035</v>
      </c>
      <c r="C29" s="4">
        <v>46180</v>
      </c>
      <c r="D29" s="3" t="s">
        <v>73</v>
      </c>
      <c r="E29" s="5" t="s">
        <v>1006</v>
      </c>
      <c r="F29" s="5" t="s">
        <v>50</v>
      </c>
      <c r="G29" s="3" t="s">
        <v>78</v>
      </c>
      <c r="H29" s="3" t="s">
        <v>1010</v>
      </c>
      <c r="I29" s="3" t="s">
        <v>62</v>
      </c>
      <c r="J29" s="3" t="s">
        <v>238</v>
      </c>
    </row>
    <row r="30" spans="1:10">
      <c r="A30" s="3">
        <v>27</v>
      </c>
      <c r="B30" s="3" t="s">
        <v>1036</v>
      </c>
      <c r="C30" s="4">
        <v>46196</v>
      </c>
      <c r="D30" s="3" t="s">
        <v>73</v>
      </c>
      <c r="E30" s="5" t="s">
        <v>1009</v>
      </c>
      <c r="F30" s="5" t="s">
        <v>5</v>
      </c>
      <c r="G30" s="3" t="s">
        <v>93</v>
      </c>
      <c r="H30" s="3" t="s">
        <v>1022</v>
      </c>
      <c r="I30" s="3" t="s">
        <v>41</v>
      </c>
      <c r="J30" s="3" t="s">
        <v>254</v>
      </c>
    </row>
    <row r="31" spans="1:10">
      <c r="A31" s="3">
        <v>28</v>
      </c>
      <c r="B31" s="3" t="s">
        <v>1037</v>
      </c>
      <c r="C31" s="4">
        <v>46178</v>
      </c>
      <c r="D31" s="3" t="s">
        <v>73</v>
      </c>
      <c r="E31" s="5" t="s">
        <v>1019</v>
      </c>
      <c r="F31" s="5" t="s">
        <v>65</v>
      </c>
      <c r="G31" s="3" t="s">
        <v>68</v>
      </c>
      <c r="H31" s="3" t="s">
        <v>1007</v>
      </c>
      <c r="I31" s="3" t="s">
        <v>104</v>
      </c>
      <c r="J31" s="3" t="s">
        <v>293</v>
      </c>
    </row>
    <row r="32" spans="1:10">
      <c r="A32" s="3">
        <v>29</v>
      </c>
      <c r="B32" s="3" t="s">
        <v>1038</v>
      </c>
      <c r="C32" s="4">
        <v>46215</v>
      </c>
      <c r="D32" s="3" t="s">
        <v>76</v>
      </c>
      <c r="E32" s="5" t="s">
        <v>1015</v>
      </c>
      <c r="F32" s="5" t="s">
        <v>13</v>
      </c>
      <c r="G32" s="3" t="s">
        <v>78</v>
      </c>
      <c r="H32" s="3" t="s">
        <v>1022</v>
      </c>
      <c r="I32" s="3" t="s">
        <v>70</v>
      </c>
      <c r="J32" s="3" t="s">
        <v>254</v>
      </c>
    </row>
    <row r="33" spans="1:10">
      <c r="A33" s="3">
        <v>30</v>
      </c>
      <c r="B33" s="3" t="s">
        <v>1039</v>
      </c>
      <c r="C33" s="4">
        <v>46218</v>
      </c>
      <c r="D33" s="3" t="s">
        <v>76</v>
      </c>
      <c r="E33" s="5" t="s">
        <v>1000</v>
      </c>
      <c r="F33" s="5" t="s">
        <v>50</v>
      </c>
      <c r="G33" s="3" t="s">
        <v>7</v>
      </c>
      <c r="H33" s="3" t="s">
        <v>1022</v>
      </c>
      <c r="I33" s="3" t="s">
        <v>70</v>
      </c>
      <c r="J33" s="3" t="s">
        <v>293</v>
      </c>
    </row>
    <row r="34" spans="1:10">
      <c r="A34" s="3">
        <v>31</v>
      </c>
      <c r="B34" s="3" t="s">
        <v>1040</v>
      </c>
      <c r="C34" s="4">
        <v>46229</v>
      </c>
      <c r="D34" s="3" t="s">
        <v>76</v>
      </c>
      <c r="E34" s="5" t="s">
        <v>1000</v>
      </c>
      <c r="F34" s="5" t="s">
        <v>5</v>
      </c>
      <c r="G34" s="3" t="s">
        <v>104</v>
      </c>
      <c r="H34" s="3" t="s">
        <v>1001</v>
      </c>
      <c r="I34" s="3" t="s">
        <v>70</v>
      </c>
      <c r="J34" s="3" t="s">
        <v>297</v>
      </c>
    </row>
    <row r="35" spans="1:10">
      <c r="A35" s="3">
        <v>32</v>
      </c>
      <c r="B35" s="3" t="s">
        <v>1041</v>
      </c>
      <c r="C35" s="4">
        <v>46247</v>
      </c>
      <c r="D35" s="3" t="s">
        <v>86</v>
      </c>
      <c r="E35" s="5" t="s">
        <v>1015</v>
      </c>
      <c r="F35" s="5" t="s">
        <v>50</v>
      </c>
      <c r="G35" s="3" t="s">
        <v>104</v>
      </c>
      <c r="H35" s="3" t="s">
        <v>1022</v>
      </c>
      <c r="I35" s="3" t="s">
        <v>78</v>
      </c>
      <c r="J35" s="3" t="s">
        <v>254</v>
      </c>
    </row>
    <row r="36" spans="1:10">
      <c r="A36" s="3">
        <v>33</v>
      </c>
      <c r="B36" s="3" t="s">
        <v>1042</v>
      </c>
      <c r="C36" s="4">
        <v>46243</v>
      </c>
      <c r="D36" s="3" t="s">
        <v>86</v>
      </c>
      <c r="E36" s="5" t="s">
        <v>1015</v>
      </c>
      <c r="F36" s="5" t="s">
        <v>5</v>
      </c>
      <c r="G36" s="3" t="s">
        <v>78</v>
      </c>
      <c r="H36" s="3" t="s">
        <v>1022</v>
      </c>
      <c r="I36" s="3" t="s">
        <v>68</v>
      </c>
      <c r="J36" s="3" t="s">
        <v>254</v>
      </c>
    </row>
    <row r="37" spans="1:10">
      <c r="A37" s="3">
        <v>34</v>
      </c>
      <c r="B37" s="3" t="s">
        <v>1043</v>
      </c>
      <c r="C37" s="4">
        <v>46279</v>
      </c>
      <c r="D37" s="3" t="s">
        <v>102</v>
      </c>
      <c r="E37" s="5" t="s">
        <v>1019</v>
      </c>
      <c r="F37" s="5" t="s">
        <v>27</v>
      </c>
      <c r="G37" s="3" t="s">
        <v>93</v>
      </c>
      <c r="H37" s="3" t="s">
        <v>1010</v>
      </c>
      <c r="I37" s="3" t="s">
        <v>32</v>
      </c>
      <c r="J37" s="3" t="s">
        <v>297</v>
      </c>
    </row>
    <row r="38" spans="1:10">
      <c r="A38" s="3">
        <v>35</v>
      </c>
      <c r="B38" s="3" t="s">
        <v>1044</v>
      </c>
      <c r="C38" s="4">
        <v>46278</v>
      </c>
      <c r="D38" s="3" t="s">
        <v>102</v>
      </c>
      <c r="E38" s="5" t="s">
        <v>1000</v>
      </c>
      <c r="F38" s="5" t="s">
        <v>65</v>
      </c>
      <c r="G38" s="3" t="s">
        <v>70</v>
      </c>
      <c r="H38" s="3" t="s">
        <v>1007</v>
      </c>
      <c r="I38" s="3" t="s">
        <v>32</v>
      </c>
      <c r="J38" s="3" t="s">
        <v>254</v>
      </c>
    </row>
    <row r="39" spans="1:10">
      <c r="A39" s="3">
        <v>36</v>
      </c>
      <c r="B39" s="3" t="s">
        <v>1045</v>
      </c>
      <c r="C39" s="4">
        <v>46317</v>
      </c>
      <c r="D39" s="3" t="s">
        <v>106</v>
      </c>
      <c r="E39" s="5" t="s">
        <v>1009</v>
      </c>
      <c r="F39" s="5" t="s">
        <v>65</v>
      </c>
      <c r="G39" s="3" t="s">
        <v>7</v>
      </c>
      <c r="H39" s="3" t="s">
        <v>1001</v>
      </c>
      <c r="I39" s="3" t="s">
        <v>68</v>
      </c>
      <c r="J39" s="3" t="s">
        <v>293</v>
      </c>
    </row>
    <row r="40" spans="1:10">
      <c r="A40" s="3">
        <v>37</v>
      </c>
      <c r="B40" s="3" t="s">
        <v>1046</v>
      </c>
      <c r="C40" s="4">
        <v>46300</v>
      </c>
      <c r="D40" s="3" t="s">
        <v>106</v>
      </c>
      <c r="E40" s="5" t="s">
        <v>1003</v>
      </c>
      <c r="F40" s="5" t="s">
        <v>46</v>
      </c>
      <c r="G40" s="3" t="s">
        <v>70</v>
      </c>
      <c r="H40" s="3" t="s">
        <v>1001</v>
      </c>
      <c r="I40" s="3" t="s">
        <v>22</v>
      </c>
      <c r="J40" s="3" t="s">
        <v>254</v>
      </c>
    </row>
    <row r="41" spans="1:10">
      <c r="A41" s="3">
        <v>38</v>
      </c>
      <c r="B41" s="3" t="s">
        <v>1047</v>
      </c>
      <c r="C41" s="4">
        <v>46342</v>
      </c>
      <c r="D41" s="3" t="s">
        <v>111</v>
      </c>
      <c r="E41" s="5" t="s">
        <v>1006</v>
      </c>
      <c r="F41" s="5" t="s">
        <v>46</v>
      </c>
      <c r="G41" s="3" t="s">
        <v>22</v>
      </c>
      <c r="H41" s="3" t="s">
        <v>1004</v>
      </c>
      <c r="I41" s="3" t="s">
        <v>62</v>
      </c>
      <c r="J41" s="3" t="s">
        <v>254</v>
      </c>
    </row>
    <row r="42" spans="1:10">
      <c r="A42" s="3">
        <v>39</v>
      </c>
      <c r="B42" s="3" t="s">
        <v>1048</v>
      </c>
      <c r="C42" s="4">
        <v>46335</v>
      </c>
      <c r="D42" s="3" t="s">
        <v>111</v>
      </c>
      <c r="E42" s="5" t="s">
        <v>1003</v>
      </c>
      <c r="F42" s="5" t="s">
        <v>46</v>
      </c>
      <c r="G42" s="3" t="s">
        <v>28</v>
      </c>
      <c r="H42" s="3" t="s">
        <v>1022</v>
      </c>
      <c r="I42" s="3" t="s">
        <v>36</v>
      </c>
      <c r="J42" s="3" t="s">
        <v>293</v>
      </c>
    </row>
    <row r="43" spans="1:10">
      <c r="A43" s="3">
        <v>40</v>
      </c>
      <c r="B43" s="3" t="s">
        <v>1049</v>
      </c>
      <c r="C43" s="4">
        <v>46335</v>
      </c>
      <c r="D43" s="3" t="s">
        <v>111</v>
      </c>
      <c r="E43" s="5" t="s">
        <v>1006</v>
      </c>
      <c r="F43" s="5" t="s">
        <v>65</v>
      </c>
      <c r="G43" s="3" t="s">
        <v>28</v>
      </c>
      <c r="H43" s="3" t="s">
        <v>1022</v>
      </c>
      <c r="I43" s="3" t="s">
        <v>66</v>
      </c>
      <c r="J43" s="3" t="s">
        <v>254</v>
      </c>
    </row>
    <row r="44" spans="1:10">
      <c r="A44" s="3">
        <v>41</v>
      </c>
      <c r="B44" s="3" t="s">
        <v>1050</v>
      </c>
      <c r="C44" s="4">
        <v>46347</v>
      </c>
      <c r="D44" s="3" t="s">
        <v>111</v>
      </c>
      <c r="E44" s="5" t="s">
        <v>1009</v>
      </c>
      <c r="F44" s="5" t="s">
        <v>92</v>
      </c>
      <c r="G44" s="3" t="s">
        <v>104</v>
      </c>
      <c r="H44" s="3" t="s">
        <v>1004</v>
      </c>
      <c r="I44" s="3" t="s">
        <v>78</v>
      </c>
      <c r="J44" s="3" t="s">
        <v>254</v>
      </c>
    </row>
    <row r="45" spans="1:10">
      <c r="A45" s="3">
        <v>42</v>
      </c>
      <c r="B45" s="3" t="s">
        <v>1051</v>
      </c>
      <c r="C45" s="4">
        <v>46336</v>
      </c>
      <c r="D45" s="3" t="s">
        <v>111</v>
      </c>
      <c r="E45" s="5" t="s">
        <v>1006</v>
      </c>
      <c r="F45" s="5" t="s">
        <v>27</v>
      </c>
      <c r="G45" s="3" t="s">
        <v>78</v>
      </c>
      <c r="H45" s="3" t="s">
        <v>1010</v>
      </c>
      <c r="I45" s="3" t="s">
        <v>15</v>
      </c>
      <c r="J45" s="3" t="s">
        <v>293</v>
      </c>
    </row>
    <row r="46" spans="1:10">
      <c r="A46" s="3">
        <v>43</v>
      </c>
      <c r="B46" s="3" t="s">
        <v>1052</v>
      </c>
      <c r="C46" s="4">
        <v>46339</v>
      </c>
      <c r="D46" s="3" t="s">
        <v>111</v>
      </c>
      <c r="E46" s="5" t="s">
        <v>1003</v>
      </c>
      <c r="F46" s="5" t="s">
        <v>46</v>
      </c>
      <c r="G46" s="3" t="s">
        <v>28</v>
      </c>
      <c r="H46" s="3" t="s">
        <v>1007</v>
      </c>
      <c r="I46" s="3" t="s">
        <v>32</v>
      </c>
      <c r="J46" s="3" t="s">
        <v>238</v>
      </c>
    </row>
    <row r="47" spans="1:10">
      <c r="A47" s="3">
        <v>44</v>
      </c>
      <c r="B47" s="3" t="s">
        <v>1053</v>
      </c>
      <c r="C47" s="4">
        <v>46353</v>
      </c>
      <c r="D47" s="3" t="s">
        <v>111</v>
      </c>
      <c r="E47" s="5" t="s">
        <v>1003</v>
      </c>
      <c r="F47" s="5" t="s">
        <v>92</v>
      </c>
      <c r="G47" s="3" t="s">
        <v>70</v>
      </c>
      <c r="H47" s="3" t="s">
        <v>1001</v>
      </c>
      <c r="I47" s="3" t="s">
        <v>7</v>
      </c>
      <c r="J47" s="3" t="s">
        <v>293</v>
      </c>
    </row>
    <row r="48" spans="1:10">
      <c r="A48" s="3">
        <v>45</v>
      </c>
      <c r="B48" s="3" t="s">
        <v>1054</v>
      </c>
      <c r="C48" s="4">
        <v>46360</v>
      </c>
      <c r="D48" s="3" t="s">
        <v>122</v>
      </c>
      <c r="E48" s="5" t="s">
        <v>1015</v>
      </c>
      <c r="F48" s="5" t="s">
        <v>5</v>
      </c>
      <c r="G48" s="3" t="s">
        <v>66</v>
      </c>
      <c r="H48" s="3" t="s">
        <v>1001</v>
      </c>
      <c r="I48" s="3" t="s">
        <v>22</v>
      </c>
      <c r="J48" s="3" t="s">
        <v>293</v>
      </c>
    </row>
    <row r="49" spans="1:10">
      <c r="A49" s="3">
        <v>46</v>
      </c>
      <c r="B49" s="3" t="s">
        <v>1055</v>
      </c>
      <c r="C49" s="4">
        <v>46369</v>
      </c>
      <c r="D49" s="3" t="s">
        <v>122</v>
      </c>
      <c r="E49" s="5" t="s">
        <v>1009</v>
      </c>
      <c r="F49" s="5" t="s">
        <v>5</v>
      </c>
      <c r="G49" s="3" t="s">
        <v>36</v>
      </c>
      <c r="H49" s="3" t="s">
        <v>1004</v>
      </c>
      <c r="I49" s="3" t="s">
        <v>28</v>
      </c>
      <c r="J49" s="3" t="s">
        <v>293</v>
      </c>
    </row>
    <row r="50" spans="1:10">
      <c r="A50" s="3">
        <v>47</v>
      </c>
      <c r="B50" s="3" t="s">
        <v>1056</v>
      </c>
      <c r="C50" s="4">
        <v>46365</v>
      </c>
      <c r="D50" s="3" t="s">
        <v>122</v>
      </c>
      <c r="E50" s="5" t="s">
        <v>1006</v>
      </c>
      <c r="F50" s="5" t="s">
        <v>65</v>
      </c>
      <c r="G50" s="3" t="s">
        <v>93</v>
      </c>
      <c r="H50" s="3" t="s">
        <v>1007</v>
      </c>
      <c r="I50" s="3" t="s">
        <v>62</v>
      </c>
      <c r="J50" s="3" t="s">
        <v>293</v>
      </c>
    </row>
    <row r="51" spans="1:10">
      <c r="A51" s="3">
        <v>48</v>
      </c>
      <c r="B51" s="3" t="s">
        <v>1057</v>
      </c>
      <c r="C51" s="4">
        <v>46370</v>
      </c>
      <c r="D51" s="3" t="s">
        <v>122</v>
      </c>
      <c r="E51" s="5" t="s">
        <v>1000</v>
      </c>
      <c r="F51" s="5" t="s">
        <v>89</v>
      </c>
      <c r="G51" s="3" t="s">
        <v>104</v>
      </c>
      <c r="H51" s="3" t="s">
        <v>1004</v>
      </c>
      <c r="I51" s="3" t="s">
        <v>7</v>
      </c>
      <c r="J51" s="3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J4:J5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22.7109375" customWidth="1"/>
    <col min="6" max="6" width="12.7109375" customWidth="1"/>
    <col min="7" max="7" width="10.7109375" customWidth="1"/>
    <col min="8" max="8" width="14.7109375" customWidth="1"/>
    <col min="9" max="9" width="15.7109375" customWidth="1"/>
    <col min="10" max="10" width="16.7109375" customWidth="1"/>
    <col min="11" max="11" width="10.7109375" customWidth="1"/>
    <col min="12" max="12" width="12.7109375" customWidth="1"/>
    <col min="13" max="13" width="20.7109375" customWidth="1"/>
  </cols>
  <sheetData>
    <row r="1" spans="1:15" ht="22" customHeight="1">
      <c r="A1" s="1" t="s">
        <v>1063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1115</v>
      </c>
      <c r="C3" t="s">
        <v>126</v>
      </c>
      <c r="D3" t="s">
        <v>127</v>
      </c>
      <c r="E3" t="s">
        <v>1116</v>
      </c>
      <c r="F3" t="s">
        <v>129</v>
      </c>
      <c r="G3" t="s">
        <v>130</v>
      </c>
      <c r="H3" t="s">
        <v>1117</v>
      </c>
      <c r="I3" t="s">
        <v>1118</v>
      </c>
      <c r="J3" t="s">
        <v>1119</v>
      </c>
      <c r="K3" t="s">
        <v>1120</v>
      </c>
      <c r="L3" t="s">
        <v>1121</v>
      </c>
      <c r="M3" t="s">
        <v>1122</v>
      </c>
    </row>
    <row r="4" spans="1:15">
      <c r="A4" s="3">
        <v>1</v>
      </c>
      <c r="B4" s="3" t="s">
        <v>1064</v>
      </c>
      <c r="C4" s="4">
        <v>46073</v>
      </c>
      <c r="D4" s="3" t="s">
        <v>19</v>
      </c>
      <c r="E4" s="5" t="s">
        <v>49</v>
      </c>
      <c r="F4" s="5" t="s">
        <v>89</v>
      </c>
      <c r="G4" s="3" t="s">
        <v>31</v>
      </c>
      <c r="H4" s="3" t="s">
        <v>70</v>
      </c>
      <c r="I4" s="3" t="s">
        <v>93</v>
      </c>
      <c r="J4" s="3">
        <v>22</v>
      </c>
      <c r="K4" s="3" t="s">
        <v>142</v>
      </c>
      <c r="L4" s="3" t="s">
        <v>1065</v>
      </c>
      <c r="M4" s="3" t="s">
        <v>9</v>
      </c>
    </row>
    <row r="5" spans="1:15">
      <c r="A5" s="3">
        <v>2</v>
      </c>
      <c r="B5" s="3" t="s">
        <v>1066</v>
      </c>
      <c r="C5" s="4">
        <v>46060</v>
      </c>
      <c r="D5" s="3" t="s">
        <v>19</v>
      </c>
      <c r="E5" s="5" t="s">
        <v>16</v>
      </c>
      <c r="F5" s="5" t="s">
        <v>13</v>
      </c>
      <c r="G5" s="3" t="s">
        <v>87</v>
      </c>
      <c r="H5" s="3" t="s">
        <v>41</v>
      </c>
      <c r="I5" s="3" t="s">
        <v>70</v>
      </c>
      <c r="J5" s="3">
        <v>8</v>
      </c>
      <c r="K5" s="3" t="s">
        <v>142</v>
      </c>
      <c r="L5" s="3" t="s">
        <v>1067</v>
      </c>
      <c r="M5" s="3" t="s">
        <v>9</v>
      </c>
    </row>
    <row r="6" spans="1:15">
      <c r="A6" s="3">
        <v>3</v>
      </c>
      <c r="B6" s="3" t="s">
        <v>1068</v>
      </c>
      <c r="C6" s="4">
        <v>46057</v>
      </c>
      <c r="D6" s="3" t="s">
        <v>19</v>
      </c>
      <c r="E6" s="5" t="s">
        <v>38</v>
      </c>
      <c r="F6" s="5" t="s">
        <v>89</v>
      </c>
      <c r="G6" s="3" t="s">
        <v>14</v>
      </c>
      <c r="H6" s="3" t="s">
        <v>70</v>
      </c>
      <c r="I6" s="3" t="s">
        <v>15</v>
      </c>
      <c r="J6" s="3">
        <v>2</v>
      </c>
      <c r="K6" s="3" t="s">
        <v>159</v>
      </c>
      <c r="L6" s="3" t="s">
        <v>1065</v>
      </c>
      <c r="M6" s="3" t="s">
        <v>23</v>
      </c>
    </row>
    <row r="7" spans="1:15">
      <c r="A7" s="3">
        <v>4</v>
      </c>
      <c r="B7" s="3" t="s">
        <v>1069</v>
      </c>
      <c r="C7" s="4">
        <v>46059</v>
      </c>
      <c r="D7" s="3" t="s">
        <v>19</v>
      </c>
      <c r="E7" s="5" t="s">
        <v>26</v>
      </c>
      <c r="F7" s="5" t="s">
        <v>89</v>
      </c>
      <c r="G7" s="3" t="s">
        <v>82</v>
      </c>
      <c r="H7" s="3" t="s">
        <v>68</v>
      </c>
      <c r="I7" s="3" t="s">
        <v>15</v>
      </c>
      <c r="J7" s="3">
        <v>5</v>
      </c>
      <c r="K7" s="3" t="s">
        <v>154</v>
      </c>
      <c r="L7" s="3" t="s">
        <v>1070</v>
      </c>
      <c r="M7" s="3" t="s">
        <v>9</v>
      </c>
    </row>
    <row r="8" spans="1:15">
      <c r="A8" s="3">
        <v>5</v>
      </c>
      <c r="B8" s="3" t="s">
        <v>1071</v>
      </c>
      <c r="C8" s="4">
        <v>46068</v>
      </c>
      <c r="D8" s="3" t="s">
        <v>19</v>
      </c>
      <c r="E8" s="5" t="s">
        <v>26</v>
      </c>
      <c r="F8" s="5" t="s">
        <v>65</v>
      </c>
      <c r="G8" s="3" t="s">
        <v>80</v>
      </c>
      <c r="H8" s="3" t="s">
        <v>93</v>
      </c>
      <c r="I8" s="3" t="s">
        <v>93</v>
      </c>
      <c r="J8" s="3">
        <v>3</v>
      </c>
      <c r="K8" s="3" t="s">
        <v>159</v>
      </c>
      <c r="L8" s="3" t="s">
        <v>1067</v>
      </c>
      <c r="M8" s="3" t="s">
        <v>23</v>
      </c>
    </row>
    <row r="9" spans="1:15">
      <c r="A9" s="3">
        <v>6</v>
      </c>
      <c r="B9" s="3" t="s">
        <v>1072</v>
      </c>
      <c r="C9" s="4">
        <v>46078</v>
      </c>
      <c r="D9" s="3" t="s">
        <v>19</v>
      </c>
      <c r="E9" s="5" t="s">
        <v>26</v>
      </c>
      <c r="F9" s="5" t="s">
        <v>46</v>
      </c>
      <c r="G9" s="3" t="s">
        <v>80</v>
      </c>
      <c r="H9" s="3" t="s">
        <v>104</v>
      </c>
      <c r="I9" s="3" t="s">
        <v>41</v>
      </c>
      <c r="J9" s="3">
        <v>6</v>
      </c>
      <c r="K9" s="3" t="s">
        <v>154</v>
      </c>
      <c r="L9" s="3" t="s">
        <v>1067</v>
      </c>
      <c r="M9" s="3" t="s">
        <v>23</v>
      </c>
    </row>
    <row r="10" spans="1:15">
      <c r="A10" s="3">
        <v>7</v>
      </c>
      <c r="B10" s="3" t="s">
        <v>1073</v>
      </c>
      <c r="C10" s="4">
        <v>46097</v>
      </c>
      <c r="D10" s="3" t="s">
        <v>44</v>
      </c>
      <c r="E10" s="5" t="s">
        <v>30</v>
      </c>
      <c r="F10" s="5" t="s">
        <v>58</v>
      </c>
      <c r="G10" s="3" t="s">
        <v>40</v>
      </c>
      <c r="H10" s="3" t="s">
        <v>70</v>
      </c>
      <c r="I10" s="3" t="s">
        <v>70</v>
      </c>
      <c r="J10" s="3">
        <v>16</v>
      </c>
      <c r="K10" s="3" t="s">
        <v>159</v>
      </c>
      <c r="L10" s="3" t="s">
        <v>1070</v>
      </c>
      <c r="M10" s="3" t="s">
        <v>23</v>
      </c>
    </row>
    <row r="11" spans="1:15">
      <c r="A11" s="3">
        <v>8</v>
      </c>
      <c r="B11" s="3" t="s">
        <v>1074</v>
      </c>
      <c r="C11" s="4">
        <v>46097</v>
      </c>
      <c r="D11" s="3" t="s">
        <v>44</v>
      </c>
      <c r="E11" s="5" t="s">
        <v>16</v>
      </c>
      <c r="F11" s="5" t="s">
        <v>46</v>
      </c>
      <c r="G11" s="3" t="s">
        <v>31</v>
      </c>
      <c r="H11" s="3" t="s">
        <v>15</v>
      </c>
      <c r="I11" s="3" t="s">
        <v>28</v>
      </c>
      <c r="J11" s="3">
        <v>15</v>
      </c>
      <c r="K11" s="3" t="s">
        <v>162</v>
      </c>
      <c r="L11" s="3" t="s">
        <v>1065</v>
      </c>
      <c r="M11" s="3" t="s">
        <v>23</v>
      </c>
    </row>
    <row r="12" spans="1:15">
      <c r="A12" s="3">
        <v>9</v>
      </c>
      <c r="B12" s="3" t="s">
        <v>1075</v>
      </c>
      <c r="C12" s="4">
        <v>46097</v>
      </c>
      <c r="D12" s="3" t="s">
        <v>44</v>
      </c>
      <c r="E12" s="5" t="s">
        <v>91</v>
      </c>
      <c r="F12" s="5" t="s">
        <v>65</v>
      </c>
      <c r="G12" s="3" t="s">
        <v>95</v>
      </c>
      <c r="H12" s="3" t="s">
        <v>7</v>
      </c>
      <c r="I12" s="3" t="s">
        <v>32</v>
      </c>
      <c r="J12" s="3">
        <v>25</v>
      </c>
      <c r="K12" s="3" t="s">
        <v>154</v>
      </c>
      <c r="L12" s="3" t="s">
        <v>1070</v>
      </c>
      <c r="M12" s="3" t="s">
        <v>9</v>
      </c>
    </row>
    <row r="13" spans="1:15">
      <c r="A13" s="3">
        <v>10</v>
      </c>
      <c r="B13" s="3" t="s">
        <v>1076</v>
      </c>
      <c r="C13" s="4">
        <v>46099</v>
      </c>
      <c r="D13" s="3" t="s">
        <v>44</v>
      </c>
      <c r="E13" s="5" t="s">
        <v>64</v>
      </c>
      <c r="F13" s="5" t="s">
        <v>58</v>
      </c>
      <c r="G13" s="3" t="s">
        <v>31</v>
      </c>
      <c r="H13" s="3" t="s">
        <v>32</v>
      </c>
      <c r="I13" s="3" t="s">
        <v>22</v>
      </c>
      <c r="J13" s="3">
        <v>12</v>
      </c>
      <c r="K13" s="3" t="s">
        <v>154</v>
      </c>
      <c r="L13" s="3" t="s">
        <v>1065</v>
      </c>
      <c r="M13" s="3" t="s">
        <v>23</v>
      </c>
    </row>
    <row r="14" spans="1:15">
      <c r="A14" s="3">
        <v>11</v>
      </c>
      <c r="B14" s="3" t="s">
        <v>1077</v>
      </c>
      <c r="C14" s="4">
        <v>46119</v>
      </c>
      <c r="D14" s="3" t="s">
        <v>53</v>
      </c>
      <c r="E14" s="5" t="s">
        <v>49</v>
      </c>
      <c r="F14" s="5" t="s">
        <v>46</v>
      </c>
      <c r="G14" s="3" t="s">
        <v>87</v>
      </c>
      <c r="H14" s="3" t="s">
        <v>28</v>
      </c>
      <c r="I14" s="3" t="s">
        <v>78</v>
      </c>
      <c r="J14" s="3">
        <v>8</v>
      </c>
      <c r="K14" s="3" t="s">
        <v>162</v>
      </c>
      <c r="L14" s="3" t="s">
        <v>1070</v>
      </c>
      <c r="M14" s="3" t="s">
        <v>23</v>
      </c>
    </row>
    <row r="15" spans="1:15">
      <c r="A15" s="3">
        <v>12</v>
      </c>
      <c r="B15" s="3" t="s">
        <v>1078</v>
      </c>
      <c r="C15" s="4">
        <v>46119</v>
      </c>
      <c r="D15" s="3" t="s">
        <v>53</v>
      </c>
      <c r="E15" s="5" t="s">
        <v>57</v>
      </c>
      <c r="F15" s="5" t="s">
        <v>89</v>
      </c>
      <c r="G15" s="3" t="s">
        <v>35</v>
      </c>
      <c r="H15" s="3" t="s">
        <v>66</v>
      </c>
      <c r="I15" s="3" t="s">
        <v>15</v>
      </c>
      <c r="J15" s="3">
        <v>1</v>
      </c>
      <c r="K15" s="3" t="s">
        <v>154</v>
      </c>
      <c r="L15" s="3" t="s">
        <v>1065</v>
      </c>
      <c r="M15" s="3" t="s">
        <v>9</v>
      </c>
    </row>
    <row r="16" spans="1:15">
      <c r="A16" s="3">
        <v>13</v>
      </c>
      <c r="B16" s="3" t="s">
        <v>1079</v>
      </c>
      <c r="C16" s="4">
        <v>46121</v>
      </c>
      <c r="D16" s="3" t="s">
        <v>53</v>
      </c>
      <c r="E16" s="5" t="s">
        <v>91</v>
      </c>
      <c r="F16" s="5" t="s">
        <v>5</v>
      </c>
      <c r="G16" s="3" t="s">
        <v>14</v>
      </c>
      <c r="H16" s="3" t="s">
        <v>70</v>
      </c>
      <c r="I16" s="3" t="s">
        <v>93</v>
      </c>
      <c r="J16" s="3">
        <v>14</v>
      </c>
      <c r="K16" s="3" t="s">
        <v>154</v>
      </c>
      <c r="L16" s="3" t="s">
        <v>1065</v>
      </c>
      <c r="M16" s="3" t="s">
        <v>23</v>
      </c>
    </row>
    <row r="17" spans="1:13">
      <c r="A17" s="3">
        <v>14</v>
      </c>
      <c r="B17" s="3" t="s">
        <v>1080</v>
      </c>
      <c r="C17" s="4">
        <v>46131</v>
      </c>
      <c r="D17" s="3" t="s">
        <v>53</v>
      </c>
      <c r="E17" s="5" t="s">
        <v>57</v>
      </c>
      <c r="F17" s="5" t="s">
        <v>39</v>
      </c>
      <c r="G17" s="3" t="s">
        <v>21</v>
      </c>
      <c r="H17" s="3" t="s">
        <v>28</v>
      </c>
      <c r="I17" s="3" t="s">
        <v>68</v>
      </c>
      <c r="J17" s="3">
        <v>30</v>
      </c>
      <c r="K17" s="3" t="s">
        <v>142</v>
      </c>
      <c r="L17" s="3" t="s">
        <v>1065</v>
      </c>
      <c r="M17" s="3" t="s">
        <v>9</v>
      </c>
    </row>
    <row r="18" spans="1:13">
      <c r="A18" s="3">
        <v>15</v>
      </c>
      <c r="B18" s="3" t="s">
        <v>1081</v>
      </c>
      <c r="C18" s="4">
        <v>46132</v>
      </c>
      <c r="D18" s="3" t="s">
        <v>53</v>
      </c>
      <c r="E18" s="5" t="s">
        <v>61</v>
      </c>
      <c r="F18" s="5" t="s">
        <v>92</v>
      </c>
      <c r="G18" s="3" t="s">
        <v>31</v>
      </c>
      <c r="H18" s="3" t="s">
        <v>15</v>
      </c>
      <c r="I18" s="3" t="s">
        <v>62</v>
      </c>
      <c r="J18" s="3">
        <v>11</v>
      </c>
      <c r="K18" s="3" t="s">
        <v>159</v>
      </c>
      <c r="L18" s="3" t="s">
        <v>1067</v>
      </c>
      <c r="M18" s="3" t="s">
        <v>9</v>
      </c>
    </row>
    <row r="19" spans="1:13">
      <c r="A19" s="3">
        <v>16</v>
      </c>
      <c r="B19" s="3" t="s">
        <v>1082</v>
      </c>
      <c r="C19" s="4">
        <v>46150</v>
      </c>
      <c r="D19" s="3" t="s">
        <v>60</v>
      </c>
      <c r="E19" s="5" t="s">
        <v>61</v>
      </c>
      <c r="F19" s="5" t="s">
        <v>27</v>
      </c>
      <c r="G19" s="3" t="s">
        <v>40</v>
      </c>
      <c r="H19" s="3" t="s">
        <v>15</v>
      </c>
      <c r="I19" s="3" t="s">
        <v>22</v>
      </c>
      <c r="J19" s="3">
        <v>3</v>
      </c>
      <c r="K19" s="3" t="s">
        <v>154</v>
      </c>
      <c r="L19" s="3" t="s">
        <v>1067</v>
      </c>
      <c r="M19" s="3" t="s">
        <v>9</v>
      </c>
    </row>
    <row r="20" spans="1:13">
      <c r="A20" s="3">
        <v>17</v>
      </c>
      <c r="B20" s="3" t="s">
        <v>1083</v>
      </c>
      <c r="C20" s="4">
        <v>46152</v>
      </c>
      <c r="D20" s="3" t="s">
        <v>60</v>
      </c>
      <c r="E20" s="5" t="s">
        <v>91</v>
      </c>
      <c r="F20" s="5" t="s">
        <v>5</v>
      </c>
      <c r="G20" s="3" t="s">
        <v>6</v>
      </c>
      <c r="H20" s="3" t="s">
        <v>15</v>
      </c>
      <c r="I20" s="3" t="s">
        <v>66</v>
      </c>
      <c r="J20" s="3">
        <v>13</v>
      </c>
      <c r="K20" s="3" t="s">
        <v>162</v>
      </c>
      <c r="L20" s="3" t="s">
        <v>1070</v>
      </c>
      <c r="M20" s="3" t="s">
        <v>9</v>
      </c>
    </row>
    <row r="21" spans="1:13">
      <c r="A21" s="3">
        <v>18</v>
      </c>
      <c r="B21" s="3" t="s">
        <v>1084</v>
      </c>
      <c r="C21" s="4">
        <v>46175</v>
      </c>
      <c r="D21" s="3" t="s">
        <v>73</v>
      </c>
      <c r="E21" s="5" t="s">
        <v>16</v>
      </c>
      <c r="F21" s="5" t="s">
        <v>46</v>
      </c>
      <c r="G21" s="3" t="s">
        <v>87</v>
      </c>
      <c r="H21" s="3" t="s">
        <v>41</v>
      </c>
      <c r="I21" s="3" t="s">
        <v>93</v>
      </c>
      <c r="J21" s="3">
        <v>13</v>
      </c>
      <c r="K21" s="3" t="s">
        <v>142</v>
      </c>
      <c r="L21" s="3" t="s">
        <v>1065</v>
      </c>
      <c r="M21" s="3" t="s">
        <v>23</v>
      </c>
    </row>
    <row r="22" spans="1:13">
      <c r="A22" s="3">
        <v>19</v>
      </c>
      <c r="B22" s="3" t="s">
        <v>1085</v>
      </c>
      <c r="C22" s="4">
        <v>46186</v>
      </c>
      <c r="D22" s="3" t="s">
        <v>73</v>
      </c>
      <c r="E22" s="5" t="s">
        <v>38</v>
      </c>
      <c r="F22" s="5" t="s">
        <v>92</v>
      </c>
      <c r="G22" s="3" t="s">
        <v>40</v>
      </c>
      <c r="H22" s="3" t="s">
        <v>62</v>
      </c>
      <c r="I22" s="3" t="s">
        <v>22</v>
      </c>
      <c r="J22" s="3">
        <v>1</v>
      </c>
      <c r="K22" s="3" t="s">
        <v>159</v>
      </c>
      <c r="L22" s="3" t="s">
        <v>1065</v>
      </c>
      <c r="M22" s="3" t="s">
        <v>23</v>
      </c>
    </row>
    <row r="23" spans="1:13">
      <c r="A23" s="3">
        <v>20</v>
      </c>
      <c r="B23" s="3" t="s">
        <v>1086</v>
      </c>
      <c r="C23" s="4">
        <v>46182</v>
      </c>
      <c r="D23" s="3" t="s">
        <v>73</v>
      </c>
      <c r="E23" s="5" t="s">
        <v>26</v>
      </c>
      <c r="F23" s="5" t="s">
        <v>5</v>
      </c>
      <c r="G23" s="3" t="s">
        <v>82</v>
      </c>
      <c r="H23" s="3" t="s">
        <v>62</v>
      </c>
      <c r="I23" s="3" t="s">
        <v>7</v>
      </c>
      <c r="J23" s="3">
        <v>22</v>
      </c>
      <c r="K23" s="3" t="s">
        <v>154</v>
      </c>
      <c r="L23" s="3" t="s">
        <v>1070</v>
      </c>
      <c r="M23" s="3" t="s">
        <v>9</v>
      </c>
    </row>
    <row r="24" spans="1:13">
      <c r="A24" s="3">
        <v>21</v>
      </c>
      <c r="B24" s="3" t="s">
        <v>1087</v>
      </c>
      <c r="C24" s="4">
        <v>46201</v>
      </c>
      <c r="D24" s="3" t="s">
        <v>73</v>
      </c>
      <c r="E24" s="5" t="s">
        <v>12</v>
      </c>
      <c r="F24" s="5" t="s">
        <v>92</v>
      </c>
      <c r="G24" s="3" t="s">
        <v>31</v>
      </c>
      <c r="H24" s="3" t="s">
        <v>32</v>
      </c>
      <c r="I24" s="3" t="s">
        <v>70</v>
      </c>
      <c r="J24" s="3">
        <v>0</v>
      </c>
      <c r="K24" s="3" t="s">
        <v>159</v>
      </c>
      <c r="L24" s="3" t="s">
        <v>1067</v>
      </c>
      <c r="M24" s="3" t="s">
        <v>9</v>
      </c>
    </row>
    <row r="25" spans="1:13">
      <c r="A25" s="3">
        <v>22</v>
      </c>
      <c r="B25" s="3" t="s">
        <v>1088</v>
      </c>
      <c r="C25" s="4">
        <v>46205</v>
      </c>
      <c r="D25" s="3" t="s">
        <v>76</v>
      </c>
      <c r="E25" s="5" t="s">
        <v>38</v>
      </c>
      <c r="F25" s="5" t="s">
        <v>39</v>
      </c>
      <c r="G25" s="3" t="s">
        <v>40</v>
      </c>
      <c r="H25" s="3" t="s">
        <v>22</v>
      </c>
      <c r="I25" s="3" t="s">
        <v>32</v>
      </c>
      <c r="J25" s="3">
        <v>13</v>
      </c>
      <c r="K25" s="3" t="s">
        <v>154</v>
      </c>
      <c r="L25" s="3" t="s">
        <v>1070</v>
      </c>
      <c r="M25" s="3" t="s">
        <v>23</v>
      </c>
    </row>
    <row r="26" spans="1:13">
      <c r="A26" s="3">
        <v>23</v>
      </c>
      <c r="B26" s="3" t="s">
        <v>1089</v>
      </c>
      <c r="C26" s="4">
        <v>46213</v>
      </c>
      <c r="D26" s="3" t="s">
        <v>76</v>
      </c>
      <c r="E26" s="5" t="s">
        <v>64</v>
      </c>
      <c r="F26" s="5" t="s">
        <v>92</v>
      </c>
      <c r="G26" s="3" t="s">
        <v>80</v>
      </c>
      <c r="H26" s="3" t="s">
        <v>68</v>
      </c>
      <c r="I26" s="3" t="s">
        <v>22</v>
      </c>
      <c r="J26" s="3">
        <v>6</v>
      </c>
      <c r="K26" s="3" t="s">
        <v>142</v>
      </c>
      <c r="L26" s="3" t="s">
        <v>1070</v>
      </c>
      <c r="M26" s="3" t="s">
        <v>23</v>
      </c>
    </row>
    <row r="27" spans="1:13">
      <c r="A27" s="3">
        <v>24</v>
      </c>
      <c r="B27" s="3" t="s">
        <v>1090</v>
      </c>
      <c r="C27" s="4">
        <v>46227</v>
      </c>
      <c r="D27" s="3" t="s">
        <v>76</v>
      </c>
      <c r="E27" s="5" t="s">
        <v>64</v>
      </c>
      <c r="F27" s="5" t="s">
        <v>5</v>
      </c>
      <c r="G27" s="3" t="s">
        <v>14</v>
      </c>
      <c r="H27" s="3" t="s">
        <v>62</v>
      </c>
      <c r="I27" s="3" t="s">
        <v>93</v>
      </c>
      <c r="J27" s="3">
        <v>5</v>
      </c>
      <c r="K27" s="3" t="s">
        <v>142</v>
      </c>
      <c r="L27" s="3" t="s">
        <v>1070</v>
      </c>
      <c r="M27" s="3" t="s">
        <v>23</v>
      </c>
    </row>
    <row r="28" spans="1:13">
      <c r="A28" s="3">
        <v>25</v>
      </c>
      <c r="B28" s="3" t="s">
        <v>1091</v>
      </c>
      <c r="C28" s="4">
        <v>46208</v>
      </c>
      <c r="D28" s="3" t="s">
        <v>76</v>
      </c>
      <c r="E28" s="5" t="s">
        <v>38</v>
      </c>
      <c r="F28" s="5" t="s">
        <v>46</v>
      </c>
      <c r="G28" s="3" t="s">
        <v>51</v>
      </c>
      <c r="H28" s="3" t="s">
        <v>62</v>
      </c>
      <c r="I28" s="3" t="s">
        <v>68</v>
      </c>
      <c r="J28" s="3">
        <v>27</v>
      </c>
      <c r="K28" s="3" t="s">
        <v>154</v>
      </c>
      <c r="L28" s="3" t="s">
        <v>1067</v>
      </c>
      <c r="M28" s="3" t="s">
        <v>23</v>
      </c>
    </row>
    <row r="29" spans="1:13">
      <c r="A29" s="3">
        <v>26</v>
      </c>
      <c r="B29" s="3" t="s">
        <v>1092</v>
      </c>
      <c r="C29" s="4">
        <v>46207</v>
      </c>
      <c r="D29" s="3" t="s">
        <v>76</v>
      </c>
      <c r="E29" s="5" t="s">
        <v>16</v>
      </c>
      <c r="F29" s="5" t="s">
        <v>46</v>
      </c>
      <c r="G29" s="3" t="s">
        <v>6</v>
      </c>
      <c r="H29" s="3" t="s">
        <v>78</v>
      </c>
      <c r="I29" s="3" t="s">
        <v>32</v>
      </c>
      <c r="J29" s="3">
        <v>8</v>
      </c>
      <c r="K29" s="3" t="s">
        <v>142</v>
      </c>
      <c r="L29" s="3" t="s">
        <v>1065</v>
      </c>
      <c r="M29" s="3" t="s">
        <v>9</v>
      </c>
    </row>
    <row r="30" spans="1:13">
      <c r="A30" s="3">
        <v>27</v>
      </c>
      <c r="B30" s="3" t="s">
        <v>1093</v>
      </c>
      <c r="C30" s="4">
        <v>46227</v>
      </c>
      <c r="D30" s="3" t="s">
        <v>76</v>
      </c>
      <c r="E30" s="5" t="s">
        <v>49</v>
      </c>
      <c r="F30" s="5" t="s">
        <v>46</v>
      </c>
      <c r="G30" s="3" t="s">
        <v>87</v>
      </c>
      <c r="H30" s="3" t="s">
        <v>66</v>
      </c>
      <c r="I30" s="3" t="s">
        <v>70</v>
      </c>
      <c r="J30" s="3">
        <v>18</v>
      </c>
      <c r="K30" s="3" t="s">
        <v>142</v>
      </c>
      <c r="L30" s="3" t="s">
        <v>1067</v>
      </c>
      <c r="M30" s="3" t="s">
        <v>23</v>
      </c>
    </row>
    <row r="31" spans="1:13">
      <c r="A31" s="3">
        <v>28</v>
      </c>
      <c r="B31" s="3" t="s">
        <v>1094</v>
      </c>
      <c r="C31" s="4">
        <v>46218</v>
      </c>
      <c r="D31" s="3" t="s">
        <v>76</v>
      </c>
      <c r="E31" s="5" t="s">
        <v>57</v>
      </c>
      <c r="F31" s="5" t="s">
        <v>58</v>
      </c>
      <c r="G31" s="3" t="s">
        <v>82</v>
      </c>
      <c r="H31" s="3" t="s">
        <v>68</v>
      </c>
      <c r="I31" s="3" t="s">
        <v>62</v>
      </c>
      <c r="J31" s="3">
        <v>7</v>
      </c>
      <c r="K31" s="3" t="s">
        <v>159</v>
      </c>
      <c r="L31" s="3" t="s">
        <v>1070</v>
      </c>
      <c r="M31" s="3" t="s">
        <v>9</v>
      </c>
    </row>
    <row r="32" spans="1:13">
      <c r="A32" s="3">
        <v>29</v>
      </c>
      <c r="B32" s="3" t="s">
        <v>1095</v>
      </c>
      <c r="C32" s="4">
        <v>46211</v>
      </c>
      <c r="D32" s="3" t="s">
        <v>76</v>
      </c>
      <c r="E32" s="5" t="s">
        <v>4</v>
      </c>
      <c r="F32" s="5" t="s">
        <v>89</v>
      </c>
      <c r="G32" s="3" t="s">
        <v>51</v>
      </c>
      <c r="H32" s="3" t="s">
        <v>22</v>
      </c>
      <c r="I32" s="3" t="s">
        <v>15</v>
      </c>
      <c r="J32" s="3">
        <v>0</v>
      </c>
      <c r="K32" s="3" t="s">
        <v>142</v>
      </c>
      <c r="L32" s="3" t="s">
        <v>1067</v>
      </c>
      <c r="M32" s="3" t="s">
        <v>23</v>
      </c>
    </row>
    <row r="33" spans="1:13">
      <c r="A33" s="3">
        <v>30</v>
      </c>
      <c r="B33" s="3" t="s">
        <v>1096</v>
      </c>
      <c r="C33" s="4">
        <v>46206</v>
      </c>
      <c r="D33" s="3" t="s">
        <v>76</v>
      </c>
      <c r="E33" s="5" t="s">
        <v>16</v>
      </c>
      <c r="F33" s="5" t="s">
        <v>13</v>
      </c>
      <c r="G33" s="3" t="s">
        <v>77</v>
      </c>
      <c r="H33" s="3" t="s">
        <v>104</v>
      </c>
      <c r="I33" s="3" t="s">
        <v>93</v>
      </c>
      <c r="J33" s="3">
        <v>17</v>
      </c>
      <c r="K33" s="3" t="s">
        <v>162</v>
      </c>
      <c r="L33" s="3" t="s">
        <v>1065</v>
      </c>
      <c r="M33" s="3" t="s">
        <v>23</v>
      </c>
    </row>
    <row r="34" spans="1:13">
      <c r="A34" s="3">
        <v>31</v>
      </c>
      <c r="B34" s="3" t="s">
        <v>1097</v>
      </c>
      <c r="C34" s="4">
        <v>46212</v>
      </c>
      <c r="D34" s="3" t="s">
        <v>76</v>
      </c>
      <c r="E34" s="5" t="s">
        <v>57</v>
      </c>
      <c r="F34" s="5" t="s">
        <v>13</v>
      </c>
      <c r="G34" s="3" t="s">
        <v>40</v>
      </c>
      <c r="H34" s="3" t="s">
        <v>104</v>
      </c>
      <c r="I34" s="3" t="s">
        <v>41</v>
      </c>
      <c r="J34" s="3">
        <v>8</v>
      </c>
      <c r="K34" s="3" t="s">
        <v>159</v>
      </c>
      <c r="L34" s="3" t="s">
        <v>1070</v>
      </c>
      <c r="M34" s="3" t="s">
        <v>9</v>
      </c>
    </row>
    <row r="35" spans="1:13">
      <c r="A35" s="3">
        <v>32</v>
      </c>
      <c r="B35" s="3" t="s">
        <v>1098</v>
      </c>
      <c r="C35" s="4">
        <v>46240</v>
      </c>
      <c r="D35" s="3" t="s">
        <v>86</v>
      </c>
      <c r="E35" s="5" t="s">
        <v>64</v>
      </c>
      <c r="F35" s="5" t="s">
        <v>27</v>
      </c>
      <c r="G35" s="3" t="s">
        <v>80</v>
      </c>
      <c r="H35" s="3" t="s">
        <v>15</v>
      </c>
      <c r="I35" s="3" t="s">
        <v>68</v>
      </c>
      <c r="J35" s="3">
        <v>22</v>
      </c>
      <c r="K35" s="3" t="s">
        <v>142</v>
      </c>
      <c r="L35" s="3" t="s">
        <v>1065</v>
      </c>
      <c r="M35" s="3" t="s">
        <v>23</v>
      </c>
    </row>
    <row r="36" spans="1:13">
      <c r="A36" s="3">
        <v>33</v>
      </c>
      <c r="B36" s="3" t="s">
        <v>1099</v>
      </c>
      <c r="C36" s="4">
        <v>46250</v>
      </c>
      <c r="D36" s="3" t="s">
        <v>86</v>
      </c>
      <c r="E36" s="5" t="s">
        <v>26</v>
      </c>
      <c r="F36" s="5" t="s">
        <v>58</v>
      </c>
      <c r="G36" s="3" t="s">
        <v>51</v>
      </c>
      <c r="H36" s="3" t="s">
        <v>36</v>
      </c>
      <c r="I36" s="3" t="s">
        <v>7</v>
      </c>
      <c r="J36" s="3">
        <v>30</v>
      </c>
      <c r="K36" s="3" t="s">
        <v>159</v>
      </c>
      <c r="L36" s="3" t="s">
        <v>1067</v>
      </c>
      <c r="M36" s="3" t="s">
        <v>23</v>
      </c>
    </row>
    <row r="37" spans="1:13">
      <c r="A37" s="3">
        <v>34</v>
      </c>
      <c r="B37" s="3" t="s">
        <v>1100</v>
      </c>
      <c r="C37" s="4">
        <v>46237</v>
      </c>
      <c r="D37" s="3" t="s">
        <v>86</v>
      </c>
      <c r="E37" s="5" t="s">
        <v>61</v>
      </c>
      <c r="F37" s="5" t="s">
        <v>89</v>
      </c>
      <c r="G37" s="3" t="s">
        <v>31</v>
      </c>
      <c r="H37" s="3" t="s">
        <v>78</v>
      </c>
      <c r="I37" s="3" t="s">
        <v>62</v>
      </c>
      <c r="J37" s="3">
        <v>9</v>
      </c>
      <c r="K37" s="3" t="s">
        <v>154</v>
      </c>
      <c r="L37" s="3" t="s">
        <v>1067</v>
      </c>
      <c r="M37" s="3" t="s">
        <v>23</v>
      </c>
    </row>
    <row r="38" spans="1:13">
      <c r="A38" s="3">
        <v>35</v>
      </c>
      <c r="B38" s="3" t="s">
        <v>1101</v>
      </c>
      <c r="C38" s="4">
        <v>46243</v>
      </c>
      <c r="D38" s="3" t="s">
        <v>86</v>
      </c>
      <c r="E38" s="5" t="s">
        <v>26</v>
      </c>
      <c r="F38" s="5" t="s">
        <v>50</v>
      </c>
      <c r="G38" s="3" t="s">
        <v>35</v>
      </c>
      <c r="H38" s="3" t="s">
        <v>78</v>
      </c>
      <c r="I38" s="3" t="s">
        <v>62</v>
      </c>
      <c r="J38" s="3">
        <v>1</v>
      </c>
      <c r="K38" s="3" t="s">
        <v>142</v>
      </c>
      <c r="L38" s="3" t="s">
        <v>1067</v>
      </c>
      <c r="M38" s="3" t="s">
        <v>9</v>
      </c>
    </row>
    <row r="39" spans="1:13">
      <c r="A39" s="3">
        <v>36</v>
      </c>
      <c r="B39" s="3" t="s">
        <v>1102</v>
      </c>
      <c r="C39" s="4">
        <v>46272</v>
      </c>
      <c r="D39" s="3" t="s">
        <v>102</v>
      </c>
      <c r="E39" s="5" t="s">
        <v>26</v>
      </c>
      <c r="F39" s="5" t="s">
        <v>50</v>
      </c>
      <c r="G39" s="3" t="s">
        <v>40</v>
      </c>
      <c r="H39" s="3" t="s">
        <v>41</v>
      </c>
      <c r="I39" s="3" t="s">
        <v>62</v>
      </c>
      <c r="J39" s="3">
        <v>15</v>
      </c>
      <c r="K39" s="3" t="s">
        <v>142</v>
      </c>
      <c r="L39" s="3" t="s">
        <v>1070</v>
      </c>
      <c r="M39" s="3" t="s">
        <v>9</v>
      </c>
    </row>
    <row r="40" spans="1:13">
      <c r="A40" s="3">
        <v>37</v>
      </c>
      <c r="B40" s="3" t="s">
        <v>1103</v>
      </c>
      <c r="C40" s="4">
        <v>46291</v>
      </c>
      <c r="D40" s="3" t="s">
        <v>102</v>
      </c>
      <c r="E40" s="5" t="s">
        <v>30</v>
      </c>
      <c r="F40" s="5" t="s">
        <v>5</v>
      </c>
      <c r="G40" s="3" t="s">
        <v>21</v>
      </c>
      <c r="H40" s="3" t="s">
        <v>104</v>
      </c>
      <c r="I40" s="3" t="s">
        <v>62</v>
      </c>
      <c r="J40" s="3">
        <v>25</v>
      </c>
      <c r="K40" s="3" t="s">
        <v>142</v>
      </c>
      <c r="L40" s="3" t="s">
        <v>1065</v>
      </c>
      <c r="M40" s="3" t="s">
        <v>9</v>
      </c>
    </row>
    <row r="41" spans="1:13">
      <c r="A41" s="3">
        <v>38</v>
      </c>
      <c r="B41" s="3" t="s">
        <v>1104</v>
      </c>
      <c r="C41" s="4">
        <v>46274</v>
      </c>
      <c r="D41" s="3" t="s">
        <v>102</v>
      </c>
      <c r="E41" s="5" t="s">
        <v>30</v>
      </c>
      <c r="F41" s="5" t="s">
        <v>5</v>
      </c>
      <c r="G41" s="3" t="s">
        <v>51</v>
      </c>
      <c r="H41" s="3" t="s">
        <v>104</v>
      </c>
      <c r="I41" s="3" t="s">
        <v>22</v>
      </c>
      <c r="J41" s="3">
        <v>12</v>
      </c>
      <c r="K41" s="3" t="s">
        <v>162</v>
      </c>
      <c r="L41" s="3" t="s">
        <v>1065</v>
      </c>
      <c r="M41" s="3" t="s">
        <v>23</v>
      </c>
    </row>
    <row r="42" spans="1:13">
      <c r="A42" s="3">
        <v>39</v>
      </c>
      <c r="B42" s="3" t="s">
        <v>1105</v>
      </c>
      <c r="C42" s="4">
        <v>46310</v>
      </c>
      <c r="D42" s="3" t="s">
        <v>106</v>
      </c>
      <c r="E42" s="5" t="s">
        <v>54</v>
      </c>
      <c r="F42" s="5" t="s">
        <v>65</v>
      </c>
      <c r="G42" s="3" t="s">
        <v>80</v>
      </c>
      <c r="H42" s="3" t="s">
        <v>104</v>
      </c>
      <c r="I42" s="3" t="s">
        <v>32</v>
      </c>
      <c r="J42" s="3">
        <v>20</v>
      </c>
      <c r="K42" s="3" t="s">
        <v>154</v>
      </c>
      <c r="L42" s="3" t="s">
        <v>1067</v>
      </c>
      <c r="M42" s="3" t="s">
        <v>9</v>
      </c>
    </row>
    <row r="43" spans="1:13">
      <c r="A43" s="3">
        <v>40</v>
      </c>
      <c r="B43" s="3" t="s">
        <v>1106</v>
      </c>
      <c r="C43" s="4">
        <v>46299</v>
      </c>
      <c r="D43" s="3" t="s">
        <v>106</v>
      </c>
      <c r="E43" s="5" t="s">
        <v>91</v>
      </c>
      <c r="F43" s="5" t="s">
        <v>46</v>
      </c>
      <c r="G43" s="3" t="s">
        <v>95</v>
      </c>
      <c r="H43" s="3" t="s">
        <v>78</v>
      </c>
      <c r="I43" s="3" t="s">
        <v>36</v>
      </c>
      <c r="J43" s="3">
        <v>10</v>
      </c>
      <c r="K43" s="3" t="s">
        <v>142</v>
      </c>
      <c r="L43" s="3" t="s">
        <v>1070</v>
      </c>
      <c r="M43" s="3" t="s">
        <v>9</v>
      </c>
    </row>
    <row r="44" spans="1:13">
      <c r="A44" s="3">
        <v>41</v>
      </c>
      <c r="B44" s="3" t="s">
        <v>1107</v>
      </c>
      <c r="C44" s="4">
        <v>46345</v>
      </c>
      <c r="D44" s="3" t="s">
        <v>111</v>
      </c>
      <c r="E44" s="5" t="s">
        <v>54</v>
      </c>
      <c r="F44" s="5" t="s">
        <v>13</v>
      </c>
      <c r="G44" s="3" t="s">
        <v>14</v>
      </c>
      <c r="H44" s="3" t="s">
        <v>93</v>
      </c>
      <c r="I44" s="3" t="s">
        <v>28</v>
      </c>
      <c r="J44" s="3">
        <v>30</v>
      </c>
      <c r="K44" s="3" t="s">
        <v>154</v>
      </c>
      <c r="L44" s="3" t="s">
        <v>1067</v>
      </c>
      <c r="M44" s="3" t="s">
        <v>23</v>
      </c>
    </row>
    <row r="45" spans="1:13">
      <c r="A45" s="3">
        <v>42</v>
      </c>
      <c r="B45" s="3" t="s">
        <v>1108</v>
      </c>
      <c r="C45" s="4">
        <v>46342</v>
      </c>
      <c r="D45" s="3" t="s">
        <v>111</v>
      </c>
      <c r="E45" s="5" t="s">
        <v>49</v>
      </c>
      <c r="F45" s="5" t="s">
        <v>65</v>
      </c>
      <c r="G45" s="3" t="s">
        <v>40</v>
      </c>
      <c r="H45" s="3" t="s">
        <v>7</v>
      </c>
      <c r="I45" s="3" t="s">
        <v>36</v>
      </c>
      <c r="J45" s="3">
        <v>1</v>
      </c>
      <c r="K45" s="3" t="s">
        <v>142</v>
      </c>
      <c r="L45" s="3" t="s">
        <v>1065</v>
      </c>
      <c r="M45" s="3" t="s">
        <v>23</v>
      </c>
    </row>
    <row r="46" spans="1:13">
      <c r="A46" s="3">
        <v>43</v>
      </c>
      <c r="B46" s="3" t="s">
        <v>1109</v>
      </c>
      <c r="C46" s="4">
        <v>46340</v>
      </c>
      <c r="D46" s="3" t="s">
        <v>111</v>
      </c>
      <c r="E46" s="5" t="s">
        <v>61</v>
      </c>
      <c r="F46" s="5" t="s">
        <v>5</v>
      </c>
      <c r="G46" s="3" t="s">
        <v>95</v>
      </c>
      <c r="H46" s="3" t="s">
        <v>66</v>
      </c>
      <c r="I46" s="3" t="s">
        <v>36</v>
      </c>
      <c r="J46" s="3">
        <v>18</v>
      </c>
      <c r="K46" s="3" t="s">
        <v>154</v>
      </c>
      <c r="L46" s="3" t="s">
        <v>1065</v>
      </c>
      <c r="M46" s="3" t="s">
        <v>23</v>
      </c>
    </row>
    <row r="47" spans="1:13">
      <c r="A47" s="3">
        <v>44</v>
      </c>
      <c r="B47" s="3" t="s">
        <v>1110</v>
      </c>
      <c r="C47" s="4">
        <v>46330</v>
      </c>
      <c r="D47" s="3" t="s">
        <v>111</v>
      </c>
      <c r="E47" s="5" t="s">
        <v>64</v>
      </c>
      <c r="F47" s="5" t="s">
        <v>46</v>
      </c>
      <c r="G47" s="3" t="s">
        <v>77</v>
      </c>
      <c r="H47" s="3" t="s">
        <v>78</v>
      </c>
      <c r="I47" s="3" t="s">
        <v>66</v>
      </c>
      <c r="J47" s="3">
        <v>28</v>
      </c>
      <c r="K47" s="3" t="s">
        <v>154</v>
      </c>
      <c r="L47" s="3" t="s">
        <v>1067</v>
      </c>
      <c r="M47" s="3" t="s">
        <v>23</v>
      </c>
    </row>
    <row r="48" spans="1:13">
      <c r="A48" s="3">
        <v>45</v>
      </c>
      <c r="B48" s="3" t="s">
        <v>1111</v>
      </c>
      <c r="C48" s="4">
        <v>46383</v>
      </c>
      <c r="D48" s="3" t="s">
        <v>122</v>
      </c>
      <c r="E48" s="5" t="s">
        <v>45</v>
      </c>
      <c r="F48" s="5" t="s">
        <v>5</v>
      </c>
      <c r="G48" s="3" t="s">
        <v>95</v>
      </c>
      <c r="H48" s="3" t="s">
        <v>32</v>
      </c>
      <c r="I48" s="3" t="s">
        <v>32</v>
      </c>
      <c r="J48" s="3">
        <v>20</v>
      </c>
      <c r="K48" s="3" t="s">
        <v>159</v>
      </c>
      <c r="L48" s="3" t="s">
        <v>1067</v>
      </c>
      <c r="M48" s="3" t="s">
        <v>9</v>
      </c>
    </row>
    <row r="49" spans="1:13">
      <c r="A49" s="3">
        <v>46</v>
      </c>
      <c r="B49" s="3" t="s">
        <v>1112</v>
      </c>
      <c r="C49" s="4">
        <v>46379</v>
      </c>
      <c r="D49" s="3" t="s">
        <v>122</v>
      </c>
      <c r="E49" s="5" t="s">
        <v>4</v>
      </c>
      <c r="F49" s="5" t="s">
        <v>46</v>
      </c>
      <c r="G49" s="3" t="s">
        <v>31</v>
      </c>
      <c r="H49" s="3" t="s">
        <v>104</v>
      </c>
      <c r="I49" s="3" t="s">
        <v>78</v>
      </c>
      <c r="J49" s="3">
        <v>12</v>
      </c>
      <c r="K49" s="3" t="s">
        <v>159</v>
      </c>
      <c r="L49" s="3" t="s">
        <v>1067</v>
      </c>
      <c r="M49" s="3" t="s">
        <v>9</v>
      </c>
    </row>
    <row r="50" spans="1:13">
      <c r="A50" s="3">
        <v>47</v>
      </c>
      <c r="B50" s="3" t="s">
        <v>1113</v>
      </c>
      <c r="C50" s="4">
        <v>46359</v>
      </c>
      <c r="D50" s="3" t="s">
        <v>122</v>
      </c>
      <c r="E50" s="5" t="s">
        <v>16</v>
      </c>
      <c r="F50" s="5" t="s">
        <v>27</v>
      </c>
      <c r="G50" s="3" t="s">
        <v>80</v>
      </c>
      <c r="H50" s="3" t="s">
        <v>28</v>
      </c>
      <c r="I50" s="3" t="s">
        <v>15</v>
      </c>
      <c r="J50" s="3">
        <v>23</v>
      </c>
      <c r="K50" s="3" t="s">
        <v>154</v>
      </c>
      <c r="L50" s="3" t="s">
        <v>1065</v>
      </c>
      <c r="M50" s="3" t="s">
        <v>9</v>
      </c>
    </row>
    <row r="51" spans="1:13">
      <c r="A51" s="3">
        <v>48</v>
      </c>
      <c r="B51" s="3" t="s">
        <v>1114</v>
      </c>
      <c r="C51" s="4">
        <v>46382</v>
      </c>
      <c r="D51" s="3" t="s">
        <v>122</v>
      </c>
      <c r="E51" s="5" t="s">
        <v>64</v>
      </c>
      <c r="F51" s="5" t="s">
        <v>92</v>
      </c>
      <c r="G51" s="3" t="s">
        <v>51</v>
      </c>
      <c r="H51" s="3" t="s">
        <v>68</v>
      </c>
      <c r="I51" s="3" t="s">
        <v>68</v>
      </c>
      <c r="J51" s="3">
        <v>22</v>
      </c>
      <c r="K51" s="3" t="s">
        <v>142</v>
      </c>
      <c r="L51" s="3" t="s">
        <v>1070</v>
      </c>
      <c r="M51" s="3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K4:K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customWidth="1"/>
    <col min="5" max="5" width="12.7109375" customWidth="1"/>
    <col min="6" max="6" width="17.7109375" customWidth="1"/>
    <col min="7" max="7" width="11.7109375" customWidth="1"/>
    <col min="8" max="8" width="9.7109375" customWidth="1"/>
    <col min="9" max="9" width="11.7109375" customWidth="1"/>
    <col min="10" max="10" width="9.7109375" customWidth="1"/>
  </cols>
  <sheetData>
    <row r="1" spans="1:12" ht="22" customHeight="1">
      <c r="A1" s="1" t="s">
        <v>1123</v>
      </c>
      <c r="B1" s="1"/>
      <c r="C1" s="1"/>
      <c r="D1" s="1"/>
      <c r="E1" s="1"/>
      <c r="F1" s="1"/>
      <c r="G1" s="1"/>
      <c r="H1" s="1"/>
      <c r="I1" s="1"/>
      <c r="J1" s="1"/>
      <c r="L1" s="2" t="s">
        <v>139</v>
      </c>
    </row>
    <row r="2" spans="1:1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</row>
    <row r="3" spans="1:12">
      <c r="A3" t="s">
        <v>124</v>
      </c>
      <c r="B3" t="s">
        <v>1178</v>
      </c>
      <c r="C3" t="s">
        <v>126</v>
      </c>
      <c r="D3" t="s">
        <v>127</v>
      </c>
      <c r="E3" t="s">
        <v>129</v>
      </c>
      <c r="F3" t="s">
        <v>1179</v>
      </c>
      <c r="G3" t="s">
        <v>1180</v>
      </c>
      <c r="H3" t="s">
        <v>1181</v>
      </c>
      <c r="I3" t="s">
        <v>1182</v>
      </c>
      <c r="J3" t="s">
        <v>287</v>
      </c>
    </row>
    <row r="4" spans="1:12">
      <c r="A4" s="3">
        <v>1</v>
      </c>
      <c r="B4" s="3" t="s">
        <v>1124</v>
      </c>
      <c r="C4" s="4">
        <v>46049</v>
      </c>
      <c r="D4" s="3" t="s">
        <v>3</v>
      </c>
      <c r="E4" s="5" t="s">
        <v>39</v>
      </c>
      <c r="F4" s="5" t="s">
        <v>70</v>
      </c>
      <c r="G4" s="3" t="s">
        <v>1125</v>
      </c>
      <c r="H4" s="3" t="s">
        <v>1126</v>
      </c>
      <c r="I4" s="3" t="s">
        <v>66</v>
      </c>
      <c r="J4" s="3" t="s">
        <v>254</v>
      </c>
    </row>
    <row r="5" spans="1:12">
      <c r="A5" s="3">
        <v>2</v>
      </c>
      <c r="B5" s="3" t="s">
        <v>1127</v>
      </c>
      <c r="C5" s="4">
        <v>46024</v>
      </c>
      <c r="D5" s="3" t="s">
        <v>3</v>
      </c>
      <c r="E5" s="5" t="s">
        <v>5</v>
      </c>
      <c r="F5" s="5" t="s">
        <v>104</v>
      </c>
      <c r="G5" s="3" t="s">
        <v>1125</v>
      </c>
      <c r="H5" s="3" t="s">
        <v>1128</v>
      </c>
      <c r="I5" s="3" t="s">
        <v>93</v>
      </c>
      <c r="J5" s="3" t="s">
        <v>254</v>
      </c>
    </row>
    <row r="6" spans="1:12">
      <c r="A6" s="3">
        <v>3</v>
      </c>
      <c r="B6" s="3" t="s">
        <v>1129</v>
      </c>
      <c r="C6" s="4">
        <v>46037</v>
      </c>
      <c r="D6" s="3" t="s">
        <v>3</v>
      </c>
      <c r="E6" s="5" t="s">
        <v>58</v>
      </c>
      <c r="F6" s="5" t="s">
        <v>78</v>
      </c>
      <c r="G6" s="3" t="s">
        <v>1130</v>
      </c>
      <c r="H6" s="3" t="s">
        <v>1128</v>
      </c>
      <c r="I6" s="3" t="s">
        <v>70</v>
      </c>
      <c r="J6" s="3" t="s">
        <v>254</v>
      </c>
    </row>
    <row r="7" spans="1:12">
      <c r="A7" s="3">
        <v>4</v>
      </c>
      <c r="B7" s="3" t="s">
        <v>1131</v>
      </c>
      <c r="C7" s="4">
        <v>46062</v>
      </c>
      <c r="D7" s="3" t="s">
        <v>19</v>
      </c>
      <c r="E7" s="5" t="s">
        <v>65</v>
      </c>
      <c r="F7" s="5" t="s">
        <v>66</v>
      </c>
      <c r="G7" s="3" t="s">
        <v>1130</v>
      </c>
      <c r="H7" s="3" t="s">
        <v>1128</v>
      </c>
      <c r="I7" s="3" t="s">
        <v>32</v>
      </c>
      <c r="J7" s="3" t="s">
        <v>293</v>
      </c>
    </row>
    <row r="8" spans="1:12">
      <c r="A8" s="3">
        <v>5</v>
      </c>
      <c r="B8" s="3" t="s">
        <v>1132</v>
      </c>
      <c r="C8" s="4">
        <v>46072</v>
      </c>
      <c r="D8" s="3" t="s">
        <v>19</v>
      </c>
      <c r="E8" s="5" t="s">
        <v>89</v>
      </c>
      <c r="F8" s="5" t="s">
        <v>7</v>
      </c>
      <c r="G8" s="3" t="s">
        <v>1133</v>
      </c>
      <c r="H8" s="3" t="s">
        <v>1126</v>
      </c>
      <c r="I8" s="3" t="s">
        <v>62</v>
      </c>
      <c r="J8" s="3" t="s">
        <v>293</v>
      </c>
    </row>
    <row r="9" spans="1:12">
      <c r="A9" s="3">
        <v>6</v>
      </c>
      <c r="B9" s="3" t="s">
        <v>1134</v>
      </c>
      <c r="C9" s="4">
        <v>46062</v>
      </c>
      <c r="D9" s="3" t="s">
        <v>19</v>
      </c>
      <c r="E9" s="5" t="s">
        <v>46</v>
      </c>
      <c r="F9" s="5" t="s">
        <v>28</v>
      </c>
      <c r="G9" s="3" t="s">
        <v>1135</v>
      </c>
      <c r="H9" s="3" t="s">
        <v>1126</v>
      </c>
      <c r="I9" s="3" t="s">
        <v>70</v>
      </c>
      <c r="J9" s="3" t="s">
        <v>293</v>
      </c>
    </row>
    <row r="10" spans="1:12">
      <c r="A10" s="3">
        <v>7</v>
      </c>
      <c r="B10" s="3" t="s">
        <v>1136</v>
      </c>
      <c r="C10" s="4">
        <v>46054</v>
      </c>
      <c r="D10" s="3" t="s">
        <v>19</v>
      </c>
      <c r="E10" s="5" t="s">
        <v>13</v>
      </c>
      <c r="F10" s="5" t="s">
        <v>78</v>
      </c>
      <c r="G10" s="3" t="s">
        <v>1130</v>
      </c>
      <c r="H10" s="3" t="s">
        <v>1126</v>
      </c>
      <c r="I10" s="3" t="s">
        <v>41</v>
      </c>
      <c r="J10" s="3" t="s">
        <v>293</v>
      </c>
    </row>
    <row r="11" spans="1:12">
      <c r="A11" s="3">
        <v>8</v>
      </c>
      <c r="B11" s="3" t="s">
        <v>1137</v>
      </c>
      <c r="C11" s="4">
        <v>46086</v>
      </c>
      <c r="D11" s="3" t="s">
        <v>44</v>
      </c>
      <c r="E11" s="5" t="s">
        <v>89</v>
      </c>
      <c r="F11" s="5" t="s">
        <v>28</v>
      </c>
      <c r="G11" s="3" t="s">
        <v>1135</v>
      </c>
      <c r="H11" s="3" t="s">
        <v>1128</v>
      </c>
      <c r="I11" s="3" t="s">
        <v>104</v>
      </c>
      <c r="J11" s="3" t="s">
        <v>293</v>
      </c>
    </row>
    <row r="12" spans="1:12">
      <c r="A12" s="3">
        <v>9</v>
      </c>
      <c r="B12" s="3" t="s">
        <v>1138</v>
      </c>
      <c r="C12" s="4">
        <v>46087</v>
      </c>
      <c r="D12" s="3" t="s">
        <v>44</v>
      </c>
      <c r="E12" s="5" t="s">
        <v>46</v>
      </c>
      <c r="F12" s="5" t="s">
        <v>22</v>
      </c>
      <c r="G12" s="3" t="s">
        <v>1135</v>
      </c>
      <c r="H12" s="3" t="s">
        <v>1128</v>
      </c>
      <c r="I12" s="3" t="s">
        <v>70</v>
      </c>
      <c r="J12" s="3" t="s">
        <v>297</v>
      </c>
    </row>
    <row r="13" spans="1:12">
      <c r="A13" s="3">
        <v>10</v>
      </c>
      <c r="B13" s="3" t="s">
        <v>1139</v>
      </c>
      <c r="C13" s="4">
        <v>46093</v>
      </c>
      <c r="D13" s="3" t="s">
        <v>44</v>
      </c>
      <c r="E13" s="5" t="s">
        <v>46</v>
      </c>
      <c r="F13" s="5" t="s">
        <v>104</v>
      </c>
      <c r="G13" s="3" t="s">
        <v>1125</v>
      </c>
      <c r="H13" s="3" t="s">
        <v>1128</v>
      </c>
      <c r="I13" s="3" t="s">
        <v>62</v>
      </c>
      <c r="J13" s="3" t="s">
        <v>293</v>
      </c>
    </row>
    <row r="14" spans="1:12">
      <c r="A14" s="3">
        <v>11</v>
      </c>
      <c r="B14" s="3" t="s">
        <v>1140</v>
      </c>
      <c r="C14" s="4">
        <v>46127</v>
      </c>
      <c r="D14" s="3" t="s">
        <v>53</v>
      </c>
      <c r="E14" s="5" t="s">
        <v>92</v>
      </c>
      <c r="F14" s="5" t="s">
        <v>15</v>
      </c>
      <c r="G14" s="3" t="s">
        <v>1125</v>
      </c>
      <c r="H14" s="3" t="s">
        <v>1128</v>
      </c>
      <c r="I14" s="3" t="s">
        <v>7</v>
      </c>
      <c r="J14" s="3" t="s">
        <v>293</v>
      </c>
    </row>
    <row r="15" spans="1:12">
      <c r="A15" s="3">
        <v>12</v>
      </c>
      <c r="B15" s="3" t="s">
        <v>1141</v>
      </c>
      <c r="C15" s="4">
        <v>46118</v>
      </c>
      <c r="D15" s="3" t="s">
        <v>53</v>
      </c>
      <c r="E15" s="5" t="s">
        <v>13</v>
      </c>
      <c r="F15" s="5" t="s">
        <v>68</v>
      </c>
      <c r="G15" s="3" t="s">
        <v>1125</v>
      </c>
      <c r="H15" s="3" t="s">
        <v>1128</v>
      </c>
      <c r="I15" s="3" t="s">
        <v>70</v>
      </c>
      <c r="J15" s="3" t="s">
        <v>293</v>
      </c>
    </row>
    <row r="16" spans="1:12">
      <c r="A16" s="3">
        <v>13</v>
      </c>
      <c r="B16" s="3" t="s">
        <v>1142</v>
      </c>
      <c r="C16" s="4">
        <v>46117</v>
      </c>
      <c r="D16" s="3" t="s">
        <v>53</v>
      </c>
      <c r="E16" s="5" t="s">
        <v>27</v>
      </c>
      <c r="F16" s="5" t="s">
        <v>22</v>
      </c>
      <c r="G16" s="3" t="s">
        <v>1125</v>
      </c>
      <c r="H16" s="3" t="s">
        <v>1128</v>
      </c>
      <c r="I16" s="3" t="s">
        <v>41</v>
      </c>
      <c r="J16" s="3" t="s">
        <v>254</v>
      </c>
    </row>
    <row r="17" spans="1:10">
      <c r="A17" s="3">
        <v>14</v>
      </c>
      <c r="B17" s="3" t="s">
        <v>1143</v>
      </c>
      <c r="C17" s="4">
        <v>46156</v>
      </c>
      <c r="D17" s="3" t="s">
        <v>60</v>
      </c>
      <c r="E17" s="5" t="s">
        <v>50</v>
      </c>
      <c r="F17" s="5" t="s">
        <v>41</v>
      </c>
      <c r="G17" s="3" t="s">
        <v>1133</v>
      </c>
      <c r="H17" s="3" t="s">
        <v>1128</v>
      </c>
      <c r="I17" s="3" t="s">
        <v>28</v>
      </c>
      <c r="J17" s="3" t="s">
        <v>293</v>
      </c>
    </row>
    <row r="18" spans="1:10">
      <c r="A18" s="3">
        <v>15</v>
      </c>
      <c r="B18" s="3" t="s">
        <v>1144</v>
      </c>
      <c r="C18" s="4">
        <v>46158</v>
      </c>
      <c r="D18" s="3" t="s">
        <v>60</v>
      </c>
      <c r="E18" s="5" t="s">
        <v>46</v>
      </c>
      <c r="F18" s="5" t="s">
        <v>7</v>
      </c>
      <c r="G18" s="3" t="s">
        <v>1125</v>
      </c>
      <c r="H18" s="3" t="s">
        <v>1128</v>
      </c>
      <c r="I18" s="3" t="s">
        <v>41</v>
      </c>
      <c r="J18" s="3" t="s">
        <v>293</v>
      </c>
    </row>
    <row r="19" spans="1:10">
      <c r="A19" s="3">
        <v>16</v>
      </c>
      <c r="B19" s="3" t="s">
        <v>1145</v>
      </c>
      <c r="C19" s="4">
        <v>46148</v>
      </c>
      <c r="D19" s="3" t="s">
        <v>60</v>
      </c>
      <c r="E19" s="5" t="s">
        <v>46</v>
      </c>
      <c r="F19" s="5" t="s">
        <v>66</v>
      </c>
      <c r="G19" s="3" t="s">
        <v>1130</v>
      </c>
      <c r="H19" s="3" t="s">
        <v>1126</v>
      </c>
      <c r="I19" s="3" t="s">
        <v>104</v>
      </c>
      <c r="J19" s="3" t="s">
        <v>293</v>
      </c>
    </row>
    <row r="20" spans="1:10">
      <c r="A20" s="3">
        <v>17</v>
      </c>
      <c r="B20" s="3" t="s">
        <v>1146</v>
      </c>
      <c r="C20" s="4">
        <v>46147</v>
      </c>
      <c r="D20" s="3" t="s">
        <v>60</v>
      </c>
      <c r="E20" s="5" t="s">
        <v>58</v>
      </c>
      <c r="F20" s="5" t="s">
        <v>28</v>
      </c>
      <c r="G20" s="3" t="s">
        <v>1125</v>
      </c>
      <c r="H20" s="3" t="s">
        <v>1126</v>
      </c>
      <c r="I20" s="3" t="s">
        <v>70</v>
      </c>
      <c r="J20" s="3" t="s">
        <v>293</v>
      </c>
    </row>
    <row r="21" spans="1:10">
      <c r="A21" s="3">
        <v>18</v>
      </c>
      <c r="B21" s="3" t="s">
        <v>1147</v>
      </c>
      <c r="C21" s="4">
        <v>46163</v>
      </c>
      <c r="D21" s="3" t="s">
        <v>60</v>
      </c>
      <c r="E21" s="5" t="s">
        <v>27</v>
      </c>
      <c r="F21" s="5" t="s">
        <v>32</v>
      </c>
      <c r="G21" s="3" t="s">
        <v>1133</v>
      </c>
      <c r="H21" s="3" t="s">
        <v>1126</v>
      </c>
      <c r="I21" s="3" t="s">
        <v>70</v>
      </c>
      <c r="J21" s="3" t="s">
        <v>293</v>
      </c>
    </row>
    <row r="22" spans="1:10">
      <c r="A22" s="3">
        <v>19</v>
      </c>
      <c r="B22" s="3" t="s">
        <v>1148</v>
      </c>
      <c r="C22" s="4">
        <v>46160</v>
      </c>
      <c r="D22" s="3" t="s">
        <v>60</v>
      </c>
      <c r="E22" s="5" t="s">
        <v>13</v>
      </c>
      <c r="F22" s="5" t="s">
        <v>62</v>
      </c>
      <c r="G22" s="3" t="s">
        <v>1133</v>
      </c>
      <c r="H22" s="3" t="s">
        <v>1126</v>
      </c>
      <c r="I22" s="3" t="s">
        <v>104</v>
      </c>
      <c r="J22" s="3" t="s">
        <v>293</v>
      </c>
    </row>
    <row r="23" spans="1:10">
      <c r="A23" s="3">
        <v>20</v>
      </c>
      <c r="B23" s="3" t="s">
        <v>1149</v>
      </c>
      <c r="C23" s="4">
        <v>46187</v>
      </c>
      <c r="D23" s="3" t="s">
        <v>73</v>
      </c>
      <c r="E23" s="5" t="s">
        <v>5</v>
      </c>
      <c r="F23" s="5" t="s">
        <v>15</v>
      </c>
      <c r="G23" s="3" t="s">
        <v>1130</v>
      </c>
      <c r="H23" s="3" t="s">
        <v>1126</v>
      </c>
      <c r="I23" s="3" t="s">
        <v>15</v>
      </c>
      <c r="J23" s="3" t="s">
        <v>293</v>
      </c>
    </row>
    <row r="24" spans="1:10">
      <c r="A24" s="3">
        <v>21</v>
      </c>
      <c r="B24" s="3" t="s">
        <v>1150</v>
      </c>
      <c r="C24" s="4">
        <v>46178</v>
      </c>
      <c r="D24" s="3" t="s">
        <v>73</v>
      </c>
      <c r="E24" s="5" t="s">
        <v>46</v>
      </c>
      <c r="F24" s="5" t="s">
        <v>78</v>
      </c>
      <c r="G24" s="3" t="s">
        <v>1133</v>
      </c>
      <c r="H24" s="3" t="s">
        <v>1128</v>
      </c>
      <c r="I24" s="3" t="s">
        <v>7</v>
      </c>
      <c r="J24" s="3" t="s">
        <v>297</v>
      </c>
    </row>
    <row r="25" spans="1:10">
      <c r="A25" s="3">
        <v>22</v>
      </c>
      <c r="B25" s="3" t="s">
        <v>1151</v>
      </c>
      <c r="C25" s="4">
        <v>46206</v>
      </c>
      <c r="D25" s="3" t="s">
        <v>76</v>
      </c>
      <c r="E25" s="5" t="s">
        <v>58</v>
      </c>
      <c r="F25" s="5" t="s">
        <v>41</v>
      </c>
      <c r="G25" s="3" t="s">
        <v>1135</v>
      </c>
      <c r="H25" s="3" t="s">
        <v>1128</v>
      </c>
      <c r="I25" s="3" t="s">
        <v>22</v>
      </c>
      <c r="J25" s="3" t="s">
        <v>293</v>
      </c>
    </row>
    <row r="26" spans="1:10">
      <c r="A26" s="3">
        <v>23</v>
      </c>
      <c r="B26" s="3" t="s">
        <v>1152</v>
      </c>
      <c r="C26" s="4">
        <v>46218</v>
      </c>
      <c r="D26" s="3" t="s">
        <v>76</v>
      </c>
      <c r="E26" s="5" t="s">
        <v>13</v>
      </c>
      <c r="F26" s="5" t="s">
        <v>7</v>
      </c>
      <c r="G26" s="3" t="s">
        <v>1130</v>
      </c>
      <c r="H26" s="3" t="s">
        <v>1126</v>
      </c>
      <c r="I26" s="3" t="s">
        <v>66</v>
      </c>
      <c r="J26" s="3" t="s">
        <v>297</v>
      </c>
    </row>
    <row r="27" spans="1:10">
      <c r="A27" s="3">
        <v>24</v>
      </c>
      <c r="B27" s="3" t="s">
        <v>1153</v>
      </c>
      <c r="C27" s="4">
        <v>46206</v>
      </c>
      <c r="D27" s="3" t="s">
        <v>76</v>
      </c>
      <c r="E27" s="5" t="s">
        <v>50</v>
      </c>
      <c r="F27" s="5" t="s">
        <v>68</v>
      </c>
      <c r="G27" s="3" t="s">
        <v>1133</v>
      </c>
      <c r="H27" s="3" t="s">
        <v>1128</v>
      </c>
      <c r="I27" s="3" t="s">
        <v>78</v>
      </c>
      <c r="J27" s="3" t="s">
        <v>293</v>
      </c>
    </row>
    <row r="28" spans="1:10">
      <c r="A28" s="3">
        <v>25</v>
      </c>
      <c r="B28" s="3" t="s">
        <v>1154</v>
      </c>
      <c r="C28" s="4">
        <v>46209</v>
      </c>
      <c r="D28" s="3" t="s">
        <v>76</v>
      </c>
      <c r="E28" s="5" t="s">
        <v>39</v>
      </c>
      <c r="F28" s="5" t="s">
        <v>78</v>
      </c>
      <c r="G28" s="3" t="s">
        <v>1125</v>
      </c>
      <c r="H28" s="3" t="s">
        <v>1128</v>
      </c>
      <c r="I28" s="3" t="s">
        <v>66</v>
      </c>
      <c r="J28" s="3" t="s">
        <v>293</v>
      </c>
    </row>
    <row r="29" spans="1:10">
      <c r="A29" s="3">
        <v>26</v>
      </c>
      <c r="B29" s="3" t="s">
        <v>1155</v>
      </c>
      <c r="C29" s="4">
        <v>46221</v>
      </c>
      <c r="D29" s="3" t="s">
        <v>76</v>
      </c>
      <c r="E29" s="5" t="s">
        <v>27</v>
      </c>
      <c r="F29" s="5" t="s">
        <v>68</v>
      </c>
      <c r="G29" s="3" t="s">
        <v>1133</v>
      </c>
      <c r="H29" s="3" t="s">
        <v>1128</v>
      </c>
      <c r="I29" s="3" t="s">
        <v>22</v>
      </c>
      <c r="J29" s="3" t="s">
        <v>293</v>
      </c>
    </row>
    <row r="30" spans="1:10">
      <c r="A30" s="3">
        <v>27</v>
      </c>
      <c r="B30" s="3" t="s">
        <v>1156</v>
      </c>
      <c r="C30" s="4">
        <v>46207</v>
      </c>
      <c r="D30" s="3" t="s">
        <v>76</v>
      </c>
      <c r="E30" s="5" t="s">
        <v>58</v>
      </c>
      <c r="F30" s="5" t="s">
        <v>93</v>
      </c>
      <c r="G30" s="3" t="s">
        <v>1133</v>
      </c>
      <c r="H30" s="3" t="s">
        <v>1128</v>
      </c>
      <c r="I30" s="3" t="s">
        <v>28</v>
      </c>
      <c r="J30" s="3" t="s">
        <v>293</v>
      </c>
    </row>
    <row r="31" spans="1:10">
      <c r="A31" s="3">
        <v>28</v>
      </c>
      <c r="B31" s="3" t="s">
        <v>1157</v>
      </c>
      <c r="C31" s="4">
        <v>46260</v>
      </c>
      <c r="D31" s="3" t="s">
        <v>86</v>
      </c>
      <c r="E31" s="5" t="s">
        <v>92</v>
      </c>
      <c r="F31" s="5" t="s">
        <v>41</v>
      </c>
      <c r="G31" s="3" t="s">
        <v>1133</v>
      </c>
      <c r="H31" s="3" t="s">
        <v>1128</v>
      </c>
      <c r="I31" s="3" t="s">
        <v>28</v>
      </c>
      <c r="J31" s="3" t="s">
        <v>293</v>
      </c>
    </row>
    <row r="32" spans="1:10">
      <c r="A32" s="3">
        <v>29</v>
      </c>
      <c r="B32" s="3" t="s">
        <v>1158</v>
      </c>
      <c r="C32" s="4">
        <v>46240</v>
      </c>
      <c r="D32" s="3" t="s">
        <v>86</v>
      </c>
      <c r="E32" s="5" t="s">
        <v>13</v>
      </c>
      <c r="F32" s="5" t="s">
        <v>36</v>
      </c>
      <c r="G32" s="3" t="s">
        <v>1135</v>
      </c>
      <c r="H32" s="3" t="s">
        <v>1126</v>
      </c>
      <c r="I32" s="3" t="s">
        <v>22</v>
      </c>
      <c r="J32" s="3" t="s">
        <v>238</v>
      </c>
    </row>
    <row r="33" spans="1:10">
      <c r="A33" s="3">
        <v>30</v>
      </c>
      <c r="B33" s="3" t="s">
        <v>1159</v>
      </c>
      <c r="C33" s="4">
        <v>46249</v>
      </c>
      <c r="D33" s="3" t="s">
        <v>86</v>
      </c>
      <c r="E33" s="5" t="s">
        <v>5</v>
      </c>
      <c r="F33" s="5" t="s">
        <v>41</v>
      </c>
      <c r="G33" s="3" t="s">
        <v>1130</v>
      </c>
      <c r="H33" s="3" t="s">
        <v>1126</v>
      </c>
      <c r="I33" s="3" t="s">
        <v>15</v>
      </c>
      <c r="J33" s="3" t="s">
        <v>254</v>
      </c>
    </row>
    <row r="34" spans="1:10">
      <c r="A34" s="3">
        <v>31</v>
      </c>
      <c r="B34" s="3" t="s">
        <v>1160</v>
      </c>
      <c r="C34" s="4">
        <v>46270</v>
      </c>
      <c r="D34" s="3" t="s">
        <v>102</v>
      </c>
      <c r="E34" s="5" t="s">
        <v>50</v>
      </c>
      <c r="F34" s="5" t="s">
        <v>15</v>
      </c>
      <c r="G34" s="3" t="s">
        <v>1135</v>
      </c>
      <c r="H34" s="3" t="s">
        <v>1128</v>
      </c>
      <c r="I34" s="3" t="s">
        <v>70</v>
      </c>
      <c r="J34" s="3" t="s">
        <v>293</v>
      </c>
    </row>
    <row r="35" spans="1:10">
      <c r="A35" s="3">
        <v>32</v>
      </c>
      <c r="B35" s="3" t="s">
        <v>1161</v>
      </c>
      <c r="C35" s="4">
        <v>46289</v>
      </c>
      <c r="D35" s="3" t="s">
        <v>102</v>
      </c>
      <c r="E35" s="5" t="s">
        <v>89</v>
      </c>
      <c r="F35" s="5" t="s">
        <v>28</v>
      </c>
      <c r="G35" s="3" t="s">
        <v>1130</v>
      </c>
      <c r="H35" s="3" t="s">
        <v>1126</v>
      </c>
      <c r="I35" s="3" t="s">
        <v>36</v>
      </c>
      <c r="J35" s="3" t="s">
        <v>293</v>
      </c>
    </row>
    <row r="36" spans="1:10">
      <c r="A36" s="3">
        <v>33</v>
      </c>
      <c r="B36" s="3" t="s">
        <v>1162</v>
      </c>
      <c r="C36" s="4">
        <v>46290</v>
      </c>
      <c r="D36" s="3" t="s">
        <v>102</v>
      </c>
      <c r="E36" s="5" t="s">
        <v>58</v>
      </c>
      <c r="F36" s="5" t="s">
        <v>68</v>
      </c>
      <c r="G36" s="3" t="s">
        <v>1135</v>
      </c>
      <c r="H36" s="3" t="s">
        <v>1128</v>
      </c>
      <c r="I36" s="3" t="s">
        <v>68</v>
      </c>
      <c r="J36" s="3" t="s">
        <v>254</v>
      </c>
    </row>
    <row r="37" spans="1:10">
      <c r="A37" s="3">
        <v>34</v>
      </c>
      <c r="B37" s="3" t="s">
        <v>1163</v>
      </c>
      <c r="C37" s="4">
        <v>46301</v>
      </c>
      <c r="D37" s="3" t="s">
        <v>106</v>
      </c>
      <c r="E37" s="5" t="s">
        <v>65</v>
      </c>
      <c r="F37" s="5" t="s">
        <v>62</v>
      </c>
      <c r="G37" s="3" t="s">
        <v>1133</v>
      </c>
      <c r="H37" s="3" t="s">
        <v>1128</v>
      </c>
      <c r="I37" s="3" t="s">
        <v>68</v>
      </c>
      <c r="J37" s="3" t="s">
        <v>293</v>
      </c>
    </row>
    <row r="38" spans="1:10">
      <c r="A38" s="3">
        <v>35</v>
      </c>
      <c r="B38" s="3" t="s">
        <v>1164</v>
      </c>
      <c r="C38" s="4">
        <v>46309</v>
      </c>
      <c r="D38" s="3" t="s">
        <v>106</v>
      </c>
      <c r="E38" s="5" t="s">
        <v>27</v>
      </c>
      <c r="F38" s="5" t="s">
        <v>70</v>
      </c>
      <c r="G38" s="3" t="s">
        <v>1135</v>
      </c>
      <c r="H38" s="3" t="s">
        <v>1126</v>
      </c>
      <c r="I38" s="3" t="s">
        <v>93</v>
      </c>
      <c r="J38" s="3" t="s">
        <v>297</v>
      </c>
    </row>
    <row r="39" spans="1:10">
      <c r="A39" s="3">
        <v>36</v>
      </c>
      <c r="B39" s="3" t="s">
        <v>1165</v>
      </c>
      <c r="C39" s="4">
        <v>46317</v>
      </c>
      <c r="D39" s="3" t="s">
        <v>106</v>
      </c>
      <c r="E39" s="5" t="s">
        <v>65</v>
      </c>
      <c r="F39" s="5" t="s">
        <v>70</v>
      </c>
      <c r="G39" s="3" t="s">
        <v>1125</v>
      </c>
      <c r="H39" s="3" t="s">
        <v>1126</v>
      </c>
      <c r="I39" s="3" t="s">
        <v>68</v>
      </c>
      <c r="J39" s="3" t="s">
        <v>238</v>
      </c>
    </row>
    <row r="40" spans="1:10">
      <c r="A40" s="3">
        <v>37</v>
      </c>
      <c r="B40" s="3" t="s">
        <v>1166</v>
      </c>
      <c r="C40" s="4">
        <v>46312</v>
      </c>
      <c r="D40" s="3" t="s">
        <v>106</v>
      </c>
      <c r="E40" s="5" t="s">
        <v>58</v>
      </c>
      <c r="F40" s="5" t="s">
        <v>62</v>
      </c>
      <c r="G40" s="3" t="s">
        <v>1125</v>
      </c>
      <c r="H40" s="3" t="s">
        <v>1126</v>
      </c>
      <c r="I40" s="3" t="s">
        <v>78</v>
      </c>
      <c r="J40" s="3" t="s">
        <v>293</v>
      </c>
    </row>
    <row r="41" spans="1:10">
      <c r="A41" s="3">
        <v>38</v>
      </c>
      <c r="B41" s="3" t="s">
        <v>1167</v>
      </c>
      <c r="C41" s="4">
        <v>46297</v>
      </c>
      <c r="D41" s="3" t="s">
        <v>106</v>
      </c>
      <c r="E41" s="5" t="s">
        <v>39</v>
      </c>
      <c r="F41" s="5" t="s">
        <v>36</v>
      </c>
      <c r="G41" s="3" t="s">
        <v>1133</v>
      </c>
      <c r="H41" s="3" t="s">
        <v>1128</v>
      </c>
      <c r="I41" s="3" t="s">
        <v>15</v>
      </c>
      <c r="J41" s="3" t="s">
        <v>254</v>
      </c>
    </row>
    <row r="42" spans="1:10">
      <c r="A42" s="3">
        <v>39</v>
      </c>
      <c r="B42" s="3" t="s">
        <v>1168</v>
      </c>
      <c r="C42" s="4">
        <v>46316</v>
      </c>
      <c r="D42" s="3" t="s">
        <v>106</v>
      </c>
      <c r="E42" s="5" t="s">
        <v>39</v>
      </c>
      <c r="F42" s="5" t="s">
        <v>22</v>
      </c>
      <c r="G42" s="3" t="s">
        <v>1130</v>
      </c>
      <c r="H42" s="3" t="s">
        <v>1126</v>
      </c>
      <c r="I42" s="3" t="s">
        <v>70</v>
      </c>
      <c r="J42" s="3" t="s">
        <v>293</v>
      </c>
    </row>
    <row r="43" spans="1:10">
      <c r="A43" s="3">
        <v>40</v>
      </c>
      <c r="B43" s="3" t="s">
        <v>1169</v>
      </c>
      <c r="C43" s="4">
        <v>46347</v>
      </c>
      <c r="D43" s="3" t="s">
        <v>111</v>
      </c>
      <c r="E43" s="5" t="s">
        <v>89</v>
      </c>
      <c r="F43" s="5" t="s">
        <v>7</v>
      </c>
      <c r="G43" s="3" t="s">
        <v>1125</v>
      </c>
      <c r="H43" s="3" t="s">
        <v>1128</v>
      </c>
      <c r="I43" s="3" t="s">
        <v>62</v>
      </c>
      <c r="J43" s="3" t="s">
        <v>254</v>
      </c>
    </row>
    <row r="44" spans="1:10">
      <c r="A44" s="3">
        <v>41</v>
      </c>
      <c r="B44" s="3" t="s">
        <v>1170</v>
      </c>
      <c r="C44" s="4">
        <v>46353</v>
      </c>
      <c r="D44" s="3" t="s">
        <v>111</v>
      </c>
      <c r="E44" s="5" t="s">
        <v>46</v>
      </c>
      <c r="F44" s="5" t="s">
        <v>28</v>
      </c>
      <c r="G44" s="3" t="s">
        <v>1133</v>
      </c>
      <c r="H44" s="3" t="s">
        <v>1128</v>
      </c>
      <c r="I44" s="3" t="s">
        <v>28</v>
      </c>
      <c r="J44" s="3" t="s">
        <v>254</v>
      </c>
    </row>
    <row r="45" spans="1:10">
      <c r="A45" s="3">
        <v>42</v>
      </c>
      <c r="B45" s="3" t="s">
        <v>1171</v>
      </c>
      <c r="C45" s="4">
        <v>46329</v>
      </c>
      <c r="D45" s="3" t="s">
        <v>111</v>
      </c>
      <c r="E45" s="5" t="s">
        <v>65</v>
      </c>
      <c r="F45" s="5" t="s">
        <v>28</v>
      </c>
      <c r="G45" s="3" t="s">
        <v>1130</v>
      </c>
      <c r="H45" s="3" t="s">
        <v>1126</v>
      </c>
      <c r="I45" s="3" t="s">
        <v>15</v>
      </c>
      <c r="J45" s="3" t="s">
        <v>297</v>
      </c>
    </row>
    <row r="46" spans="1:10">
      <c r="A46" s="3">
        <v>43</v>
      </c>
      <c r="B46" s="3" t="s">
        <v>1172</v>
      </c>
      <c r="C46" s="4">
        <v>46349</v>
      </c>
      <c r="D46" s="3" t="s">
        <v>111</v>
      </c>
      <c r="E46" s="5" t="s">
        <v>89</v>
      </c>
      <c r="F46" s="5" t="s">
        <v>28</v>
      </c>
      <c r="G46" s="3" t="s">
        <v>1135</v>
      </c>
      <c r="H46" s="3" t="s">
        <v>1128</v>
      </c>
      <c r="I46" s="3" t="s">
        <v>78</v>
      </c>
      <c r="J46" s="3" t="s">
        <v>293</v>
      </c>
    </row>
    <row r="47" spans="1:10">
      <c r="A47" s="3">
        <v>44</v>
      </c>
      <c r="B47" s="3" t="s">
        <v>1173</v>
      </c>
      <c r="C47" s="4">
        <v>46341</v>
      </c>
      <c r="D47" s="3" t="s">
        <v>111</v>
      </c>
      <c r="E47" s="5" t="s">
        <v>89</v>
      </c>
      <c r="F47" s="5" t="s">
        <v>62</v>
      </c>
      <c r="G47" s="3" t="s">
        <v>1125</v>
      </c>
      <c r="H47" s="3" t="s">
        <v>1126</v>
      </c>
      <c r="I47" s="3" t="s">
        <v>7</v>
      </c>
      <c r="J47" s="3" t="s">
        <v>254</v>
      </c>
    </row>
    <row r="48" spans="1:10">
      <c r="A48" s="3">
        <v>45</v>
      </c>
      <c r="B48" s="3" t="s">
        <v>1174</v>
      </c>
      <c r="C48" s="4">
        <v>46366</v>
      </c>
      <c r="D48" s="3" t="s">
        <v>122</v>
      </c>
      <c r="E48" s="5" t="s">
        <v>27</v>
      </c>
      <c r="F48" s="5" t="s">
        <v>68</v>
      </c>
      <c r="G48" s="3" t="s">
        <v>1130</v>
      </c>
      <c r="H48" s="3" t="s">
        <v>1128</v>
      </c>
      <c r="I48" s="3" t="s">
        <v>70</v>
      </c>
      <c r="J48" s="3" t="s">
        <v>293</v>
      </c>
    </row>
    <row r="49" spans="1:10">
      <c r="A49" s="3">
        <v>46</v>
      </c>
      <c r="B49" s="3" t="s">
        <v>1175</v>
      </c>
      <c r="C49" s="4">
        <v>46377</v>
      </c>
      <c r="D49" s="3" t="s">
        <v>122</v>
      </c>
      <c r="E49" s="5" t="s">
        <v>58</v>
      </c>
      <c r="F49" s="5" t="s">
        <v>7</v>
      </c>
      <c r="G49" s="3" t="s">
        <v>1130</v>
      </c>
      <c r="H49" s="3" t="s">
        <v>1128</v>
      </c>
      <c r="I49" s="3" t="s">
        <v>62</v>
      </c>
      <c r="J49" s="3" t="s">
        <v>293</v>
      </c>
    </row>
    <row r="50" spans="1:10">
      <c r="A50" s="3">
        <v>47</v>
      </c>
      <c r="B50" s="3" t="s">
        <v>1176</v>
      </c>
      <c r="C50" s="4">
        <v>46374</v>
      </c>
      <c r="D50" s="3" t="s">
        <v>122</v>
      </c>
      <c r="E50" s="5" t="s">
        <v>13</v>
      </c>
      <c r="F50" s="5" t="s">
        <v>7</v>
      </c>
      <c r="G50" s="3" t="s">
        <v>1133</v>
      </c>
      <c r="H50" s="3" t="s">
        <v>1128</v>
      </c>
      <c r="I50" s="3" t="s">
        <v>70</v>
      </c>
      <c r="J50" s="3" t="s">
        <v>293</v>
      </c>
    </row>
    <row r="51" spans="1:10">
      <c r="A51" s="3">
        <v>48</v>
      </c>
      <c r="B51" s="3" t="s">
        <v>1177</v>
      </c>
      <c r="C51" s="4">
        <v>46377</v>
      </c>
      <c r="D51" s="3" t="s">
        <v>122</v>
      </c>
      <c r="E51" s="5" t="s">
        <v>5</v>
      </c>
      <c r="F51" s="5" t="s">
        <v>104</v>
      </c>
      <c r="G51" s="3" t="s">
        <v>1133</v>
      </c>
      <c r="H51" s="3" t="s">
        <v>1128</v>
      </c>
      <c r="I51" s="3" t="s">
        <v>28</v>
      </c>
      <c r="J51" s="3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E4:E5003">
      <formula1>L_Dept</formula1>
    </dataValidation>
    <dataValidation type="list" allowBlank="1" showInputMessage="1" showErrorMessage="1" sqref="J4:J5003">
      <formula1>L_Status</formula1>
    </dataValidation>
  </dataValidations>
  <hyperlinks>
    <hyperlink ref="L1" location="'Home'!A1" display="Home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1.7109375" customWidth="1"/>
    <col min="3" max="4" width="9.7109375" customWidth="1"/>
    <col min="5" max="5" width="21.7109375" customWidth="1"/>
    <col min="6" max="6" width="12.7109375" customWidth="1"/>
    <col min="7" max="7" width="10.7109375" customWidth="1"/>
    <col min="8" max="8" width="9.7109375" customWidth="1"/>
    <col min="9" max="10" width="18.7109375" customWidth="1"/>
    <col min="11" max="11" width="19.7109375" customWidth="1"/>
    <col min="12" max="12" width="14.7109375" customWidth="1"/>
    <col min="13" max="13" width="9.7109375" customWidth="1"/>
    <col min="14" max="14" width="17.7109375" customWidth="1"/>
  </cols>
  <sheetData>
    <row r="1" spans="1:16" ht="22" customHeight="1">
      <c r="A1" s="1" t="s">
        <v>1183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764</v>
      </c>
      <c r="C3" t="s">
        <v>126</v>
      </c>
      <c r="D3" t="s">
        <v>127</v>
      </c>
      <c r="E3" t="s">
        <v>1237</v>
      </c>
      <c r="F3" t="s">
        <v>129</v>
      </c>
      <c r="G3" t="s">
        <v>130</v>
      </c>
      <c r="H3" t="s">
        <v>1238</v>
      </c>
      <c r="I3" t="s">
        <v>1239</v>
      </c>
      <c r="J3" t="s">
        <v>1240</v>
      </c>
      <c r="K3" t="s">
        <v>1241</v>
      </c>
      <c r="L3" t="s">
        <v>1242</v>
      </c>
      <c r="M3" t="s">
        <v>1243</v>
      </c>
      <c r="N3" t="s">
        <v>137</v>
      </c>
    </row>
    <row r="4" spans="1:16">
      <c r="A4" s="3">
        <v>1</v>
      </c>
      <c r="B4" s="3" t="s">
        <v>1184</v>
      </c>
      <c r="C4" s="4">
        <v>46024</v>
      </c>
      <c r="D4" s="3" t="s">
        <v>3</v>
      </c>
      <c r="E4" s="5" t="s">
        <v>1185</v>
      </c>
      <c r="F4" s="5" t="s">
        <v>39</v>
      </c>
      <c r="G4" s="3" t="s">
        <v>80</v>
      </c>
      <c r="H4" s="3" t="s">
        <v>78</v>
      </c>
      <c r="I4" s="3">
        <v>42</v>
      </c>
      <c r="J4" s="3">
        <v>6</v>
      </c>
      <c r="K4" s="3">
        <v>36</v>
      </c>
      <c r="L4" s="6">
        <f>IFERROR((K4-J4)/K4*100,0)</f>
        <v>0</v>
      </c>
      <c r="M4" s="3" t="s">
        <v>165</v>
      </c>
      <c r="N4" s="3" t="s">
        <v>23</v>
      </c>
    </row>
    <row r="5" spans="1:16">
      <c r="A5" s="3">
        <v>2</v>
      </c>
      <c r="B5" s="3" t="s">
        <v>1186</v>
      </c>
      <c r="C5" s="4">
        <v>46039</v>
      </c>
      <c r="D5" s="3" t="s">
        <v>3</v>
      </c>
      <c r="E5" s="5" t="s">
        <v>1187</v>
      </c>
      <c r="F5" s="5" t="s">
        <v>39</v>
      </c>
      <c r="G5" s="3" t="s">
        <v>77</v>
      </c>
      <c r="H5" s="3" t="s">
        <v>62</v>
      </c>
      <c r="I5" s="3">
        <v>25</v>
      </c>
      <c r="J5" s="3">
        <v>4</v>
      </c>
      <c r="K5" s="3">
        <v>49</v>
      </c>
      <c r="L5" s="6">
        <f>IFERROR((K5-J5)/K5*100,0)</f>
        <v>0</v>
      </c>
      <c r="M5" s="3" t="s">
        <v>165</v>
      </c>
      <c r="N5" s="3" t="s">
        <v>23</v>
      </c>
    </row>
    <row r="6" spans="1:16">
      <c r="A6" s="3">
        <v>3</v>
      </c>
      <c r="B6" s="3" t="s">
        <v>1188</v>
      </c>
      <c r="C6" s="4">
        <v>46026</v>
      </c>
      <c r="D6" s="3" t="s">
        <v>3</v>
      </c>
      <c r="E6" s="5" t="s">
        <v>1187</v>
      </c>
      <c r="F6" s="5" t="s">
        <v>65</v>
      </c>
      <c r="G6" s="3" t="s">
        <v>80</v>
      </c>
      <c r="H6" s="3" t="s">
        <v>36</v>
      </c>
      <c r="I6" s="3">
        <v>45</v>
      </c>
      <c r="J6" s="3">
        <v>8</v>
      </c>
      <c r="K6" s="3">
        <v>21</v>
      </c>
      <c r="L6" s="6">
        <f>IFERROR((K6-J6)/K6*100,0)</f>
        <v>0</v>
      </c>
      <c r="M6" s="3" t="s">
        <v>165</v>
      </c>
      <c r="N6" s="3" t="s">
        <v>9</v>
      </c>
    </row>
    <row r="7" spans="1:16">
      <c r="A7" s="3">
        <v>4</v>
      </c>
      <c r="B7" s="3" t="s">
        <v>1189</v>
      </c>
      <c r="C7" s="4">
        <v>46055</v>
      </c>
      <c r="D7" s="3" t="s">
        <v>19</v>
      </c>
      <c r="E7" s="5" t="s">
        <v>61</v>
      </c>
      <c r="F7" s="5" t="s">
        <v>58</v>
      </c>
      <c r="G7" s="3" t="s">
        <v>80</v>
      </c>
      <c r="H7" s="3" t="s">
        <v>28</v>
      </c>
      <c r="I7" s="3">
        <v>34</v>
      </c>
      <c r="J7" s="3">
        <v>8</v>
      </c>
      <c r="K7" s="3">
        <v>19</v>
      </c>
      <c r="L7" s="6">
        <f>IFERROR((K7-J7)/K7*100,0)</f>
        <v>0</v>
      </c>
      <c r="M7" s="3" t="s">
        <v>165</v>
      </c>
      <c r="N7" s="3" t="s">
        <v>9</v>
      </c>
    </row>
    <row r="8" spans="1:16">
      <c r="A8" s="3">
        <v>5</v>
      </c>
      <c r="B8" s="3" t="s">
        <v>1190</v>
      </c>
      <c r="C8" s="4">
        <v>46067</v>
      </c>
      <c r="D8" s="3" t="s">
        <v>19</v>
      </c>
      <c r="E8" s="5" t="s">
        <v>61</v>
      </c>
      <c r="F8" s="5" t="s">
        <v>65</v>
      </c>
      <c r="G8" s="3" t="s">
        <v>14</v>
      </c>
      <c r="H8" s="3" t="s">
        <v>93</v>
      </c>
      <c r="I8" s="3">
        <v>23</v>
      </c>
      <c r="J8" s="3">
        <v>8</v>
      </c>
      <c r="K8" s="3">
        <v>40</v>
      </c>
      <c r="L8" s="6">
        <f>IFERROR((K8-J8)/K8*100,0)</f>
        <v>0</v>
      </c>
      <c r="M8" s="3" t="s">
        <v>145</v>
      </c>
      <c r="N8" s="3" t="s">
        <v>9</v>
      </c>
    </row>
    <row r="9" spans="1:16">
      <c r="A9" s="3">
        <v>6</v>
      </c>
      <c r="B9" s="3" t="s">
        <v>1191</v>
      </c>
      <c r="C9" s="4">
        <v>46068</v>
      </c>
      <c r="D9" s="3" t="s">
        <v>19</v>
      </c>
      <c r="E9" s="5" t="s">
        <v>1187</v>
      </c>
      <c r="F9" s="5" t="s">
        <v>58</v>
      </c>
      <c r="G9" s="3" t="s">
        <v>80</v>
      </c>
      <c r="H9" s="3" t="s">
        <v>41</v>
      </c>
      <c r="I9" s="3">
        <v>16</v>
      </c>
      <c r="J9" s="3">
        <v>6</v>
      </c>
      <c r="K9" s="3">
        <v>46</v>
      </c>
      <c r="L9" s="6">
        <f>IFERROR((K9-J9)/K9*100,0)</f>
        <v>0</v>
      </c>
      <c r="M9" s="3" t="s">
        <v>145</v>
      </c>
      <c r="N9" s="3" t="s">
        <v>9</v>
      </c>
    </row>
    <row r="10" spans="1:16">
      <c r="A10" s="3">
        <v>7</v>
      </c>
      <c r="B10" s="3" t="s">
        <v>1192</v>
      </c>
      <c r="C10" s="4">
        <v>46106</v>
      </c>
      <c r="D10" s="3" t="s">
        <v>44</v>
      </c>
      <c r="E10" s="5" t="s">
        <v>1187</v>
      </c>
      <c r="F10" s="5" t="s">
        <v>50</v>
      </c>
      <c r="G10" s="3" t="s">
        <v>6</v>
      </c>
      <c r="H10" s="3" t="s">
        <v>15</v>
      </c>
      <c r="I10" s="3">
        <v>45</v>
      </c>
      <c r="J10" s="3">
        <v>1</v>
      </c>
      <c r="K10" s="3">
        <v>46</v>
      </c>
      <c r="L10" s="6">
        <f>IFERROR((K10-J10)/K10*100,0)</f>
        <v>0</v>
      </c>
      <c r="M10" s="3" t="s">
        <v>165</v>
      </c>
      <c r="N10" s="3" t="s">
        <v>9</v>
      </c>
    </row>
    <row r="11" spans="1:16">
      <c r="A11" s="3">
        <v>8</v>
      </c>
      <c r="B11" s="3" t="s">
        <v>1193</v>
      </c>
      <c r="C11" s="4">
        <v>46097</v>
      </c>
      <c r="D11" s="3" t="s">
        <v>44</v>
      </c>
      <c r="E11" s="5" t="s">
        <v>30</v>
      </c>
      <c r="F11" s="5" t="s">
        <v>50</v>
      </c>
      <c r="G11" s="3" t="s">
        <v>77</v>
      </c>
      <c r="H11" s="3" t="s">
        <v>15</v>
      </c>
      <c r="I11" s="3">
        <v>11</v>
      </c>
      <c r="J11" s="3">
        <v>4</v>
      </c>
      <c r="K11" s="3">
        <v>28</v>
      </c>
      <c r="L11" s="6">
        <f>IFERROR((K11-J11)/K11*100,0)</f>
        <v>0</v>
      </c>
      <c r="M11" s="3" t="s">
        <v>145</v>
      </c>
      <c r="N11" s="3" t="s">
        <v>9</v>
      </c>
    </row>
    <row r="12" spans="1:16">
      <c r="A12" s="3">
        <v>9</v>
      </c>
      <c r="B12" s="3" t="s">
        <v>1194</v>
      </c>
      <c r="C12" s="4">
        <v>46126</v>
      </c>
      <c r="D12" s="3" t="s">
        <v>53</v>
      </c>
      <c r="E12" s="5" t="s">
        <v>61</v>
      </c>
      <c r="F12" s="5" t="s">
        <v>58</v>
      </c>
      <c r="G12" s="3" t="s">
        <v>87</v>
      </c>
      <c r="H12" s="3" t="s">
        <v>68</v>
      </c>
      <c r="I12" s="3">
        <v>26</v>
      </c>
      <c r="J12" s="3">
        <v>8</v>
      </c>
      <c r="K12" s="3">
        <v>34</v>
      </c>
      <c r="L12" s="6">
        <f>IFERROR((K12-J12)/K12*100,0)</f>
        <v>0</v>
      </c>
      <c r="M12" s="3" t="s">
        <v>165</v>
      </c>
      <c r="N12" s="3" t="s">
        <v>9</v>
      </c>
    </row>
    <row r="13" spans="1:16">
      <c r="A13" s="3">
        <v>10</v>
      </c>
      <c r="B13" s="3" t="s">
        <v>1195</v>
      </c>
      <c r="C13" s="4">
        <v>46117</v>
      </c>
      <c r="D13" s="3" t="s">
        <v>53</v>
      </c>
      <c r="E13" s="5" t="s">
        <v>1196</v>
      </c>
      <c r="F13" s="5" t="s">
        <v>27</v>
      </c>
      <c r="G13" s="3" t="s">
        <v>14</v>
      </c>
      <c r="H13" s="3" t="s">
        <v>68</v>
      </c>
      <c r="I13" s="3">
        <v>20</v>
      </c>
      <c r="J13" s="3">
        <v>1</v>
      </c>
      <c r="K13" s="3">
        <v>46</v>
      </c>
      <c r="L13" s="6">
        <f>IFERROR((K13-J13)/K13*100,0)</f>
        <v>0</v>
      </c>
      <c r="M13" s="3" t="s">
        <v>145</v>
      </c>
      <c r="N13" s="3" t="s">
        <v>9</v>
      </c>
    </row>
    <row r="14" spans="1:16">
      <c r="A14" s="3">
        <v>11</v>
      </c>
      <c r="B14" s="3" t="s">
        <v>1197</v>
      </c>
      <c r="C14" s="4">
        <v>46123</v>
      </c>
      <c r="D14" s="3" t="s">
        <v>53</v>
      </c>
      <c r="E14" s="5" t="s">
        <v>1187</v>
      </c>
      <c r="F14" s="5" t="s">
        <v>65</v>
      </c>
      <c r="G14" s="3" t="s">
        <v>95</v>
      </c>
      <c r="H14" s="3" t="s">
        <v>32</v>
      </c>
      <c r="I14" s="3">
        <v>17</v>
      </c>
      <c r="J14" s="3">
        <v>3</v>
      </c>
      <c r="K14" s="3">
        <v>44</v>
      </c>
      <c r="L14" s="6">
        <f>IFERROR((K14-J14)/K14*100,0)</f>
        <v>0</v>
      </c>
      <c r="M14" s="3" t="s">
        <v>148</v>
      </c>
      <c r="N14" s="3" t="s">
        <v>23</v>
      </c>
    </row>
    <row r="15" spans="1:16">
      <c r="A15" s="3">
        <v>12</v>
      </c>
      <c r="B15" s="3" t="s">
        <v>1198</v>
      </c>
      <c r="C15" s="4">
        <v>46123</v>
      </c>
      <c r="D15" s="3" t="s">
        <v>53</v>
      </c>
      <c r="E15" s="5" t="s">
        <v>1196</v>
      </c>
      <c r="F15" s="5" t="s">
        <v>58</v>
      </c>
      <c r="G15" s="3" t="s">
        <v>80</v>
      </c>
      <c r="H15" s="3" t="s">
        <v>22</v>
      </c>
      <c r="I15" s="3">
        <v>28</v>
      </c>
      <c r="J15" s="3">
        <v>5</v>
      </c>
      <c r="K15" s="3">
        <v>25</v>
      </c>
      <c r="L15" s="6">
        <f>IFERROR((K15-J15)/K15*100,0)</f>
        <v>0</v>
      </c>
      <c r="M15" s="3" t="s">
        <v>145</v>
      </c>
      <c r="N15" s="3" t="s">
        <v>23</v>
      </c>
    </row>
    <row r="16" spans="1:16">
      <c r="A16" s="3">
        <v>13</v>
      </c>
      <c r="B16" s="3" t="s">
        <v>1199</v>
      </c>
      <c r="C16" s="4">
        <v>46137</v>
      </c>
      <c r="D16" s="3" t="s">
        <v>53</v>
      </c>
      <c r="E16" s="5" t="s">
        <v>1196</v>
      </c>
      <c r="F16" s="5" t="s">
        <v>58</v>
      </c>
      <c r="G16" s="3" t="s">
        <v>87</v>
      </c>
      <c r="H16" s="3" t="s">
        <v>41</v>
      </c>
      <c r="I16" s="3">
        <v>33</v>
      </c>
      <c r="J16" s="3">
        <v>1</v>
      </c>
      <c r="K16" s="3">
        <v>25</v>
      </c>
      <c r="L16" s="6">
        <f>IFERROR((K16-J16)/K16*100,0)</f>
        <v>0</v>
      </c>
      <c r="M16" s="3" t="s">
        <v>148</v>
      </c>
      <c r="N16" s="3" t="s">
        <v>9</v>
      </c>
    </row>
    <row r="17" spans="1:14">
      <c r="A17" s="3">
        <v>14</v>
      </c>
      <c r="B17" s="3" t="s">
        <v>1200</v>
      </c>
      <c r="C17" s="4">
        <v>46138</v>
      </c>
      <c r="D17" s="3" t="s">
        <v>53</v>
      </c>
      <c r="E17" s="5" t="s">
        <v>1187</v>
      </c>
      <c r="F17" s="5" t="s">
        <v>5</v>
      </c>
      <c r="G17" s="3" t="s">
        <v>80</v>
      </c>
      <c r="H17" s="3" t="s">
        <v>68</v>
      </c>
      <c r="I17" s="3">
        <v>28</v>
      </c>
      <c r="J17" s="3">
        <v>5</v>
      </c>
      <c r="K17" s="3">
        <v>42</v>
      </c>
      <c r="L17" s="6">
        <f>IFERROR((K17-J17)/K17*100,0)</f>
        <v>0</v>
      </c>
      <c r="M17" s="3" t="s">
        <v>148</v>
      </c>
      <c r="N17" s="3" t="s">
        <v>23</v>
      </c>
    </row>
    <row r="18" spans="1:14">
      <c r="A18" s="3">
        <v>15</v>
      </c>
      <c r="B18" s="3" t="s">
        <v>1201</v>
      </c>
      <c r="C18" s="4">
        <v>46127</v>
      </c>
      <c r="D18" s="3" t="s">
        <v>53</v>
      </c>
      <c r="E18" s="5" t="s">
        <v>1202</v>
      </c>
      <c r="F18" s="5" t="s">
        <v>46</v>
      </c>
      <c r="G18" s="3" t="s">
        <v>51</v>
      </c>
      <c r="H18" s="3" t="s">
        <v>62</v>
      </c>
      <c r="I18" s="3">
        <v>34</v>
      </c>
      <c r="J18" s="3">
        <v>4</v>
      </c>
      <c r="K18" s="3">
        <v>20</v>
      </c>
      <c r="L18" s="6">
        <f>IFERROR((K18-J18)/K18*100,0)</f>
        <v>0</v>
      </c>
      <c r="M18" s="3" t="s">
        <v>165</v>
      </c>
      <c r="N18" s="3" t="s">
        <v>23</v>
      </c>
    </row>
    <row r="19" spans="1:14">
      <c r="A19" s="3">
        <v>16</v>
      </c>
      <c r="B19" s="3" t="s">
        <v>1203</v>
      </c>
      <c r="C19" s="4">
        <v>46125</v>
      </c>
      <c r="D19" s="3" t="s">
        <v>53</v>
      </c>
      <c r="E19" s="5" t="s">
        <v>1202</v>
      </c>
      <c r="F19" s="5" t="s">
        <v>27</v>
      </c>
      <c r="G19" s="3" t="s">
        <v>35</v>
      </c>
      <c r="H19" s="3" t="s">
        <v>15</v>
      </c>
      <c r="I19" s="3">
        <v>50</v>
      </c>
      <c r="J19" s="3">
        <v>4</v>
      </c>
      <c r="K19" s="3">
        <v>45</v>
      </c>
      <c r="L19" s="6">
        <f>IFERROR((K19-J19)/K19*100,0)</f>
        <v>0</v>
      </c>
      <c r="M19" s="3" t="s">
        <v>165</v>
      </c>
      <c r="N19" s="3" t="s">
        <v>23</v>
      </c>
    </row>
    <row r="20" spans="1:14">
      <c r="A20" s="3">
        <v>17</v>
      </c>
      <c r="B20" s="3" t="s">
        <v>1204</v>
      </c>
      <c r="C20" s="4">
        <v>46150</v>
      </c>
      <c r="D20" s="3" t="s">
        <v>60</v>
      </c>
      <c r="E20" s="5" t="s">
        <v>1205</v>
      </c>
      <c r="F20" s="5" t="s">
        <v>13</v>
      </c>
      <c r="G20" s="3" t="s">
        <v>14</v>
      </c>
      <c r="H20" s="3" t="s">
        <v>36</v>
      </c>
      <c r="I20" s="3">
        <v>57</v>
      </c>
      <c r="J20" s="3">
        <v>5</v>
      </c>
      <c r="K20" s="3">
        <v>46</v>
      </c>
      <c r="L20" s="6">
        <f>IFERROR((K20-J20)/K20*100,0)</f>
        <v>0</v>
      </c>
      <c r="M20" s="3" t="s">
        <v>148</v>
      </c>
      <c r="N20" s="3" t="s">
        <v>9</v>
      </c>
    </row>
    <row r="21" spans="1:14">
      <c r="A21" s="3">
        <v>18</v>
      </c>
      <c r="B21" s="3" t="s">
        <v>1206</v>
      </c>
      <c r="C21" s="4">
        <v>46150</v>
      </c>
      <c r="D21" s="3" t="s">
        <v>60</v>
      </c>
      <c r="E21" s="5" t="s">
        <v>61</v>
      </c>
      <c r="F21" s="5" t="s">
        <v>92</v>
      </c>
      <c r="G21" s="3" t="s">
        <v>95</v>
      </c>
      <c r="H21" s="3" t="s">
        <v>93</v>
      </c>
      <c r="I21" s="3">
        <v>22</v>
      </c>
      <c r="J21" s="3">
        <v>8</v>
      </c>
      <c r="K21" s="3">
        <v>46</v>
      </c>
      <c r="L21" s="6">
        <f>IFERROR((K21-J21)/K21*100,0)</f>
        <v>0</v>
      </c>
      <c r="M21" s="3" t="s">
        <v>165</v>
      </c>
      <c r="N21" s="3" t="s">
        <v>23</v>
      </c>
    </row>
    <row r="22" spans="1:14">
      <c r="A22" s="3">
        <v>19</v>
      </c>
      <c r="B22" s="3" t="s">
        <v>1207</v>
      </c>
      <c r="C22" s="4">
        <v>46146</v>
      </c>
      <c r="D22" s="3" t="s">
        <v>60</v>
      </c>
      <c r="E22" s="5" t="s">
        <v>1185</v>
      </c>
      <c r="F22" s="5" t="s">
        <v>58</v>
      </c>
      <c r="G22" s="3" t="s">
        <v>31</v>
      </c>
      <c r="H22" s="3" t="s">
        <v>93</v>
      </c>
      <c r="I22" s="3">
        <v>24</v>
      </c>
      <c r="J22" s="3">
        <v>1</v>
      </c>
      <c r="K22" s="3">
        <v>16</v>
      </c>
      <c r="L22" s="6">
        <f>IFERROR((K22-J22)/K22*100,0)</f>
        <v>0</v>
      </c>
      <c r="M22" s="3" t="s">
        <v>145</v>
      </c>
      <c r="N22" s="3" t="s">
        <v>23</v>
      </c>
    </row>
    <row r="23" spans="1:14">
      <c r="A23" s="3">
        <v>20</v>
      </c>
      <c r="B23" s="3" t="s">
        <v>1208</v>
      </c>
      <c r="C23" s="4">
        <v>46148</v>
      </c>
      <c r="D23" s="3" t="s">
        <v>60</v>
      </c>
      <c r="E23" s="5" t="s">
        <v>30</v>
      </c>
      <c r="F23" s="5" t="s">
        <v>5</v>
      </c>
      <c r="G23" s="3" t="s">
        <v>40</v>
      </c>
      <c r="H23" s="3" t="s">
        <v>66</v>
      </c>
      <c r="I23" s="3">
        <v>38</v>
      </c>
      <c r="J23" s="3">
        <v>5</v>
      </c>
      <c r="K23" s="3">
        <v>49</v>
      </c>
      <c r="L23" s="6">
        <f>IFERROR((K23-J23)/K23*100,0)</f>
        <v>0</v>
      </c>
      <c r="M23" s="3" t="s">
        <v>165</v>
      </c>
      <c r="N23" s="3" t="s">
        <v>9</v>
      </c>
    </row>
    <row r="24" spans="1:14">
      <c r="A24" s="3">
        <v>21</v>
      </c>
      <c r="B24" s="3" t="s">
        <v>1209</v>
      </c>
      <c r="C24" s="4">
        <v>46154</v>
      </c>
      <c r="D24" s="3" t="s">
        <v>60</v>
      </c>
      <c r="E24" s="5" t="s">
        <v>1205</v>
      </c>
      <c r="F24" s="5" t="s">
        <v>65</v>
      </c>
      <c r="G24" s="3" t="s">
        <v>95</v>
      </c>
      <c r="H24" s="3" t="s">
        <v>36</v>
      </c>
      <c r="I24" s="3">
        <v>56</v>
      </c>
      <c r="J24" s="3">
        <v>1</v>
      </c>
      <c r="K24" s="3">
        <v>48</v>
      </c>
      <c r="L24" s="6">
        <f>IFERROR((K24-J24)/K24*100,0)</f>
        <v>0</v>
      </c>
      <c r="M24" s="3" t="s">
        <v>165</v>
      </c>
      <c r="N24" s="3" t="s">
        <v>9</v>
      </c>
    </row>
    <row r="25" spans="1:14">
      <c r="A25" s="3">
        <v>22</v>
      </c>
      <c r="B25" s="3" t="s">
        <v>1210</v>
      </c>
      <c r="C25" s="4">
        <v>46162</v>
      </c>
      <c r="D25" s="3" t="s">
        <v>60</v>
      </c>
      <c r="E25" s="5" t="s">
        <v>61</v>
      </c>
      <c r="F25" s="5" t="s">
        <v>27</v>
      </c>
      <c r="G25" s="3" t="s">
        <v>77</v>
      </c>
      <c r="H25" s="3" t="s">
        <v>62</v>
      </c>
      <c r="I25" s="3">
        <v>51</v>
      </c>
      <c r="J25" s="3">
        <v>2</v>
      </c>
      <c r="K25" s="3">
        <v>48</v>
      </c>
      <c r="L25" s="6">
        <f>IFERROR((K25-J25)/K25*100,0)</f>
        <v>0</v>
      </c>
      <c r="M25" s="3" t="s">
        <v>145</v>
      </c>
      <c r="N25" s="3" t="s">
        <v>23</v>
      </c>
    </row>
    <row r="26" spans="1:14">
      <c r="A26" s="3">
        <v>23</v>
      </c>
      <c r="B26" s="3" t="s">
        <v>1211</v>
      </c>
      <c r="C26" s="4">
        <v>46191</v>
      </c>
      <c r="D26" s="3" t="s">
        <v>73</v>
      </c>
      <c r="E26" s="5" t="s">
        <v>61</v>
      </c>
      <c r="F26" s="5" t="s">
        <v>46</v>
      </c>
      <c r="G26" s="3" t="s">
        <v>6</v>
      </c>
      <c r="H26" s="3" t="s">
        <v>78</v>
      </c>
      <c r="I26" s="3">
        <v>54</v>
      </c>
      <c r="J26" s="3">
        <v>4</v>
      </c>
      <c r="K26" s="3">
        <v>16</v>
      </c>
      <c r="L26" s="6">
        <f>IFERROR((K26-J26)/K26*100,0)</f>
        <v>0</v>
      </c>
      <c r="M26" s="3" t="s">
        <v>145</v>
      </c>
      <c r="N26" s="3" t="s">
        <v>23</v>
      </c>
    </row>
    <row r="27" spans="1:14">
      <c r="A27" s="3">
        <v>24</v>
      </c>
      <c r="B27" s="3" t="s">
        <v>1212</v>
      </c>
      <c r="C27" s="4">
        <v>46187</v>
      </c>
      <c r="D27" s="3" t="s">
        <v>73</v>
      </c>
      <c r="E27" s="5" t="s">
        <v>61</v>
      </c>
      <c r="F27" s="5" t="s">
        <v>89</v>
      </c>
      <c r="G27" s="3" t="s">
        <v>6</v>
      </c>
      <c r="H27" s="3" t="s">
        <v>66</v>
      </c>
      <c r="I27" s="3">
        <v>33</v>
      </c>
      <c r="J27" s="3">
        <v>0</v>
      </c>
      <c r="K27" s="3">
        <v>17</v>
      </c>
      <c r="L27" s="6">
        <f>IFERROR((K27-J27)/K27*100,0)</f>
        <v>0</v>
      </c>
      <c r="M27" s="3" t="s">
        <v>165</v>
      </c>
      <c r="N27" s="3" t="s">
        <v>9</v>
      </c>
    </row>
    <row r="28" spans="1:14">
      <c r="A28" s="3">
        <v>25</v>
      </c>
      <c r="B28" s="3" t="s">
        <v>1213</v>
      </c>
      <c r="C28" s="4">
        <v>46181</v>
      </c>
      <c r="D28" s="3" t="s">
        <v>73</v>
      </c>
      <c r="E28" s="5" t="s">
        <v>1187</v>
      </c>
      <c r="F28" s="5" t="s">
        <v>65</v>
      </c>
      <c r="G28" s="3" t="s">
        <v>77</v>
      </c>
      <c r="H28" s="3" t="s">
        <v>32</v>
      </c>
      <c r="I28" s="3">
        <v>45</v>
      </c>
      <c r="J28" s="3">
        <v>3</v>
      </c>
      <c r="K28" s="3">
        <v>17</v>
      </c>
      <c r="L28" s="6">
        <f>IFERROR((K28-J28)/K28*100,0)</f>
        <v>0</v>
      </c>
      <c r="M28" s="3" t="s">
        <v>145</v>
      </c>
      <c r="N28" s="3" t="s">
        <v>9</v>
      </c>
    </row>
    <row r="29" spans="1:14">
      <c r="A29" s="3">
        <v>26</v>
      </c>
      <c r="B29" s="3" t="s">
        <v>1214</v>
      </c>
      <c r="C29" s="4">
        <v>46195</v>
      </c>
      <c r="D29" s="3" t="s">
        <v>73</v>
      </c>
      <c r="E29" s="5" t="s">
        <v>1187</v>
      </c>
      <c r="F29" s="5" t="s">
        <v>39</v>
      </c>
      <c r="G29" s="3" t="s">
        <v>80</v>
      </c>
      <c r="H29" s="3" t="s">
        <v>70</v>
      </c>
      <c r="I29" s="3">
        <v>45</v>
      </c>
      <c r="J29" s="3">
        <v>7</v>
      </c>
      <c r="K29" s="3">
        <v>34</v>
      </c>
      <c r="L29" s="6">
        <f>IFERROR((K29-J29)/K29*100,0)</f>
        <v>0</v>
      </c>
      <c r="M29" s="3" t="s">
        <v>145</v>
      </c>
      <c r="N29" s="3" t="s">
        <v>23</v>
      </c>
    </row>
    <row r="30" spans="1:14">
      <c r="A30" s="3">
        <v>27</v>
      </c>
      <c r="B30" s="3" t="s">
        <v>1215</v>
      </c>
      <c r="C30" s="4">
        <v>46223</v>
      </c>
      <c r="D30" s="3" t="s">
        <v>76</v>
      </c>
      <c r="E30" s="5" t="s">
        <v>1187</v>
      </c>
      <c r="F30" s="5" t="s">
        <v>39</v>
      </c>
      <c r="G30" s="3" t="s">
        <v>21</v>
      </c>
      <c r="H30" s="3" t="s">
        <v>93</v>
      </c>
      <c r="I30" s="3">
        <v>31</v>
      </c>
      <c r="J30" s="3">
        <v>4</v>
      </c>
      <c r="K30" s="3">
        <v>18</v>
      </c>
      <c r="L30" s="6">
        <f>IFERROR((K30-J30)/K30*100,0)</f>
        <v>0</v>
      </c>
      <c r="M30" s="3" t="s">
        <v>165</v>
      </c>
      <c r="N30" s="3" t="s">
        <v>23</v>
      </c>
    </row>
    <row r="31" spans="1:14">
      <c r="A31" s="3">
        <v>28</v>
      </c>
      <c r="B31" s="3" t="s">
        <v>1216</v>
      </c>
      <c r="C31" s="4">
        <v>46217</v>
      </c>
      <c r="D31" s="3" t="s">
        <v>76</v>
      </c>
      <c r="E31" s="5" t="s">
        <v>1205</v>
      </c>
      <c r="F31" s="5" t="s">
        <v>13</v>
      </c>
      <c r="G31" s="3" t="s">
        <v>40</v>
      </c>
      <c r="H31" s="3" t="s">
        <v>41</v>
      </c>
      <c r="I31" s="3">
        <v>12</v>
      </c>
      <c r="J31" s="3">
        <v>6</v>
      </c>
      <c r="K31" s="3">
        <v>49</v>
      </c>
      <c r="L31" s="6">
        <f>IFERROR((K31-J31)/K31*100,0)</f>
        <v>0</v>
      </c>
      <c r="M31" s="3" t="s">
        <v>165</v>
      </c>
      <c r="N31" s="3" t="s">
        <v>23</v>
      </c>
    </row>
    <row r="32" spans="1:14">
      <c r="A32" s="3">
        <v>29</v>
      </c>
      <c r="B32" s="3" t="s">
        <v>1217</v>
      </c>
      <c r="C32" s="4">
        <v>46217</v>
      </c>
      <c r="D32" s="3" t="s">
        <v>76</v>
      </c>
      <c r="E32" s="5" t="s">
        <v>61</v>
      </c>
      <c r="F32" s="5" t="s">
        <v>92</v>
      </c>
      <c r="G32" s="3" t="s">
        <v>82</v>
      </c>
      <c r="H32" s="3" t="s">
        <v>68</v>
      </c>
      <c r="I32" s="3">
        <v>45</v>
      </c>
      <c r="J32" s="3">
        <v>3</v>
      </c>
      <c r="K32" s="3">
        <v>22</v>
      </c>
      <c r="L32" s="6">
        <f>IFERROR((K32-J32)/K32*100,0)</f>
        <v>0</v>
      </c>
      <c r="M32" s="3" t="s">
        <v>165</v>
      </c>
      <c r="N32" s="3" t="s">
        <v>23</v>
      </c>
    </row>
    <row r="33" spans="1:14">
      <c r="A33" s="3">
        <v>30</v>
      </c>
      <c r="B33" s="3" t="s">
        <v>1218</v>
      </c>
      <c r="C33" s="4">
        <v>46213</v>
      </c>
      <c r="D33" s="3" t="s">
        <v>76</v>
      </c>
      <c r="E33" s="5" t="s">
        <v>1196</v>
      </c>
      <c r="F33" s="5" t="s">
        <v>92</v>
      </c>
      <c r="G33" s="3" t="s">
        <v>87</v>
      </c>
      <c r="H33" s="3" t="s">
        <v>70</v>
      </c>
      <c r="I33" s="3">
        <v>17</v>
      </c>
      <c r="J33" s="3">
        <v>5</v>
      </c>
      <c r="K33" s="3">
        <v>44</v>
      </c>
      <c r="L33" s="6">
        <f>IFERROR((K33-J33)/K33*100,0)</f>
        <v>0</v>
      </c>
      <c r="M33" s="3" t="s">
        <v>145</v>
      </c>
      <c r="N33" s="3" t="s">
        <v>23</v>
      </c>
    </row>
    <row r="34" spans="1:14">
      <c r="A34" s="3">
        <v>31</v>
      </c>
      <c r="B34" s="3" t="s">
        <v>1219</v>
      </c>
      <c r="C34" s="4">
        <v>46240</v>
      </c>
      <c r="D34" s="3" t="s">
        <v>86</v>
      </c>
      <c r="E34" s="5" t="s">
        <v>30</v>
      </c>
      <c r="F34" s="5" t="s">
        <v>92</v>
      </c>
      <c r="G34" s="3" t="s">
        <v>14</v>
      </c>
      <c r="H34" s="3" t="s">
        <v>70</v>
      </c>
      <c r="I34" s="3">
        <v>55</v>
      </c>
      <c r="J34" s="3">
        <v>8</v>
      </c>
      <c r="K34" s="3">
        <v>38</v>
      </c>
      <c r="L34" s="6">
        <f>IFERROR((K34-J34)/K34*100,0)</f>
        <v>0</v>
      </c>
      <c r="M34" s="3" t="s">
        <v>148</v>
      </c>
      <c r="N34" s="3" t="s">
        <v>9</v>
      </c>
    </row>
    <row r="35" spans="1:14">
      <c r="A35" s="3">
        <v>32</v>
      </c>
      <c r="B35" s="3" t="s">
        <v>1220</v>
      </c>
      <c r="C35" s="4">
        <v>46256</v>
      </c>
      <c r="D35" s="3" t="s">
        <v>86</v>
      </c>
      <c r="E35" s="5" t="s">
        <v>30</v>
      </c>
      <c r="F35" s="5" t="s">
        <v>27</v>
      </c>
      <c r="G35" s="3" t="s">
        <v>77</v>
      </c>
      <c r="H35" s="3" t="s">
        <v>68</v>
      </c>
      <c r="I35" s="3">
        <v>51</v>
      </c>
      <c r="J35" s="3">
        <v>3</v>
      </c>
      <c r="K35" s="3">
        <v>29</v>
      </c>
      <c r="L35" s="6">
        <f>IFERROR((K35-J35)/K35*100,0)</f>
        <v>0</v>
      </c>
      <c r="M35" s="3" t="s">
        <v>165</v>
      </c>
      <c r="N35" s="3" t="s">
        <v>9</v>
      </c>
    </row>
    <row r="36" spans="1:14">
      <c r="A36" s="3">
        <v>33</v>
      </c>
      <c r="B36" s="3" t="s">
        <v>1221</v>
      </c>
      <c r="C36" s="4">
        <v>46239</v>
      </c>
      <c r="D36" s="3" t="s">
        <v>86</v>
      </c>
      <c r="E36" s="5" t="s">
        <v>61</v>
      </c>
      <c r="F36" s="5" t="s">
        <v>13</v>
      </c>
      <c r="G36" s="3" t="s">
        <v>87</v>
      </c>
      <c r="H36" s="3" t="s">
        <v>28</v>
      </c>
      <c r="I36" s="3">
        <v>29</v>
      </c>
      <c r="J36" s="3">
        <v>4</v>
      </c>
      <c r="K36" s="3">
        <v>24</v>
      </c>
      <c r="L36" s="6">
        <f>IFERROR((K36-J36)/K36*100,0)</f>
        <v>0</v>
      </c>
      <c r="M36" s="3" t="s">
        <v>165</v>
      </c>
      <c r="N36" s="3" t="s">
        <v>9</v>
      </c>
    </row>
    <row r="37" spans="1:14">
      <c r="A37" s="3">
        <v>34</v>
      </c>
      <c r="B37" s="3" t="s">
        <v>1222</v>
      </c>
      <c r="C37" s="4">
        <v>46271</v>
      </c>
      <c r="D37" s="3" t="s">
        <v>102</v>
      </c>
      <c r="E37" s="5" t="s">
        <v>30</v>
      </c>
      <c r="F37" s="5" t="s">
        <v>5</v>
      </c>
      <c r="G37" s="3" t="s">
        <v>35</v>
      </c>
      <c r="H37" s="3" t="s">
        <v>28</v>
      </c>
      <c r="I37" s="3">
        <v>17</v>
      </c>
      <c r="J37" s="3">
        <v>2</v>
      </c>
      <c r="K37" s="3">
        <v>44</v>
      </c>
      <c r="L37" s="6">
        <f>IFERROR((K37-J37)/K37*100,0)</f>
        <v>0</v>
      </c>
      <c r="M37" s="3" t="s">
        <v>165</v>
      </c>
      <c r="N37" s="3" t="s">
        <v>9</v>
      </c>
    </row>
    <row r="38" spans="1:14">
      <c r="A38" s="3">
        <v>35</v>
      </c>
      <c r="B38" s="3" t="s">
        <v>1223</v>
      </c>
      <c r="C38" s="4">
        <v>46267</v>
      </c>
      <c r="D38" s="3" t="s">
        <v>102</v>
      </c>
      <c r="E38" s="5" t="s">
        <v>1202</v>
      </c>
      <c r="F38" s="5" t="s">
        <v>50</v>
      </c>
      <c r="G38" s="3" t="s">
        <v>14</v>
      </c>
      <c r="H38" s="3" t="s">
        <v>22</v>
      </c>
      <c r="I38" s="3">
        <v>19</v>
      </c>
      <c r="J38" s="3">
        <v>7</v>
      </c>
      <c r="K38" s="3">
        <v>47</v>
      </c>
      <c r="L38" s="6">
        <f>IFERROR((K38-J38)/K38*100,0)</f>
        <v>0</v>
      </c>
      <c r="M38" s="3" t="s">
        <v>148</v>
      </c>
      <c r="N38" s="3" t="s">
        <v>9</v>
      </c>
    </row>
    <row r="39" spans="1:14">
      <c r="A39" s="3">
        <v>36</v>
      </c>
      <c r="B39" s="3" t="s">
        <v>1224</v>
      </c>
      <c r="C39" s="4">
        <v>46318</v>
      </c>
      <c r="D39" s="3" t="s">
        <v>106</v>
      </c>
      <c r="E39" s="5" t="s">
        <v>1202</v>
      </c>
      <c r="F39" s="5" t="s">
        <v>27</v>
      </c>
      <c r="G39" s="3" t="s">
        <v>87</v>
      </c>
      <c r="H39" s="3" t="s">
        <v>93</v>
      </c>
      <c r="I39" s="3">
        <v>26</v>
      </c>
      <c r="J39" s="3">
        <v>0</v>
      </c>
      <c r="K39" s="3">
        <v>47</v>
      </c>
      <c r="L39" s="6">
        <f>IFERROR((K39-J39)/K39*100,0)</f>
        <v>0</v>
      </c>
      <c r="M39" s="3" t="s">
        <v>148</v>
      </c>
      <c r="N39" s="3" t="s">
        <v>9</v>
      </c>
    </row>
    <row r="40" spans="1:14">
      <c r="A40" s="3">
        <v>37</v>
      </c>
      <c r="B40" s="3" t="s">
        <v>1225</v>
      </c>
      <c r="C40" s="4">
        <v>46302</v>
      </c>
      <c r="D40" s="3" t="s">
        <v>106</v>
      </c>
      <c r="E40" s="5" t="s">
        <v>1187</v>
      </c>
      <c r="F40" s="5" t="s">
        <v>92</v>
      </c>
      <c r="G40" s="3" t="s">
        <v>6</v>
      </c>
      <c r="H40" s="3" t="s">
        <v>22</v>
      </c>
      <c r="I40" s="3">
        <v>59</v>
      </c>
      <c r="J40" s="3">
        <v>7</v>
      </c>
      <c r="K40" s="3">
        <v>49</v>
      </c>
      <c r="L40" s="6">
        <f>IFERROR((K40-J40)/K40*100,0)</f>
        <v>0</v>
      </c>
      <c r="M40" s="3" t="s">
        <v>165</v>
      </c>
      <c r="N40" s="3" t="s">
        <v>23</v>
      </c>
    </row>
    <row r="41" spans="1:14">
      <c r="A41" s="3">
        <v>38</v>
      </c>
      <c r="B41" s="3" t="s">
        <v>1226</v>
      </c>
      <c r="C41" s="4">
        <v>46303</v>
      </c>
      <c r="D41" s="3" t="s">
        <v>106</v>
      </c>
      <c r="E41" s="5" t="s">
        <v>30</v>
      </c>
      <c r="F41" s="5" t="s">
        <v>92</v>
      </c>
      <c r="G41" s="3" t="s">
        <v>87</v>
      </c>
      <c r="H41" s="3" t="s">
        <v>36</v>
      </c>
      <c r="I41" s="3">
        <v>59</v>
      </c>
      <c r="J41" s="3">
        <v>6</v>
      </c>
      <c r="K41" s="3">
        <v>43</v>
      </c>
      <c r="L41" s="6">
        <f>IFERROR((K41-J41)/K41*100,0)</f>
        <v>0</v>
      </c>
      <c r="M41" s="3" t="s">
        <v>148</v>
      </c>
      <c r="N41" s="3" t="s">
        <v>23</v>
      </c>
    </row>
    <row r="42" spans="1:14">
      <c r="A42" s="3">
        <v>39</v>
      </c>
      <c r="B42" s="3" t="s">
        <v>1227</v>
      </c>
      <c r="C42" s="4">
        <v>46313</v>
      </c>
      <c r="D42" s="3" t="s">
        <v>106</v>
      </c>
      <c r="E42" s="5" t="s">
        <v>1202</v>
      </c>
      <c r="F42" s="5" t="s">
        <v>27</v>
      </c>
      <c r="G42" s="3" t="s">
        <v>40</v>
      </c>
      <c r="H42" s="3" t="s">
        <v>15</v>
      </c>
      <c r="I42" s="3">
        <v>26</v>
      </c>
      <c r="J42" s="3">
        <v>6</v>
      </c>
      <c r="K42" s="3">
        <v>47</v>
      </c>
      <c r="L42" s="6">
        <f>IFERROR((K42-J42)/K42*100,0)</f>
        <v>0</v>
      </c>
      <c r="M42" s="3" t="s">
        <v>145</v>
      </c>
      <c r="N42" s="3" t="s">
        <v>9</v>
      </c>
    </row>
    <row r="43" spans="1:14">
      <c r="A43" s="3">
        <v>40</v>
      </c>
      <c r="B43" s="3" t="s">
        <v>1228</v>
      </c>
      <c r="C43" s="4">
        <v>46302</v>
      </c>
      <c r="D43" s="3" t="s">
        <v>106</v>
      </c>
      <c r="E43" s="5" t="s">
        <v>30</v>
      </c>
      <c r="F43" s="5" t="s">
        <v>58</v>
      </c>
      <c r="G43" s="3" t="s">
        <v>21</v>
      </c>
      <c r="H43" s="3" t="s">
        <v>41</v>
      </c>
      <c r="I43" s="3">
        <v>49</v>
      </c>
      <c r="J43" s="3">
        <v>0</v>
      </c>
      <c r="K43" s="3">
        <v>36</v>
      </c>
      <c r="L43" s="6">
        <f>IFERROR((K43-J43)/K43*100,0)</f>
        <v>0</v>
      </c>
      <c r="M43" s="3" t="s">
        <v>148</v>
      </c>
      <c r="N43" s="3" t="s">
        <v>23</v>
      </c>
    </row>
    <row r="44" spans="1:14">
      <c r="A44" s="3">
        <v>41</v>
      </c>
      <c r="B44" s="3" t="s">
        <v>1229</v>
      </c>
      <c r="C44" s="4">
        <v>46304</v>
      </c>
      <c r="D44" s="3" t="s">
        <v>106</v>
      </c>
      <c r="E44" s="5" t="s">
        <v>1187</v>
      </c>
      <c r="F44" s="5" t="s">
        <v>50</v>
      </c>
      <c r="G44" s="3" t="s">
        <v>51</v>
      </c>
      <c r="H44" s="3" t="s">
        <v>104</v>
      </c>
      <c r="I44" s="3">
        <v>27</v>
      </c>
      <c r="J44" s="3">
        <v>2</v>
      </c>
      <c r="K44" s="3">
        <v>28</v>
      </c>
      <c r="L44" s="6">
        <f>IFERROR((K44-J44)/K44*100,0)</f>
        <v>0</v>
      </c>
      <c r="M44" s="3" t="s">
        <v>148</v>
      </c>
      <c r="N44" s="3" t="s">
        <v>23</v>
      </c>
    </row>
    <row r="45" spans="1:14">
      <c r="A45" s="3">
        <v>42</v>
      </c>
      <c r="B45" s="3" t="s">
        <v>1230</v>
      </c>
      <c r="C45" s="4">
        <v>46328</v>
      </c>
      <c r="D45" s="3" t="s">
        <v>111</v>
      </c>
      <c r="E45" s="5" t="s">
        <v>1202</v>
      </c>
      <c r="F45" s="5" t="s">
        <v>27</v>
      </c>
      <c r="G45" s="3" t="s">
        <v>6</v>
      </c>
      <c r="H45" s="3" t="s">
        <v>78</v>
      </c>
      <c r="I45" s="3">
        <v>23</v>
      </c>
      <c r="J45" s="3">
        <v>0</v>
      </c>
      <c r="K45" s="3">
        <v>22</v>
      </c>
      <c r="L45" s="6">
        <f>IFERROR((K45-J45)/K45*100,0)</f>
        <v>0</v>
      </c>
      <c r="M45" s="3" t="s">
        <v>165</v>
      </c>
      <c r="N45" s="3" t="s">
        <v>23</v>
      </c>
    </row>
    <row r="46" spans="1:14">
      <c r="A46" s="3">
        <v>43</v>
      </c>
      <c r="B46" s="3" t="s">
        <v>1231</v>
      </c>
      <c r="C46" s="4">
        <v>46344</v>
      </c>
      <c r="D46" s="3" t="s">
        <v>111</v>
      </c>
      <c r="E46" s="5" t="s">
        <v>1185</v>
      </c>
      <c r="F46" s="5" t="s">
        <v>89</v>
      </c>
      <c r="G46" s="3" t="s">
        <v>14</v>
      </c>
      <c r="H46" s="3" t="s">
        <v>28</v>
      </c>
      <c r="I46" s="3">
        <v>11</v>
      </c>
      <c r="J46" s="3">
        <v>3</v>
      </c>
      <c r="K46" s="3">
        <v>45</v>
      </c>
      <c r="L46" s="6">
        <f>IFERROR((K46-J46)/K46*100,0)</f>
        <v>0</v>
      </c>
      <c r="M46" s="3" t="s">
        <v>145</v>
      </c>
      <c r="N46" s="3" t="s">
        <v>23</v>
      </c>
    </row>
    <row r="47" spans="1:14">
      <c r="A47" s="3">
        <v>44</v>
      </c>
      <c r="B47" s="3" t="s">
        <v>1232</v>
      </c>
      <c r="C47" s="4">
        <v>46366</v>
      </c>
      <c r="D47" s="3" t="s">
        <v>122</v>
      </c>
      <c r="E47" s="5" t="s">
        <v>30</v>
      </c>
      <c r="F47" s="5" t="s">
        <v>89</v>
      </c>
      <c r="G47" s="3" t="s">
        <v>77</v>
      </c>
      <c r="H47" s="3" t="s">
        <v>104</v>
      </c>
      <c r="I47" s="3">
        <v>26</v>
      </c>
      <c r="J47" s="3">
        <v>7</v>
      </c>
      <c r="K47" s="3">
        <v>46</v>
      </c>
      <c r="L47" s="6">
        <f>IFERROR((K47-J47)/K47*100,0)</f>
        <v>0</v>
      </c>
      <c r="M47" s="3" t="s">
        <v>145</v>
      </c>
      <c r="N47" s="3" t="s">
        <v>9</v>
      </c>
    </row>
    <row r="48" spans="1:14">
      <c r="A48" s="3">
        <v>45</v>
      </c>
      <c r="B48" s="3" t="s">
        <v>1233</v>
      </c>
      <c r="C48" s="4">
        <v>46379</v>
      </c>
      <c r="D48" s="3" t="s">
        <v>122</v>
      </c>
      <c r="E48" s="5" t="s">
        <v>61</v>
      </c>
      <c r="F48" s="5" t="s">
        <v>27</v>
      </c>
      <c r="G48" s="3" t="s">
        <v>51</v>
      </c>
      <c r="H48" s="3" t="s">
        <v>7</v>
      </c>
      <c r="I48" s="3">
        <v>15</v>
      </c>
      <c r="J48" s="3">
        <v>7</v>
      </c>
      <c r="K48" s="3">
        <v>28</v>
      </c>
      <c r="L48" s="6">
        <f>IFERROR((K48-J48)/K48*100,0)</f>
        <v>0</v>
      </c>
      <c r="M48" s="3" t="s">
        <v>165</v>
      </c>
      <c r="N48" s="3" t="s">
        <v>23</v>
      </c>
    </row>
    <row r="49" spans="1:14">
      <c r="A49" s="3">
        <v>46</v>
      </c>
      <c r="B49" s="3" t="s">
        <v>1234</v>
      </c>
      <c r="C49" s="4">
        <v>46367</v>
      </c>
      <c r="D49" s="3" t="s">
        <v>122</v>
      </c>
      <c r="E49" s="5" t="s">
        <v>1187</v>
      </c>
      <c r="F49" s="5" t="s">
        <v>65</v>
      </c>
      <c r="G49" s="3" t="s">
        <v>21</v>
      </c>
      <c r="H49" s="3" t="s">
        <v>22</v>
      </c>
      <c r="I49" s="3">
        <v>38</v>
      </c>
      <c r="J49" s="3">
        <v>2</v>
      </c>
      <c r="K49" s="3">
        <v>15</v>
      </c>
      <c r="L49" s="6">
        <f>IFERROR((K49-J49)/K49*100,0)</f>
        <v>0</v>
      </c>
      <c r="M49" s="3" t="s">
        <v>148</v>
      </c>
      <c r="N49" s="3" t="s">
        <v>23</v>
      </c>
    </row>
    <row r="50" spans="1:14">
      <c r="A50" s="3">
        <v>47</v>
      </c>
      <c r="B50" s="3" t="s">
        <v>1235</v>
      </c>
      <c r="C50" s="4">
        <v>46375</v>
      </c>
      <c r="D50" s="3" t="s">
        <v>122</v>
      </c>
      <c r="E50" s="5" t="s">
        <v>1187</v>
      </c>
      <c r="F50" s="5" t="s">
        <v>58</v>
      </c>
      <c r="G50" s="3" t="s">
        <v>21</v>
      </c>
      <c r="H50" s="3" t="s">
        <v>32</v>
      </c>
      <c r="I50" s="3">
        <v>45</v>
      </c>
      <c r="J50" s="3">
        <v>0</v>
      </c>
      <c r="K50" s="3">
        <v>23</v>
      </c>
      <c r="L50" s="6">
        <f>IFERROR((K50-J50)/K50*100,0)</f>
        <v>0</v>
      </c>
      <c r="M50" s="3" t="s">
        <v>148</v>
      </c>
      <c r="N50" s="3" t="s">
        <v>23</v>
      </c>
    </row>
    <row r="51" spans="1:14">
      <c r="A51" s="3">
        <v>48</v>
      </c>
      <c r="B51" s="3" t="s">
        <v>1236</v>
      </c>
      <c r="C51" s="4">
        <v>46383</v>
      </c>
      <c r="D51" s="3" t="s">
        <v>122</v>
      </c>
      <c r="E51" s="5" t="s">
        <v>30</v>
      </c>
      <c r="F51" s="5" t="s">
        <v>46</v>
      </c>
      <c r="G51" s="3" t="s">
        <v>35</v>
      </c>
      <c r="H51" s="3" t="s">
        <v>36</v>
      </c>
      <c r="I51" s="3">
        <v>35</v>
      </c>
      <c r="J51" s="3">
        <v>3</v>
      </c>
      <c r="K51" s="3">
        <v>26</v>
      </c>
      <c r="L51" s="6">
        <f>IFERROR((K51-J51)/K51*100,0)</f>
        <v>0</v>
      </c>
      <c r="M51" s="3" t="s">
        <v>165</v>
      </c>
      <c r="N51" s="3" t="s">
        <v>9</v>
      </c>
    </row>
  </sheetData>
  <mergeCells count="2">
    <mergeCell ref="A1:N1"/>
    <mergeCell ref="A2:N2"/>
  </mergeCells>
  <dataValidations count="2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customWidth="1"/>
    <col min="3" max="3" width="13.7109375" customWidth="1"/>
    <col min="4" max="5" width="9.7109375" customWidth="1"/>
    <col min="6" max="6" width="12.7109375" customWidth="1"/>
    <col min="7" max="7" width="10.7109375" customWidth="1"/>
    <col min="8" max="8" width="19.7109375" customWidth="1"/>
    <col min="9" max="9" width="10.7109375" customWidth="1"/>
    <col min="10" max="11" width="13.7109375" customWidth="1"/>
    <col min="12" max="12" width="10.7109375" customWidth="1"/>
    <col min="13" max="13" width="17.7109375" customWidth="1"/>
    <col min="14" max="14" width="9.7109375" customWidth="1"/>
    <col min="15" max="15" width="12.7109375" customWidth="1"/>
  </cols>
  <sheetData>
    <row r="1" spans="1:17" ht="22" customHeight="1">
      <c r="A1" s="1" t="s">
        <v>1244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2" t="s">
        <v>139</v>
      </c>
    </row>
    <row r="2" spans="1:17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7">
      <c r="A3" t="s">
        <v>124</v>
      </c>
      <c r="B3" t="s">
        <v>1299</v>
      </c>
      <c r="C3" t="s">
        <v>1300</v>
      </c>
      <c r="D3" t="s">
        <v>127</v>
      </c>
      <c r="E3" t="s">
        <v>1301</v>
      </c>
      <c r="F3" t="s">
        <v>129</v>
      </c>
      <c r="G3" t="s">
        <v>130</v>
      </c>
      <c r="H3" t="s">
        <v>413</v>
      </c>
      <c r="I3" t="s">
        <v>641</v>
      </c>
      <c r="J3" t="s">
        <v>1302</v>
      </c>
      <c r="K3" t="s">
        <v>1303</v>
      </c>
      <c r="L3" t="s">
        <v>357</v>
      </c>
      <c r="M3" t="s">
        <v>1304</v>
      </c>
      <c r="N3" t="s">
        <v>287</v>
      </c>
      <c r="O3" t="s">
        <v>1305</v>
      </c>
    </row>
    <row r="4" spans="1:17">
      <c r="A4" s="3">
        <v>1</v>
      </c>
      <c r="B4" s="3" t="s">
        <v>1245</v>
      </c>
      <c r="C4" s="4">
        <v>46033</v>
      </c>
      <c r="D4" s="3" t="s">
        <v>3</v>
      </c>
      <c r="E4" s="5" t="s">
        <v>1246</v>
      </c>
      <c r="F4" s="5" t="s">
        <v>89</v>
      </c>
      <c r="G4" s="3" t="s">
        <v>95</v>
      </c>
      <c r="H4" s="3" t="s">
        <v>4</v>
      </c>
      <c r="I4" s="3" t="s">
        <v>159</v>
      </c>
      <c r="J4" s="3" t="s">
        <v>15</v>
      </c>
      <c r="K4" s="3" t="s">
        <v>68</v>
      </c>
      <c r="L4" s="4">
        <v>46068</v>
      </c>
      <c r="M4" s="4">
        <v>46055</v>
      </c>
      <c r="N4" s="3" t="s">
        <v>293</v>
      </c>
      <c r="O4" s="5">
        <f>IF(N4="Closed",IF(M4&lt;=L4,"On-Time","Delayed"),"Pending")</f>
        <v>0</v>
      </c>
    </row>
    <row r="5" spans="1:17">
      <c r="A5" s="3">
        <v>2</v>
      </c>
      <c r="B5" s="3" t="s">
        <v>1247</v>
      </c>
      <c r="C5" s="4">
        <v>46028</v>
      </c>
      <c r="D5" s="3" t="s">
        <v>3</v>
      </c>
      <c r="E5" s="5" t="s">
        <v>1248</v>
      </c>
      <c r="F5" s="5" t="s">
        <v>89</v>
      </c>
      <c r="G5" s="3" t="s">
        <v>21</v>
      </c>
      <c r="H5" s="3" t="s">
        <v>57</v>
      </c>
      <c r="I5" s="3" t="s">
        <v>162</v>
      </c>
      <c r="J5" s="3" t="s">
        <v>70</v>
      </c>
      <c r="K5" s="3" t="s">
        <v>28</v>
      </c>
      <c r="L5" s="4">
        <v>46063</v>
      </c>
      <c r="M5" s="4">
        <v>46036</v>
      </c>
      <c r="N5" s="3" t="s">
        <v>293</v>
      </c>
      <c r="O5" s="5">
        <f>IF(N5="Closed",IF(M5&lt;=L5,"On-Time","Delayed"),"Pending")</f>
        <v>0</v>
      </c>
    </row>
    <row r="6" spans="1:17">
      <c r="A6" s="3">
        <v>3</v>
      </c>
      <c r="B6" s="3" t="s">
        <v>1249</v>
      </c>
      <c r="C6" s="4">
        <v>46044</v>
      </c>
      <c r="D6" s="3" t="s">
        <v>3</v>
      </c>
      <c r="E6" s="5" t="s">
        <v>1250</v>
      </c>
      <c r="F6" s="5" t="s">
        <v>89</v>
      </c>
      <c r="G6" s="3" t="s">
        <v>31</v>
      </c>
      <c r="H6" s="3" t="s">
        <v>45</v>
      </c>
      <c r="I6" s="3" t="s">
        <v>142</v>
      </c>
      <c r="J6" s="3" t="s">
        <v>68</v>
      </c>
      <c r="K6" s="3" t="s">
        <v>22</v>
      </c>
      <c r="L6" s="4">
        <v>46059</v>
      </c>
      <c r="M6" s="4">
        <v>46055</v>
      </c>
      <c r="N6" s="3" t="s">
        <v>254</v>
      </c>
      <c r="O6" s="5">
        <f>IF(N6="Closed",IF(M6&lt;=L6,"On-Time","Delayed"),"Pending")</f>
        <v>0</v>
      </c>
    </row>
    <row r="7" spans="1:17">
      <c r="A7" s="3">
        <v>4</v>
      </c>
      <c r="B7" s="3" t="s">
        <v>1251</v>
      </c>
      <c r="C7" s="4">
        <v>46025</v>
      </c>
      <c r="D7" s="3" t="s">
        <v>3</v>
      </c>
      <c r="E7" s="5" t="s">
        <v>1252</v>
      </c>
      <c r="F7" s="5" t="s">
        <v>65</v>
      </c>
      <c r="G7" s="3" t="s">
        <v>77</v>
      </c>
      <c r="H7" s="3" t="s">
        <v>61</v>
      </c>
      <c r="I7" s="3" t="s">
        <v>162</v>
      </c>
      <c r="J7" s="3" t="s">
        <v>104</v>
      </c>
      <c r="K7" s="3" t="s">
        <v>7</v>
      </c>
      <c r="L7" s="4">
        <v>46040</v>
      </c>
      <c r="M7" s="4">
        <v>46031</v>
      </c>
      <c r="N7" s="3" t="s">
        <v>293</v>
      </c>
      <c r="O7" s="5">
        <f>IF(N7="Closed",IF(M7&lt;=L7,"On-Time","Delayed"),"Pending")</f>
        <v>0</v>
      </c>
    </row>
    <row r="8" spans="1:17">
      <c r="A8" s="3">
        <v>5</v>
      </c>
      <c r="B8" s="3" t="s">
        <v>1253</v>
      </c>
      <c r="C8" s="4">
        <v>46030</v>
      </c>
      <c r="D8" s="3" t="s">
        <v>3</v>
      </c>
      <c r="E8" s="5" t="s">
        <v>1254</v>
      </c>
      <c r="F8" s="5" t="s">
        <v>65</v>
      </c>
      <c r="G8" s="3" t="s">
        <v>82</v>
      </c>
      <c r="H8" s="3" t="s">
        <v>26</v>
      </c>
      <c r="I8" s="3" t="s">
        <v>142</v>
      </c>
      <c r="J8" s="3" t="s">
        <v>62</v>
      </c>
      <c r="K8" s="3" t="s">
        <v>32</v>
      </c>
      <c r="L8" s="4">
        <v>46073</v>
      </c>
      <c r="M8" s="4">
        <v>46064</v>
      </c>
      <c r="N8" s="3" t="s">
        <v>238</v>
      </c>
      <c r="O8" s="5">
        <f>IF(N8="Closed",IF(M8&lt;=L8,"On-Time","Delayed"),"Pending")</f>
        <v>0</v>
      </c>
    </row>
    <row r="9" spans="1:17">
      <c r="A9" s="3">
        <v>6</v>
      </c>
      <c r="B9" s="3" t="s">
        <v>1255</v>
      </c>
      <c r="C9" s="4">
        <v>46062</v>
      </c>
      <c r="D9" s="3" t="s">
        <v>19</v>
      </c>
      <c r="E9" s="5" t="s">
        <v>1248</v>
      </c>
      <c r="F9" s="5" t="s">
        <v>89</v>
      </c>
      <c r="G9" s="3" t="s">
        <v>95</v>
      </c>
      <c r="H9" s="3" t="s">
        <v>4</v>
      </c>
      <c r="I9" s="3" t="s">
        <v>162</v>
      </c>
      <c r="J9" s="3" t="s">
        <v>104</v>
      </c>
      <c r="K9" s="3" t="s">
        <v>28</v>
      </c>
      <c r="L9" s="4">
        <v>46093</v>
      </c>
      <c r="M9" s="4">
        <v>46088</v>
      </c>
      <c r="N9" s="3" t="s">
        <v>238</v>
      </c>
      <c r="O9" s="5">
        <f>IF(N9="Closed",IF(M9&lt;=L9,"On-Time","Delayed"),"Pending")</f>
        <v>0</v>
      </c>
    </row>
    <row r="10" spans="1:17">
      <c r="A10" s="3">
        <v>7</v>
      </c>
      <c r="B10" s="3" t="s">
        <v>1256</v>
      </c>
      <c r="C10" s="4">
        <v>46078</v>
      </c>
      <c r="D10" s="3" t="s">
        <v>19</v>
      </c>
      <c r="E10" s="5" t="s">
        <v>1257</v>
      </c>
      <c r="F10" s="5" t="s">
        <v>5</v>
      </c>
      <c r="G10" s="3" t="s">
        <v>95</v>
      </c>
      <c r="H10" s="3" t="s">
        <v>45</v>
      </c>
      <c r="I10" s="3" t="s">
        <v>159</v>
      </c>
      <c r="J10" s="3" t="s">
        <v>66</v>
      </c>
      <c r="K10" s="3" t="s">
        <v>78</v>
      </c>
      <c r="L10" s="4">
        <v>46122</v>
      </c>
      <c r="M10" s="4">
        <v>46090</v>
      </c>
      <c r="N10" s="3" t="s">
        <v>297</v>
      </c>
      <c r="O10" s="5">
        <f>IF(N10="Closed",IF(M10&lt;=L10,"On-Time","Delayed"),"Pending")</f>
        <v>0</v>
      </c>
    </row>
    <row r="11" spans="1:17">
      <c r="A11" s="3">
        <v>8</v>
      </c>
      <c r="B11" s="3" t="s">
        <v>1258</v>
      </c>
      <c r="C11" s="4">
        <v>46095</v>
      </c>
      <c r="D11" s="3" t="s">
        <v>44</v>
      </c>
      <c r="E11" s="5" t="s">
        <v>1252</v>
      </c>
      <c r="F11" s="5" t="s">
        <v>58</v>
      </c>
      <c r="G11" s="3" t="s">
        <v>35</v>
      </c>
      <c r="H11" s="3" t="s">
        <v>38</v>
      </c>
      <c r="I11" s="3" t="s">
        <v>162</v>
      </c>
      <c r="J11" s="3" t="s">
        <v>28</v>
      </c>
      <c r="K11" s="3" t="s">
        <v>66</v>
      </c>
      <c r="L11" s="4">
        <v>46112</v>
      </c>
      <c r="M11" s="4">
        <v>46120</v>
      </c>
      <c r="N11" s="3" t="s">
        <v>293</v>
      </c>
      <c r="O11" s="5">
        <f>IF(N11="Closed",IF(M11&lt;=L11,"On-Time","Delayed"),"Pending")</f>
        <v>0</v>
      </c>
    </row>
    <row r="12" spans="1:17">
      <c r="A12" s="3">
        <v>9</v>
      </c>
      <c r="B12" s="3" t="s">
        <v>1259</v>
      </c>
      <c r="C12" s="4">
        <v>46088</v>
      </c>
      <c r="D12" s="3" t="s">
        <v>44</v>
      </c>
      <c r="E12" s="5" t="s">
        <v>1252</v>
      </c>
      <c r="F12" s="5" t="s">
        <v>50</v>
      </c>
      <c r="G12" s="3" t="s">
        <v>77</v>
      </c>
      <c r="H12" s="3" t="s">
        <v>4</v>
      </c>
      <c r="I12" s="3" t="s">
        <v>142</v>
      </c>
      <c r="J12" s="3" t="s">
        <v>22</v>
      </c>
      <c r="K12" s="3" t="s">
        <v>32</v>
      </c>
      <c r="L12" s="4">
        <v>46102</v>
      </c>
      <c r="M12" s="4">
        <v>46108</v>
      </c>
      <c r="N12" s="3" t="s">
        <v>293</v>
      </c>
      <c r="O12" s="5">
        <f>IF(N12="Closed",IF(M12&lt;=L12,"On-Time","Delayed"),"Pending")</f>
        <v>0</v>
      </c>
    </row>
    <row r="13" spans="1:17">
      <c r="A13" s="3">
        <v>10</v>
      </c>
      <c r="B13" s="3" t="s">
        <v>1260</v>
      </c>
      <c r="C13" s="4">
        <v>46107</v>
      </c>
      <c r="D13" s="3" t="s">
        <v>44</v>
      </c>
      <c r="E13" s="5" t="s">
        <v>1252</v>
      </c>
      <c r="F13" s="5" t="s">
        <v>92</v>
      </c>
      <c r="G13" s="3" t="s">
        <v>14</v>
      </c>
      <c r="H13" s="3" t="s">
        <v>12</v>
      </c>
      <c r="I13" s="3" t="s">
        <v>154</v>
      </c>
      <c r="J13" s="3" t="s">
        <v>32</v>
      </c>
      <c r="K13" s="3" t="s">
        <v>36</v>
      </c>
      <c r="L13" s="4">
        <v>46124</v>
      </c>
      <c r="M13" s="4">
        <v>46121</v>
      </c>
      <c r="N13" s="3" t="s">
        <v>293</v>
      </c>
      <c r="O13" s="5">
        <f>IF(N13="Closed",IF(M13&lt;=L13,"On-Time","Delayed"),"Pending")</f>
        <v>0</v>
      </c>
    </row>
    <row r="14" spans="1:17">
      <c r="A14" s="3">
        <v>11</v>
      </c>
      <c r="B14" s="3" t="s">
        <v>1261</v>
      </c>
      <c r="C14" s="4">
        <v>46083</v>
      </c>
      <c r="D14" s="3" t="s">
        <v>44</v>
      </c>
      <c r="E14" s="5" t="s">
        <v>1248</v>
      </c>
      <c r="F14" s="5" t="s">
        <v>89</v>
      </c>
      <c r="G14" s="3" t="s">
        <v>51</v>
      </c>
      <c r="H14" s="3" t="s">
        <v>91</v>
      </c>
      <c r="I14" s="3" t="s">
        <v>154</v>
      </c>
      <c r="J14" s="3" t="s">
        <v>78</v>
      </c>
      <c r="K14" s="3" t="s">
        <v>93</v>
      </c>
      <c r="L14" s="4">
        <v>46105</v>
      </c>
      <c r="M14" s="4">
        <v>46100</v>
      </c>
      <c r="N14" s="3" t="s">
        <v>293</v>
      </c>
      <c r="O14" s="5">
        <f>IF(N14="Closed",IF(M14&lt;=L14,"On-Time","Delayed"),"Pending")</f>
        <v>0</v>
      </c>
    </row>
    <row r="15" spans="1:17">
      <c r="A15" s="3">
        <v>12</v>
      </c>
      <c r="B15" s="3" t="s">
        <v>1262</v>
      </c>
      <c r="C15" s="4">
        <v>46107</v>
      </c>
      <c r="D15" s="3" t="s">
        <v>44</v>
      </c>
      <c r="E15" s="5" t="s">
        <v>1257</v>
      </c>
      <c r="F15" s="5" t="s">
        <v>65</v>
      </c>
      <c r="G15" s="3" t="s">
        <v>35</v>
      </c>
      <c r="H15" s="3" t="s">
        <v>64</v>
      </c>
      <c r="I15" s="3" t="s">
        <v>154</v>
      </c>
      <c r="J15" s="3" t="s">
        <v>15</v>
      </c>
      <c r="K15" s="3" t="s">
        <v>22</v>
      </c>
      <c r="L15" s="4">
        <v>46130</v>
      </c>
      <c r="M15" s="4">
        <v>46144</v>
      </c>
      <c r="N15" s="3" t="s">
        <v>293</v>
      </c>
      <c r="O15" s="5">
        <f>IF(N15="Closed",IF(M15&lt;=L15,"On-Time","Delayed"),"Pending")</f>
        <v>0</v>
      </c>
    </row>
    <row r="16" spans="1:17">
      <c r="A16" s="3">
        <v>13</v>
      </c>
      <c r="B16" s="3" t="s">
        <v>1263</v>
      </c>
      <c r="C16" s="4">
        <v>46094</v>
      </c>
      <c r="D16" s="3" t="s">
        <v>44</v>
      </c>
      <c r="E16" s="5" t="s">
        <v>1248</v>
      </c>
      <c r="F16" s="5" t="s">
        <v>27</v>
      </c>
      <c r="G16" s="3" t="s">
        <v>21</v>
      </c>
      <c r="H16" s="3" t="s">
        <v>54</v>
      </c>
      <c r="I16" s="3" t="s">
        <v>162</v>
      </c>
      <c r="J16" s="3" t="s">
        <v>93</v>
      </c>
      <c r="K16" s="3" t="s">
        <v>41</v>
      </c>
      <c r="L16" s="4">
        <v>46104</v>
      </c>
      <c r="M16" s="4">
        <v>46119</v>
      </c>
      <c r="N16" s="3" t="s">
        <v>254</v>
      </c>
      <c r="O16" s="5">
        <f>IF(N16="Closed",IF(M16&lt;=L16,"On-Time","Delayed"),"Pending")</f>
        <v>0</v>
      </c>
    </row>
    <row r="17" spans="1:15">
      <c r="A17" s="3">
        <v>14</v>
      </c>
      <c r="B17" s="3" t="s">
        <v>1264</v>
      </c>
      <c r="C17" s="4">
        <v>46130</v>
      </c>
      <c r="D17" s="3" t="s">
        <v>53</v>
      </c>
      <c r="E17" s="5" t="s">
        <v>1252</v>
      </c>
      <c r="F17" s="5" t="s">
        <v>65</v>
      </c>
      <c r="G17" s="3" t="s">
        <v>21</v>
      </c>
      <c r="H17" s="3" t="s">
        <v>4</v>
      </c>
      <c r="I17" s="3" t="s">
        <v>159</v>
      </c>
      <c r="J17" s="3" t="s">
        <v>62</v>
      </c>
      <c r="K17" s="3" t="s">
        <v>41</v>
      </c>
      <c r="L17" s="4">
        <v>46153</v>
      </c>
      <c r="M17" s="4">
        <v>46137</v>
      </c>
      <c r="N17" s="3" t="s">
        <v>293</v>
      </c>
      <c r="O17" s="5">
        <f>IF(N17="Closed",IF(M17&lt;=L17,"On-Time","Delayed"),"Pending")</f>
        <v>0</v>
      </c>
    </row>
    <row r="18" spans="1:15">
      <c r="A18" s="3">
        <v>15</v>
      </c>
      <c r="B18" s="3" t="s">
        <v>1265</v>
      </c>
      <c r="C18" s="4">
        <v>46123</v>
      </c>
      <c r="D18" s="3" t="s">
        <v>53</v>
      </c>
      <c r="E18" s="5" t="s">
        <v>1254</v>
      </c>
      <c r="F18" s="5" t="s">
        <v>13</v>
      </c>
      <c r="G18" s="3" t="s">
        <v>31</v>
      </c>
      <c r="H18" s="3" t="s">
        <v>61</v>
      </c>
      <c r="I18" s="3" t="s">
        <v>159</v>
      </c>
      <c r="J18" s="3" t="s">
        <v>66</v>
      </c>
      <c r="K18" s="3" t="s">
        <v>93</v>
      </c>
      <c r="L18" s="4">
        <v>46158</v>
      </c>
      <c r="M18" s="4">
        <v>46149</v>
      </c>
      <c r="N18" s="3" t="s">
        <v>238</v>
      </c>
      <c r="O18" s="5">
        <f>IF(N18="Closed",IF(M18&lt;=L18,"On-Time","Delayed"),"Pending")</f>
        <v>0</v>
      </c>
    </row>
    <row r="19" spans="1:15">
      <c r="A19" s="3">
        <v>16</v>
      </c>
      <c r="B19" s="3" t="s">
        <v>1266</v>
      </c>
      <c r="C19" s="4">
        <v>46138</v>
      </c>
      <c r="D19" s="3" t="s">
        <v>53</v>
      </c>
      <c r="E19" s="5" t="s">
        <v>1250</v>
      </c>
      <c r="F19" s="5" t="s">
        <v>50</v>
      </c>
      <c r="G19" s="3" t="s">
        <v>95</v>
      </c>
      <c r="H19" s="3" t="s">
        <v>12</v>
      </c>
      <c r="I19" s="3" t="s">
        <v>162</v>
      </c>
      <c r="J19" s="3" t="s">
        <v>93</v>
      </c>
      <c r="K19" s="3" t="s">
        <v>22</v>
      </c>
      <c r="L19" s="4">
        <v>46149</v>
      </c>
      <c r="M19" s="4">
        <v>46159</v>
      </c>
      <c r="N19" s="3" t="s">
        <v>238</v>
      </c>
      <c r="O19" s="5">
        <f>IF(N19="Closed",IF(M19&lt;=L19,"On-Time","Delayed"),"Pending")</f>
        <v>0</v>
      </c>
    </row>
    <row r="20" spans="1:15">
      <c r="A20" s="3">
        <v>17</v>
      </c>
      <c r="B20" s="3" t="s">
        <v>1267</v>
      </c>
      <c r="C20" s="4">
        <v>46130</v>
      </c>
      <c r="D20" s="3" t="s">
        <v>53</v>
      </c>
      <c r="E20" s="5" t="s">
        <v>1252</v>
      </c>
      <c r="F20" s="5" t="s">
        <v>46</v>
      </c>
      <c r="G20" s="3" t="s">
        <v>40</v>
      </c>
      <c r="H20" s="3" t="s">
        <v>91</v>
      </c>
      <c r="I20" s="3" t="s">
        <v>162</v>
      </c>
      <c r="J20" s="3" t="s">
        <v>36</v>
      </c>
      <c r="K20" s="3" t="s">
        <v>15</v>
      </c>
      <c r="L20" s="4">
        <v>46162</v>
      </c>
      <c r="M20" s="4">
        <v>46145</v>
      </c>
      <c r="N20" s="3" t="s">
        <v>293</v>
      </c>
      <c r="O20" s="5">
        <f>IF(N20="Closed",IF(M20&lt;=L20,"On-Time","Delayed"),"Pending")</f>
        <v>0</v>
      </c>
    </row>
    <row r="21" spans="1:15">
      <c r="A21" s="3">
        <v>18</v>
      </c>
      <c r="B21" s="3" t="s">
        <v>1268</v>
      </c>
      <c r="C21" s="4">
        <v>46150</v>
      </c>
      <c r="D21" s="3" t="s">
        <v>60</v>
      </c>
      <c r="E21" s="5" t="s">
        <v>1246</v>
      </c>
      <c r="F21" s="5" t="s">
        <v>13</v>
      </c>
      <c r="G21" s="3" t="s">
        <v>40</v>
      </c>
      <c r="H21" s="3" t="s">
        <v>20</v>
      </c>
      <c r="I21" s="3" t="s">
        <v>159</v>
      </c>
      <c r="J21" s="3" t="s">
        <v>32</v>
      </c>
      <c r="K21" s="3" t="s">
        <v>66</v>
      </c>
      <c r="L21" s="4">
        <v>46179</v>
      </c>
      <c r="M21" s="4">
        <v>46170</v>
      </c>
      <c r="N21" s="3" t="s">
        <v>293</v>
      </c>
      <c r="O21" s="5">
        <f>IF(N21="Closed",IF(M21&lt;=L21,"On-Time","Delayed"),"Pending")</f>
        <v>0</v>
      </c>
    </row>
    <row r="22" spans="1:15">
      <c r="A22" s="3">
        <v>19</v>
      </c>
      <c r="B22" s="3" t="s">
        <v>1269</v>
      </c>
      <c r="C22" s="4">
        <v>46157</v>
      </c>
      <c r="D22" s="3" t="s">
        <v>60</v>
      </c>
      <c r="E22" s="5" t="s">
        <v>1248</v>
      </c>
      <c r="F22" s="5" t="s">
        <v>92</v>
      </c>
      <c r="G22" s="3" t="s">
        <v>35</v>
      </c>
      <c r="H22" s="3" t="s">
        <v>49</v>
      </c>
      <c r="I22" s="3" t="s">
        <v>142</v>
      </c>
      <c r="J22" s="3" t="s">
        <v>41</v>
      </c>
      <c r="K22" s="3" t="s">
        <v>66</v>
      </c>
      <c r="L22" s="4">
        <v>46164</v>
      </c>
      <c r="M22" s="4">
        <v>46193</v>
      </c>
      <c r="N22" s="3" t="s">
        <v>254</v>
      </c>
      <c r="O22" s="5">
        <f>IF(N22="Closed",IF(M22&lt;=L22,"On-Time","Delayed"),"Pending")</f>
        <v>0</v>
      </c>
    </row>
    <row r="23" spans="1:15">
      <c r="A23" s="3">
        <v>20</v>
      </c>
      <c r="B23" s="3" t="s">
        <v>1270</v>
      </c>
      <c r="C23" s="4">
        <v>46152</v>
      </c>
      <c r="D23" s="3" t="s">
        <v>60</v>
      </c>
      <c r="E23" s="5" t="s">
        <v>1257</v>
      </c>
      <c r="F23" s="5" t="s">
        <v>58</v>
      </c>
      <c r="G23" s="3" t="s">
        <v>87</v>
      </c>
      <c r="H23" s="3" t="s">
        <v>49</v>
      </c>
      <c r="I23" s="3" t="s">
        <v>162</v>
      </c>
      <c r="J23" s="3" t="s">
        <v>70</v>
      </c>
      <c r="K23" s="3" t="s">
        <v>66</v>
      </c>
      <c r="L23" s="4">
        <v>46182</v>
      </c>
      <c r="M23" s="4">
        <v>46190</v>
      </c>
      <c r="N23" s="3" t="s">
        <v>293</v>
      </c>
      <c r="O23" s="5">
        <f>IF(N23="Closed",IF(M23&lt;=L23,"On-Time","Delayed"),"Pending")</f>
        <v>0</v>
      </c>
    </row>
    <row r="24" spans="1:15">
      <c r="A24" s="3">
        <v>21</v>
      </c>
      <c r="B24" s="3" t="s">
        <v>1271</v>
      </c>
      <c r="C24" s="4">
        <v>46156</v>
      </c>
      <c r="D24" s="3" t="s">
        <v>60</v>
      </c>
      <c r="E24" s="5" t="s">
        <v>1254</v>
      </c>
      <c r="F24" s="5" t="s">
        <v>39</v>
      </c>
      <c r="G24" s="3" t="s">
        <v>77</v>
      </c>
      <c r="H24" s="3" t="s">
        <v>57</v>
      </c>
      <c r="I24" s="3" t="s">
        <v>142</v>
      </c>
      <c r="J24" s="3" t="s">
        <v>7</v>
      </c>
      <c r="K24" s="3" t="s">
        <v>70</v>
      </c>
      <c r="L24" s="4">
        <v>46184</v>
      </c>
      <c r="M24" s="4">
        <v>46173</v>
      </c>
      <c r="N24" s="3" t="s">
        <v>297</v>
      </c>
      <c r="O24" s="5">
        <f>IF(N24="Closed",IF(M24&lt;=L24,"On-Time","Delayed"),"Pending")</f>
        <v>0</v>
      </c>
    </row>
    <row r="25" spans="1:15">
      <c r="A25" s="3">
        <v>22</v>
      </c>
      <c r="B25" s="3" t="s">
        <v>1272</v>
      </c>
      <c r="C25" s="4">
        <v>46167</v>
      </c>
      <c r="D25" s="3" t="s">
        <v>60</v>
      </c>
      <c r="E25" s="5" t="s">
        <v>1254</v>
      </c>
      <c r="F25" s="5" t="s">
        <v>27</v>
      </c>
      <c r="G25" s="3" t="s">
        <v>87</v>
      </c>
      <c r="H25" s="3" t="s">
        <v>30</v>
      </c>
      <c r="I25" s="3" t="s">
        <v>154</v>
      </c>
      <c r="J25" s="3" t="s">
        <v>68</v>
      </c>
      <c r="K25" s="3" t="s">
        <v>68</v>
      </c>
      <c r="L25" s="4">
        <v>46193</v>
      </c>
      <c r="M25" s="4">
        <v>46179</v>
      </c>
      <c r="N25" s="3" t="s">
        <v>293</v>
      </c>
      <c r="O25" s="5">
        <f>IF(N25="Closed",IF(M25&lt;=L25,"On-Time","Delayed"),"Pending")</f>
        <v>0</v>
      </c>
    </row>
    <row r="26" spans="1:15">
      <c r="A26" s="3">
        <v>23</v>
      </c>
      <c r="B26" s="3" t="s">
        <v>1273</v>
      </c>
      <c r="C26" s="4">
        <v>46176</v>
      </c>
      <c r="D26" s="3" t="s">
        <v>73</v>
      </c>
      <c r="E26" s="5" t="s">
        <v>1246</v>
      </c>
      <c r="F26" s="5" t="s">
        <v>92</v>
      </c>
      <c r="G26" s="3" t="s">
        <v>82</v>
      </c>
      <c r="H26" s="3" t="s">
        <v>20</v>
      </c>
      <c r="I26" s="3" t="s">
        <v>159</v>
      </c>
      <c r="J26" s="3" t="s">
        <v>28</v>
      </c>
      <c r="K26" s="3" t="s">
        <v>104</v>
      </c>
      <c r="L26" s="4">
        <v>46221</v>
      </c>
      <c r="M26" s="4">
        <v>46186</v>
      </c>
      <c r="N26" s="3" t="s">
        <v>293</v>
      </c>
      <c r="O26" s="5">
        <f>IF(N26="Closed",IF(M26&lt;=L26,"On-Time","Delayed"),"Pending")</f>
        <v>0</v>
      </c>
    </row>
    <row r="27" spans="1:15">
      <c r="A27" s="3">
        <v>24</v>
      </c>
      <c r="B27" s="3" t="s">
        <v>1274</v>
      </c>
      <c r="C27" s="4">
        <v>46189</v>
      </c>
      <c r="D27" s="3" t="s">
        <v>73</v>
      </c>
      <c r="E27" s="5" t="s">
        <v>1257</v>
      </c>
      <c r="F27" s="5" t="s">
        <v>27</v>
      </c>
      <c r="G27" s="3" t="s">
        <v>31</v>
      </c>
      <c r="H27" s="3" t="s">
        <v>54</v>
      </c>
      <c r="I27" s="3" t="s">
        <v>159</v>
      </c>
      <c r="J27" s="3" t="s">
        <v>32</v>
      </c>
      <c r="K27" s="3" t="s">
        <v>68</v>
      </c>
      <c r="L27" s="4">
        <v>46232</v>
      </c>
      <c r="M27" s="4">
        <v>46218</v>
      </c>
      <c r="N27" s="3" t="s">
        <v>293</v>
      </c>
      <c r="O27" s="5">
        <f>IF(N27="Closed",IF(M27&lt;=L27,"On-Time","Delayed"),"Pending")</f>
        <v>0</v>
      </c>
    </row>
    <row r="28" spans="1:15">
      <c r="A28" s="3">
        <v>25</v>
      </c>
      <c r="B28" s="3" t="s">
        <v>1275</v>
      </c>
      <c r="C28" s="4">
        <v>46183</v>
      </c>
      <c r="D28" s="3" t="s">
        <v>73</v>
      </c>
      <c r="E28" s="5" t="s">
        <v>1248</v>
      </c>
      <c r="F28" s="5" t="s">
        <v>39</v>
      </c>
      <c r="G28" s="3" t="s">
        <v>77</v>
      </c>
      <c r="H28" s="3" t="s">
        <v>54</v>
      </c>
      <c r="I28" s="3" t="s">
        <v>142</v>
      </c>
      <c r="J28" s="3" t="s">
        <v>15</v>
      </c>
      <c r="K28" s="3" t="s">
        <v>68</v>
      </c>
      <c r="L28" s="4">
        <v>46202</v>
      </c>
      <c r="M28" s="4">
        <v>46209</v>
      </c>
      <c r="N28" s="3" t="s">
        <v>293</v>
      </c>
      <c r="O28" s="5">
        <f>IF(N28="Closed",IF(M28&lt;=L28,"On-Time","Delayed"),"Pending")</f>
        <v>0</v>
      </c>
    </row>
    <row r="29" spans="1:15">
      <c r="A29" s="3">
        <v>26</v>
      </c>
      <c r="B29" s="3" t="s">
        <v>1276</v>
      </c>
      <c r="C29" s="4">
        <v>46182</v>
      </c>
      <c r="D29" s="3" t="s">
        <v>73</v>
      </c>
      <c r="E29" s="5" t="s">
        <v>1252</v>
      </c>
      <c r="F29" s="5" t="s">
        <v>13</v>
      </c>
      <c r="G29" s="3" t="s">
        <v>95</v>
      </c>
      <c r="H29" s="3" t="s">
        <v>45</v>
      </c>
      <c r="I29" s="3" t="s">
        <v>159</v>
      </c>
      <c r="J29" s="3" t="s">
        <v>15</v>
      </c>
      <c r="K29" s="3" t="s">
        <v>28</v>
      </c>
      <c r="L29" s="4">
        <v>46210</v>
      </c>
      <c r="M29" s="4">
        <v>46221</v>
      </c>
      <c r="N29" s="3" t="s">
        <v>238</v>
      </c>
      <c r="O29" s="5">
        <f>IF(N29="Closed",IF(M29&lt;=L29,"On-Time","Delayed"),"Pending")</f>
        <v>0</v>
      </c>
    </row>
    <row r="30" spans="1:15">
      <c r="A30" s="3">
        <v>27</v>
      </c>
      <c r="B30" s="3" t="s">
        <v>1277</v>
      </c>
      <c r="C30" s="4">
        <v>46210</v>
      </c>
      <c r="D30" s="3" t="s">
        <v>76</v>
      </c>
      <c r="E30" s="5" t="s">
        <v>1248</v>
      </c>
      <c r="F30" s="5" t="s">
        <v>13</v>
      </c>
      <c r="G30" s="3" t="s">
        <v>82</v>
      </c>
      <c r="H30" s="3" t="s">
        <v>16</v>
      </c>
      <c r="I30" s="3" t="s">
        <v>159</v>
      </c>
      <c r="J30" s="3" t="s">
        <v>41</v>
      </c>
      <c r="K30" s="3" t="s">
        <v>28</v>
      </c>
      <c r="L30" s="4">
        <v>46216</v>
      </c>
      <c r="M30" s="4">
        <v>46235</v>
      </c>
      <c r="N30" s="3" t="s">
        <v>293</v>
      </c>
      <c r="O30" s="5">
        <f>IF(N30="Closed",IF(M30&lt;=L30,"On-Time","Delayed"),"Pending")</f>
        <v>0</v>
      </c>
    </row>
    <row r="31" spans="1:15">
      <c r="A31" s="3">
        <v>28</v>
      </c>
      <c r="B31" s="3" t="s">
        <v>1278</v>
      </c>
      <c r="C31" s="4">
        <v>46231</v>
      </c>
      <c r="D31" s="3" t="s">
        <v>76</v>
      </c>
      <c r="E31" s="5" t="s">
        <v>1246</v>
      </c>
      <c r="F31" s="5" t="s">
        <v>92</v>
      </c>
      <c r="G31" s="3" t="s">
        <v>82</v>
      </c>
      <c r="H31" s="3" t="s">
        <v>57</v>
      </c>
      <c r="I31" s="3" t="s">
        <v>142</v>
      </c>
      <c r="J31" s="3" t="s">
        <v>62</v>
      </c>
      <c r="K31" s="3" t="s">
        <v>62</v>
      </c>
      <c r="L31" s="4">
        <v>46238</v>
      </c>
      <c r="M31" s="4">
        <v>46257</v>
      </c>
      <c r="N31" s="3" t="s">
        <v>254</v>
      </c>
      <c r="O31" s="5">
        <f>IF(N31="Closed",IF(M31&lt;=L31,"On-Time","Delayed"),"Pending")</f>
        <v>0</v>
      </c>
    </row>
    <row r="32" spans="1:15">
      <c r="A32" s="3">
        <v>29</v>
      </c>
      <c r="B32" s="3" t="s">
        <v>1279</v>
      </c>
      <c r="C32" s="4">
        <v>46204</v>
      </c>
      <c r="D32" s="3" t="s">
        <v>76</v>
      </c>
      <c r="E32" s="5" t="s">
        <v>1246</v>
      </c>
      <c r="F32" s="5" t="s">
        <v>50</v>
      </c>
      <c r="G32" s="3" t="s">
        <v>77</v>
      </c>
      <c r="H32" s="3" t="s">
        <v>49</v>
      </c>
      <c r="I32" s="3" t="s">
        <v>162</v>
      </c>
      <c r="J32" s="3" t="s">
        <v>32</v>
      </c>
      <c r="K32" s="3" t="s">
        <v>78</v>
      </c>
      <c r="L32" s="4">
        <v>46244</v>
      </c>
      <c r="M32" s="4">
        <v>46222</v>
      </c>
      <c r="N32" s="3" t="s">
        <v>238</v>
      </c>
      <c r="O32" s="5">
        <f>IF(N32="Closed",IF(M32&lt;=L32,"On-Time","Delayed"),"Pending")</f>
        <v>0</v>
      </c>
    </row>
    <row r="33" spans="1:15">
      <c r="A33" s="3">
        <v>30</v>
      </c>
      <c r="B33" s="3" t="s">
        <v>1280</v>
      </c>
      <c r="C33" s="4">
        <v>46222</v>
      </c>
      <c r="D33" s="3" t="s">
        <v>76</v>
      </c>
      <c r="E33" s="5" t="s">
        <v>1252</v>
      </c>
      <c r="F33" s="5" t="s">
        <v>46</v>
      </c>
      <c r="G33" s="3" t="s">
        <v>80</v>
      </c>
      <c r="H33" s="3" t="s">
        <v>54</v>
      </c>
      <c r="I33" s="3" t="s">
        <v>162</v>
      </c>
      <c r="J33" s="3" t="s">
        <v>70</v>
      </c>
      <c r="K33" s="3" t="s">
        <v>78</v>
      </c>
      <c r="L33" s="4">
        <v>46251</v>
      </c>
      <c r="M33" s="4">
        <v>46246</v>
      </c>
      <c r="N33" s="3" t="s">
        <v>238</v>
      </c>
      <c r="O33" s="5">
        <f>IF(N33="Closed",IF(M33&lt;=L33,"On-Time","Delayed"),"Pending")</f>
        <v>0</v>
      </c>
    </row>
    <row r="34" spans="1:15">
      <c r="A34" s="3">
        <v>31</v>
      </c>
      <c r="B34" s="3" t="s">
        <v>1281</v>
      </c>
      <c r="C34" s="4">
        <v>46220</v>
      </c>
      <c r="D34" s="3" t="s">
        <v>76</v>
      </c>
      <c r="E34" s="5" t="s">
        <v>1257</v>
      </c>
      <c r="F34" s="5" t="s">
        <v>50</v>
      </c>
      <c r="G34" s="3" t="s">
        <v>6</v>
      </c>
      <c r="H34" s="3" t="s">
        <v>54</v>
      </c>
      <c r="I34" s="3" t="s">
        <v>162</v>
      </c>
      <c r="J34" s="3" t="s">
        <v>7</v>
      </c>
      <c r="K34" s="3" t="s">
        <v>68</v>
      </c>
      <c r="L34" s="4">
        <v>46244</v>
      </c>
      <c r="M34" s="4">
        <v>46257</v>
      </c>
      <c r="N34" s="3" t="s">
        <v>238</v>
      </c>
      <c r="O34" s="5">
        <f>IF(N34="Closed",IF(M34&lt;=L34,"On-Time","Delayed"),"Pending")</f>
        <v>0</v>
      </c>
    </row>
    <row r="35" spans="1:15">
      <c r="A35" s="3">
        <v>32</v>
      </c>
      <c r="B35" s="3" t="s">
        <v>1282</v>
      </c>
      <c r="C35" s="4">
        <v>46255</v>
      </c>
      <c r="D35" s="3" t="s">
        <v>86</v>
      </c>
      <c r="E35" s="5" t="s">
        <v>1254</v>
      </c>
      <c r="F35" s="5" t="s">
        <v>92</v>
      </c>
      <c r="G35" s="3" t="s">
        <v>40</v>
      </c>
      <c r="H35" s="3" t="s">
        <v>45</v>
      </c>
      <c r="I35" s="3" t="s">
        <v>142</v>
      </c>
      <c r="J35" s="3" t="s">
        <v>66</v>
      </c>
      <c r="K35" s="3" t="s">
        <v>66</v>
      </c>
      <c r="L35" s="4">
        <v>46275</v>
      </c>
      <c r="M35" s="4">
        <v>46269</v>
      </c>
      <c r="N35" s="3" t="s">
        <v>293</v>
      </c>
      <c r="O35" s="5">
        <f>IF(N35="Closed",IF(M35&lt;=L35,"On-Time","Delayed"),"Pending")</f>
        <v>0</v>
      </c>
    </row>
    <row r="36" spans="1:15">
      <c r="A36" s="3">
        <v>33</v>
      </c>
      <c r="B36" s="3" t="s">
        <v>1283</v>
      </c>
      <c r="C36" s="4">
        <v>46248</v>
      </c>
      <c r="D36" s="3" t="s">
        <v>86</v>
      </c>
      <c r="E36" s="5" t="s">
        <v>1252</v>
      </c>
      <c r="F36" s="5" t="s">
        <v>39</v>
      </c>
      <c r="G36" s="3" t="s">
        <v>80</v>
      </c>
      <c r="H36" s="3" t="s">
        <v>54</v>
      </c>
      <c r="I36" s="3" t="s">
        <v>142</v>
      </c>
      <c r="J36" s="3" t="s">
        <v>22</v>
      </c>
      <c r="K36" s="3" t="s">
        <v>104</v>
      </c>
      <c r="L36" s="4">
        <v>46293</v>
      </c>
      <c r="M36" s="4">
        <v>46264</v>
      </c>
      <c r="N36" s="3" t="s">
        <v>293</v>
      </c>
      <c r="O36" s="5">
        <f>IF(N36="Closed",IF(M36&lt;=L36,"On-Time","Delayed"),"Pending")</f>
        <v>0</v>
      </c>
    </row>
    <row r="37" spans="1:15">
      <c r="A37" s="3">
        <v>34</v>
      </c>
      <c r="B37" s="3" t="s">
        <v>1284</v>
      </c>
      <c r="C37" s="4">
        <v>46276</v>
      </c>
      <c r="D37" s="3" t="s">
        <v>102</v>
      </c>
      <c r="E37" s="5" t="s">
        <v>1252</v>
      </c>
      <c r="F37" s="5" t="s">
        <v>58</v>
      </c>
      <c r="G37" s="3" t="s">
        <v>35</v>
      </c>
      <c r="H37" s="3" t="s">
        <v>12</v>
      </c>
      <c r="I37" s="3" t="s">
        <v>159</v>
      </c>
      <c r="J37" s="3" t="s">
        <v>32</v>
      </c>
      <c r="K37" s="3" t="s">
        <v>68</v>
      </c>
      <c r="L37" s="4">
        <v>46311</v>
      </c>
      <c r="M37" s="4">
        <v>46305</v>
      </c>
      <c r="N37" s="3" t="s">
        <v>293</v>
      </c>
      <c r="O37" s="5">
        <f>IF(N37="Closed",IF(M37&lt;=L37,"On-Time","Delayed"),"Pending")</f>
        <v>0</v>
      </c>
    </row>
    <row r="38" spans="1:15">
      <c r="A38" s="3">
        <v>35</v>
      </c>
      <c r="B38" s="3" t="s">
        <v>1285</v>
      </c>
      <c r="C38" s="4">
        <v>46290</v>
      </c>
      <c r="D38" s="3" t="s">
        <v>102</v>
      </c>
      <c r="E38" s="5" t="s">
        <v>1254</v>
      </c>
      <c r="F38" s="5" t="s">
        <v>27</v>
      </c>
      <c r="G38" s="3" t="s">
        <v>14</v>
      </c>
      <c r="H38" s="3" t="s">
        <v>45</v>
      </c>
      <c r="I38" s="3" t="s">
        <v>159</v>
      </c>
      <c r="J38" s="3" t="s">
        <v>78</v>
      </c>
      <c r="K38" s="3" t="s">
        <v>62</v>
      </c>
      <c r="L38" s="4">
        <v>46298</v>
      </c>
      <c r="M38" s="4">
        <v>46324</v>
      </c>
      <c r="N38" s="3" t="s">
        <v>238</v>
      </c>
      <c r="O38" s="5">
        <f>IF(N38="Closed",IF(M38&lt;=L38,"On-Time","Delayed"),"Pending")</f>
        <v>0</v>
      </c>
    </row>
    <row r="39" spans="1:15">
      <c r="A39" s="3">
        <v>36</v>
      </c>
      <c r="B39" s="3" t="s">
        <v>1286</v>
      </c>
      <c r="C39" s="4">
        <v>46286</v>
      </c>
      <c r="D39" s="3" t="s">
        <v>102</v>
      </c>
      <c r="E39" s="5" t="s">
        <v>1250</v>
      </c>
      <c r="F39" s="5" t="s">
        <v>27</v>
      </c>
      <c r="G39" s="3" t="s">
        <v>35</v>
      </c>
      <c r="H39" s="3" t="s">
        <v>38</v>
      </c>
      <c r="I39" s="3" t="s">
        <v>162</v>
      </c>
      <c r="J39" s="3" t="s">
        <v>41</v>
      </c>
      <c r="K39" s="3" t="s">
        <v>41</v>
      </c>
      <c r="L39" s="4">
        <v>46312</v>
      </c>
      <c r="M39" s="4">
        <v>46294</v>
      </c>
      <c r="N39" s="3" t="s">
        <v>293</v>
      </c>
      <c r="O39" s="5">
        <f>IF(N39="Closed",IF(M39&lt;=L39,"On-Time","Delayed"),"Pending")</f>
        <v>0</v>
      </c>
    </row>
    <row r="40" spans="1:15">
      <c r="A40" s="3">
        <v>37</v>
      </c>
      <c r="B40" s="3" t="s">
        <v>1287</v>
      </c>
      <c r="C40" s="4">
        <v>46281</v>
      </c>
      <c r="D40" s="3" t="s">
        <v>102</v>
      </c>
      <c r="E40" s="5" t="s">
        <v>1248</v>
      </c>
      <c r="F40" s="5" t="s">
        <v>58</v>
      </c>
      <c r="G40" s="3" t="s">
        <v>40</v>
      </c>
      <c r="H40" s="3" t="s">
        <v>12</v>
      </c>
      <c r="I40" s="3" t="s">
        <v>162</v>
      </c>
      <c r="J40" s="3" t="s">
        <v>41</v>
      </c>
      <c r="K40" s="3" t="s">
        <v>41</v>
      </c>
      <c r="L40" s="4">
        <v>46292</v>
      </c>
      <c r="M40" s="4">
        <v>46293</v>
      </c>
      <c r="N40" s="3" t="s">
        <v>293</v>
      </c>
      <c r="O40" s="5">
        <f>IF(N40="Closed",IF(M40&lt;=L40,"On-Time","Delayed"),"Pending")</f>
        <v>0</v>
      </c>
    </row>
    <row r="41" spans="1:15">
      <c r="A41" s="3">
        <v>38</v>
      </c>
      <c r="B41" s="3" t="s">
        <v>1288</v>
      </c>
      <c r="C41" s="4">
        <v>46286</v>
      </c>
      <c r="D41" s="3" t="s">
        <v>102</v>
      </c>
      <c r="E41" s="5" t="s">
        <v>1248</v>
      </c>
      <c r="F41" s="5" t="s">
        <v>39</v>
      </c>
      <c r="G41" s="3" t="s">
        <v>77</v>
      </c>
      <c r="H41" s="3" t="s">
        <v>57</v>
      </c>
      <c r="I41" s="3" t="s">
        <v>142</v>
      </c>
      <c r="J41" s="3" t="s">
        <v>66</v>
      </c>
      <c r="K41" s="3" t="s">
        <v>104</v>
      </c>
      <c r="L41" s="4">
        <v>46318</v>
      </c>
      <c r="M41" s="4">
        <v>46292</v>
      </c>
      <c r="N41" s="3" t="s">
        <v>293</v>
      </c>
      <c r="O41" s="5">
        <f>IF(N41="Closed",IF(M41&lt;=L41,"On-Time","Delayed"),"Pending")</f>
        <v>0</v>
      </c>
    </row>
    <row r="42" spans="1:15">
      <c r="A42" s="3">
        <v>39</v>
      </c>
      <c r="B42" s="3" t="s">
        <v>1289</v>
      </c>
      <c r="C42" s="4">
        <v>46317</v>
      </c>
      <c r="D42" s="3" t="s">
        <v>106</v>
      </c>
      <c r="E42" s="5" t="s">
        <v>1257</v>
      </c>
      <c r="F42" s="5" t="s">
        <v>13</v>
      </c>
      <c r="G42" s="3" t="s">
        <v>35</v>
      </c>
      <c r="H42" s="3" t="s">
        <v>64</v>
      </c>
      <c r="I42" s="3" t="s">
        <v>159</v>
      </c>
      <c r="J42" s="3" t="s">
        <v>36</v>
      </c>
      <c r="K42" s="3" t="s">
        <v>104</v>
      </c>
      <c r="L42" s="4">
        <v>46335</v>
      </c>
      <c r="M42" s="4">
        <v>46327</v>
      </c>
      <c r="N42" s="3" t="s">
        <v>293</v>
      </c>
      <c r="O42" s="5">
        <f>IF(N42="Closed",IF(M42&lt;=L42,"On-Time","Delayed"),"Pending")</f>
        <v>0</v>
      </c>
    </row>
    <row r="43" spans="1:15">
      <c r="A43" s="3">
        <v>40</v>
      </c>
      <c r="B43" s="3" t="s">
        <v>1290</v>
      </c>
      <c r="C43" s="4">
        <v>46303</v>
      </c>
      <c r="D43" s="3" t="s">
        <v>106</v>
      </c>
      <c r="E43" s="5" t="s">
        <v>1252</v>
      </c>
      <c r="F43" s="5" t="s">
        <v>65</v>
      </c>
      <c r="G43" s="3" t="s">
        <v>80</v>
      </c>
      <c r="H43" s="3" t="s">
        <v>61</v>
      </c>
      <c r="I43" s="3" t="s">
        <v>154</v>
      </c>
      <c r="J43" s="3" t="s">
        <v>70</v>
      </c>
      <c r="K43" s="3" t="s">
        <v>70</v>
      </c>
      <c r="L43" s="4">
        <v>46323</v>
      </c>
      <c r="M43" s="4">
        <v>46348</v>
      </c>
      <c r="N43" s="3" t="s">
        <v>293</v>
      </c>
      <c r="O43" s="5">
        <f>IF(N43="Closed",IF(M43&lt;=L43,"On-Time","Delayed"),"Pending")</f>
        <v>0</v>
      </c>
    </row>
    <row r="44" spans="1:15">
      <c r="A44" s="3">
        <v>41</v>
      </c>
      <c r="B44" s="3" t="s">
        <v>1291</v>
      </c>
      <c r="C44" s="4">
        <v>46303</v>
      </c>
      <c r="D44" s="3" t="s">
        <v>106</v>
      </c>
      <c r="E44" s="5" t="s">
        <v>1246</v>
      </c>
      <c r="F44" s="5" t="s">
        <v>58</v>
      </c>
      <c r="G44" s="3" t="s">
        <v>31</v>
      </c>
      <c r="H44" s="3" t="s">
        <v>30</v>
      </c>
      <c r="I44" s="3" t="s">
        <v>154</v>
      </c>
      <c r="J44" s="3" t="s">
        <v>68</v>
      </c>
      <c r="K44" s="3" t="s">
        <v>28</v>
      </c>
      <c r="L44" s="4">
        <v>46329</v>
      </c>
      <c r="M44" s="4">
        <v>46336</v>
      </c>
      <c r="N44" s="3" t="s">
        <v>293</v>
      </c>
      <c r="O44" s="5">
        <f>IF(N44="Closed",IF(M44&lt;=L44,"On-Time","Delayed"),"Pending")</f>
        <v>0</v>
      </c>
    </row>
    <row r="45" spans="1:15">
      <c r="A45" s="3">
        <v>42</v>
      </c>
      <c r="B45" s="3" t="s">
        <v>1292</v>
      </c>
      <c r="C45" s="4">
        <v>46312</v>
      </c>
      <c r="D45" s="3" t="s">
        <v>106</v>
      </c>
      <c r="E45" s="5" t="s">
        <v>1252</v>
      </c>
      <c r="F45" s="5" t="s">
        <v>27</v>
      </c>
      <c r="G45" s="3" t="s">
        <v>35</v>
      </c>
      <c r="H45" s="3" t="s">
        <v>30</v>
      </c>
      <c r="I45" s="3" t="s">
        <v>159</v>
      </c>
      <c r="J45" s="3" t="s">
        <v>68</v>
      </c>
      <c r="K45" s="3" t="s">
        <v>70</v>
      </c>
      <c r="L45" s="4">
        <v>46345</v>
      </c>
      <c r="M45" s="4">
        <v>46357</v>
      </c>
      <c r="N45" s="3" t="s">
        <v>293</v>
      </c>
      <c r="O45" s="5">
        <f>IF(N45="Closed",IF(M45&lt;=L45,"On-Time","Delayed"),"Pending")</f>
        <v>0</v>
      </c>
    </row>
    <row r="46" spans="1:15">
      <c r="A46" s="3">
        <v>43</v>
      </c>
      <c r="B46" s="3" t="s">
        <v>1293</v>
      </c>
      <c r="C46" s="4">
        <v>46344</v>
      </c>
      <c r="D46" s="3" t="s">
        <v>111</v>
      </c>
      <c r="E46" s="5" t="s">
        <v>1250</v>
      </c>
      <c r="F46" s="5" t="s">
        <v>89</v>
      </c>
      <c r="G46" s="3" t="s">
        <v>80</v>
      </c>
      <c r="H46" s="3" t="s">
        <v>26</v>
      </c>
      <c r="I46" s="3" t="s">
        <v>159</v>
      </c>
      <c r="J46" s="3" t="s">
        <v>104</v>
      </c>
      <c r="K46" s="3" t="s">
        <v>22</v>
      </c>
      <c r="L46" s="4">
        <v>46352</v>
      </c>
      <c r="M46" s="4">
        <v>46380</v>
      </c>
      <c r="N46" s="3" t="s">
        <v>254</v>
      </c>
      <c r="O46" s="5">
        <f>IF(N46="Closed",IF(M46&lt;=L46,"On-Time","Delayed"),"Pending")</f>
        <v>0</v>
      </c>
    </row>
    <row r="47" spans="1:15">
      <c r="A47" s="3">
        <v>44</v>
      </c>
      <c r="B47" s="3" t="s">
        <v>1294</v>
      </c>
      <c r="C47" s="4">
        <v>46354</v>
      </c>
      <c r="D47" s="3" t="s">
        <v>111</v>
      </c>
      <c r="E47" s="5" t="s">
        <v>1250</v>
      </c>
      <c r="F47" s="5" t="s">
        <v>46</v>
      </c>
      <c r="G47" s="3" t="s">
        <v>87</v>
      </c>
      <c r="H47" s="3" t="s">
        <v>49</v>
      </c>
      <c r="I47" s="3" t="s">
        <v>142</v>
      </c>
      <c r="J47" s="3" t="s">
        <v>68</v>
      </c>
      <c r="K47" s="3" t="s">
        <v>78</v>
      </c>
      <c r="L47" s="4">
        <v>46359</v>
      </c>
      <c r="M47" s="4">
        <v>46362</v>
      </c>
      <c r="N47" s="3" t="s">
        <v>293</v>
      </c>
      <c r="O47" s="5">
        <f>IF(N47="Closed",IF(M47&lt;=L47,"On-Time","Delayed"),"Pending")</f>
        <v>0</v>
      </c>
    </row>
    <row r="48" spans="1:15">
      <c r="A48" s="3">
        <v>45</v>
      </c>
      <c r="B48" s="3" t="s">
        <v>1295</v>
      </c>
      <c r="C48" s="4">
        <v>46375</v>
      </c>
      <c r="D48" s="3" t="s">
        <v>122</v>
      </c>
      <c r="E48" s="5" t="s">
        <v>1252</v>
      </c>
      <c r="F48" s="5" t="s">
        <v>5</v>
      </c>
      <c r="G48" s="3" t="s">
        <v>95</v>
      </c>
      <c r="H48" s="3" t="s">
        <v>12</v>
      </c>
      <c r="I48" s="3" t="s">
        <v>159</v>
      </c>
      <c r="J48" s="3" t="s">
        <v>32</v>
      </c>
      <c r="K48" s="3" t="s">
        <v>41</v>
      </c>
      <c r="L48" s="4">
        <v>46405</v>
      </c>
      <c r="M48" s="4">
        <v>46391</v>
      </c>
      <c r="N48" s="3" t="s">
        <v>254</v>
      </c>
      <c r="O48" s="5">
        <f>IF(N48="Closed",IF(M48&lt;=L48,"On-Time","Delayed"),"Pending")</f>
        <v>0</v>
      </c>
    </row>
    <row r="49" spans="1:15">
      <c r="A49" s="3">
        <v>46</v>
      </c>
      <c r="B49" s="3" t="s">
        <v>1296</v>
      </c>
      <c r="C49" s="4">
        <v>46368</v>
      </c>
      <c r="D49" s="3" t="s">
        <v>122</v>
      </c>
      <c r="E49" s="5" t="s">
        <v>1246</v>
      </c>
      <c r="F49" s="5" t="s">
        <v>46</v>
      </c>
      <c r="G49" s="3" t="s">
        <v>35</v>
      </c>
      <c r="H49" s="3" t="s">
        <v>30</v>
      </c>
      <c r="I49" s="3" t="s">
        <v>159</v>
      </c>
      <c r="J49" s="3" t="s">
        <v>62</v>
      </c>
      <c r="K49" s="3" t="s">
        <v>78</v>
      </c>
      <c r="L49" s="4">
        <v>46410</v>
      </c>
      <c r="M49" s="4">
        <v>46401</v>
      </c>
      <c r="N49" s="3" t="s">
        <v>238</v>
      </c>
      <c r="O49" s="5">
        <f>IF(N49="Closed",IF(M49&lt;=L49,"On-Time","Delayed"),"Pending")</f>
        <v>0</v>
      </c>
    </row>
    <row r="50" spans="1:15">
      <c r="A50" s="3">
        <v>47</v>
      </c>
      <c r="B50" s="3" t="s">
        <v>1297</v>
      </c>
      <c r="C50" s="4">
        <v>46380</v>
      </c>
      <c r="D50" s="3" t="s">
        <v>122</v>
      </c>
      <c r="E50" s="5" t="s">
        <v>1248</v>
      </c>
      <c r="F50" s="5" t="s">
        <v>50</v>
      </c>
      <c r="G50" s="3" t="s">
        <v>31</v>
      </c>
      <c r="H50" s="3" t="s">
        <v>12</v>
      </c>
      <c r="I50" s="3" t="s">
        <v>159</v>
      </c>
      <c r="J50" s="3" t="s">
        <v>28</v>
      </c>
      <c r="K50" s="3" t="s">
        <v>7</v>
      </c>
      <c r="L50" s="4">
        <v>46413</v>
      </c>
      <c r="M50" s="4">
        <v>46404</v>
      </c>
      <c r="N50" s="3" t="s">
        <v>293</v>
      </c>
      <c r="O50" s="5">
        <f>IF(N50="Closed",IF(M50&lt;=L50,"On-Time","Delayed"),"Pending")</f>
        <v>0</v>
      </c>
    </row>
    <row r="51" spans="1:15">
      <c r="A51" s="3">
        <v>48</v>
      </c>
      <c r="B51" s="3" t="s">
        <v>1298</v>
      </c>
      <c r="C51" s="4">
        <v>46361</v>
      </c>
      <c r="D51" s="3" t="s">
        <v>122</v>
      </c>
      <c r="E51" s="5" t="s">
        <v>1252</v>
      </c>
      <c r="F51" s="5" t="s">
        <v>89</v>
      </c>
      <c r="G51" s="3" t="s">
        <v>77</v>
      </c>
      <c r="H51" s="3" t="s">
        <v>12</v>
      </c>
      <c r="I51" s="3" t="s">
        <v>162</v>
      </c>
      <c r="J51" s="3" t="s">
        <v>66</v>
      </c>
      <c r="K51" s="3" t="s">
        <v>7</v>
      </c>
      <c r="L51" s="4">
        <v>46396</v>
      </c>
      <c r="M51" s="4">
        <v>46396</v>
      </c>
      <c r="N51" s="3" t="s">
        <v>293</v>
      </c>
      <c r="O51" s="5">
        <f>IF(N51="Closed",IF(M51&lt;=L51,"On-Time","Delayed"),"Pending")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N4:N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Q1" location="'Home'!A1" display="Home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customWidth="1"/>
    <col min="3" max="3" width="13.7109375" customWidth="1"/>
    <col min="4" max="5" width="9.7109375" customWidth="1"/>
    <col min="6" max="6" width="10.7109375" customWidth="1"/>
    <col min="7" max="7" width="12.7109375" customWidth="1"/>
    <col min="8" max="8" width="16.7109375" customWidth="1"/>
    <col min="9" max="10" width="13.7109375" customWidth="1"/>
    <col min="11" max="12" width="19.7109375" customWidth="1"/>
    <col min="13" max="13" width="9.7109375" customWidth="1"/>
    <col min="14" max="14" width="19.7109375" customWidth="1"/>
  </cols>
  <sheetData>
    <row r="1" spans="1:16" ht="22" customHeight="1">
      <c r="A1" s="1" t="s">
        <v>1306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P1" s="2" t="s">
        <v>139</v>
      </c>
    </row>
    <row r="2" spans="1:16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>
      <c r="A3" t="s">
        <v>124</v>
      </c>
      <c r="B3" t="s">
        <v>1361</v>
      </c>
      <c r="C3" t="s">
        <v>1300</v>
      </c>
      <c r="D3" t="s">
        <v>127</v>
      </c>
      <c r="E3" t="s">
        <v>1301</v>
      </c>
      <c r="F3" t="s">
        <v>1120</v>
      </c>
      <c r="G3" t="s">
        <v>129</v>
      </c>
      <c r="H3" t="s">
        <v>1362</v>
      </c>
      <c r="I3" t="s">
        <v>1302</v>
      </c>
      <c r="J3" t="s">
        <v>209</v>
      </c>
      <c r="K3" t="s">
        <v>1363</v>
      </c>
      <c r="L3" t="s">
        <v>1364</v>
      </c>
      <c r="M3" t="s">
        <v>287</v>
      </c>
      <c r="N3" t="s">
        <v>1365</v>
      </c>
    </row>
    <row r="4" spans="1:16">
      <c r="A4" s="3">
        <v>1</v>
      </c>
      <c r="B4" s="3" t="s">
        <v>1307</v>
      </c>
      <c r="C4" s="4">
        <v>46028</v>
      </c>
      <c r="D4" s="3" t="s">
        <v>3</v>
      </c>
      <c r="E4" s="5" t="s">
        <v>1254</v>
      </c>
      <c r="F4" s="5" t="s">
        <v>159</v>
      </c>
      <c r="G4" s="3" t="s">
        <v>58</v>
      </c>
      <c r="H4" s="3" t="s">
        <v>61</v>
      </c>
      <c r="I4" s="3" t="s">
        <v>78</v>
      </c>
      <c r="J4" s="3" t="s">
        <v>62</v>
      </c>
      <c r="K4" s="4">
        <v>46068</v>
      </c>
      <c r="L4" s="4">
        <v>46048</v>
      </c>
      <c r="M4" s="3" t="s">
        <v>293</v>
      </c>
      <c r="N4" s="3" t="s">
        <v>300</v>
      </c>
    </row>
    <row r="5" spans="1:16">
      <c r="A5" s="3">
        <v>2</v>
      </c>
      <c r="B5" s="3" t="s">
        <v>1308</v>
      </c>
      <c r="C5" s="4">
        <v>46029</v>
      </c>
      <c r="D5" s="3" t="s">
        <v>3</v>
      </c>
      <c r="E5" s="5" t="s">
        <v>1246</v>
      </c>
      <c r="F5" s="5" t="s">
        <v>159</v>
      </c>
      <c r="G5" s="3" t="s">
        <v>58</v>
      </c>
      <c r="H5" s="3" t="s">
        <v>49</v>
      </c>
      <c r="I5" s="3" t="s">
        <v>66</v>
      </c>
      <c r="J5" s="3" t="s">
        <v>70</v>
      </c>
      <c r="K5" s="4">
        <v>46071</v>
      </c>
      <c r="L5" s="4">
        <v>46049</v>
      </c>
      <c r="M5" s="3" t="s">
        <v>293</v>
      </c>
      <c r="N5" s="3" t="s">
        <v>300</v>
      </c>
    </row>
    <row r="6" spans="1:16">
      <c r="A6" s="3">
        <v>3</v>
      </c>
      <c r="B6" s="3" t="s">
        <v>1309</v>
      </c>
      <c r="C6" s="4">
        <v>46032</v>
      </c>
      <c r="D6" s="3" t="s">
        <v>3</v>
      </c>
      <c r="E6" s="5" t="s">
        <v>1252</v>
      </c>
      <c r="F6" s="5" t="s">
        <v>154</v>
      </c>
      <c r="G6" s="3" t="s">
        <v>39</v>
      </c>
      <c r="H6" s="3" t="s">
        <v>26</v>
      </c>
      <c r="I6" s="3" t="s">
        <v>104</v>
      </c>
      <c r="J6" s="3" t="s">
        <v>28</v>
      </c>
      <c r="K6" s="4">
        <v>46052</v>
      </c>
      <c r="L6" s="4">
        <v>46039</v>
      </c>
      <c r="M6" s="3" t="s">
        <v>293</v>
      </c>
      <c r="N6" s="3" t="s">
        <v>1310</v>
      </c>
    </row>
    <row r="7" spans="1:16">
      <c r="A7" s="3">
        <v>4</v>
      </c>
      <c r="B7" s="3" t="s">
        <v>1311</v>
      </c>
      <c r="C7" s="4">
        <v>46079</v>
      </c>
      <c r="D7" s="3" t="s">
        <v>19</v>
      </c>
      <c r="E7" s="5" t="s">
        <v>1257</v>
      </c>
      <c r="F7" s="5" t="s">
        <v>142</v>
      </c>
      <c r="G7" s="3" t="s">
        <v>89</v>
      </c>
      <c r="H7" s="3" t="s">
        <v>20</v>
      </c>
      <c r="I7" s="3" t="s">
        <v>28</v>
      </c>
      <c r="J7" s="3" t="s">
        <v>104</v>
      </c>
      <c r="K7" s="4">
        <v>46117</v>
      </c>
      <c r="L7" s="4">
        <v>46116</v>
      </c>
      <c r="M7" s="3" t="s">
        <v>293</v>
      </c>
      <c r="N7" s="3" t="s">
        <v>1312</v>
      </c>
    </row>
    <row r="8" spans="1:16">
      <c r="A8" s="3">
        <v>5</v>
      </c>
      <c r="B8" s="3" t="s">
        <v>1313</v>
      </c>
      <c r="C8" s="4">
        <v>46071</v>
      </c>
      <c r="D8" s="3" t="s">
        <v>19</v>
      </c>
      <c r="E8" s="5" t="s">
        <v>1246</v>
      </c>
      <c r="F8" s="5" t="s">
        <v>154</v>
      </c>
      <c r="G8" s="3" t="s">
        <v>5</v>
      </c>
      <c r="H8" s="3" t="s">
        <v>26</v>
      </c>
      <c r="I8" s="3" t="s">
        <v>32</v>
      </c>
      <c r="J8" s="3" t="s">
        <v>36</v>
      </c>
      <c r="K8" s="4">
        <v>46108</v>
      </c>
      <c r="L8" s="4">
        <v>46106</v>
      </c>
      <c r="M8" s="3" t="s">
        <v>254</v>
      </c>
      <c r="N8" s="3" t="s">
        <v>296</v>
      </c>
    </row>
    <row r="9" spans="1:16">
      <c r="A9" s="3">
        <v>6</v>
      </c>
      <c r="B9" s="3" t="s">
        <v>1314</v>
      </c>
      <c r="C9" s="4">
        <v>46064</v>
      </c>
      <c r="D9" s="3" t="s">
        <v>19</v>
      </c>
      <c r="E9" s="5" t="s">
        <v>1250</v>
      </c>
      <c r="F9" s="5" t="s">
        <v>142</v>
      </c>
      <c r="G9" s="3" t="s">
        <v>89</v>
      </c>
      <c r="H9" s="3" t="s">
        <v>91</v>
      </c>
      <c r="I9" s="3" t="s">
        <v>93</v>
      </c>
      <c r="J9" s="3" t="s">
        <v>70</v>
      </c>
      <c r="K9" s="4">
        <v>46095</v>
      </c>
      <c r="L9" s="4">
        <v>46082</v>
      </c>
      <c r="M9" s="3" t="s">
        <v>293</v>
      </c>
      <c r="N9" s="3" t="s">
        <v>1315</v>
      </c>
    </row>
    <row r="10" spans="1:16">
      <c r="A10" s="3">
        <v>7</v>
      </c>
      <c r="B10" s="3" t="s">
        <v>1316</v>
      </c>
      <c r="C10" s="4">
        <v>46062</v>
      </c>
      <c r="D10" s="3" t="s">
        <v>19</v>
      </c>
      <c r="E10" s="5" t="s">
        <v>1254</v>
      </c>
      <c r="F10" s="5" t="s">
        <v>142</v>
      </c>
      <c r="G10" s="3" t="s">
        <v>89</v>
      </c>
      <c r="H10" s="3" t="s">
        <v>91</v>
      </c>
      <c r="I10" s="3" t="s">
        <v>15</v>
      </c>
      <c r="J10" s="3" t="s">
        <v>15</v>
      </c>
      <c r="K10" s="4">
        <v>46078</v>
      </c>
      <c r="L10" s="4">
        <v>46080</v>
      </c>
      <c r="M10" s="3" t="s">
        <v>293</v>
      </c>
      <c r="N10" s="3" t="s">
        <v>1312</v>
      </c>
    </row>
    <row r="11" spans="1:16">
      <c r="A11" s="3">
        <v>8</v>
      </c>
      <c r="B11" s="3" t="s">
        <v>1317</v>
      </c>
      <c r="C11" s="4">
        <v>46088</v>
      </c>
      <c r="D11" s="3" t="s">
        <v>44</v>
      </c>
      <c r="E11" s="5" t="s">
        <v>1252</v>
      </c>
      <c r="F11" s="5" t="s">
        <v>142</v>
      </c>
      <c r="G11" s="3" t="s">
        <v>13</v>
      </c>
      <c r="H11" s="3" t="s">
        <v>61</v>
      </c>
      <c r="I11" s="3" t="s">
        <v>70</v>
      </c>
      <c r="J11" s="3" t="s">
        <v>70</v>
      </c>
      <c r="K11" s="4">
        <v>46129</v>
      </c>
      <c r="L11" s="4">
        <v>46128</v>
      </c>
      <c r="M11" s="3" t="s">
        <v>297</v>
      </c>
      <c r="N11" s="3" t="s">
        <v>1318</v>
      </c>
    </row>
    <row r="12" spans="1:16">
      <c r="A12" s="3">
        <v>9</v>
      </c>
      <c r="B12" s="3" t="s">
        <v>1319</v>
      </c>
      <c r="C12" s="4">
        <v>46082</v>
      </c>
      <c r="D12" s="3" t="s">
        <v>44</v>
      </c>
      <c r="E12" s="5" t="s">
        <v>1248</v>
      </c>
      <c r="F12" s="5" t="s">
        <v>154</v>
      </c>
      <c r="G12" s="3" t="s">
        <v>46</v>
      </c>
      <c r="H12" s="3" t="s">
        <v>4</v>
      </c>
      <c r="I12" s="3" t="s">
        <v>62</v>
      </c>
      <c r="J12" s="3" t="s">
        <v>70</v>
      </c>
      <c r="K12" s="4">
        <v>46113</v>
      </c>
      <c r="L12" s="4">
        <v>46098</v>
      </c>
      <c r="M12" s="3" t="s">
        <v>297</v>
      </c>
      <c r="N12" s="3" t="s">
        <v>296</v>
      </c>
    </row>
    <row r="13" spans="1:16">
      <c r="A13" s="3">
        <v>10</v>
      </c>
      <c r="B13" s="3" t="s">
        <v>1320</v>
      </c>
      <c r="C13" s="4">
        <v>46107</v>
      </c>
      <c r="D13" s="3" t="s">
        <v>44</v>
      </c>
      <c r="E13" s="5" t="s">
        <v>1250</v>
      </c>
      <c r="F13" s="5" t="s">
        <v>159</v>
      </c>
      <c r="G13" s="3" t="s">
        <v>92</v>
      </c>
      <c r="H13" s="3" t="s">
        <v>61</v>
      </c>
      <c r="I13" s="3" t="s">
        <v>62</v>
      </c>
      <c r="J13" s="3" t="s">
        <v>93</v>
      </c>
      <c r="K13" s="4">
        <v>46147</v>
      </c>
      <c r="L13" s="4">
        <v>46123</v>
      </c>
      <c r="M13" s="3" t="s">
        <v>293</v>
      </c>
      <c r="N13" s="3" t="s">
        <v>1310</v>
      </c>
    </row>
    <row r="14" spans="1:16">
      <c r="A14" s="3">
        <v>11</v>
      </c>
      <c r="B14" s="3" t="s">
        <v>1321</v>
      </c>
      <c r="C14" s="4">
        <v>46137</v>
      </c>
      <c r="D14" s="3" t="s">
        <v>53</v>
      </c>
      <c r="E14" s="5" t="s">
        <v>1254</v>
      </c>
      <c r="F14" s="5" t="s">
        <v>142</v>
      </c>
      <c r="G14" s="3" t="s">
        <v>92</v>
      </c>
      <c r="H14" s="3" t="s">
        <v>91</v>
      </c>
      <c r="I14" s="3" t="s">
        <v>66</v>
      </c>
      <c r="J14" s="3" t="s">
        <v>68</v>
      </c>
      <c r="K14" s="4">
        <v>46150</v>
      </c>
      <c r="L14" s="4">
        <v>46145</v>
      </c>
      <c r="M14" s="3" t="s">
        <v>293</v>
      </c>
      <c r="N14" s="3" t="s">
        <v>1318</v>
      </c>
    </row>
    <row r="15" spans="1:16">
      <c r="A15" s="3">
        <v>12</v>
      </c>
      <c r="B15" s="3" t="s">
        <v>1322</v>
      </c>
      <c r="C15" s="4">
        <v>46114</v>
      </c>
      <c r="D15" s="3" t="s">
        <v>53</v>
      </c>
      <c r="E15" s="5" t="s">
        <v>1257</v>
      </c>
      <c r="F15" s="5" t="s">
        <v>154</v>
      </c>
      <c r="G15" s="3" t="s">
        <v>13</v>
      </c>
      <c r="H15" s="3" t="s">
        <v>26</v>
      </c>
      <c r="I15" s="3" t="s">
        <v>32</v>
      </c>
      <c r="J15" s="3" t="s">
        <v>62</v>
      </c>
      <c r="K15" s="4">
        <v>46139</v>
      </c>
      <c r="L15" s="4">
        <v>46123</v>
      </c>
      <c r="M15" s="3" t="s">
        <v>293</v>
      </c>
      <c r="N15" s="3" t="s">
        <v>1318</v>
      </c>
    </row>
    <row r="16" spans="1:16">
      <c r="A16" s="3">
        <v>13</v>
      </c>
      <c r="B16" s="3" t="s">
        <v>1323</v>
      </c>
      <c r="C16" s="4">
        <v>46117</v>
      </c>
      <c r="D16" s="3" t="s">
        <v>53</v>
      </c>
      <c r="E16" s="5" t="s">
        <v>1257</v>
      </c>
      <c r="F16" s="5" t="s">
        <v>159</v>
      </c>
      <c r="G16" s="3" t="s">
        <v>13</v>
      </c>
      <c r="H16" s="3" t="s">
        <v>91</v>
      </c>
      <c r="I16" s="3" t="s">
        <v>66</v>
      </c>
      <c r="J16" s="3" t="s">
        <v>28</v>
      </c>
      <c r="K16" s="4">
        <v>46138</v>
      </c>
      <c r="L16" s="4">
        <v>46149</v>
      </c>
      <c r="M16" s="3" t="s">
        <v>293</v>
      </c>
      <c r="N16" s="3" t="s">
        <v>296</v>
      </c>
    </row>
    <row r="17" spans="1:14">
      <c r="A17" s="3">
        <v>14</v>
      </c>
      <c r="B17" s="3" t="s">
        <v>1324</v>
      </c>
      <c r="C17" s="4">
        <v>46135</v>
      </c>
      <c r="D17" s="3" t="s">
        <v>53</v>
      </c>
      <c r="E17" s="5" t="s">
        <v>1257</v>
      </c>
      <c r="F17" s="5" t="s">
        <v>162</v>
      </c>
      <c r="G17" s="3" t="s">
        <v>13</v>
      </c>
      <c r="H17" s="3" t="s">
        <v>20</v>
      </c>
      <c r="I17" s="3" t="s">
        <v>41</v>
      </c>
      <c r="J17" s="3" t="s">
        <v>62</v>
      </c>
      <c r="K17" s="4">
        <v>46156</v>
      </c>
      <c r="L17" s="4">
        <v>46156</v>
      </c>
      <c r="M17" s="3" t="s">
        <v>293</v>
      </c>
      <c r="N17" s="3" t="s">
        <v>1315</v>
      </c>
    </row>
    <row r="18" spans="1:14">
      <c r="A18" s="3">
        <v>15</v>
      </c>
      <c r="B18" s="3" t="s">
        <v>1325</v>
      </c>
      <c r="C18" s="4">
        <v>46125</v>
      </c>
      <c r="D18" s="3" t="s">
        <v>53</v>
      </c>
      <c r="E18" s="5" t="s">
        <v>1252</v>
      </c>
      <c r="F18" s="5" t="s">
        <v>142</v>
      </c>
      <c r="G18" s="3" t="s">
        <v>39</v>
      </c>
      <c r="H18" s="3" t="s">
        <v>49</v>
      </c>
      <c r="I18" s="3" t="s">
        <v>62</v>
      </c>
      <c r="J18" s="3" t="s">
        <v>22</v>
      </c>
      <c r="K18" s="4">
        <v>46160</v>
      </c>
      <c r="L18" s="4">
        <v>46156</v>
      </c>
      <c r="M18" s="3" t="s">
        <v>254</v>
      </c>
      <c r="N18" s="3" t="s">
        <v>1312</v>
      </c>
    </row>
    <row r="19" spans="1:14">
      <c r="A19" s="3">
        <v>16</v>
      </c>
      <c r="B19" s="3" t="s">
        <v>1326</v>
      </c>
      <c r="C19" s="4">
        <v>46124</v>
      </c>
      <c r="D19" s="3" t="s">
        <v>53</v>
      </c>
      <c r="E19" s="5" t="s">
        <v>1257</v>
      </c>
      <c r="F19" s="5" t="s">
        <v>154</v>
      </c>
      <c r="G19" s="3" t="s">
        <v>50</v>
      </c>
      <c r="H19" s="3" t="s">
        <v>64</v>
      </c>
      <c r="I19" s="3" t="s">
        <v>28</v>
      </c>
      <c r="J19" s="3" t="s">
        <v>15</v>
      </c>
      <c r="K19" s="4">
        <v>46158</v>
      </c>
      <c r="L19" s="4">
        <v>46148</v>
      </c>
      <c r="M19" s="3" t="s">
        <v>254</v>
      </c>
      <c r="N19" s="3" t="s">
        <v>300</v>
      </c>
    </row>
    <row r="20" spans="1:14">
      <c r="A20" s="3">
        <v>17</v>
      </c>
      <c r="B20" s="3" t="s">
        <v>1327</v>
      </c>
      <c r="C20" s="4">
        <v>46136</v>
      </c>
      <c r="D20" s="3" t="s">
        <v>53</v>
      </c>
      <c r="E20" s="5" t="s">
        <v>1248</v>
      </c>
      <c r="F20" s="5" t="s">
        <v>142</v>
      </c>
      <c r="G20" s="3" t="s">
        <v>65</v>
      </c>
      <c r="H20" s="3" t="s">
        <v>38</v>
      </c>
      <c r="I20" s="3" t="s">
        <v>93</v>
      </c>
      <c r="J20" s="3" t="s">
        <v>70</v>
      </c>
      <c r="K20" s="4">
        <v>46176</v>
      </c>
      <c r="L20" s="4">
        <v>46153</v>
      </c>
      <c r="M20" s="3" t="s">
        <v>238</v>
      </c>
      <c r="N20" s="3" t="s">
        <v>1318</v>
      </c>
    </row>
    <row r="21" spans="1:14">
      <c r="A21" s="3">
        <v>18</v>
      </c>
      <c r="B21" s="3" t="s">
        <v>1328</v>
      </c>
      <c r="C21" s="4">
        <v>46166</v>
      </c>
      <c r="D21" s="3" t="s">
        <v>60</v>
      </c>
      <c r="E21" s="5" t="s">
        <v>1252</v>
      </c>
      <c r="F21" s="5" t="s">
        <v>142</v>
      </c>
      <c r="G21" s="3" t="s">
        <v>5</v>
      </c>
      <c r="H21" s="3" t="s">
        <v>38</v>
      </c>
      <c r="I21" s="3" t="s">
        <v>70</v>
      </c>
      <c r="J21" s="3" t="s">
        <v>68</v>
      </c>
      <c r="K21" s="4">
        <v>46179</v>
      </c>
      <c r="L21" s="4">
        <v>46194</v>
      </c>
      <c r="M21" s="3" t="s">
        <v>293</v>
      </c>
      <c r="N21" s="3" t="s">
        <v>1315</v>
      </c>
    </row>
    <row r="22" spans="1:14">
      <c r="A22" s="3">
        <v>19</v>
      </c>
      <c r="B22" s="3" t="s">
        <v>1329</v>
      </c>
      <c r="C22" s="4">
        <v>46157</v>
      </c>
      <c r="D22" s="3" t="s">
        <v>60</v>
      </c>
      <c r="E22" s="5" t="s">
        <v>1252</v>
      </c>
      <c r="F22" s="5" t="s">
        <v>154</v>
      </c>
      <c r="G22" s="3" t="s">
        <v>5</v>
      </c>
      <c r="H22" s="3" t="s">
        <v>30</v>
      </c>
      <c r="I22" s="3" t="s">
        <v>104</v>
      </c>
      <c r="J22" s="3" t="s">
        <v>22</v>
      </c>
      <c r="K22" s="4">
        <v>46201</v>
      </c>
      <c r="L22" s="4">
        <v>46164</v>
      </c>
      <c r="M22" s="3" t="s">
        <v>254</v>
      </c>
      <c r="N22" s="3" t="s">
        <v>1330</v>
      </c>
    </row>
    <row r="23" spans="1:14">
      <c r="A23" s="3">
        <v>20</v>
      </c>
      <c r="B23" s="3" t="s">
        <v>1331</v>
      </c>
      <c r="C23" s="4">
        <v>46199</v>
      </c>
      <c r="D23" s="3" t="s">
        <v>73</v>
      </c>
      <c r="E23" s="5" t="s">
        <v>1246</v>
      </c>
      <c r="F23" s="5" t="s">
        <v>154</v>
      </c>
      <c r="G23" s="3" t="s">
        <v>39</v>
      </c>
      <c r="H23" s="3" t="s">
        <v>26</v>
      </c>
      <c r="I23" s="3" t="s">
        <v>41</v>
      </c>
      <c r="J23" s="3" t="s">
        <v>66</v>
      </c>
      <c r="K23" s="4">
        <v>46228</v>
      </c>
      <c r="L23" s="4">
        <v>46231</v>
      </c>
      <c r="M23" s="3" t="s">
        <v>254</v>
      </c>
      <c r="N23" s="3" t="s">
        <v>1310</v>
      </c>
    </row>
    <row r="24" spans="1:14">
      <c r="A24" s="3">
        <v>21</v>
      </c>
      <c r="B24" s="3" t="s">
        <v>1332</v>
      </c>
      <c r="C24" s="4">
        <v>46195</v>
      </c>
      <c r="D24" s="3" t="s">
        <v>73</v>
      </c>
      <c r="E24" s="5" t="s">
        <v>1254</v>
      </c>
      <c r="F24" s="5" t="s">
        <v>154</v>
      </c>
      <c r="G24" s="3" t="s">
        <v>92</v>
      </c>
      <c r="H24" s="3" t="s">
        <v>16</v>
      </c>
      <c r="I24" s="3" t="s">
        <v>28</v>
      </c>
      <c r="J24" s="3" t="s">
        <v>41</v>
      </c>
      <c r="K24" s="4">
        <v>46233</v>
      </c>
      <c r="L24" s="4">
        <v>46240</v>
      </c>
      <c r="M24" s="3" t="s">
        <v>254</v>
      </c>
      <c r="N24" s="3" t="s">
        <v>300</v>
      </c>
    </row>
    <row r="25" spans="1:14">
      <c r="A25" s="3">
        <v>22</v>
      </c>
      <c r="B25" s="3" t="s">
        <v>1333</v>
      </c>
      <c r="C25" s="4">
        <v>46201</v>
      </c>
      <c r="D25" s="3" t="s">
        <v>73</v>
      </c>
      <c r="E25" s="5" t="s">
        <v>1254</v>
      </c>
      <c r="F25" s="5" t="s">
        <v>162</v>
      </c>
      <c r="G25" s="3" t="s">
        <v>58</v>
      </c>
      <c r="H25" s="3" t="s">
        <v>61</v>
      </c>
      <c r="I25" s="3" t="s">
        <v>36</v>
      </c>
      <c r="J25" s="3" t="s">
        <v>32</v>
      </c>
      <c r="K25" s="4">
        <v>46224</v>
      </c>
      <c r="L25" s="4">
        <v>46238</v>
      </c>
      <c r="M25" s="3" t="s">
        <v>293</v>
      </c>
      <c r="N25" s="3" t="s">
        <v>1318</v>
      </c>
    </row>
    <row r="26" spans="1:14">
      <c r="A26" s="3">
        <v>23</v>
      </c>
      <c r="B26" s="3" t="s">
        <v>1334</v>
      </c>
      <c r="C26" s="4">
        <v>46200</v>
      </c>
      <c r="D26" s="3" t="s">
        <v>73</v>
      </c>
      <c r="E26" s="5" t="s">
        <v>1252</v>
      </c>
      <c r="F26" s="5" t="s">
        <v>154</v>
      </c>
      <c r="G26" s="3" t="s">
        <v>50</v>
      </c>
      <c r="H26" s="3" t="s">
        <v>57</v>
      </c>
      <c r="I26" s="3" t="s">
        <v>104</v>
      </c>
      <c r="J26" s="3" t="s">
        <v>66</v>
      </c>
      <c r="K26" s="4">
        <v>46237</v>
      </c>
      <c r="L26" s="4">
        <v>46226</v>
      </c>
      <c r="M26" s="3" t="s">
        <v>293</v>
      </c>
      <c r="N26" s="3" t="s">
        <v>1315</v>
      </c>
    </row>
    <row r="27" spans="1:14">
      <c r="A27" s="3">
        <v>24</v>
      </c>
      <c r="B27" s="3" t="s">
        <v>1335</v>
      </c>
      <c r="C27" s="4">
        <v>46179</v>
      </c>
      <c r="D27" s="3" t="s">
        <v>73</v>
      </c>
      <c r="E27" s="5" t="s">
        <v>1254</v>
      </c>
      <c r="F27" s="5" t="s">
        <v>142</v>
      </c>
      <c r="G27" s="3" t="s">
        <v>65</v>
      </c>
      <c r="H27" s="3" t="s">
        <v>4</v>
      </c>
      <c r="I27" s="3" t="s">
        <v>104</v>
      </c>
      <c r="J27" s="3" t="s">
        <v>36</v>
      </c>
      <c r="K27" s="4">
        <v>46188</v>
      </c>
      <c r="L27" s="4">
        <v>46186</v>
      </c>
      <c r="M27" s="3" t="s">
        <v>238</v>
      </c>
      <c r="N27" s="3" t="s">
        <v>296</v>
      </c>
    </row>
    <row r="28" spans="1:14">
      <c r="A28" s="3">
        <v>25</v>
      </c>
      <c r="B28" s="3" t="s">
        <v>1336</v>
      </c>
      <c r="C28" s="4">
        <v>46230</v>
      </c>
      <c r="D28" s="3" t="s">
        <v>76</v>
      </c>
      <c r="E28" s="5" t="s">
        <v>1254</v>
      </c>
      <c r="F28" s="5" t="s">
        <v>154</v>
      </c>
      <c r="G28" s="3" t="s">
        <v>50</v>
      </c>
      <c r="H28" s="3" t="s">
        <v>20</v>
      </c>
      <c r="I28" s="3" t="s">
        <v>104</v>
      </c>
      <c r="J28" s="3" t="s">
        <v>36</v>
      </c>
      <c r="K28" s="4">
        <v>46267</v>
      </c>
      <c r="L28" s="4">
        <v>46240</v>
      </c>
      <c r="M28" s="3" t="s">
        <v>254</v>
      </c>
      <c r="N28" s="3" t="s">
        <v>1337</v>
      </c>
    </row>
    <row r="29" spans="1:14">
      <c r="A29" s="3">
        <v>26</v>
      </c>
      <c r="B29" s="3" t="s">
        <v>1338</v>
      </c>
      <c r="C29" s="4">
        <v>46221</v>
      </c>
      <c r="D29" s="3" t="s">
        <v>76</v>
      </c>
      <c r="E29" s="5" t="s">
        <v>1250</v>
      </c>
      <c r="F29" s="5" t="s">
        <v>142</v>
      </c>
      <c r="G29" s="3" t="s">
        <v>13</v>
      </c>
      <c r="H29" s="3" t="s">
        <v>45</v>
      </c>
      <c r="I29" s="3" t="s">
        <v>78</v>
      </c>
      <c r="J29" s="3" t="s">
        <v>28</v>
      </c>
      <c r="K29" s="4">
        <v>46245</v>
      </c>
      <c r="L29" s="4">
        <v>46237</v>
      </c>
      <c r="M29" s="3" t="s">
        <v>293</v>
      </c>
      <c r="N29" s="3" t="s">
        <v>300</v>
      </c>
    </row>
    <row r="30" spans="1:14">
      <c r="A30" s="3">
        <v>27</v>
      </c>
      <c r="B30" s="3" t="s">
        <v>1339</v>
      </c>
      <c r="C30" s="4">
        <v>46228</v>
      </c>
      <c r="D30" s="3" t="s">
        <v>76</v>
      </c>
      <c r="E30" s="5" t="s">
        <v>1257</v>
      </c>
      <c r="F30" s="5" t="s">
        <v>154</v>
      </c>
      <c r="G30" s="3" t="s">
        <v>13</v>
      </c>
      <c r="H30" s="3" t="s">
        <v>12</v>
      </c>
      <c r="I30" s="3" t="s">
        <v>93</v>
      </c>
      <c r="J30" s="3" t="s">
        <v>22</v>
      </c>
      <c r="K30" s="4">
        <v>46237</v>
      </c>
      <c r="L30" s="4">
        <v>46256</v>
      </c>
      <c r="M30" s="3" t="s">
        <v>254</v>
      </c>
      <c r="N30" s="3" t="s">
        <v>1330</v>
      </c>
    </row>
    <row r="31" spans="1:14">
      <c r="A31" s="3">
        <v>28</v>
      </c>
      <c r="B31" s="3" t="s">
        <v>1340</v>
      </c>
      <c r="C31" s="4">
        <v>46228</v>
      </c>
      <c r="D31" s="3" t="s">
        <v>76</v>
      </c>
      <c r="E31" s="5" t="s">
        <v>1248</v>
      </c>
      <c r="F31" s="5" t="s">
        <v>154</v>
      </c>
      <c r="G31" s="3" t="s">
        <v>46</v>
      </c>
      <c r="H31" s="3" t="s">
        <v>45</v>
      </c>
      <c r="I31" s="3" t="s">
        <v>41</v>
      </c>
      <c r="J31" s="3" t="s">
        <v>70</v>
      </c>
      <c r="K31" s="4">
        <v>46258</v>
      </c>
      <c r="L31" s="4">
        <v>46236</v>
      </c>
      <c r="M31" s="3" t="s">
        <v>254</v>
      </c>
      <c r="N31" s="3" t="s">
        <v>1337</v>
      </c>
    </row>
    <row r="32" spans="1:14">
      <c r="A32" s="3">
        <v>29</v>
      </c>
      <c r="B32" s="3" t="s">
        <v>1341</v>
      </c>
      <c r="C32" s="4">
        <v>46255</v>
      </c>
      <c r="D32" s="3" t="s">
        <v>86</v>
      </c>
      <c r="E32" s="5" t="s">
        <v>1248</v>
      </c>
      <c r="F32" s="5" t="s">
        <v>142</v>
      </c>
      <c r="G32" s="3" t="s">
        <v>13</v>
      </c>
      <c r="H32" s="3" t="s">
        <v>61</v>
      </c>
      <c r="I32" s="3" t="s">
        <v>15</v>
      </c>
      <c r="J32" s="3" t="s">
        <v>32</v>
      </c>
      <c r="K32" s="4">
        <v>46292</v>
      </c>
      <c r="L32" s="4">
        <v>46267</v>
      </c>
      <c r="M32" s="3" t="s">
        <v>254</v>
      </c>
      <c r="N32" s="3" t="s">
        <v>1315</v>
      </c>
    </row>
    <row r="33" spans="1:14">
      <c r="A33" s="3">
        <v>30</v>
      </c>
      <c r="B33" s="3" t="s">
        <v>1342</v>
      </c>
      <c r="C33" s="4">
        <v>46235</v>
      </c>
      <c r="D33" s="3" t="s">
        <v>86</v>
      </c>
      <c r="E33" s="5" t="s">
        <v>1246</v>
      </c>
      <c r="F33" s="5" t="s">
        <v>142</v>
      </c>
      <c r="G33" s="3" t="s">
        <v>46</v>
      </c>
      <c r="H33" s="3" t="s">
        <v>30</v>
      </c>
      <c r="I33" s="3" t="s">
        <v>15</v>
      </c>
      <c r="J33" s="3" t="s">
        <v>36</v>
      </c>
      <c r="K33" s="4">
        <v>46240</v>
      </c>
      <c r="L33" s="4">
        <v>46250</v>
      </c>
      <c r="M33" s="3" t="s">
        <v>293</v>
      </c>
      <c r="N33" s="3" t="s">
        <v>300</v>
      </c>
    </row>
    <row r="34" spans="1:14">
      <c r="A34" s="3">
        <v>31</v>
      </c>
      <c r="B34" s="3" t="s">
        <v>1343</v>
      </c>
      <c r="C34" s="4">
        <v>46251</v>
      </c>
      <c r="D34" s="3" t="s">
        <v>86</v>
      </c>
      <c r="E34" s="5" t="s">
        <v>1246</v>
      </c>
      <c r="F34" s="5" t="s">
        <v>154</v>
      </c>
      <c r="G34" s="3" t="s">
        <v>50</v>
      </c>
      <c r="H34" s="3" t="s">
        <v>61</v>
      </c>
      <c r="I34" s="3" t="s">
        <v>93</v>
      </c>
      <c r="J34" s="3" t="s">
        <v>62</v>
      </c>
      <c r="K34" s="4">
        <v>46288</v>
      </c>
      <c r="L34" s="4">
        <v>46268</v>
      </c>
      <c r="M34" s="3" t="s">
        <v>238</v>
      </c>
      <c r="N34" s="3" t="s">
        <v>1312</v>
      </c>
    </row>
    <row r="35" spans="1:14">
      <c r="A35" s="3">
        <v>32</v>
      </c>
      <c r="B35" s="3" t="s">
        <v>1344</v>
      </c>
      <c r="C35" s="4">
        <v>46246</v>
      </c>
      <c r="D35" s="3" t="s">
        <v>86</v>
      </c>
      <c r="E35" s="5" t="s">
        <v>1246</v>
      </c>
      <c r="F35" s="5" t="s">
        <v>142</v>
      </c>
      <c r="G35" s="3" t="s">
        <v>58</v>
      </c>
      <c r="H35" s="3" t="s">
        <v>57</v>
      </c>
      <c r="I35" s="3" t="s">
        <v>41</v>
      </c>
      <c r="J35" s="3" t="s">
        <v>68</v>
      </c>
      <c r="K35" s="4">
        <v>46283</v>
      </c>
      <c r="L35" s="4">
        <v>46254</v>
      </c>
      <c r="M35" s="3" t="s">
        <v>254</v>
      </c>
      <c r="N35" s="3" t="s">
        <v>1330</v>
      </c>
    </row>
    <row r="36" spans="1:14">
      <c r="A36" s="3">
        <v>33</v>
      </c>
      <c r="B36" s="3" t="s">
        <v>1345</v>
      </c>
      <c r="C36" s="4">
        <v>46262</v>
      </c>
      <c r="D36" s="3" t="s">
        <v>86</v>
      </c>
      <c r="E36" s="5" t="s">
        <v>1252</v>
      </c>
      <c r="F36" s="5" t="s">
        <v>142</v>
      </c>
      <c r="G36" s="3" t="s">
        <v>39</v>
      </c>
      <c r="H36" s="3" t="s">
        <v>64</v>
      </c>
      <c r="I36" s="3" t="s">
        <v>32</v>
      </c>
      <c r="J36" s="3" t="s">
        <v>62</v>
      </c>
      <c r="K36" s="4">
        <v>46293</v>
      </c>
      <c r="L36" s="4">
        <v>46267</v>
      </c>
      <c r="M36" s="3" t="s">
        <v>293</v>
      </c>
      <c r="N36" s="3" t="s">
        <v>1310</v>
      </c>
    </row>
    <row r="37" spans="1:14">
      <c r="A37" s="3">
        <v>34</v>
      </c>
      <c r="B37" s="3" t="s">
        <v>1346</v>
      </c>
      <c r="C37" s="4">
        <v>46293</v>
      </c>
      <c r="D37" s="3" t="s">
        <v>102</v>
      </c>
      <c r="E37" s="5" t="s">
        <v>1254</v>
      </c>
      <c r="F37" s="5" t="s">
        <v>154</v>
      </c>
      <c r="G37" s="3" t="s">
        <v>27</v>
      </c>
      <c r="H37" s="3" t="s">
        <v>20</v>
      </c>
      <c r="I37" s="3" t="s">
        <v>36</v>
      </c>
      <c r="J37" s="3" t="s">
        <v>22</v>
      </c>
      <c r="K37" s="4">
        <v>46320</v>
      </c>
      <c r="L37" s="4">
        <v>46311</v>
      </c>
      <c r="M37" s="3" t="s">
        <v>293</v>
      </c>
      <c r="N37" s="3" t="s">
        <v>1337</v>
      </c>
    </row>
    <row r="38" spans="1:14">
      <c r="A38" s="3">
        <v>35</v>
      </c>
      <c r="B38" s="3" t="s">
        <v>1347</v>
      </c>
      <c r="C38" s="4">
        <v>46293</v>
      </c>
      <c r="D38" s="3" t="s">
        <v>102</v>
      </c>
      <c r="E38" s="5" t="s">
        <v>1248</v>
      </c>
      <c r="F38" s="5" t="s">
        <v>154</v>
      </c>
      <c r="G38" s="3" t="s">
        <v>46</v>
      </c>
      <c r="H38" s="3" t="s">
        <v>30</v>
      </c>
      <c r="I38" s="3" t="s">
        <v>36</v>
      </c>
      <c r="J38" s="3" t="s">
        <v>78</v>
      </c>
      <c r="K38" s="4">
        <v>46309</v>
      </c>
      <c r="L38" s="4">
        <v>46315</v>
      </c>
      <c r="M38" s="3" t="s">
        <v>293</v>
      </c>
      <c r="N38" s="3" t="s">
        <v>1337</v>
      </c>
    </row>
    <row r="39" spans="1:14">
      <c r="A39" s="3">
        <v>36</v>
      </c>
      <c r="B39" s="3" t="s">
        <v>1348</v>
      </c>
      <c r="C39" s="4">
        <v>46283</v>
      </c>
      <c r="D39" s="3" t="s">
        <v>102</v>
      </c>
      <c r="E39" s="5" t="s">
        <v>1246</v>
      </c>
      <c r="F39" s="5" t="s">
        <v>142</v>
      </c>
      <c r="G39" s="3" t="s">
        <v>50</v>
      </c>
      <c r="H39" s="3" t="s">
        <v>20</v>
      </c>
      <c r="I39" s="3" t="s">
        <v>104</v>
      </c>
      <c r="J39" s="3" t="s">
        <v>15</v>
      </c>
      <c r="K39" s="4">
        <v>46309</v>
      </c>
      <c r="L39" s="4">
        <v>46293</v>
      </c>
      <c r="M39" s="3" t="s">
        <v>254</v>
      </c>
      <c r="N39" s="3" t="s">
        <v>1315</v>
      </c>
    </row>
    <row r="40" spans="1:14">
      <c r="A40" s="3">
        <v>37</v>
      </c>
      <c r="B40" s="3" t="s">
        <v>1349</v>
      </c>
      <c r="C40" s="4">
        <v>46269</v>
      </c>
      <c r="D40" s="3" t="s">
        <v>102</v>
      </c>
      <c r="E40" s="5" t="s">
        <v>1257</v>
      </c>
      <c r="F40" s="5" t="s">
        <v>159</v>
      </c>
      <c r="G40" s="3" t="s">
        <v>50</v>
      </c>
      <c r="H40" s="3" t="s">
        <v>64</v>
      </c>
      <c r="I40" s="3" t="s">
        <v>36</v>
      </c>
      <c r="J40" s="3" t="s">
        <v>41</v>
      </c>
      <c r="K40" s="4">
        <v>46296</v>
      </c>
      <c r="L40" s="4">
        <v>46296</v>
      </c>
      <c r="M40" s="3" t="s">
        <v>293</v>
      </c>
      <c r="N40" s="3" t="s">
        <v>1318</v>
      </c>
    </row>
    <row r="41" spans="1:14">
      <c r="A41" s="3">
        <v>38</v>
      </c>
      <c r="B41" s="3" t="s">
        <v>1350</v>
      </c>
      <c r="C41" s="4">
        <v>46280</v>
      </c>
      <c r="D41" s="3" t="s">
        <v>102</v>
      </c>
      <c r="E41" s="5" t="s">
        <v>1257</v>
      </c>
      <c r="F41" s="5" t="s">
        <v>162</v>
      </c>
      <c r="G41" s="3" t="s">
        <v>27</v>
      </c>
      <c r="H41" s="3" t="s">
        <v>38</v>
      </c>
      <c r="I41" s="3" t="s">
        <v>28</v>
      </c>
      <c r="J41" s="3" t="s">
        <v>41</v>
      </c>
      <c r="K41" s="4">
        <v>46312</v>
      </c>
      <c r="L41" s="4">
        <v>46298</v>
      </c>
      <c r="M41" s="3" t="s">
        <v>293</v>
      </c>
      <c r="N41" s="3" t="s">
        <v>1315</v>
      </c>
    </row>
    <row r="42" spans="1:14">
      <c r="A42" s="3">
        <v>39</v>
      </c>
      <c r="B42" s="3" t="s">
        <v>1351</v>
      </c>
      <c r="C42" s="4">
        <v>46300</v>
      </c>
      <c r="D42" s="3" t="s">
        <v>106</v>
      </c>
      <c r="E42" s="5" t="s">
        <v>1257</v>
      </c>
      <c r="F42" s="5" t="s">
        <v>154</v>
      </c>
      <c r="G42" s="3" t="s">
        <v>50</v>
      </c>
      <c r="H42" s="3" t="s">
        <v>57</v>
      </c>
      <c r="I42" s="3" t="s">
        <v>15</v>
      </c>
      <c r="J42" s="3" t="s">
        <v>62</v>
      </c>
      <c r="K42" s="4">
        <v>46333</v>
      </c>
      <c r="L42" s="4">
        <v>46342</v>
      </c>
      <c r="M42" s="3" t="s">
        <v>293</v>
      </c>
      <c r="N42" s="3" t="s">
        <v>1330</v>
      </c>
    </row>
    <row r="43" spans="1:14">
      <c r="A43" s="3">
        <v>40</v>
      </c>
      <c r="B43" s="3" t="s">
        <v>1352</v>
      </c>
      <c r="C43" s="4">
        <v>46322</v>
      </c>
      <c r="D43" s="3" t="s">
        <v>106</v>
      </c>
      <c r="E43" s="5" t="s">
        <v>1252</v>
      </c>
      <c r="F43" s="5" t="s">
        <v>154</v>
      </c>
      <c r="G43" s="3" t="s">
        <v>46</v>
      </c>
      <c r="H43" s="3" t="s">
        <v>4</v>
      </c>
      <c r="I43" s="3" t="s">
        <v>36</v>
      </c>
      <c r="J43" s="3" t="s">
        <v>62</v>
      </c>
      <c r="K43" s="4">
        <v>46330</v>
      </c>
      <c r="L43" s="4">
        <v>46348</v>
      </c>
      <c r="M43" s="3" t="s">
        <v>293</v>
      </c>
      <c r="N43" s="3" t="s">
        <v>1312</v>
      </c>
    </row>
    <row r="44" spans="1:14">
      <c r="A44" s="3">
        <v>41</v>
      </c>
      <c r="B44" s="3" t="s">
        <v>1353</v>
      </c>
      <c r="C44" s="4">
        <v>46303</v>
      </c>
      <c r="D44" s="3" t="s">
        <v>106</v>
      </c>
      <c r="E44" s="5" t="s">
        <v>1254</v>
      </c>
      <c r="F44" s="5" t="s">
        <v>154</v>
      </c>
      <c r="G44" s="3" t="s">
        <v>46</v>
      </c>
      <c r="H44" s="3" t="s">
        <v>57</v>
      </c>
      <c r="I44" s="3" t="s">
        <v>66</v>
      </c>
      <c r="J44" s="3" t="s">
        <v>22</v>
      </c>
      <c r="K44" s="4">
        <v>46329</v>
      </c>
      <c r="L44" s="4">
        <v>46343</v>
      </c>
      <c r="M44" s="3" t="s">
        <v>293</v>
      </c>
      <c r="N44" s="3" t="s">
        <v>1318</v>
      </c>
    </row>
    <row r="45" spans="1:14">
      <c r="A45" s="3">
        <v>42</v>
      </c>
      <c r="B45" s="3" t="s">
        <v>1354</v>
      </c>
      <c r="C45" s="4">
        <v>46303</v>
      </c>
      <c r="D45" s="3" t="s">
        <v>106</v>
      </c>
      <c r="E45" s="5" t="s">
        <v>1246</v>
      </c>
      <c r="F45" s="5" t="s">
        <v>154</v>
      </c>
      <c r="G45" s="3" t="s">
        <v>65</v>
      </c>
      <c r="H45" s="3" t="s">
        <v>20</v>
      </c>
      <c r="I45" s="3" t="s">
        <v>104</v>
      </c>
      <c r="J45" s="3" t="s">
        <v>32</v>
      </c>
      <c r="K45" s="4">
        <v>46320</v>
      </c>
      <c r="L45" s="4">
        <v>46309</v>
      </c>
      <c r="M45" s="3" t="s">
        <v>293</v>
      </c>
      <c r="N45" s="3" t="s">
        <v>296</v>
      </c>
    </row>
    <row r="46" spans="1:14">
      <c r="A46" s="3">
        <v>43</v>
      </c>
      <c r="B46" s="3" t="s">
        <v>1355</v>
      </c>
      <c r="C46" s="4">
        <v>46343</v>
      </c>
      <c r="D46" s="3" t="s">
        <v>111</v>
      </c>
      <c r="E46" s="5" t="s">
        <v>1248</v>
      </c>
      <c r="F46" s="5" t="s">
        <v>162</v>
      </c>
      <c r="G46" s="3" t="s">
        <v>65</v>
      </c>
      <c r="H46" s="3" t="s">
        <v>61</v>
      </c>
      <c r="I46" s="3" t="s">
        <v>7</v>
      </c>
      <c r="J46" s="3" t="s">
        <v>62</v>
      </c>
      <c r="K46" s="4">
        <v>46359</v>
      </c>
      <c r="L46" s="4">
        <v>46348</v>
      </c>
      <c r="M46" s="3" t="s">
        <v>293</v>
      </c>
      <c r="N46" s="3" t="s">
        <v>296</v>
      </c>
    </row>
    <row r="47" spans="1:14">
      <c r="A47" s="3">
        <v>44</v>
      </c>
      <c r="B47" s="3" t="s">
        <v>1356</v>
      </c>
      <c r="C47" s="4">
        <v>46352</v>
      </c>
      <c r="D47" s="3" t="s">
        <v>111</v>
      </c>
      <c r="E47" s="5" t="s">
        <v>1252</v>
      </c>
      <c r="F47" s="5" t="s">
        <v>142</v>
      </c>
      <c r="G47" s="3" t="s">
        <v>39</v>
      </c>
      <c r="H47" s="3" t="s">
        <v>16</v>
      </c>
      <c r="I47" s="3" t="s">
        <v>104</v>
      </c>
      <c r="J47" s="3" t="s">
        <v>93</v>
      </c>
      <c r="K47" s="4">
        <v>46389</v>
      </c>
      <c r="L47" s="4">
        <v>46396</v>
      </c>
      <c r="M47" s="3" t="s">
        <v>293</v>
      </c>
      <c r="N47" s="3" t="s">
        <v>1318</v>
      </c>
    </row>
    <row r="48" spans="1:14">
      <c r="A48" s="3">
        <v>45</v>
      </c>
      <c r="B48" s="3" t="s">
        <v>1357</v>
      </c>
      <c r="C48" s="4">
        <v>46336</v>
      </c>
      <c r="D48" s="3" t="s">
        <v>111</v>
      </c>
      <c r="E48" s="5" t="s">
        <v>1248</v>
      </c>
      <c r="F48" s="5" t="s">
        <v>154</v>
      </c>
      <c r="G48" s="3" t="s">
        <v>5</v>
      </c>
      <c r="H48" s="3" t="s">
        <v>57</v>
      </c>
      <c r="I48" s="3" t="s">
        <v>68</v>
      </c>
      <c r="J48" s="3" t="s">
        <v>104</v>
      </c>
      <c r="K48" s="4">
        <v>46342</v>
      </c>
      <c r="L48" s="4">
        <v>46351</v>
      </c>
      <c r="M48" s="3" t="s">
        <v>293</v>
      </c>
      <c r="N48" s="3" t="s">
        <v>296</v>
      </c>
    </row>
    <row r="49" spans="1:14">
      <c r="A49" s="3">
        <v>46</v>
      </c>
      <c r="B49" s="3" t="s">
        <v>1358</v>
      </c>
      <c r="C49" s="4">
        <v>46376</v>
      </c>
      <c r="D49" s="3" t="s">
        <v>122</v>
      </c>
      <c r="E49" s="5" t="s">
        <v>1254</v>
      </c>
      <c r="F49" s="5" t="s">
        <v>159</v>
      </c>
      <c r="G49" s="3" t="s">
        <v>27</v>
      </c>
      <c r="H49" s="3" t="s">
        <v>26</v>
      </c>
      <c r="I49" s="3" t="s">
        <v>22</v>
      </c>
      <c r="J49" s="3" t="s">
        <v>41</v>
      </c>
      <c r="K49" s="4">
        <v>46404</v>
      </c>
      <c r="L49" s="4">
        <v>46409</v>
      </c>
      <c r="M49" s="3" t="s">
        <v>293</v>
      </c>
      <c r="N49" s="3" t="s">
        <v>1310</v>
      </c>
    </row>
    <row r="50" spans="1:14">
      <c r="A50" s="3">
        <v>47</v>
      </c>
      <c r="B50" s="3" t="s">
        <v>1359</v>
      </c>
      <c r="C50" s="4">
        <v>46360</v>
      </c>
      <c r="D50" s="3" t="s">
        <v>122</v>
      </c>
      <c r="E50" s="5" t="s">
        <v>1248</v>
      </c>
      <c r="F50" s="5" t="s">
        <v>159</v>
      </c>
      <c r="G50" s="3" t="s">
        <v>39</v>
      </c>
      <c r="H50" s="3" t="s">
        <v>45</v>
      </c>
      <c r="I50" s="3" t="s">
        <v>62</v>
      </c>
      <c r="J50" s="3" t="s">
        <v>28</v>
      </c>
      <c r="K50" s="4">
        <v>46372</v>
      </c>
      <c r="L50" s="4">
        <v>46404</v>
      </c>
      <c r="M50" s="3" t="s">
        <v>293</v>
      </c>
      <c r="N50" s="3" t="s">
        <v>300</v>
      </c>
    </row>
    <row r="51" spans="1:14">
      <c r="A51" s="3">
        <v>48</v>
      </c>
      <c r="B51" s="3" t="s">
        <v>1360</v>
      </c>
      <c r="C51" s="4">
        <v>46363</v>
      </c>
      <c r="D51" s="3" t="s">
        <v>122</v>
      </c>
      <c r="E51" s="5" t="s">
        <v>1257</v>
      </c>
      <c r="F51" s="5" t="s">
        <v>154</v>
      </c>
      <c r="G51" s="3" t="s">
        <v>65</v>
      </c>
      <c r="H51" s="3" t="s">
        <v>91</v>
      </c>
      <c r="I51" s="3" t="s">
        <v>68</v>
      </c>
      <c r="J51" s="3" t="s">
        <v>28</v>
      </c>
      <c r="K51" s="4">
        <v>46384</v>
      </c>
      <c r="L51" s="4">
        <v>46394</v>
      </c>
      <c r="M51" s="3" t="s">
        <v>293</v>
      </c>
      <c r="N51" s="3" t="s">
        <v>300</v>
      </c>
    </row>
  </sheetData>
  <mergeCells count="2">
    <mergeCell ref="A1:N1"/>
    <mergeCell ref="A2:N2"/>
  </mergeCells>
  <dataValidations count="3">
    <dataValidation type="list" allowBlank="1" showInputMessage="1" showErrorMessage="1" sqref="G4:G5003">
      <formula1>L_Dept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F4:F5003">
      <formula1>L_Risk</formula1>
    </dataValidation>
  </dataValidations>
  <hyperlinks>
    <hyperlink ref="P1" location="'Home'!A1" display="Hom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3.7109375" customWidth="1"/>
    <col min="6" max="6" width="12.7109375" customWidth="1"/>
    <col min="7" max="7" width="10.7109375" customWidth="1"/>
    <col min="8" max="8" width="13.7109375" customWidth="1"/>
    <col min="9" max="9" width="12.7109375" customWidth="1"/>
    <col min="10" max="10" width="18.7109375" customWidth="1"/>
    <col min="11" max="11" width="19.7109375" customWidth="1"/>
    <col min="12" max="12" width="10.7109375" customWidth="1"/>
    <col min="13" max="13" width="9.7109375" customWidth="1"/>
  </cols>
  <sheetData>
    <row r="1" spans="1:15" ht="22" customHeight="1">
      <c r="A1" s="1" t="s">
        <v>1366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1415</v>
      </c>
      <c r="C3" t="s">
        <v>126</v>
      </c>
      <c r="D3" t="s">
        <v>127</v>
      </c>
      <c r="E3" t="s">
        <v>352</v>
      </c>
      <c r="F3" t="s">
        <v>129</v>
      </c>
      <c r="G3" t="s">
        <v>130</v>
      </c>
      <c r="H3" t="s">
        <v>1416</v>
      </c>
      <c r="I3" t="s">
        <v>210</v>
      </c>
      <c r="J3" t="s">
        <v>1417</v>
      </c>
      <c r="K3" t="s">
        <v>413</v>
      </c>
      <c r="L3" t="s">
        <v>357</v>
      </c>
      <c r="M3" t="s">
        <v>287</v>
      </c>
    </row>
    <row r="4" spans="1:15">
      <c r="A4" s="3">
        <v>1</v>
      </c>
      <c r="B4" s="3" t="s">
        <v>1367</v>
      </c>
      <c r="C4" s="4">
        <v>46050</v>
      </c>
      <c r="D4" s="3" t="s">
        <v>3</v>
      </c>
      <c r="E4" s="5" t="s">
        <v>54</v>
      </c>
      <c r="F4" s="5" t="s">
        <v>27</v>
      </c>
      <c r="G4" s="3" t="s">
        <v>87</v>
      </c>
      <c r="H4" s="3" t="s">
        <v>78</v>
      </c>
      <c r="I4" s="3" t="s">
        <v>142</v>
      </c>
      <c r="J4" s="3" t="s">
        <v>49</v>
      </c>
      <c r="K4" s="3" t="s">
        <v>61</v>
      </c>
      <c r="L4" s="4">
        <v>46089</v>
      </c>
      <c r="M4" s="3" t="s">
        <v>254</v>
      </c>
    </row>
    <row r="5" spans="1:15">
      <c r="A5" s="3">
        <v>2</v>
      </c>
      <c r="B5" s="3" t="s">
        <v>1368</v>
      </c>
      <c r="C5" s="4">
        <v>46032</v>
      </c>
      <c r="D5" s="3" t="s">
        <v>3</v>
      </c>
      <c r="E5" s="5" t="s">
        <v>57</v>
      </c>
      <c r="F5" s="5" t="s">
        <v>89</v>
      </c>
      <c r="G5" s="3" t="s">
        <v>82</v>
      </c>
      <c r="H5" s="3" t="s">
        <v>32</v>
      </c>
      <c r="I5" s="3" t="s">
        <v>142</v>
      </c>
      <c r="J5" s="3" t="s">
        <v>26</v>
      </c>
      <c r="K5" s="3" t="s">
        <v>64</v>
      </c>
      <c r="L5" s="4">
        <v>46068</v>
      </c>
      <c r="M5" s="3" t="s">
        <v>293</v>
      </c>
    </row>
    <row r="6" spans="1:15">
      <c r="A6" s="3">
        <v>3</v>
      </c>
      <c r="B6" s="3" t="s">
        <v>1369</v>
      </c>
      <c r="C6" s="4">
        <v>46039</v>
      </c>
      <c r="D6" s="3" t="s">
        <v>3</v>
      </c>
      <c r="E6" s="5" t="s">
        <v>91</v>
      </c>
      <c r="F6" s="5" t="s">
        <v>58</v>
      </c>
      <c r="G6" s="3" t="s">
        <v>51</v>
      </c>
      <c r="H6" s="3" t="s">
        <v>66</v>
      </c>
      <c r="I6" s="3" t="s">
        <v>154</v>
      </c>
      <c r="J6" s="3" t="s">
        <v>49</v>
      </c>
      <c r="K6" s="3" t="s">
        <v>45</v>
      </c>
      <c r="L6" s="4">
        <v>46081</v>
      </c>
      <c r="M6" s="3" t="s">
        <v>238</v>
      </c>
    </row>
    <row r="7" spans="1:15">
      <c r="A7" s="3">
        <v>4</v>
      </c>
      <c r="B7" s="3" t="s">
        <v>1370</v>
      </c>
      <c r="C7" s="4">
        <v>46037</v>
      </c>
      <c r="D7" s="3" t="s">
        <v>3</v>
      </c>
      <c r="E7" s="5" t="s">
        <v>30</v>
      </c>
      <c r="F7" s="5" t="s">
        <v>92</v>
      </c>
      <c r="G7" s="3" t="s">
        <v>6</v>
      </c>
      <c r="H7" s="3" t="s">
        <v>15</v>
      </c>
      <c r="I7" s="3" t="s">
        <v>142</v>
      </c>
      <c r="J7" s="3" t="s">
        <v>91</v>
      </c>
      <c r="K7" s="3" t="s">
        <v>45</v>
      </c>
      <c r="L7" s="4">
        <v>46066</v>
      </c>
      <c r="M7" s="3" t="s">
        <v>293</v>
      </c>
    </row>
    <row r="8" spans="1:15">
      <c r="A8" s="3">
        <v>5</v>
      </c>
      <c r="B8" s="3" t="s">
        <v>1371</v>
      </c>
      <c r="C8" s="4">
        <v>46027</v>
      </c>
      <c r="D8" s="3" t="s">
        <v>3</v>
      </c>
      <c r="E8" s="5" t="s">
        <v>49</v>
      </c>
      <c r="F8" s="5" t="s">
        <v>89</v>
      </c>
      <c r="G8" s="3" t="s">
        <v>6</v>
      </c>
      <c r="H8" s="3" t="s">
        <v>66</v>
      </c>
      <c r="I8" s="3" t="s">
        <v>154</v>
      </c>
      <c r="J8" s="3" t="s">
        <v>45</v>
      </c>
      <c r="K8" s="3" t="s">
        <v>64</v>
      </c>
      <c r="L8" s="4">
        <v>46061</v>
      </c>
      <c r="M8" s="3" t="s">
        <v>254</v>
      </c>
    </row>
    <row r="9" spans="1:15">
      <c r="A9" s="3">
        <v>6</v>
      </c>
      <c r="B9" s="3" t="s">
        <v>1372</v>
      </c>
      <c r="C9" s="4">
        <v>46049</v>
      </c>
      <c r="D9" s="3" t="s">
        <v>3</v>
      </c>
      <c r="E9" s="5" t="s">
        <v>16</v>
      </c>
      <c r="F9" s="5" t="s">
        <v>13</v>
      </c>
      <c r="G9" s="3" t="s">
        <v>6</v>
      </c>
      <c r="H9" s="3" t="s">
        <v>93</v>
      </c>
      <c r="I9" s="3" t="s">
        <v>159</v>
      </c>
      <c r="J9" s="3" t="s">
        <v>38</v>
      </c>
      <c r="K9" s="3" t="s">
        <v>30</v>
      </c>
      <c r="L9" s="4">
        <v>46057</v>
      </c>
      <c r="M9" s="3" t="s">
        <v>297</v>
      </c>
    </row>
    <row r="10" spans="1:15">
      <c r="A10" s="3">
        <v>7</v>
      </c>
      <c r="B10" s="3" t="s">
        <v>1373</v>
      </c>
      <c r="C10" s="4">
        <v>46049</v>
      </c>
      <c r="D10" s="3" t="s">
        <v>3</v>
      </c>
      <c r="E10" s="5" t="s">
        <v>30</v>
      </c>
      <c r="F10" s="5" t="s">
        <v>5</v>
      </c>
      <c r="G10" s="3" t="s">
        <v>80</v>
      </c>
      <c r="H10" s="3" t="s">
        <v>28</v>
      </c>
      <c r="I10" s="3" t="s">
        <v>154</v>
      </c>
      <c r="J10" s="3" t="s">
        <v>54</v>
      </c>
      <c r="K10" s="3" t="s">
        <v>20</v>
      </c>
      <c r="L10" s="4">
        <v>46080</v>
      </c>
      <c r="M10" s="3" t="s">
        <v>254</v>
      </c>
    </row>
    <row r="11" spans="1:15">
      <c r="A11" s="3">
        <v>8</v>
      </c>
      <c r="B11" s="3" t="s">
        <v>1374</v>
      </c>
      <c r="C11" s="4">
        <v>46076</v>
      </c>
      <c r="D11" s="3" t="s">
        <v>19</v>
      </c>
      <c r="E11" s="5" t="s">
        <v>16</v>
      </c>
      <c r="F11" s="5" t="s">
        <v>46</v>
      </c>
      <c r="G11" s="3" t="s">
        <v>31</v>
      </c>
      <c r="H11" s="3" t="s">
        <v>104</v>
      </c>
      <c r="I11" s="3" t="s">
        <v>162</v>
      </c>
      <c r="J11" s="3" t="s">
        <v>57</v>
      </c>
      <c r="K11" s="3" t="s">
        <v>4</v>
      </c>
      <c r="L11" s="4">
        <v>46101</v>
      </c>
      <c r="M11" s="3" t="s">
        <v>293</v>
      </c>
    </row>
    <row r="12" spans="1:15">
      <c r="A12" s="3">
        <v>9</v>
      </c>
      <c r="B12" s="3" t="s">
        <v>1375</v>
      </c>
      <c r="C12" s="4">
        <v>46063</v>
      </c>
      <c r="D12" s="3" t="s">
        <v>19</v>
      </c>
      <c r="E12" s="5" t="s">
        <v>12</v>
      </c>
      <c r="F12" s="5" t="s">
        <v>89</v>
      </c>
      <c r="G12" s="3" t="s">
        <v>80</v>
      </c>
      <c r="H12" s="3" t="s">
        <v>66</v>
      </c>
      <c r="I12" s="3" t="s">
        <v>154</v>
      </c>
      <c r="J12" s="3" t="s">
        <v>45</v>
      </c>
      <c r="K12" s="3" t="s">
        <v>16</v>
      </c>
      <c r="L12" s="4">
        <v>46079</v>
      </c>
      <c r="M12" s="3" t="s">
        <v>293</v>
      </c>
    </row>
    <row r="13" spans="1:15">
      <c r="A13" s="3">
        <v>10</v>
      </c>
      <c r="B13" s="3" t="s">
        <v>1376</v>
      </c>
      <c r="C13" s="4">
        <v>46056</v>
      </c>
      <c r="D13" s="3" t="s">
        <v>19</v>
      </c>
      <c r="E13" s="5" t="s">
        <v>54</v>
      </c>
      <c r="F13" s="5" t="s">
        <v>5</v>
      </c>
      <c r="G13" s="3" t="s">
        <v>35</v>
      </c>
      <c r="H13" s="3" t="s">
        <v>32</v>
      </c>
      <c r="I13" s="3" t="s">
        <v>154</v>
      </c>
      <c r="J13" s="3" t="s">
        <v>38</v>
      </c>
      <c r="K13" s="3" t="s">
        <v>45</v>
      </c>
      <c r="L13" s="4">
        <v>46088</v>
      </c>
      <c r="M13" s="3" t="s">
        <v>293</v>
      </c>
    </row>
    <row r="14" spans="1:15">
      <c r="A14" s="3">
        <v>11</v>
      </c>
      <c r="B14" s="3" t="s">
        <v>1377</v>
      </c>
      <c r="C14" s="4">
        <v>46073</v>
      </c>
      <c r="D14" s="3" t="s">
        <v>19</v>
      </c>
      <c r="E14" s="5" t="s">
        <v>64</v>
      </c>
      <c r="F14" s="5" t="s">
        <v>89</v>
      </c>
      <c r="G14" s="3" t="s">
        <v>51</v>
      </c>
      <c r="H14" s="3" t="s">
        <v>66</v>
      </c>
      <c r="I14" s="3" t="s">
        <v>154</v>
      </c>
      <c r="J14" s="3" t="s">
        <v>57</v>
      </c>
      <c r="K14" s="3" t="s">
        <v>4</v>
      </c>
      <c r="L14" s="4">
        <v>46099</v>
      </c>
      <c r="M14" s="3" t="s">
        <v>297</v>
      </c>
    </row>
    <row r="15" spans="1:15">
      <c r="A15" s="3">
        <v>12</v>
      </c>
      <c r="B15" s="3" t="s">
        <v>1378</v>
      </c>
      <c r="C15" s="4">
        <v>46074</v>
      </c>
      <c r="D15" s="3" t="s">
        <v>19</v>
      </c>
      <c r="E15" s="5" t="s">
        <v>64</v>
      </c>
      <c r="F15" s="5" t="s">
        <v>92</v>
      </c>
      <c r="G15" s="3" t="s">
        <v>95</v>
      </c>
      <c r="H15" s="3" t="s">
        <v>41</v>
      </c>
      <c r="I15" s="3" t="s">
        <v>154</v>
      </c>
      <c r="J15" s="3" t="s">
        <v>54</v>
      </c>
      <c r="K15" s="3" t="s">
        <v>49</v>
      </c>
      <c r="L15" s="4">
        <v>46094</v>
      </c>
      <c r="M15" s="3" t="s">
        <v>293</v>
      </c>
    </row>
    <row r="16" spans="1:15">
      <c r="A16" s="3">
        <v>13</v>
      </c>
      <c r="B16" s="3" t="s">
        <v>1379</v>
      </c>
      <c r="C16" s="4">
        <v>46087</v>
      </c>
      <c r="D16" s="3" t="s">
        <v>44</v>
      </c>
      <c r="E16" s="5" t="s">
        <v>57</v>
      </c>
      <c r="F16" s="5" t="s">
        <v>46</v>
      </c>
      <c r="G16" s="3" t="s">
        <v>95</v>
      </c>
      <c r="H16" s="3" t="s">
        <v>93</v>
      </c>
      <c r="I16" s="3" t="s">
        <v>142</v>
      </c>
      <c r="J16" s="3" t="s">
        <v>12</v>
      </c>
      <c r="K16" s="3" t="s">
        <v>16</v>
      </c>
      <c r="L16" s="4">
        <v>46112</v>
      </c>
      <c r="M16" s="3" t="s">
        <v>297</v>
      </c>
    </row>
    <row r="17" spans="1:13">
      <c r="A17" s="3">
        <v>14</v>
      </c>
      <c r="B17" s="3" t="s">
        <v>1380</v>
      </c>
      <c r="C17" s="4">
        <v>46084</v>
      </c>
      <c r="D17" s="3" t="s">
        <v>44</v>
      </c>
      <c r="E17" s="5" t="s">
        <v>64</v>
      </c>
      <c r="F17" s="5" t="s">
        <v>39</v>
      </c>
      <c r="G17" s="3" t="s">
        <v>51</v>
      </c>
      <c r="H17" s="3" t="s">
        <v>68</v>
      </c>
      <c r="I17" s="3" t="s">
        <v>162</v>
      </c>
      <c r="J17" s="3" t="s">
        <v>49</v>
      </c>
      <c r="K17" s="3" t="s">
        <v>91</v>
      </c>
      <c r="L17" s="4">
        <v>46090</v>
      </c>
      <c r="M17" s="3" t="s">
        <v>297</v>
      </c>
    </row>
    <row r="18" spans="1:13">
      <c r="A18" s="3">
        <v>15</v>
      </c>
      <c r="B18" s="3" t="s">
        <v>1381</v>
      </c>
      <c r="C18" s="4">
        <v>46136</v>
      </c>
      <c r="D18" s="3" t="s">
        <v>53</v>
      </c>
      <c r="E18" s="5" t="s">
        <v>30</v>
      </c>
      <c r="F18" s="5" t="s">
        <v>65</v>
      </c>
      <c r="G18" s="3" t="s">
        <v>80</v>
      </c>
      <c r="H18" s="3" t="s">
        <v>68</v>
      </c>
      <c r="I18" s="3" t="s">
        <v>142</v>
      </c>
      <c r="J18" s="3" t="s">
        <v>61</v>
      </c>
      <c r="K18" s="3" t="s">
        <v>64</v>
      </c>
      <c r="L18" s="4">
        <v>46154</v>
      </c>
      <c r="M18" s="3" t="s">
        <v>293</v>
      </c>
    </row>
    <row r="19" spans="1:13">
      <c r="A19" s="3">
        <v>16</v>
      </c>
      <c r="B19" s="3" t="s">
        <v>1382</v>
      </c>
      <c r="C19" s="4">
        <v>46134</v>
      </c>
      <c r="D19" s="3" t="s">
        <v>53</v>
      </c>
      <c r="E19" s="5" t="s">
        <v>38</v>
      </c>
      <c r="F19" s="5" t="s">
        <v>27</v>
      </c>
      <c r="G19" s="3" t="s">
        <v>80</v>
      </c>
      <c r="H19" s="3" t="s">
        <v>32</v>
      </c>
      <c r="I19" s="3" t="s">
        <v>162</v>
      </c>
      <c r="J19" s="3" t="s">
        <v>45</v>
      </c>
      <c r="K19" s="3" t="s">
        <v>30</v>
      </c>
      <c r="L19" s="4">
        <v>46170</v>
      </c>
      <c r="M19" s="3" t="s">
        <v>293</v>
      </c>
    </row>
    <row r="20" spans="1:13">
      <c r="A20" s="3">
        <v>17</v>
      </c>
      <c r="B20" s="3" t="s">
        <v>1383</v>
      </c>
      <c r="C20" s="4">
        <v>46138</v>
      </c>
      <c r="D20" s="3" t="s">
        <v>53</v>
      </c>
      <c r="E20" s="5" t="s">
        <v>26</v>
      </c>
      <c r="F20" s="5" t="s">
        <v>5</v>
      </c>
      <c r="G20" s="3" t="s">
        <v>80</v>
      </c>
      <c r="H20" s="3" t="s">
        <v>68</v>
      </c>
      <c r="I20" s="3" t="s">
        <v>142</v>
      </c>
      <c r="J20" s="3" t="s">
        <v>57</v>
      </c>
      <c r="K20" s="3" t="s">
        <v>61</v>
      </c>
      <c r="L20" s="4">
        <v>46164</v>
      </c>
      <c r="M20" s="3" t="s">
        <v>293</v>
      </c>
    </row>
    <row r="21" spans="1:13">
      <c r="A21" s="3">
        <v>18</v>
      </c>
      <c r="B21" s="3" t="s">
        <v>1384</v>
      </c>
      <c r="C21" s="4">
        <v>46136</v>
      </c>
      <c r="D21" s="3" t="s">
        <v>53</v>
      </c>
      <c r="E21" s="5" t="s">
        <v>30</v>
      </c>
      <c r="F21" s="5" t="s">
        <v>46</v>
      </c>
      <c r="G21" s="3" t="s">
        <v>31</v>
      </c>
      <c r="H21" s="3" t="s">
        <v>70</v>
      </c>
      <c r="I21" s="3" t="s">
        <v>142</v>
      </c>
      <c r="J21" s="3" t="s">
        <v>54</v>
      </c>
      <c r="K21" s="3" t="s">
        <v>64</v>
      </c>
      <c r="L21" s="4">
        <v>46148</v>
      </c>
      <c r="M21" s="3" t="s">
        <v>254</v>
      </c>
    </row>
    <row r="22" spans="1:13">
      <c r="A22" s="3">
        <v>19</v>
      </c>
      <c r="B22" s="3" t="s">
        <v>1385</v>
      </c>
      <c r="C22" s="4">
        <v>46120</v>
      </c>
      <c r="D22" s="3" t="s">
        <v>53</v>
      </c>
      <c r="E22" s="5" t="s">
        <v>45</v>
      </c>
      <c r="F22" s="5" t="s">
        <v>27</v>
      </c>
      <c r="G22" s="3" t="s">
        <v>87</v>
      </c>
      <c r="H22" s="3" t="s">
        <v>32</v>
      </c>
      <c r="I22" s="3" t="s">
        <v>159</v>
      </c>
      <c r="J22" s="3" t="s">
        <v>30</v>
      </c>
      <c r="K22" s="3" t="s">
        <v>16</v>
      </c>
      <c r="L22" s="4">
        <v>46131</v>
      </c>
      <c r="M22" s="3" t="s">
        <v>293</v>
      </c>
    </row>
    <row r="23" spans="1:13">
      <c r="A23" s="3">
        <v>20</v>
      </c>
      <c r="B23" s="3" t="s">
        <v>1386</v>
      </c>
      <c r="C23" s="4">
        <v>46124</v>
      </c>
      <c r="D23" s="3" t="s">
        <v>53</v>
      </c>
      <c r="E23" s="5" t="s">
        <v>54</v>
      </c>
      <c r="F23" s="5" t="s">
        <v>39</v>
      </c>
      <c r="G23" s="3" t="s">
        <v>87</v>
      </c>
      <c r="H23" s="3" t="s">
        <v>7</v>
      </c>
      <c r="I23" s="3" t="s">
        <v>159</v>
      </c>
      <c r="J23" s="3" t="s">
        <v>12</v>
      </c>
      <c r="K23" s="3" t="s">
        <v>54</v>
      </c>
      <c r="L23" s="4">
        <v>46162</v>
      </c>
      <c r="M23" s="3" t="s">
        <v>297</v>
      </c>
    </row>
    <row r="24" spans="1:13">
      <c r="A24" s="3">
        <v>21</v>
      </c>
      <c r="B24" s="3" t="s">
        <v>1387</v>
      </c>
      <c r="C24" s="4">
        <v>46131</v>
      </c>
      <c r="D24" s="3" t="s">
        <v>53</v>
      </c>
      <c r="E24" s="5" t="s">
        <v>54</v>
      </c>
      <c r="F24" s="5" t="s">
        <v>50</v>
      </c>
      <c r="G24" s="3" t="s">
        <v>31</v>
      </c>
      <c r="H24" s="3" t="s">
        <v>68</v>
      </c>
      <c r="I24" s="3" t="s">
        <v>142</v>
      </c>
      <c r="J24" s="3" t="s">
        <v>49</v>
      </c>
      <c r="K24" s="3" t="s">
        <v>45</v>
      </c>
      <c r="L24" s="4">
        <v>46171</v>
      </c>
      <c r="M24" s="3" t="s">
        <v>293</v>
      </c>
    </row>
    <row r="25" spans="1:13">
      <c r="A25" s="3">
        <v>22</v>
      </c>
      <c r="B25" s="3" t="s">
        <v>1388</v>
      </c>
      <c r="C25" s="4">
        <v>46120</v>
      </c>
      <c r="D25" s="3" t="s">
        <v>53</v>
      </c>
      <c r="E25" s="5" t="s">
        <v>20</v>
      </c>
      <c r="F25" s="5" t="s">
        <v>13</v>
      </c>
      <c r="G25" s="3" t="s">
        <v>77</v>
      </c>
      <c r="H25" s="3" t="s">
        <v>15</v>
      </c>
      <c r="I25" s="3" t="s">
        <v>142</v>
      </c>
      <c r="J25" s="3" t="s">
        <v>20</v>
      </c>
      <c r="K25" s="3" t="s">
        <v>4</v>
      </c>
      <c r="L25" s="4">
        <v>46163</v>
      </c>
      <c r="M25" s="3" t="s">
        <v>293</v>
      </c>
    </row>
    <row r="26" spans="1:13">
      <c r="A26" s="3">
        <v>23</v>
      </c>
      <c r="B26" s="3" t="s">
        <v>1389</v>
      </c>
      <c r="C26" s="4">
        <v>46153</v>
      </c>
      <c r="D26" s="3" t="s">
        <v>60</v>
      </c>
      <c r="E26" s="5" t="s">
        <v>26</v>
      </c>
      <c r="F26" s="5" t="s">
        <v>89</v>
      </c>
      <c r="G26" s="3" t="s">
        <v>95</v>
      </c>
      <c r="H26" s="3" t="s">
        <v>22</v>
      </c>
      <c r="I26" s="3" t="s">
        <v>159</v>
      </c>
      <c r="J26" s="3" t="s">
        <v>20</v>
      </c>
      <c r="K26" s="3" t="s">
        <v>4</v>
      </c>
      <c r="L26" s="4">
        <v>46176</v>
      </c>
      <c r="M26" s="3" t="s">
        <v>293</v>
      </c>
    </row>
    <row r="27" spans="1:13">
      <c r="A27" s="3">
        <v>24</v>
      </c>
      <c r="B27" s="3" t="s">
        <v>1390</v>
      </c>
      <c r="C27" s="4">
        <v>46160</v>
      </c>
      <c r="D27" s="3" t="s">
        <v>60</v>
      </c>
      <c r="E27" s="5" t="s">
        <v>26</v>
      </c>
      <c r="F27" s="5" t="s">
        <v>58</v>
      </c>
      <c r="G27" s="3" t="s">
        <v>6</v>
      </c>
      <c r="H27" s="3" t="s">
        <v>36</v>
      </c>
      <c r="I27" s="3" t="s">
        <v>159</v>
      </c>
      <c r="J27" s="3" t="s">
        <v>45</v>
      </c>
      <c r="K27" s="3" t="s">
        <v>57</v>
      </c>
      <c r="L27" s="4">
        <v>46174</v>
      </c>
      <c r="M27" s="3" t="s">
        <v>297</v>
      </c>
    </row>
    <row r="28" spans="1:13">
      <c r="A28" s="3">
        <v>25</v>
      </c>
      <c r="B28" s="3" t="s">
        <v>1391</v>
      </c>
      <c r="C28" s="4">
        <v>46179</v>
      </c>
      <c r="D28" s="3" t="s">
        <v>73</v>
      </c>
      <c r="E28" s="5" t="s">
        <v>38</v>
      </c>
      <c r="F28" s="5" t="s">
        <v>50</v>
      </c>
      <c r="G28" s="3" t="s">
        <v>35</v>
      </c>
      <c r="H28" s="3" t="s">
        <v>104</v>
      </c>
      <c r="I28" s="3" t="s">
        <v>154</v>
      </c>
      <c r="J28" s="3" t="s">
        <v>54</v>
      </c>
      <c r="K28" s="3" t="s">
        <v>49</v>
      </c>
      <c r="L28" s="4">
        <v>46218</v>
      </c>
      <c r="M28" s="3" t="s">
        <v>293</v>
      </c>
    </row>
    <row r="29" spans="1:13">
      <c r="A29" s="3">
        <v>26</v>
      </c>
      <c r="B29" s="3" t="s">
        <v>1392</v>
      </c>
      <c r="C29" s="4">
        <v>46201</v>
      </c>
      <c r="D29" s="3" t="s">
        <v>73</v>
      </c>
      <c r="E29" s="5" t="s">
        <v>20</v>
      </c>
      <c r="F29" s="5" t="s">
        <v>46</v>
      </c>
      <c r="G29" s="3" t="s">
        <v>21</v>
      </c>
      <c r="H29" s="3" t="s">
        <v>78</v>
      </c>
      <c r="I29" s="3" t="s">
        <v>142</v>
      </c>
      <c r="J29" s="3" t="s">
        <v>16</v>
      </c>
      <c r="K29" s="3" t="s">
        <v>61</v>
      </c>
      <c r="L29" s="4">
        <v>46213</v>
      </c>
      <c r="M29" s="3" t="s">
        <v>293</v>
      </c>
    </row>
    <row r="30" spans="1:13">
      <c r="A30" s="3">
        <v>27</v>
      </c>
      <c r="B30" s="3" t="s">
        <v>1393</v>
      </c>
      <c r="C30" s="4">
        <v>46177</v>
      </c>
      <c r="D30" s="3" t="s">
        <v>73</v>
      </c>
      <c r="E30" s="5" t="s">
        <v>38</v>
      </c>
      <c r="F30" s="5" t="s">
        <v>92</v>
      </c>
      <c r="G30" s="3" t="s">
        <v>31</v>
      </c>
      <c r="H30" s="3" t="s">
        <v>78</v>
      </c>
      <c r="I30" s="3" t="s">
        <v>159</v>
      </c>
      <c r="J30" s="3" t="s">
        <v>26</v>
      </c>
      <c r="K30" s="3" t="s">
        <v>57</v>
      </c>
      <c r="L30" s="4">
        <v>46183</v>
      </c>
      <c r="M30" s="3" t="s">
        <v>293</v>
      </c>
    </row>
    <row r="31" spans="1:13">
      <c r="A31" s="3">
        <v>28</v>
      </c>
      <c r="B31" s="3" t="s">
        <v>1394</v>
      </c>
      <c r="C31" s="4">
        <v>46201</v>
      </c>
      <c r="D31" s="3" t="s">
        <v>73</v>
      </c>
      <c r="E31" s="5" t="s">
        <v>49</v>
      </c>
      <c r="F31" s="5" t="s">
        <v>5</v>
      </c>
      <c r="G31" s="3" t="s">
        <v>21</v>
      </c>
      <c r="H31" s="3" t="s">
        <v>104</v>
      </c>
      <c r="I31" s="3" t="s">
        <v>142</v>
      </c>
      <c r="J31" s="3" t="s">
        <v>54</v>
      </c>
      <c r="K31" s="3" t="s">
        <v>64</v>
      </c>
      <c r="L31" s="4">
        <v>46219</v>
      </c>
      <c r="M31" s="3" t="s">
        <v>297</v>
      </c>
    </row>
    <row r="32" spans="1:13">
      <c r="A32" s="3">
        <v>29</v>
      </c>
      <c r="B32" s="3" t="s">
        <v>1395</v>
      </c>
      <c r="C32" s="4">
        <v>46192</v>
      </c>
      <c r="D32" s="3" t="s">
        <v>73</v>
      </c>
      <c r="E32" s="5" t="s">
        <v>20</v>
      </c>
      <c r="F32" s="5" t="s">
        <v>65</v>
      </c>
      <c r="G32" s="3" t="s">
        <v>51</v>
      </c>
      <c r="H32" s="3" t="s">
        <v>41</v>
      </c>
      <c r="I32" s="3" t="s">
        <v>142</v>
      </c>
      <c r="J32" s="3" t="s">
        <v>20</v>
      </c>
      <c r="K32" s="3" t="s">
        <v>38</v>
      </c>
      <c r="L32" s="4">
        <v>46232</v>
      </c>
      <c r="M32" s="3" t="s">
        <v>254</v>
      </c>
    </row>
    <row r="33" spans="1:13">
      <c r="A33" s="3">
        <v>30</v>
      </c>
      <c r="B33" s="3" t="s">
        <v>1396</v>
      </c>
      <c r="C33" s="4">
        <v>46176</v>
      </c>
      <c r="D33" s="3" t="s">
        <v>73</v>
      </c>
      <c r="E33" s="5" t="s">
        <v>45</v>
      </c>
      <c r="F33" s="5" t="s">
        <v>92</v>
      </c>
      <c r="G33" s="3" t="s">
        <v>82</v>
      </c>
      <c r="H33" s="3" t="s">
        <v>7</v>
      </c>
      <c r="I33" s="3" t="s">
        <v>142</v>
      </c>
      <c r="J33" s="3" t="s">
        <v>64</v>
      </c>
      <c r="K33" s="3" t="s">
        <v>45</v>
      </c>
      <c r="L33" s="4">
        <v>46201</v>
      </c>
      <c r="M33" s="3" t="s">
        <v>254</v>
      </c>
    </row>
    <row r="34" spans="1:13">
      <c r="A34" s="3">
        <v>31</v>
      </c>
      <c r="B34" s="3" t="s">
        <v>1397</v>
      </c>
      <c r="C34" s="4">
        <v>46178</v>
      </c>
      <c r="D34" s="3" t="s">
        <v>73</v>
      </c>
      <c r="E34" s="5" t="s">
        <v>16</v>
      </c>
      <c r="F34" s="5" t="s">
        <v>58</v>
      </c>
      <c r="G34" s="3" t="s">
        <v>82</v>
      </c>
      <c r="H34" s="3" t="s">
        <v>15</v>
      </c>
      <c r="I34" s="3" t="s">
        <v>154</v>
      </c>
      <c r="J34" s="3" t="s">
        <v>26</v>
      </c>
      <c r="K34" s="3" t="s">
        <v>4</v>
      </c>
      <c r="L34" s="4">
        <v>46223</v>
      </c>
      <c r="M34" s="3" t="s">
        <v>254</v>
      </c>
    </row>
    <row r="35" spans="1:13">
      <c r="A35" s="3">
        <v>32</v>
      </c>
      <c r="B35" s="3" t="s">
        <v>1398</v>
      </c>
      <c r="C35" s="4">
        <v>46226</v>
      </c>
      <c r="D35" s="3" t="s">
        <v>76</v>
      </c>
      <c r="E35" s="5" t="s">
        <v>61</v>
      </c>
      <c r="F35" s="5" t="s">
        <v>46</v>
      </c>
      <c r="G35" s="3" t="s">
        <v>31</v>
      </c>
      <c r="H35" s="3" t="s">
        <v>7</v>
      </c>
      <c r="I35" s="3" t="s">
        <v>154</v>
      </c>
      <c r="J35" s="3" t="s">
        <v>4</v>
      </c>
      <c r="K35" s="3" t="s">
        <v>20</v>
      </c>
      <c r="L35" s="4">
        <v>46260</v>
      </c>
      <c r="M35" s="3" t="s">
        <v>293</v>
      </c>
    </row>
    <row r="36" spans="1:13">
      <c r="A36" s="3">
        <v>33</v>
      </c>
      <c r="B36" s="3" t="s">
        <v>1399</v>
      </c>
      <c r="C36" s="4">
        <v>46208</v>
      </c>
      <c r="D36" s="3" t="s">
        <v>76</v>
      </c>
      <c r="E36" s="5" t="s">
        <v>26</v>
      </c>
      <c r="F36" s="5" t="s">
        <v>65</v>
      </c>
      <c r="G36" s="3" t="s">
        <v>95</v>
      </c>
      <c r="H36" s="3" t="s">
        <v>22</v>
      </c>
      <c r="I36" s="3" t="s">
        <v>142</v>
      </c>
      <c r="J36" s="3" t="s">
        <v>64</v>
      </c>
      <c r="K36" s="3" t="s">
        <v>54</v>
      </c>
      <c r="L36" s="4">
        <v>46213</v>
      </c>
      <c r="M36" s="3" t="s">
        <v>293</v>
      </c>
    </row>
    <row r="37" spans="1:13">
      <c r="A37" s="3">
        <v>34</v>
      </c>
      <c r="B37" s="3" t="s">
        <v>1400</v>
      </c>
      <c r="C37" s="4">
        <v>46220</v>
      </c>
      <c r="D37" s="3" t="s">
        <v>76</v>
      </c>
      <c r="E37" s="5" t="s">
        <v>64</v>
      </c>
      <c r="F37" s="5" t="s">
        <v>13</v>
      </c>
      <c r="G37" s="3" t="s">
        <v>35</v>
      </c>
      <c r="H37" s="3" t="s">
        <v>32</v>
      </c>
      <c r="I37" s="3" t="s">
        <v>142</v>
      </c>
      <c r="J37" s="3" t="s">
        <v>26</v>
      </c>
      <c r="K37" s="3" t="s">
        <v>45</v>
      </c>
      <c r="L37" s="4">
        <v>46228</v>
      </c>
      <c r="M37" s="3" t="s">
        <v>293</v>
      </c>
    </row>
    <row r="38" spans="1:13">
      <c r="A38" s="3">
        <v>35</v>
      </c>
      <c r="B38" s="3" t="s">
        <v>1401</v>
      </c>
      <c r="C38" s="4">
        <v>46231</v>
      </c>
      <c r="D38" s="3" t="s">
        <v>76</v>
      </c>
      <c r="E38" s="5" t="s">
        <v>54</v>
      </c>
      <c r="F38" s="5" t="s">
        <v>13</v>
      </c>
      <c r="G38" s="3" t="s">
        <v>82</v>
      </c>
      <c r="H38" s="3" t="s">
        <v>78</v>
      </c>
      <c r="I38" s="3" t="s">
        <v>142</v>
      </c>
      <c r="J38" s="3" t="s">
        <v>4</v>
      </c>
      <c r="K38" s="3" t="s">
        <v>4</v>
      </c>
      <c r="L38" s="4">
        <v>46268</v>
      </c>
      <c r="M38" s="3" t="s">
        <v>293</v>
      </c>
    </row>
    <row r="39" spans="1:13">
      <c r="A39" s="3">
        <v>36</v>
      </c>
      <c r="B39" s="3" t="s">
        <v>1402</v>
      </c>
      <c r="C39" s="4">
        <v>46226</v>
      </c>
      <c r="D39" s="3" t="s">
        <v>76</v>
      </c>
      <c r="E39" s="5" t="s">
        <v>64</v>
      </c>
      <c r="F39" s="5" t="s">
        <v>39</v>
      </c>
      <c r="G39" s="3" t="s">
        <v>40</v>
      </c>
      <c r="H39" s="3" t="s">
        <v>78</v>
      </c>
      <c r="I39" s="3" t="s">
        <v>162</v>
      </c>
      <c r="J39" s="3" t="s">
        <v>4</v>
      </c>
      <c r="K39" s="3" t="s">
        <v>38</v>
      </c>
      <c r="L39" s="4">
        <v>46257</v>
      </c>
      <c r="M39" s="3" t="s">
        <v>254</v>
      </c>
    </row>
    <row r="40" spans="1:13">
      <c r="A40" s="3">
        <v>37</v>
      </c>
      <c r="B40" s="3" t="s">
        <v>1403</v>
      </c>
      <c r="C40" s="4">
        <v>46242</v>
      </c>
      <c r="D40" s="3" t="s">
        <v>86</v>
      </c>
      <c r="E40" s="5" t="s">
        <v>4</v>
      </c>
      <c r="F40" s="5" t="s">
        <v>5</v>
      </c>
      <c r="G40" s="3" t="s">
        <v>6</v>
      </c>
      <c r="H40" s="3" t="s">
        <v>32</v>
      </c>
      <c r="I40" s="3" t="s">
        <v>162</v>
      </c>
      <c r="J40" s="3" t="s">
        <v>26</v>
      </c>
      <c r="K40" s="3" t="s">
        <v>91</v>
      </c>
      <c r="L40" s="4">
        <v>46260</v>
      </c>
      <c r="M40" s="3" t="s">
        <v>297</v>
      </c>
    </row>
    <row r="41" spans="1:13">
      <c r="A41" s="3">
        <v>38</v>
      </c>
      <c r="B41" s="3" t="s">
        <v>1404</v>
      </c>
      <c r="C41" s="4">
        <v>46242</v>
      </c>
      <c r="D41" s="3" t="s">
        <v>86</v>
      </c>
      <c r="E41" s="5" t="s">
        <v>26</v>
      </c>
      <c r="F41" s="5" t="s">
        <v>39</v>
      </c>
      <c r="G41" s="3" t="s">
        <v>82</v>
      </c>
      <c r="H41" s="3" t="s">
        <v>32</v>
      </c>
      <c r="I41" s="3" t="s">
        <v>154</v>
      </c>
      <c r="J41" s="3" t="s">
        <v>91</v>
      </c>
      <c r="K41" s="3" t="s">
        <v>16</v>
      </c>
      <c r="L41" s="4">
        <v>46278</v>
      </c>
      <c r="M41" s="3" t="s">
        <v>293</v>
      </c>
    </row>
    <row r="42" spans="1:13">
      <c r="A42" s="3">
        <v>39</v>
      </c>
      <c r="B42" s="3" t="s">
        <v>1405</v>
      </c>
      <c r="C42" s="4">
        <v>46249</v>
      </c>
      <c r="D42" s="3" t="s">
        <v>86</v>
      </c>
      <c r="E42" s="5" t="s">
        <v>38</v>
      </c>
      <c r="F42" s="5" t="s">
        <v>5</v>
      </c>
      <c r="G42" s="3" t="s">
        <v>6</v>
      </c>
      <c r="H42" s="3" t="s">
        <v>68</v>
      </c>
      <c r="I42" s="3" t="s">
        <v>142</v>
      </c>
      <c r="J42" s="3" t="s">
        <v>49</v>
      </c>
      <c r="K42" s="3" t="s">
        <v>49</v>
      </c>
      <c r="L42" s="4">
        <v>46277</v>
      </c>
      <c r="M42" s="3" t="s">
        <v>254</v>
      </c>
    </row>
    <row r="43" spans="1:13">
      <c r="A43" s="3">
        <v>40</v>
      </c>
      <c r="B43" s="3" t="s">
        <v>1406</v>
      </c>
      <c r="C43" s="4">
        <v>46271</v>
      </c>
      <c r="D43" s="3" t="s">
        <v>102</v>
      </c>
      <c r="E43" s="5" t="s">
        <v>61</v>
      </c>
      <c r="F43" s="5" t="s">
        <v>92</v>
      </c>
      <c r="G43" s="3" t="s">
        <v>82</v>
      </c>
      <c r="H43" s="3" t="s">
        <v>32</v>
      </c>
      <c r="I43" s="3" t="s">
        <v>142</v>
      </c>
      <c r="J43" s="3" t="s">
        <v>4</v>
      </c>
      <c r="K43" s="3" t="s">
        <v>4</v>
      </c>
      <c r="L43" s="4">
        <v>46314</v>
      </c>
      <c r="M43" s="3" t="s">
        <v>238</v>
      </c>
    </row>
    <row r="44" spans="1:13">
      <c r="A44" s="3">
        <v>41</v>
      </c>
      <c r="B44" s="3" t="s">
        <v>1407</v>
      </c>
      <c r="C44" s="4">
        <v>46287</v>
      </c>
      <c r="D44" s="3" t="s">
        <v>102</v>
      </c>
      <c r="E44" s="5" t="s">
        <v>30</v>
      </c>
      <c r="F44" s="5" t="s">
        <v>92</v>
      </c>
      <c r="G44" s="3" t="s">
        <v>6</v>
      </c>
      <c r="H44" s="3" t="s">
        <v>32</v>
      </c>
      <c r="I44" s="3" t="s">
        <v>159</v>
      </c>
      <c r="J44" s="3" t="s">
        <v>26</v>
      </c>
      <c r="K44" s="3" t="s">
        <v>91</v>
      </c>
      <c r="L44" s="4">
        <v>46324</v>
      </c>
      <c r="M44" s="3" t="s">
        <v>293</v>
      </c>
    </row>
    <row r="45" spans="1:13">
      <c r="A45" s="3">
        <v>42</v>
      </c>
      <c r="B45" s="3" t="s">
        <v>1408</v>
      </c>
      <c r="C45" s="4">
        <v>46278</v>
      </c>
      <c r="D45" s="3" t="s">
        <v>102</v>
      </c>
      <c r="E45" s="5" t="s">
        <v>20</v>
      </c>
      <c r="F45" s="5" t="s">
        <v>50</v>
      </c>
      <c r="G45" s="3" t="s">
        <v>35</v>
      </c>
      <c r="H45" s="3" t="s">
        <v>68</v>
      </c>
      <c r="I45" s="3" t="s">
        <v>142</v>
      </c>
      <c r="J45" s="3" t="s">
        <v>49</v>
      </c>
      <c r="K45" s="3" t="s">
        <v>12</v>
      </c>
      <c r="L45" s="4">
        <v>46292</v>
      </c>
      <c r="M45" s="3" t="s">
        <v>297</v>
      </c>
    </row>
    <row r="46" spans="1:13">
      <c r="A46" s="3">
        <v>43</v>
      </c>
      <c r="B46" s="3" t="s">
        <v>1409</v>
      </c>
      <c r="C46" s="4">
        <v>46301</v>
      </c>
      <c r="D46" s="3" t="s">
        <v>106</v>
      </c>
      <c r="E46" s="5" t="s">
        <v>61</v>
      </c>
      <c r="F46" s="5" t="s">
        <v>92</v>
      </c>
      <c r="G46" s="3" t="s">
        <v>35</v>
      </c>
      <c r="H46" s="3" t="s">
        <v>28</v>
      </c>
      <c r="I46" s="3" t="s">
        <v>154</v>
      </c>
      <c r="J46" s="3" t="s">
        <v>38</v>
      </c>
      <c r="K46" s="3" t="s">
        <v>64</v>
      </c>
      <c r="L46" s="4">
        <v>46344</v>
      </c>
      <c r="M46" s="3" t="s">
        <v>293</v>
      </c>
    </row>
    <row r="47" spans="1:13">
      <c r="A47" s="3">
        <v>44</v>
      </c>
      <c r="B47" s="3" t="s">
        <v>1410</v>
      </c>
      <c r="C47" s="4">
        <v>46315</v>
      </c>
      <c r="D47" s="3" t="s">
        <v>106</v>
      </c>
      <c r="E47" s="5" t="s">
        <v>91</v>
      </c>
      <c r="F47" s="5" t="s">
        <v>50</v>
      </c>
      <c r="G47" s="3" t="s">
        <v>95</v>
      </c>
      <c r="H47" s="3" t="s">
        <v>22</v>
      </c>
      <c r="I47" s="3" t="s">
        <v>159</v>
      </c>
      <c r="J47" s="3" t="s">
        <v>54</v>
      </c>
      <c r="K47" s="3" t="s">
        <v>38</v>
      </c>
      <c r="L47" s="4">
        <v>46346</v>
      </c>
      <c r="M47" s="3" t="s">
        <v>293</v>
      </c>
    </row>
    <row r="48" spans="1:13">
      <c r="A48" s="3">
        <v>45</v>
      </c>
      <c r="B48" s="3" t="s">
        <v>1411</v>
      </c>
      <c r="C48" s="4">
        <v>46347</v>
      </c>
      <c r="D48" s="3" t="s">
        <v>111</v>
      </c>
      <c r="E48" s="5" t="s">
        <v>49</v>
      </c>
      <c r="F48" s="5" t="s">
        <v>5</v>
      </c>
      <c r="G48" s="3" t="s">
        <v>40</v>
      </c>
      <c r="H48" s="3" t="s">
        <v>28</v>
      </c>
      <c r="I48" s="3" t="s">
        <v>154</v>
      </c>
      <c r="J48" s="3" t="s">
        <v>26</v>
      </c>
      <c r="K48" s="3" t="s">
        <v>12</v>
      </c>
      <c r="L48" s="4">
        <v>46386</v>
      </c>
      <c r="M48" s="3" t="s">
        <v>293</v>
      </c>
    </row>
    <row r="49" spans="1:13">
      <c r="A49" s="3">
        <v>46</v>
      </c>
      <c r="B49" s="3" t="s">
        <v>1412</v>
      </c>
      <c r="C49" s="4">
        <v>46362</v>
      </c>
      <c r="D49" s="3" t="s">
        <v>122</v>
      </c>
      <c r="E49" s="5" t="s">
        <v>61</v>
      </c>
      <c r="F49" s="5" t="s">
        <v>27</v>
      </c>
      <c r="G49" s="3" t="s">
        <v>87</v>
      </c>
      <c r="H49" s="3" t="s">
        <v>22</v>
      </c>
      <c r="I49" s="3" t="s">
        <v>154</v>
      </c>
      <c r="J49" s="3" t="s">
        <v>54</v>
      </c>
      <c r="K49" s="3" t="s">
        <v>61</v>
      </c>
      <c r="L49" s="4">
        <v>46382</v>
      </c>
      <c r="M49" s="3" t="s">
        <v>293</v>
      </c>
    </row>
    <row r="50" spans="1:13">
      <c r="A50" s="3">
        <v>47</v>
      </c>
      <c r="B50" s="3" t="s">
        <v>1413</v>
      </c>
      <c r="C50" s="4">
        <v>46371</v>
      </c>
      <c r="D50" s="3" t="s">
        <v>122</v>
      </c>
      <c r="E50" s="5" t="s">
        <v>64</v>
      </c>
      <c r="F50" s="5" t="s">
        <v>89</v>
      </c>
      <c r="G50" s="3" t="s">
        <v>40</v>
      </c>
      <c r="H50" s="3" t="s">
        <v>93</v>
      </c>
      <c r="I50" s="3" t="s">
        <v>142</v>
      </c>
      <c r="J50" s="3" t="s">
        <v>61</v>
      </c>
      <c r="K50" s="3" t="s">
        <v>20</v>
      </c>
      <c r="L50" s="4">
        <v>46398</v>
      </c>
      <c r="M50" s="3" t="s">
        <v>238</v>
      </c>
    </row>
    <row r="51" spans="1:13">
      <c r="A51" s="3">
        <v>48</v>
      </c>
      <c r="B51" s="3" t="s">
        <v>1414</v>
      </c>
      <c r="C51" s="4">
        <v>46372</v>
      </c>
      <c r="D51" s="3" t="s">
        <v>122</v>
      </c>
      <c r="E51" s="5" t="s">
        <v>38</v>
      </c>
      <c r="F51" s="5" t="s">
        <v>5</v>
      </c>
      <c r="G51" s="3" t="s">
        <v>6</v>
      </c>
      <c r="H51" s="3" t="s">
        <v>32</v>
      </c>
      <c r="I51" s="3" t="s">
        <v>159</v>
      </c>
      <c r="J51" s="3" t="s">
        <v>61</v>
      </c>
      <c r="K51" s="3" t="s">
        <v>57</v>
      </c>
      <c r="L51" s="4">
        <v>46396</v>
      </c>
      <c r="M51" s="3" t="s">
        <v>238</v>
      </c>
    </row>
  </sheetData>
  <mergeCells count="2">
    <mergeCell ref="A1:M1"/>
    <mergeCell ref="A2:M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2.7109375" customWidth="1"/>
    <col min="3" max="4" width="9.7109375" customWidth="1"/>
    <col min="5" max="5" width="13.7109375" customWidth="1"/>
    <col min="6" max="6" width="12.7109375" customWidth="1"/>
    <col min="7" max="7" width="10.7109375" customWidth="1"/>
    <col min="8" max="8" width="13.7109375" customWidth="1"/>
    <col min="9" max="9" width="12.7109375" customWidth="1"/>
    <col min="10" max="10" width="18.7109375" customWidth="1"/>
    <col min="11" max="11" width="19.7109375" customWidth="1"/>
    <col min="12" max="12" width="10.7109375" customWidth="1"/>
    <col min="13" max="13" width="9.7109375" customWidth="1"/>
  </cols>
  <sheetData>
    <row r="1" spans="1:15" ht="22" customHeight="1">
      <c r="A1" s="1" t="s">
        <v>1418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O1" s="2" t="s">
        <v>139</v>
      </c>
    </row>
    <row r="2" spans="1:1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5">
      <c r="A3" t="s">
        <v>124</v>
      </c>
      <c r="B3" t="s">
        <v>1415</v>
      </c>
      <c r="C3" t="s">
        <v>126</v>
      </c>
      <c r="D3" t="s">
        <v>127</v>
      </c>
      <c r="E3" t="s">
        <v>352</v>
      </c>
      <c r="F3" t="s">
        <v>129</v>
      </c>
      <c r="G3" t="s">
        <v>130</v>
      </c>
      <c r="H3" t="s">
        <v>1416</v>
      </c>
      <c r="I3" t="s">
        <v>210</v>
      </c>
      <c r="J3" t="s">
        <v>1417</v>
      </c>
      <c r="K3" t="s">
        <v>413</v>
      </c>
      <c r="L3" t="s">
        <v>357</v>
      </c>
      <c r="M3" t="s">
        <v>287</v>
      </c>
    </row>
    <row r="4" spans="1:15">
      <c r="A4" s="3">
        <v>1</v>
      </c>
      <c r="B4" s="3" t="s">
        <v>1419</v>
      </c>
      <c r="C4" s="4">
        <v>46025</v>
      </c>
      <c r="D4" s="3" t="s">
        <v>3</v>
      </c>
      <c r="E4" s="5" t="s">
        <v>16</v>
      </c>
      <c r="F4" s="5" t="s">
        <v>65</v>
      </c>
      <c r="G4" s="3" t="s">
        <v>82</v>
      </c>
      <c r="H4" s="3" t="s">
        <v>78</v>
      </c>
      <c r="I4" s="3" t="s">
        <v>142</v>
      </c>
      <c r="J4" s="3" t="s">
        <v>61</v>
      </c>
      <c r="K4" s="3" t="s">
        <v>91</v>
      </c>
      <c r="L4" s="4">
        <v>46032</v>
      </c>
      <c r="M4" s="3" t="s">
        <v>254</v>
      </c>
    </row>
    <row r="5" spans="1:15">
      <c r="A5" s="3">
        <v>2</v>
      </c>
      <c r="B5" s="3" t="s">
        <v>1420</v>
      </c>
      <c r="C5" s="4">
        <v>46031</v>
      </c>
      <c r="D5" s="3" t="s">
        <v>3</v>
      </c>
      <c r="E5" s="5" t="s">
        <v>49</v>
      </c>
      <c r="F5" s="5" t="s">
        <v>13</v>
      </c>
      <c r="G5" s="3" t="s">
        <v>14</v>
      </c>
      <c r="H5" s="3" t="s">
        <v>22</v>
      </c>
      <c r="I5" s="3" t="s">
        <v>154</v>
      </c>
      <c r="J5" s="3" t="s">
        <v>20</v>
      </c>
      <c r="K5" s="3" t="s">
        <v>20</v>
      </c>
      <c r="L5" s="4">
        <v>46043</v>
      </c>
      <c r="M5" s="3" t="s">
        <v>293</v>
      </c>
    </row>
    <row r="6" spans="1:15">
      <c r="A6" s="3">
        <v>3</v>
      </c>
      <c r="B6" s="3" t="s">
        <v>1421</v>
      </c>
      <c r="C6" s="4">
        <v>46068</v>
      </c>
      <c r="D6" s="3" t="s">
        <v>19</v>
      </c>
      <c r="E6" s="5" t="s">
        <v>57</v>
      </c>
      <c r="F6" s="5" t="s">
        <v>89</v>
      </c>
      <c r="G6" s="3" t="s">
        <v>35</v>
      </c>
      <c r="H6" s="3" t="s">
        <v>41</v>
      </c>
      <c r="I6" s="3" t="s">
        <v>142</v>
      </c>
      <c r="J6" s="3" t="s">
        <v>38</v>
      </c>
      <c r="K6" s="3" t="s">
        <v>38</v>
      </c>
      <c r="L6" s="4">
        <v>46112</v>
      </c>
      <c r="M6" s="3" t="s">
        <v>293</v>
      </c>
    </row>
    <row r="7" spans="1:15">
      <c r="A7" s="3">
        <v>4</v>
      </c>
      <c r="B7" s="3" t="s">
        <v>1422</v>
      </c>
      <c r="C7" s="4">
        <v>46067</v>
      </c>
      <c r="D7" s="3" t="s">
        <v>19</v>
      </c>
      <c r="E7" s="5" t="s">
        <v>26</v>
      </c>
      <c r="F7" s="5" t="s">
        <v>89</v>
      </c>
      <c r="G7" s="3" t="s">
        <v>40</v>
      </c>
      <c r="H7" s="3" t="s">
        <v>15</v>
      </c>
      <c r="I7" s="3" t="s">
        <v>142</v>
      </c>
      <c r="J7" s="3" t="s">
        <v>91</v>
      </c>
      <c r="K7" s="3" t="s">
        <v>64</v>
      </c>
      <c r="L7" s="4">
        <v>46109</v>
      </c>
      <c r="M7" s="3" t="s">
        <v>293</v>
      </c>
    </row>
    <row r="8" spans="1:15">
      <c r="A8" s="3">
        <v>5</v>
      </c>
      <c r="B8" s="3" t="s">
        <v>1423</v>
      </c>
      <c r="C8" s="4">
        <v>46054</v>
      </c>
      <c r="D8" s="3" t="s">
        <v>19</v>
      </c>
      <c r="E8" s="5" t="s">
        <v>30</v>
      </c>
      <c r="F8" s="5" t="s">
        <v>13</v>
      </c>
      <c r="G8" s="3" t="s">
        <v>87</v>
      </c>
      <c r="H8" s="3" t="s">
        <v>22</v>
      </c>
      <c r="I8" s="3" t="s">
        <v>154</v>
      </c>
      <c r="J8" s="3" t="s">
        <v>4</v>
      </c>
      <c r="K8" s="3" t="s">
        <v>57</v>
      </c>
      <c r="L8" s="4">
        <v>46071</v>
      </c>
      <c r="M8" s="3" t="s">
        <v>293</v>
      </c>
    </row>
    <row r="9" spans="1:15">
      <c r="A9" s="3">
        <v>6</v>
      </c>
      <c r="B9" s="3" t="s">
        <v>1424</v>
      </c>
      <c r="C9" s="4">
        <v>46098</v>
      </c>
      <c r="D9" s="3" t="s">
        <v>44</v>
      </c>
      <c r="E9" s="5" t="s">
        <v>91</v>
      </c>
      <c r="F9" s="5" t="s">
        <v>5</v>
      </c>
      <c r="G9" s="3" t="s">
        <v>87</v>
      </c>
      <c r="H9" s="3" t="s">
        <v>70</v>
      </c>
      <c r="I9" s="3" t="s">
        <v>154</v>
      </c>
      <c r="J9" s="3" t="s">
        <v>91</v>
      </c>
      <c r="K9" s="3" t="s">
        <v>12</v>
      </c>
      <c r="L9" s="4">
        <v>46130</v>
      </c>
      <c r="M9" s="3" t="s">
        <v>293</v>
      </c>
    </row>
    <row r="10" spans="1:15">
      <c r="A10" s="3">
        <v>7</v>
      </c>
      <c r="B10" s="3" t="s">
        <v>1425</v>
      </c>
      <c r="C10" s="4">
        <v>46108</v>
      </c>
      <c r="D10" s="3" t="s">
        <v>44</v>
      </c>
      <c r="E10" s="5" t="s">
        <v>38</v>
      </c>
      <c r="F10" s="5" t="s">
        <v>5</v>
      </c>
      <c r="G10" s="3" t="s">
        <v>35</v>
      </c>
      <c r="H10" s="3" t="s">
        <v>104</v>
      </c>
      <c r="I10" s="3" t="s">
        <v>142</v>
      </c>
      <c r="J10" s="3" t="s">
        <v>20</v>
      </c>
      <c r="K10" s="3" t="s">
        <v>57</v>
      </c>
      <c r="L10" s="4">
        <v>46129</v>
      </c>
      <c r="M10" s="3" t="s">
        <v>293</v>
      </c>
    </row>
    <row r="11" spans="1:15">
      <c r="A11" s="3">
        <v>8</v>
      </c>
      <c r="B11" s="3" t="s">
        <v>1426</v>
      </c>
      <c r="C11" s="4">
        <v>46095</v>
      </c>
      <c r="D11" s="3" t="s">
        <v>44</v>
      </c>
      <c r="E11" s="5" t="s">
        <v>38</v>
      </c>
      <c r="F11" s="5" t="s">
        <v>5</v>
      </c>
      <c r="G11" s="3" t="s">
        <v>21</v>
      </c>
      <c r="H11" s="3" t="s">
        <v>15</v>
      </c>
      <c r="I11" s="3" t="s">
        <v>142</v>
      </c>
      <c r="J11" s="3" t="s">
        <v>12</v>
      </c>
      <c r="K11" s="3" t="s">
        <v>26</v>
      </c>
      <c r="L11" s="4">
        <v>46115</v>
      </c>
      <c r="M11" s="3" t="s">
        <v>293</v>
      </c>
    </row>
    <row r="12" spans="1:15">
      <c r="A12" s="3">
        <v>9</v>
      </c>
      <c r="B12" s="3" t="s">
        <v>1427</v>
      </c>
      <c r="C12" s="4">
        <v>46121</v>
      </c>
      <c r="D12" s="3" t="s">
        <v>53</v>
      </c>
      <c r="E12" s="5" t="s">
        <v>12</v>
      </c>
      <c r="F12" s="5" t="s">
        <v>39</v>
      </c>
      <c r="G12" s="3" t="s">
        <v>95</v>
      </c>
      <c r="H12" s="3" t="s">
        <v>15</v>
      </c>
      <c r="I12" s="3" t="s">
        <v>159</v>
      </c>
      <c r="J12" s="3" t="s">
        <v>38</v>
      </c>
      <c r="K12" s="3" t="s">
        <v>38</v>
      </c>
      <c r="L12" s="4">
        <v>46137</v>
      </c>
      <c r="M12" s="3" t="s">
        <v>293</v>
      </c>
    </row>
    <row r="13" spans="1:15">
      <c r="A13" s="3">
        <v>10</v>
      </c>
      <c r="B13" s="3" t="s">
        <v>1428</v>
      </c>
      <c r="C13" s="4">
        <v>46129</v>
      </c>
      <c r="D13" s="3" t="s">
        <v>53</v>
      </c>
      <c r="E13" s="5" t="s">
        <v>64</v>
      </c>
      <c r="F13" s="5" t="s">
        <v>13</v>
      </c>
      <c r="G13" s="3" t="s">
        <v>6</v>
      </c>
      <c r="H13" s="3" t="s">
        <v>78</v>
      </c>
      <c r="I13" s="3" t="s">
        <v>159</v>
      </c>
      <c r="J13" s="3" t="s">
        <v>30</v>
      </c>
      <c r="K13" s="3" t="s">
        <v>38</v>
      </c>
      <c r="L13" s="4">
        <v>46165</v>
      </c>
      <c r="M13" s="3" t="s">
        <v>293</v>
      </c>
    </row>
    <row r="14" spans="1:15">
      <c r="A14" s="3">
        <v>11</v>
      </c>
      <c r="B14" s="3" t="s">
        <v>1429</v>
      </c>
      <c r="C14" s="4">
        <v>46118</v>
      </c>
      <c r="D14" s="3" t="s">
        <v>53</v>
      </c>
      <c r="E14" s="5" t="s">
        <v>61</v>
      </c>
      <c r="F14" s="5" t="s">
        <v>58</v>
      </c>
      <c r="G14" s="3" t="s">
        <v>77</v>
      </c>
      <c r="H14" s="3" t="s">
        <v>15</v>
      </c>
      <c r="I14" s="3" t="s">
        <v>159</v>
      </c>
      <c r="J14" s="3" t="s">
        <v>12</v>
      </c>
      <c r="K14" s="3" t="s">
        <v>57</v>
      </c>
      <c r="L14" s="4">
        <v>46137</v>
      </c>
      <c r="M14" s="3" t="s">
        <v>254</v>
      </c>
    </row>
    <row r="15" spans="1:15">
      <c r="A15" s="3">
        <v>12</v>
      </c>
      <c r="B15" s="3" t="s">
        <v>1430</v>
      </c>
      <c r="C15" s="4">
        <v>46113</v>
      </c>
      <c r="D15" s="3" t="s">
        <v>53</v>
      </c>
      <c r="E15" s="5" t="s">
        <v>38</v>
      </c>
      <c r="F15" s="5" t="s">
        <v>65</v>
      </c>
      <c r="G15" s="3" t="s">
        <v>40</v>
      </c>
      <c r="H15" s="3" t="s">
        <v>22</v>
      </c>
      <c r="I15" s="3" t="s">
        <v>142</v>
      </c>
      <c r="J15" s="3" t="s">
        <v>38</v>
      </c>
      <c r="K15" s="3" t="s">
        <v>91</v>
      </c>
      <c r="L15" s="4">
        <v>46132</v>
      </c>
      <c r="M15" s="3" t="s">
        <v>238</v>
      </c>
    </row>
    <row r="16" spans="1:15">
      <c r="A16" s="3">
        <v>13</v>
      </c>
      <c r="B16" s="3" t="s">
        <v>1431</v>
      </c>
      <c r="C16" s="4">
        <v>46131</v>
      </c>
      <c r="D16" s="3" t="s">
        <v>53</v>
      </c>
      <c r="E16" s="5" t="s">
        <v>64</v>
      </c>
      <c r="F16" s="5" t="s">
        <v>5</v>
      </c>
      <c r="G16" s="3" t="s">
        <v>6</v>
      </c>
      <c r="H16" s="3" t="s">
        <v>22</v>
      </c>
      <c r="I16" s="3" t="s">
        <v>154</v>
      </c>
      <c r="J16" s="3" t="s">
        <v>54</v>
      </c>
      <c r="K16" s="3" t="s">
        <v>38</v>
      </c>
      <c r="L16" s="4">
        <v>46159</v>
      </c>
      <c r="M16" s="3" t="s">
        <v>293</v>
      </c>
    </row>
    <row r="17" spans="1:13">
      <c r="A17" s="3">
        <v>14</v>
      </c>
      <c r="B17" s="3" t="s">
        <v>1432</v>
      </c>
      <c r="C17" s="4">
        <v>46145</v>
      </c>
      <c r="D17" s="3" t="s">
        <v>60</v>
      </c>
      <c r="E17" s="5" t="s">
        <v>54</v>
      </c>
      <c r="F17" s="5" t="s">
        <v>39</v>
      </c>
      <c r="G17" s="3" t="s">
        <v>6</v>
      </c>
      <c r="H17" s="3" t="s">
        <v>104</v>
      </c>
      <c r="I17" s="3" t="s">
        <v>159</v>
      </c>
      <c r="J17" s="3" t="s">
        <v>57</v>
      </c>
      <c r="K17" s="3" t="s">
        <v>61</v>
      </c>
      <c r="L17" s="4">
        <v>46182</v>
      </c>
      <c r="M17" s="3" t="s">
        <v>293</v>
      </c>
    </row>
    <row r="18" spans="1:13">
      <c r="A18" s="3">
        <v>15</v>
      </c>
      <c r="B18" s="3" t="s">
        <v>1433</v>
      </c>
      <c r="C18" s="4">
        <v>46198</v>
      </c>
      <c r="D18" s="3" t="s">
        <v>73</v>
      </c>
      <c r="E18" s="5" t="s">
        <v>64</v>
      </c>
      <c r="F18" s="5" t="s">
        <v>89</v>
      </c>
      <c r="G18" s="3" t="s">
        <v>14</v>
      </c>
      <c r="H18" s="3" t="s">
        <v>78</v>
      </c>
      <c r="I18" s="3" t="s">
        <v>142</v>
      </c>
      <c r="J18" s="3" t="s">
        <v>57</v>
      </c>
      <c r="K18" s="3" t="s">
        <v>38</v>
      </c>
      <c r="L18" s="4">
        <v>46218</v>
      </c>
      <c r="M18" s="3" t="s">
        <v>297</v>
      </c>
    </row>
    <row r="19" spans="1:13">
      <c r="A19" s="3">
        <v>16</v>
      </c>
      <c r="B19" s="3" t="s">
        <v>1434</v>
      </c>
      <c r="C19" s="4">
        <v>46195</v>
      </c>
      <c r="D19" s="3" t="s">
        <v>73</v>
      </c>
      <c r="E19" s="5" t="s">
        <v>64</v>
      </c>
      <c r="F19" s="5" t="s">
        <v>13</v>
      </c>
      <c r="G19" s="3" t="s">
        <v>77</v>
      </c>
      <c r="H19" s="3" t="s">
        <v>93</v>
      </c>
      <c r="I19" s="3" t="s">
        <v>159</v>
      </c>
      <c r="J19" s="3" t="s">
        <v>91</v>
      </c>
      <c r="K19" s="3" t="s">
        <v>61</v>
      </c>
      <c r="L19" s="4">
        <v>46208</v>
      </c>
      <c r="M19" s="3" t="s">
        <v>293</v>
      </c>
    </row>
    <row r="20" spans="1:13">
      <c r="A20" s="3">
        <v>17</v>
      </c>
      <c r="B20" s="3" t="s">
        <v>1435</v>
      </c>
      <c r="C20" s="4">
        <v>46182</v>
      </c>
      <c r="D20" s="3" t="s">
        <v>73</v>
      </c>
      <c r="E20" s="5" t="s">
        <v>30</v>
      </c>
      <c r="F20" s="5" t="s">
        <v>58</v>
      </c>
      <c r="G20" s="3" t="s">
        <v>35</v>
      </c>
      <c r="H20" s="3" t="s">
        <v>7</v>
      </c>
      <c r="I20" s="3" t="s">
        <v>154</v>
      </c>
      <c r="J20" s="3" t="s">
        <v>12</v>
      </c>
      <c r="K20" s="3" t="s">
        <v>45</v>
      </c>
      <c r="L20" s="4">
        <v>46202</v>
      </c>
      <c r="M20" s="3" t="s">
        <v>293</v>
      </c>
    </row>
    <row r="21" spans="1:13">
      <c r="A21" s="3">
        <v>18</v>
      </c>
      <c r="B21" s="3" t="s">
        <v>1436</v>
      </c>
      <c r="C21" s="4">
        <v>46180</v>
      </c>
      <c r="D21" s="3" t="s">
        <v>73</v>
      </c>
      <c r="E21" s="5" t="s">
        <v>26</v>
      </c>
      <c r="F21" s="5" t="s">
        <v>89</v>
      </c>
      <c r="G21" s="3" t="s">
        <v>80</v>
      </c>
      <c r="H21" s="3" t="s">
        <v>32</v>
      </c>
      <c r="I21" s="3" t="s">
        <v>154</v>
      </c>
      <c r="J21" s="3" t="s">
        <v>38</v>
      </c>
      <c r="K21" s="3" t="s">
        <v>54</v>
      </c>
      <c r="L21" s="4">
        <v>46221</v>
      </c>
      <c r="M21" s="3" t="s">
        <v>297</v>
      </c>
    </row>
    <row r="22" spans="1:13">
      <c r="A22" s="3">
        <v>19</v>
      </c>
      <c r="B22" s="3" t="s">
        <v>1437</v>
      </c>
      <c r="C22" s="4">
        <v>46224</v>
      </c>
      <c r="D22" s="3" t="s">
        <v>76</v>
      </c>
      <c r="E22" s="5" t="s">
        <v>4</v>
      </c>
      <c r="F22" s="5" t="s">
        <v>65</v>
      </c>
      <c r="G22" s="3" t="s">
        <v>51</v>
      </c>
      <c r="H22" s="3" t="s">
        <v>62</v>
      </c>
      <c r="I22" s="3" t="s">
        <v>154</v>
      </c>
      <c r="J22" s="3" t="s">
        <v>16</v>
      </c>
      <c r="K22" s="3" t="s">
        <v>4</v>
      </c>
      <c r="L22" s="4">
        <v>46256</v>
      </c>
      <c r="M22" s="3" t="s">
        <v>254</v>
      </c>
    </row>
    <row r="23" spans="1:13">
      <c r="A23" s="3">
        <v>20</v>
      </c>
      <c r="B23" s="3" t="s">
        <v>1438</v>
      </c>
      <c r="C23" s="4">
        <v>46230</v>
      </c>
      <c r="D23" s="3" t="s">
        <v>76</v>
      </c>
      <c r="E23" s="5" t="s">
        <v>20</v>
      </c>
      <c r="F23" s="5" t="s">
        <v>58</v>
      </c>
      <c r="G23" s="3" t="s">
        <v>6</v>
      </c>
      <c r="H23" s="3" t="s">
        <v>15</v>
      </c>
      <c r="I23" s="3" t="s">
        <v>142</v>
      </c>
      <c r="J23" s="3" t="s">
        <v>30</v>
      </c>
      <c r="K23" s="3" t="s">
        <v>61</v>
      </c>
      <c r="L23" s="4">
        <v>46258</v>
      </c>
      <c r="M23" s="3" t="s">
        <v>293</v>
      </c>
    </row>
    <row r="24" spans="1:13">
      <c r="A24" s="3">
        <v>21</v>
      </c>
      <c r="B24" s="3" t="s">
        <v>1439</v>
      </c>
      <c r="C24" s="4">
        <v>46216</v>
      </c>
      <c r="D24" s="3" t="s">
        <v>76</v>
      </c>
      <c r="E24" s="5" t="s">
        <v>26</v>
      </c>
      <c r="F24" s="5" t="s">
        <v>65</v>
      </c>
      <c r="G24" s="3" t="s">
        <v>35</v>
      </c>
      <c r="H24" s="3" t="s">
        <v>93</v>
      </c>
      <c r="I24" s="3" t="s">
        <v>142</v>
      </c>
      <c r="J24" s="3" t="s">
        <v>30</v>
      </c>
      <c r="K24" s="3" t="s">
        <v>26</v>
      </c>
      <c r="L24" s="4">
        <v>46256</v>
      </c>
      <c r="M24" s="3" t="s">
        <v>254</v>
      </c>
    </row>
    <row r="25" spans="1:13">
      <c r="A25" s="3">
        <v>22</v>
      </c>
      <c r="B25" s="3" t="s">
        <v>1440</v>
      </c>
      <c r="C25" s="4">
        <v>46224</v>
      </c>
      <c r="D25" s="3" t="s">
        <v>76</v>
      </c>
      <c r="E25" s="5" t="s">
        <v>30</v>
      </c>
      <c r="F25" s="5" t="s">
        <v>65</v>
      </c>
      <c r="G25" s="3" t="s">
        <v>14</v>
      </c>
      <c r="H25" s="3" t="s">
        <v>22</v>
      </c>
      <c r="I25" s="3" t="s">
        <v>142</v>
      </c>
      <c r="J25" s="3" t="s">
        <v>57</v>
      </c>
      <c r="K25" s="3" t="s">
        <v>61</v>
      </c>
      <c r="L25" s="4">
        <v>46240</v>
      </c>
      <c r="M25" s="3" t="s">
        <v>293</v>
      </c>
    </row>
    <row r="26" spans="1:13">
      <c r="A26" s="3">
        <v>23</v>
      </c>
      <c r="B26" s="3" t="s">
        <v>1441</v>
      </c>
      <c r="C26" s="4">
        <v>46218</v>
      </c>
      <c r="D26" s="3" t="s">
        <v>76</v>
      </c>
      <c r="E26" s="5" t="s">
        <v>26</v>
      </c>
      <c r="F26" s="5" t="s">
        <v>46</v>
      </c>
      <c r="G26" s="3" t="s">
        <v>14</v>
      </c>
      <c r="H26" s="3" t="s">
        <v>22</v>
      </c>
      <c r="I26" s="3" t="s">
        <v>142</v>
      </c>
      <c r="J26" s="3" t="s">
        <v>49</v>
      </c>
      <c r="K26" s="3" t="s">
        <v>38</v>
      </c>
      <c r="L26" s="4">
        <v>46254</v>
      </c>
      <c r="M26" s="3" t="s">
        <v>293</v>
      </c>
    </row>
    <row r="27" spans="1:13">
      <c r="A27" s="3">
        <v>24</v>
      </c>
      <c r="B27" s="3" t="s">
        <v>1442</v>
      </c>
      <c r="C27" s="4">
        <v>46219</v>
      </c>
      <c r="D27" s="3" t="s">
        <v>76</v>
      </c>
      <c r="E27" s="5" t="s">
        <v>12</v>
      </c>
      <c r="F27" s="5" t="s">
        <v>50</v>
      </c>
      <c r="G27" s="3" t="s">
        <v>35</v>
      </c>
      <c r="H27" s="3" t="s">
        <v>70</v>
      </c>
      <c r="I27" s="3" t="s">
        <v>142</v>
      </c>
      <c r="J27" s="3" t="s">
        <v>57</v>
      </c>
      <c r="K27" s="3" t="s">
        <v>61</v>
      </c>
      <c r="L27" s="4">
        <v>46264</v>
      </c>
      <c r="M27" s="3" t="s">
        <v>293</v>
      </c>
    </row>
    <row r="28" spans="1:13">
      <c r="A28" s="3">
        <v>25</v>
      </c>
      <c r="B28" s="3" t="s">
        <v>1443</v>
      </c>
      <c r="C28" s="4">
        <v>46221</v>
      </c>
      <c r="D28" s="3" t="s">
        <v>76</v>
      </c>
      <c r="E28" s="5" t="s">
        <v>30</v>
      </c>
      <c r="F28" s="5" t="s">
        <v>92</v>
      </c>
      <c r="G28" s="3" t="s">
        <v>6</v>
      </c>
      <c r="H28" s="3" t="s">
        <v>36</v>
      </c>
      <c r="I28" s="3" t="s">
        <v>154</v>
      </c>
      <c r="J28" s="3" t="s">
        <v>57</v>
      </c>
      <c r="K28" s="3" t="s">
        <v>12</v>
      </c>
      <c r="L28" s="4">
        <v>46249</v>
      </c>
      <c r="M28" s="3" t="s">
        <v>297</v>
      </c>
    </row>
    <row r="29" spans="1:13">
      <c r="A29" s="3">
        <v>26</v>
      </c>
      <c r="B29" s="3" t="s">
        <v>1444</v>
      </c>
      <c r="C29" s="4">
        <v>46257</v>
      </c>
      <c r="D29" s="3" t="s">
        <v>86</v>
      </c>
      <c r="E29" s="5" t="s">
        <v>38</v>
      </c>
      <c r="F29" s="5" t="s">
        <v>50</v>
      </c>
      <c r="G29" s="3" t="s">
        <v>51</v>
      </c>
      <c r="H29" s="3" t="s">
        <v>7</v>
      </c>
      <c r="I29" s="3" t="s">
        <v>154</v>
      </c>
      <c r="J29" s="3" t="s">
        <v>61</v>
      </c>
      <c r="K29" s="3" t="s">
        <v>26</v>
      </c>
      <c r="L29" s="4">
        <v>46263</v>
      </c>
      <c r="M29" s="3" t="s">
        <v>297</v>
      </c>
    </row>
    <row r="30" spans="1:13">
      <c r="A30" s="3">
        <v>27</v>
      </c>
      <c r="B30" s="3" t="s">
        <v>1445</v>
      </c>
      <c r="C30" s="4">
        <v>46236</v>
      </c>
      <c r="D30" s="3" t="s">
        <v>86</v>
      </c>
      <c r="E30" s="5" t="s">
        <v>38</v>
      </c>
      <c r="F30" s="5" t="s">
        <v>27</v>
      </c>
      <c r="G30" s="3" t="s">
        <v>35</v>
      </c>
      <c r="H30" s="3" t="s">
        <v>28</v>
      </c>
      <c r="I30" s="3" t="s">
        <v>154</v>
      </c>
      <c r="J30" s="3" t="s">
        <v>54</v>
      </c>
      <c r="K30" s="3" t="s">
        <v>57</v>
      </c>
      <c r="L30" s="4">
        <v>46254</v>
      </c>
      <c r="M30" s="3" t="s">
        <v>293</v>
      </c>
    </row>
    <row r="31" spans="1:13">
      <c r="A31" s="3">
        <v>28</v>
      </c>
      <c r="B31" s="3" t="s">
        <v>1446</v>
      </c>
      <c r="C31" s="4">
        <v>46235</v>
      </c>
      <c r="D31" s="3" t="s">
        <v>86</v>
      </c>
      <c r="E31" s="5" t="s">
        <v>61</v>
      </c>
      <c r="F31" s="5" t="s">
        <v>13</v>
      </c>
      <c r="G31" s="3" t="s">
        <v>95</v>
      </c>
      <c r="H31" s="3" t="s">
        <v>32</v>
      </c>
      <c r="I31" s="3" t="s">
        <v>154</v>
      </c>
      <c r="J31" s="3" t="s">
        <v>26</v>
      </c>
      <c r="K31" s="3" t="s">
        <v>61</v>
      </c>
      <c r="L31" s="4">
        <v>46256</v>
      </c>
      <c r="M31" s="3" t="s">
        <v>293</v>
      </c>
    </row>
    <row r="32" spans="1:13">
      <c r="A32" s="3">
        <v>29</v>
      </c>
      <c r="B32" s="3" t="s">
        <v>1447</v>
      </c>
      <c r="C32" s="4">
        <v>46246</v>
      </c>
      <c r="D32" s="3" t="s">
        <v>86</v>
      </c>
      <c r="E32" s="5" t="s">
        <v>64</v>
      </c>
      <c r="F32" s="5" t="s">
        <v>39</v>
      </c>
      <c r="G32" s="3" t="s">
        <v>87</v>
      </c>
      <c r="H32" s="3" t="s">
        <v>70</v>
      </c>
      <c r="I32" s="3" t="s">
        <v>159</v>
      </c>
      <c r="J32" s="3" t="s">
        <v>49</v>
      </c>
      <c r="K32" s="3" t="s">
        <v>16</v>
      </c>
      <c r="L32" s="4">
        <v>46259</v>
      </c>
      <c r="M32" s="3" t="s">
        <v>293</v>
      </c>
    </row>
    <row r="33" spans="1:13">
      <c r="A33" s="3">
        <v>30</v>
      </c>
      <c r="B33" s="3" t="s">
        <v>1448</v>
      </c>
      <c r="C33" s="4">
        <v>46238</v>
      </c>
      <c r="D33" s="3" t="s">
        <v>86</v>
      </c>
      <c r="E33" s="5" t="s">
        <v>91</v>
      </c>
      <c r="F33" s="5" t="s">
        <v>27</v>
      </c>
      <c r="G33" s="3" t="s">
        <v>31</v>
      </c>
      <c r="H33" s="3" t="s">
        <v>104</v>
      </c>
      <c r="I33" s="3" t="s">
        <v>142</v>
      </c>
      <c r="J33" s="3" t="s">
        <v>54</v>
      </c>
      <c r="K33" s="3" t="s">
        <v>49</v>
      </c>
      <c r="L33" s="4">
        <v>46278</v>
      </c>
      <c r="M33" s="3" t="s">
        <v>293</v>
      </c>
    </row>
    <row r="34" spans="1:13">
      <c r="A34" s="3">
        <v>31</v>
      </c>
      <c r="B34" s="3" t="s">
        <v>1449</v>
      </c>
      <c r="C34" s="4">
        <v>46257</v>
      </c>
      <c r="D34" s="3" t="s">
        <v>86</v>
      </c>
      <c r="E34" s="5" t="s">
        <v>20</v>
      </c>
      <c r="F34" s="5" t="s">
        <v>13</v>
      </c>
      <c r="G34" s="3" t="s">
        <v>31</v>
      </c>
      <c r="H34" s="3" t="s">
        <v>66</v>
      </c>
      <c r="I34" s="3" t="s">
        <v>142</v>
      </c>
      <c r="J34" s="3" t="s">
        <v>16</v>
      </c>
      <c r="K34" s="3" t="s">
        <v>20</v>
      </c>
      <c r="L34" s="4">
        <v>46286</v>
      </c>
      <c r="M34" s="3" t="s">
        <v>293</v>
      </c>
    </row>
    <row r="35" spans="1:13">
      <c r="A35" s="3">
        <v>32</v>
      </c>
      <c r="B35" s="3" t="s">
        <v>1450</v>
      </c>
      <c r="C35" s="4">
        <v>46257</v>
      </c>
      <c r="D35" s="3" t="s">
        <v>86</v>
      </c>
      <c r="E35" s="5" t="s">
        <v>26</v>
      </c>
      <c r="F35" s="5" t="s">
        <v>39</v>
      </c>
      <c r="G35" s="3" t="s">
        <v>87</v>
      </c>
      <c r="H35" s="3" t="s">
        <v>15</v>
      </c>
      <c r="I35" s="3" t="s">
        <v>154</v>
      </c>
      <c r="J35" s="3" t="s">
        <v>49</v>
      </c>
      <c r="K35" s="3" t="s">
        <v>45</v>
      </c>
      <c r="L35" s="4">
        <v>46293</v>
      </c>
      <c r="M35" s="3" t="s">
        <v>293</v>
      </c>
    </row>
    <row r="36" spans="1:13">
      <c r="A36" s="3">
        <v>33</v>
      </c>
      <c r="B36" s="3" t="s">
        <v>1451</v>
      </c>
      <c r="C36" s="4">
        <v>46247</v>
      </c>
      <c r="D36" s="3" t="s">
        <v>86</v>
      </c>
      <c r="E36" s="5" t="s">
        <v>4</v>
      </c>
      <c r="F36" s="5" t="s">
        <v>46</v>
      </c>
      <c r="G36" s="3" t="s">
        <v>35</v>
      </c>
      <c r="H36" s="3" t="s">
        <v>93</v>
      </c>
      <c r="I36" s="3" t="s">
        <v>154</v>
      </c>
      <c r="J36" s="3" t="s">
        <v>16</v>
      </c>
      <c r="K36" s="3" t="s">
        <v>20</v>
      </c>
      <c r="L36" s="4">
        <v>46268</v>
      </c>
      <c r="M36" s="3" t="s">
        <v>293</v>
      </c>
    </row>
    <row r="37" spans="1:13">
      <c r="A37" s="3">
        <v>34</v>
      </c>
      <c r="B37" s="3" t="s">
        <v>1452</v>
      </c>
      <c r="C37" s="4">
        <v>46278</v>
      </c>
      <c r="D37" s="3" t="s">
        <v>102</v>
      </c>
      <c r="E37" s="5" t="s">
        <v>45</v>
      </c>
      <c r="F37" s="5" t="s">
        <v>65</v>
      </c>
      <c r="G37" s="3" t="s">
        <v>82</v>
      </c>
      <c r="H37" s="3" t="s">
        <v>93</v>
      </c>
      <c r="I37" s="3" t="s">
        <v>154</v>
      </c>
      <c r="J37" s="3" t="s">
        <v>4</v>
      </c>
      <c r="K37" s="3" t="s">
        <v>38</v>
      </c>
      <c r="L37" s="4">
        <v>46287</v>
      </c>
      <c r="M37" s="3" t="s">
        <v>293</v>
      </c>
    </row>
    <row r="38" spans="1:13">
      <c r="A38" s="3">
        <v>35</v>
      </c>
      <c r="B38" s="3" t="s">
        <v>1453</v>
      </c>
      <c r="C38" s="4">
        <v>46283</v>
      </c>
      <c r="D38" s="3" t="s">
        <v>102</v>
      </c>
      <c r="E38" s="5" t="s">
        <v>61</v>
      </c>
      <c r="F38" s="5" t="s">
        <v>92</v>
      </c>
      <c r="G38" s="3" t="s">
        <v>82</v>
      </c>
      <c r="H38" s="3" t="s">
        <v>68</v>
      </c>
      <c r="I38" s="3" t="s">
        <v>142</v>
      </c>
      <c r="J38" s="3" t="s">
        <v>20</v>
      </c>
      <c r="K38" s="3" t="s">
        <v>45</v>
      </c>
      <c r="L38" s="4">
        <v>46292</v>
      </c>
      <c r="M38" s="3" t="s">
        <v>293</v>
      </c>
    </row>
    <row r="39" spans="1:13">
      <c r="A39" s="3">
        <v>36</v>
      </c>
      <c r="B39" s="3" t="s">
        <v>1454</v>
      </c>
      <c r="C39" s="4">
        <v>46267</v>
      </c>
      <c r="D39" s="3" t="s">
        <v>102</v>
      </c>
      <c r="E39" s="5" t="s">
        <v>45</v>
      </c>
      <c r="F39" s="5" t="s">
        <v>13</v>
      </c>
      <c r="G39" s="3" t="s">
        <v>14</v>
      </c>
      <c r="H39" s="3" t="s">
        <v>66</v>
      </c>
      <c r="I39" s="3" t="s">
        <v>162</v>
      </c>
      <c r="J39" s="3" t="s">
        <v>49</v>
      </c>
      <c r="K39" s="3" t="s">
        <v>12</v>
      </c>
      <c r="L39" s="4">
        <v>46304</v>
      </c>
      <c r="M39" s="3" t="s">
        <v>293</v>
      </c>
    </row>
    <row r="40" spans="1:13">
      <c r="A40" s="3">
        <v>37</v>
      </c>
      <c r="B40" s="3" t="s">
        <v>1455</v>
      </c>
      <c r="C40" s="4">
        <v>46291</v>
      </c>
      <c r="D40" s="3" t="s">
        <v>102</v>
      </c>
      <c r="E40" s="5" t="s">
        <v>30</v>
      </c>
      <c r="F40" s="5" t="s">
        <v>92</v>
      </c>
      <c r="G40" s="3" t="s">
        <v>14</v>
      </c>
      <c r="H40" s="3" t="s">
        <v>66</v>
      </c>
      <c r="I40" s="3" t="s">
        <v>159</v>
      </c>
      <c r="J40" s="3" t="s">
        <v>54</v>
      </c>
      <c r="K40" s="3" t="s">
        <v>12</v>
      </c>
      <c r="L40" s="4">
        <v>46312</v>
      </c>
      <c r="M40" s="3" t="s">
        <v>254</v>
      </c>
    </row>
    <row r="41" spans="1:13">
      <c r="A41" s="3">
        <v>38</v>
      </c>
      <c r="B41" s="3" t="s">
        <v>1456</v>
      </c>
      <c r="C41" s="4">
        <v>46285</v>
      </c>
      <c r="D41" s="3" t="s">
        <v>102</v>
      </c>
      <c r="E41" s="5" t="s">
        <v>54</v>
      </c>
      <c r="F41" s="5" t="s">
        <v>27</v>
      </c>
      <c r="G41" s="3" t="s">
        <v>77</v>
      </c>
      <c r="H41" s="3" t="s">
        <v>93</v>
      </c>
      <c r="I41" s="3" t="s">
        <v>159</v>
      </c>
      <c r="J41" s="3" t="s">
        <v>57</v>
      </c>
      <c r="K41" s="3" t="s">
        <v>91</v>
      </c>
      <c r="L41" s="4">
        <v>46322</v>
      </c>
      <c r="M41" s="3" t="s">
        <v>297</v>
      </c>
    </row>
    <row r="42" spans="1:13">
      <c r="A42" s="3">
        <v>39</v>
      </c>
      <c r="B42" s="3" t="s">
        <v>1457</v>
      </c>
      <c r="C42" s="4">
        <v>46317</v>
      </c>
      <c r="D42" s="3" t="s">
        <v>106</v>
      </c>
      <c r="E42" s="5" t="s">
        <v>26</v>
      </c>
      <c r="F42" s="5" t="s">
        <v>39</v>
      </c>
      <c r="G42" s="3" t="s">
        <v>95</v>
      </c>
      <c r="H42" s="3" t="s">
        <v>66</v>
      </c>
      <c r="I42" s="3" t="s">
        <v>154</v>
      </c>
      <c r="J42" s="3" t="s">
        <v>38</v>
      </c>
      <c r="K42" s="3" t="s">
        <v>16</v>
      </c>
      <c r="L42" s="4">
        <v>46360</v>
      </c>
      <c r="M42" s="3" t="s">
        <v>293</v>
      </c>
    </row>
    <row r="43" spans="1:13">
      <c r="A43" s="3">
        <v>40</v>
      </c>
      <c r="B43" s="3" t="s">
        <v>1458</v>
      </c>
      <c r="C43" s="4">
        <v>46301</v>
      </c>
      <c r="D43" s="3" t="s">
        <v>106</v>
      </c>
      <c r="E43" s="5" t="s">
        <v>16</v>
      </c>
      <c r="F43" s="5" t="s">
        <v>5</v>
      </c>
      <c r="G43" s="3" t="s">
        <v>40</v>
      </c>
      <c r="H43" s="3" t="s">
        <v>41</v>
      </c>
      <c r="I43" s="3" t="s">
        <v>154</v>
      </c>
      <c r="J43" s="3" t="s">
        <v>38</v>
      </c>
      <c r="K43" s="3" t="s">
        <v>38</v>
      </c>
      <c r="L43" s="4">
        <v>46331</v>
      </c>
      <c r="M43" s="3" t="s">
        <v>254</v>
      </c>
    </row>
    <row r="44" spans="1:13">
      <c r="A44" s="3">
        <v>41</v>
      </c>
      <c r="B44" s="3" t="s">
        <v>1459</v>
      </c>
      <c r="C44" s="4">
        <v>46309</v>
      </c>
      <c r="D44" s="3" t="s">
        <v>106</v>
      </c>
      <c r="E44" s="5" t="s">
        <v>64</v>
      </c>
      <c r="F44" s="5" t="s">
        <v>27</v>
      </c>
      <c r="G44" s="3" t="s">
        <v>21</v>
      </c>
      <c r="H44" s="3" t="s">
        <v>7</v>
      </c>
      <c r="I44" s="3" t="s">
        <v>142</v>
      </c>
      <c r="J44" s="3" t="s">
        <v>57</v>
      </c>
      <c r="K44" s="3" t="s">
        <v>45</v>
      </c>
      <c r="L44" s="4">
        <v>46341</v>
      </c>
      <c r="M44" s="3" t="s">
        <v>293</v>
      </c>
    </row>
    <row r="45" spans="1:13">
      <c r="A45" s="3">
        <v>42</v>
      </c>
      <c r="B45" s="3" t="s">
        <v>1460</v>
      </c>
      <c r="C45" s="4">
        <v>46304</v>
      </c>
      <c r="D45" s="3" t="s">
        <v>106</v>
      </c>
      <c r="E45" s="5" t="s">
        <v>49</v>
      </c>
      <c r="F45" s="5" t="s">
        <v>46</v>
      </c>
      <c r="G45" s="3" t="s">
        <v>35</v>
      </c>
      <c r="H45" s="3" t="s">
        <v>36</v>
      </c>
      <c r="I45" s="3" t="s">
        <v>159</v>
      </c>
      <c r="J45" s="3" t="s">
        <v>61</v>
      </c>
      <c r="K45" s="3" t="s">
        <v>49</v>
      </c>
      <c r="L45" s="4">
        <v>46331</v>
      </c>
      <c r="M45" s="3" t="s">
        <v>254</v>
      </c>
    </row>
    <row r="46" spans="1:13">
      <c r="A46" s="3">
        <v>43</v>
      </c>
      <c r="B46" s="3" t="s">
        <v>1461</v>
      </c>
      <c r="C46" s="4">
        <v>46310</v>
      </c>
      <c r="D46" s="3" t="s">
        <v>106</v>
      </c>
      <c r="E46" s="5" t="s">
        <v>4</v>
      </c>
      <c r="F46" s="5" t="s">
        <v>89</v>
      </c>
      <c r="G46" s="3" t="s">
        <v>77</v>
      </c>
      <c r="H46" s="3" t="s">
        <v>32</v>
      </c>
      <c r="I46" s="3" t="s">
        <v>142</v>
      </c>
      <c r="J46" s="3" t="s">
        <v>26</v>
      </c>
      <c r="K46" s="3" t="s">
        <v>4</v>
      </c>
      <c r="L46" s="4">
        <v>46334</v>
      </c>
      <c r="M46" s="3" t="s">
        <v>293</v>
      </c>
    </row>
    <row r="47" spans="1:13">
      <c r="A47" s="3">
        <v>44</v>
      </c>
      <c r="B47" s="3" t="s">
        <v>1462</v>
      </c>
      <c r="C47" s="4">
        <v>46309</v>
      </c>
      <c r="D47" s="3" t="s">
        <v>106</v>
      </c>
      <c r="E47" s="5" t="s">
        <v>4</v>
      </c>
      <c r="F47" s="5" t="s">
        <v>92</v>
      </c>
      <c r="G47" s="3" t="s">
        <v>51</v>
      </c>
      <c r="H47" s="3" t="s">
        <v>32</v>
      </c>
      <c r="I47" s="3" t="s">
        <v>154</v>
      </c>
      <c r="J47" s="3" t="s">
        <v>16</v>
      </c>
      <c r="K47" s="3" t="s">
        <v>16</v>
      </c>
      <c r="L47" s="4">
        <v>46329</v>
      </c>
      <c r="M47" s="3" t="s">
        <v>293</v>
      </c>
    </row>
    <row r="48" spans="1:13">
      <c r="A48" s="3">
        <v>45</v>
      </c>
      <c r="B48" s="3" t="s">
        <v>1463</v>
      </c>
      <c r="C48" s="4">
        <v>46329</v>
      </c>
      <c r="D48" s="3" t="s">
        <v>111</v>
      </c>
      <c r="E48" s="5" t="s">
        <v>57</v>
      </c>
      <c r="F48" s="5" t="s">
        <v>65</v>
      </c>
      <c r="G48" s="3" t="s">
        <v>31</v>
      </c>
      <c r="H48" s="3" t="s">
        <v>68</v>
      </c>
      <c r="I48" s="3" t="s">
        <v>162</v>
      </c>
      <c r="J48" s="3" t="s">
        <v>30</v>
      </c>
      <c r="K48" s="3" t="s">
        <v>54</v>
      </c>
      <c r="L48" s="4">
        <v>46363</v>
      </c>
      <c r="M48" s="3" t="s">
        <v>238</v>
      </c>
    </row>
    <row r="49" spans="1:13">
      <c r="A49" s="3">
        <v>46</v>
      </c>
      <c r="B49" s="3" t="s">
        <v>1464</v>
      </c>
      <c r="C49" s="4">
        <v>46350</v>
      </c>
      <c r="D49" s="3" t="s">
        <v>111</v>
      </c>
      <c r="E49" s="5" t="s">
        <v>26</v>
      </c>
      <c r="F49" s="5" t="s">
        <v>92</v>
      </c>
      <c r="G49" s="3" t="s">
        <v>51</v>
      </c>
      <c r="H49" s="3" t="s">
        <v>66</v>
      </c>
      <c r="I49" s="3" t="s">
        <v>142</v>
      </c>
      <c r="J49" s="3" t="s">
        <v>4</v>
      </c>
      <c r="K49" s="3" t="s">
        <v>26</v>
      </c>
      <c r="L49" s="4">
        <v>46395</v>
      </c>
      <c r="M49" s="3" t="s">
        <v>293</v>
      </c>
    </row>
    <row r="50" spans="1:13">
      <c r="A50" s="3">
        <v>47</v>
      </c>
      <c r="B50" s="3" t="s">
        <v>1465</v>
      </c>
      <c r="C50" s="4">
        <v>46377</v>
      </c>
      <c r="D50" s="3" t="s">
        <v>122</v>
      </c>
      <c r="E50" s="5" t="s">
        <v>57</v>
      </c>
      <c r="F50" s="5" t="s">
        <v>27</v>
      </c>
      <c r="G50" s="3" t="s">
        <v>40</v>
      </c>
      <c r="H50" s="3" t="s">
        <v>93</v>
      </c>
      <c r="I50" s="3" t="s">
        <v>142</v>
      </c>
      <c r="J50" s="3" t="s">
        <v>4</v>
      </c>
      <c r="K50" s="3" t="s">
        <v>45</v>
      </c>
      <c r="L50" s="4">
        <v>46386</v>
      </c>
      <c r="M50" s="3" t="s">
        <v>293</v>
      </c>
    </row>
    <row r="51" spans="1:13">
      <c r="A51" s="3">
        <v>48</v>
      </c>
      <c r="B51" s="3" t="s">
        <v>1466</v>
      </c>
      <c r="C51" s="4">
        <v>46361</v>
      </c>
      <c r="D51" s="3" t="s">
        <v>122</v>
      </c>
      <c r="E51" s="5" t="s">
        <v>4</v>
      </c>
      <c r="F51" s="5" t="s">
        <v>65</v>
      </c>
      <c r="G51" s="3" t="s">
        <v>14</v>
      </c>
      <c r="H51" s="3" t="s">
        <v>32</v>
      </c>
      <c r="I51" s="3" t="s">
        <v>142</v>
      </c>
      <c r="J51" s="3" t="s">
        <v>30</v>
      </c>
      <c r="K51" s="3" t="s">
        <v>12</v>
      </c>
      <c r="L51" s="4">
        <v>46406</v>
      </c>
      <c r="M51" s="3" t="s">
        <v>293</v>
      </c>
    </row>
  </sheetData>
  <mergeCells count="2">
    <mergeCell ref="A1:M1"/>
    <mergeCell ref="A2:M2"/>
  </mergeCells>
  <dataValidations count="4">
    <dataValidation type="list" allowBlank="1" showInputMessage="1" showErrorMessage="1" sqref="F4:F5003">
      <formula1>L_Dept</formula1>
    </dataValidation>
    <dataValidation type="list" allowBlank="1" showInputMessage="1" showErrorMessage="1" sqref="G4:G5003">
      <formula1>L_Loc</formula1>
    </dataValidation>
    <dataValidation type="list" allowBlank="1" showInputMessage="1" showErrorMessage="1" sqref="M4:M5003">
      <formula1>L_Status</formula1>
    </dataValidation>
    <dataValidation type="list" allowBlank="1" showInputMessage="1" showErrorMessage="1" sqref="I4:I5003">
      <formula1>L_Risk</formula1>
    </dataValidation>
  </dataValidations>
  <hyperlinks>
    <hyperlink ref="O1" location="'Home'!A1" display="Hom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</sheetPr>
  <dimension ref="A1:AF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3.7109375" customWidth="1"/>
    <col min="3" max="6" width="9.7109375" customWidth="1"/>
    <col min="7" max="7" width="16.7109375" customWidth="1"/>
    <col min="8" max="8" width="12.7109375" customWidth="1"/>
    <col min="9" max="9" width="9.7109375" customWidth="1"/>
    <col min="10" max="10" width="17.7109375" customWidth="1"/>
    <col min="11" max="11" width="9.7109375" customWidth="1"/>
    <col min="12" max="12" width="10.7109375" customWidth="1"/>
    <col min="13" max="13" width="15.7109375" customWidth="1"/>
    <col min="14" max="14" width="16.7109375" customWidth="1"/>
    <col min="15" max="15" width="17.7109375" customWidth="1"/>
    <col min="16" max="16" width="13.7109375" customWidth="1"/>
    <col min="17" max="17" width="11.7109375" customWidth="1"/>
    <col min="18" max="18" width="13.7109375" customWidth="1"/>
    <col min="19" max="19" width="17.7109375" customWidth="1"/>
    <col min="20" max="20" width="12.7109375" customWidth="1"/>
    <col min="21" max="21" width="13.7109375" customWidth="1"/>
    <col min="22" max="22" width="11.7109375" customWidth="1"/>
    <col min="23" max="24" width="19.7109375" customWidth="1"/>
    <col min="25" max="26" width="13.7109375" customWidth="1"/>
    <col min="27" max="27" width="14.7109375" customWidth="1"/>
    <col min="28" max="28" width="9.7109375" customWidth="1"/>
    <col min="29" max="30" width="15.7109375" customWidth="1"/>
  </cols>
  <sheetData>
    <row r="1" spans="1:32" ht="22" customHeight="1">
      <c r="A1" s="1" t="s">
        <v>1467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F1" s="2" t="s">
        <v>139</v>
      </c>
    </row>
    <row r="2" spans="1:32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2">
      <c r="A3" t="s">
        <v>124</v>
      </c>
      <c r="B3" t="s">
        <v>1556</v>
      </c>
      <c r="C3" t="s">
        <v>126</v>
      </c>
      <c r="D3" t="s">
        <v>127</v>
      </c>
      <c r="E3" t="s">
        <v>1557</v>
      </c>
      <c r="F3" t="s">
        <v>1558</v>
      </c>
      <c r="G3" t="s">
        <v>1559</v>
      </c>
      <c r="H3" t="s">
        <v>129</v>
      </c>
      <c r="I3" t="s">
        <v>1560</v>
      </c>
      <c r="J3" t="s">
        <v>1561</v>
      </c>
      <c r="K3" t="s">
        <v>1562</v>
      </c>
      <c r="L3" t="s">
        <v>130</v>
      </c>
      <c r="M3" t="s">
        <v>1563</v>
      </c>
      <c r="N3" t="s">
        <v>1564</v>
      </c>
      <c r="O3" t="s">
        <v>1565</v>
      </c>
      <c r="P3" t="s">
        <v>1566</v>
      </c>
      <c r="Q3" t="s">
        <v>1567</v>
      </c>
      <c r="R3" t="s">
        <v>352</v>
      </c>
      <c r="S3" t="s">
        <v>1568</v>
      </c>
      <c r="T3" t="s">
        <v>1569</v>
      </c>
      <c r="U3" t="s">
        <v>1570</v>
      </c>
      <c r="V3" t="s">
        <v>1571</v>
      </c>
      <c r="W3" t="s">
        <v>413</v>
      </c>
      <c r="X3" t="s">
        <v>1572</v>
      </c>
      <c r="Y3" t="s">
        <v>1573</v>
      </c>
      <c r="Z3" t="s">
        <v>1574</v>
      </c>
      <c r="AA3" t="s">
        <v>1575</v>
      </c>
      <c r="AB3" t="s">
        <v>287</v>
      </c>
      <c r="AC3" t="s">
        <v>1576</v>
      </c>
      <c r="AD3" t="s">
        <v>1577</v>
      </c>
    </row>
    <row r="4" spans="1:32">
      <c r="A4" s="3">
        <v>1</v>
      </c>
      <c r="B4" s="3" t="s">
        <v>1468</v>
      </c>
      <c r="C4" s="4">
        <v>46046</v>
      </c>
      <c r="D4" s="3" t="s">
        <v>3</v>
      </c>
      <c r="E4" s="5" t="s">
        <v>1469</v>
      </c>
      <c r="F4" s="5" t="s">
        <v>1470</v>
      </c>
      <c r="G4" s="3" t="s">
        <v>1471</v>
      </c>
      <c r="H4" s="3" t="s">
        <v>92</v>
      </c>
      <c r="I4" s="3" t="s">
        <v>82</v>
      </c>
      <c r="J4" s="3" t="s">
        <v>1472</v>
      </c>
      <c r="K4" s="3" t="s">
        <v>1473</v>
      </c>
      <c r="L4" s="3" t="s">
        <v>51</v>
      </c>
      <c r="M4" s="3" t="s">
        <v>1474</v>
      </c>
      <c r="N4" s="3" t="s">
        <v>1475</v>
      </c>
      <c r="O4" s="3" t="s">
        <v>7</v>
      </c>
      <c r="P4" s="3" t="s">
        <v>1476</v>
      </c>
      <c r="Q4" s="3" t="s">
        <v>1477</v>
      </c>
      <c r="R4" s="3" t="s">
        <v>4</v>
      </c>
      <c r="S4" s="3" t="s">
        <v>296</v>
      </c>
      <c r="T4" s="3" t="s">
        <v>1337</v>
      </c>
      <c r="U4" s="3" t="s">
        <v>142</v>
      </c>
      <c r="V4" s="3">
        <v>4</v>
      </c>
      <c r="W4" s="3" t="s">
        <v>54</v>
      </c>
      <c r="X4" s="3" t="s">
        <v>61</v>
      </c>
      <c r="Y4" s="3" t="s">
        <v>32</v>
      </c>
      <c r="Z4" s="4">
        <v>46069</v>
      </c>
      <c r="AA4" s="4">
        <v>46075</v>
      </c>
      <c r="AB4" s="3" t="s">
        <v>293</v>
      </c>
      <c r="AC4" s="7">
        <f>IF(AB4="Closed",AA4-C4,TODAY()-C4)</f>
        <v>0</v>
      </c>
      <c r="AD4" s="3" t="s">
        <v>26</v>
      </c>
    </row>
    <row r="5" spans="1:32">
      <c r="A5" s="3">
        <v>2</v>
      </c>
      <c r="B5" s="3" t="s">
        <v>1478</v>
      </c>
      <c r="C5" s="4">
        <v>46023</v>
      </c>
      <c r="D5" s="3" t="s">
        <v>3</v>
      </c>
      <c r="E5" s="5" t="s">
        <v>1479</v>
      </c>
      <c r="F5" s="5" t="s">
        <v>1470</v>
      </c>
      <c r="G5" s="3" t="s">
        <v>1471</v>
      </c>
      <c r="H5" s="3" t="s">
        <v>58</v>
      </c>
      <c r="I5" s="3" t="s">
        <v>77</v>
      </c>
      <c r="J5" s="3" t="s">
        <v>1480</v>
      </c>
      <c r="K5" s="3" t="s">
        <v>47</v>
      </c>
      <c r="L5" s="3" t="s">
        <v>87</v>
      </c>
      <c r="M5" s="3" t="s">
        <v>1481</v>
      </c>
      <c r="N5" s="3" t="s">
        <v>1475</v>
      </c>
      <c r="O5" s="3" t="s">
        <v>15</v>
      </c>
      <c r="P5" s="3" t="s">
        <v>1482</v>
      </c>
      <c r="Q5" s="3" t="s">
        <v>1483</v>
      </c>
      <c r="R5" s="3" t="s">
        <v>12</v>
      </c>
      <c r="S5" s="3" t="s">
        <v>1330</v>
      </c>
      <c r="T5" s="3" t="s">
        <v>1330</v>
      </c>
      <c r="U5" s="3" t="s">
        <v>154</v>
      </c>
      <c r="V5" s="3">
        <v>9</v>
      </c>
      <c r="W5" s="3" t="s">
        <v>16</v>
      </c>
      <c r="X5" s="3" t="s">
        <v>61</v>
      </c>
      <c r="Y5" s="3" t="s">
        <v>28</v>
      </c>
      <c r="Z5" s="4">
        <v>46050</v>
      </c>
      <c r="AA5" s="4">
        <v>46062</v>
      </c>
      <c r="AB5" s="3" t="s">
        <v>293</v>
      </c>
      <c r="AC5" s="7">
        <f>IF(AB5="Closed",AA5-C5,TODAY()-C5)</f>
        <v>0</v>
      </c>
      <c r="AD5" s="3" t="s">
        <v>57</v>
      </c>
    </row>
    <row r="6" spans="1:32">
      <c r="A6" s="3">
        <v>3</v>
      </c>
      <c r="B6" s="3" t="s">
        <v>1484</v>
      </c>
      <c r="C6" s="4">
        <v>46041</v>
      </c>
      <c r="D6" s="3" t="s">
        <v>3</v>
      </c>
      <c r="E6" s="5" t="s">
        <v>1485</v>
      </c>
      <c r="F6" s="5" t="s">
        <v>1470</v>
      </c>
      <c r="G6" s="3" t="s">
        <v>1471</v>
      </c>
      <c r="H6" s="3" t="s">
        <v>50</v>
      </c>
      <c r="I6" s="3" t="s">
        <v>87</v>
      </c>
      <c r="J6" s="3" t="s">
        <v>1486</v>
      </c>
      <c r="K6" s="3" t="s">
        <v>47</v>
      </c>
      <c r="L6" s="3" t="s">
        <v>80</v>
      </c>
      <c r="M6" s="3" t="s">
        <v>1487</v>
      </c>
      <c r="N6" s="3" t="s">
        <v>1488</v>
      </c>
      <c r="O6" s="3" t="s">
        <v>78</v>
      </c>
      <c r="P6" s="3" t="s">
        <v>1489</v>
      </c>
      <c r="Q6" s="3" t="s">
        <v>1483</v>
      </c>
      <c r="R6" s="3" t="s">
        <v>38</v>
      </c>
      <c r="S6" s="3" t="s">
        <v>1481</v>
      </c>
      <c r="T6" s="3" t="s">
        <v>1310</v>
      </c>
      <c r="U6" s="3" t="s">
        <v>154</v>
      </c>
      <c r="V6" s="3">
        <v>6</v>
      </c>
      <c r="W6" s="3" t="s">
        <v>12</v>
      </c>
      <c r="X6" s="3" t="s">
        <v>91</v>
      </c>
      <c r="Y6" s="3" t="s">
        <v>93</v>
      </c>
      <c r="Z6" s="4">
        <v>46079</v>
      </c>
      <c r="AA6" s="4">
        <v>46082</v>
      </c>
      <c r="AB6" s="3" t="s">
        <v>293</v>
      </c>
      <c r="AC6" s="7">
        <f>IF(AB6="Closed",AA6-C6,TODAY()-C6)</f>
        <v>0</v>
      </c>
      <c r="AD6" s="3" t="s">
        <v>64</v>
      </c>
    </row>
    <row r="7" spans="1:32">
      <c r="A7" s="3">
        <v>4</v>
      </c>
      <c r="B7" s="3" t="s">
        <v>1490</v>
      </c>
      <c r="C7" s="4">
        <v>46059</v>
      </c>
      <c r="D7" s="3" t="s">
        <v>19</v>
      </c>
      <c r="E7" s="5" t="s">
        <v>1479</v>
      </c>
      <c r="F7" s="5" t="s">
        <v>1470</v>
      </c>
      <c r="G7" s="3" t="s">
        <v>1471</v>
      </c>
      <c r="H7" s="3" t="s">
        <v>58</v>
      </c>
      <c r="I7" s="3" t="s">
        <v>21</v>
      </c>
      <c r="J7" s="3" t="s">
        <v>1480</v>
      </c>
      <c r="K7" s="3" t="s">
        <v>47</v>
      </c>
      <c r="L7" s="3" t="s">
        <v>87</v>
      </c>
      <c r="M7" s="3" t="s">
        <v>1474</v>
      </c>
      <c r="N7" s="3" t="s">
        <v>1488</v>
      </c>
      <c r="O7" s="3" t="s">
        <v>7</v>
      </c>
      <c r="P7" s="3" t="s">
        <v>1476</v>
      </c>
      <c r="Q7" s="3" t="s">
        <v>1477</v>
      </c>
      <c r="R7" s="3" t="s">
        <v>38</v>
      </c>
      <c r="S7" s="3" t="s">
        <v>1481</v>
      </c>
      <c r="T7" s="3" t="s">
        <v>296</v>
      </c>
      <c r="U7" s="3" t="s">
        <v>142</v>
      </c>
      <c r="V7" s="3">
        <v>27</v>
      </c>
      <c r="W7" s="3" t="s">
        <v>49</v>
      </c>
      <c r="X7" s="3" t="s">
        <v>64</v>
      </c>
      <c r="Y7" s="3" t="s">
        <v>41</v>
      </c>
      <c r="Z7" s="4">
        <v>46066</v>
      </c>
      <c r="AA7" s="4">
        <v>46073</v>
      </c>
      <c r="AB7" s="3" t="s">
        <v>297</v>
      </c>
      <c r="AC7" s="7">
        <f>IF(AB7="Closed",AA7-C7,TODAY()-C7)</f>
        <v>0</v>
      </c>
      <c r="AD7" s="3" t="s">
        <v>49</v>
      </c>
    </row>
    <row r="8" spans="1:32">
      <c r="A8" s="3">
        <v>5</v>
      </c>
      <c r="B8" s="3" t="s">
        <v>1491</v>
      </c>
      <c r="C8" s="4">
        <v>46072</v>
      </c>
      <c r="D8" s="3" t="s">
        <v>19</v>
      </c>
      <c r="E8" s="5" t="s">
        <v>1485</v>
      </c>
      <c r="F8" s="5" t="s">
        <v>1470</v>
      </c>
      <c r="G8" s="3" t="s">
        <v>1471</v>
      </c>
      <c r="H8" s="3" t="s">
        <v>89</v>
      </c>
      <c r="I8" s="3" t="s">
        <v>51</v>
      </c>
      <c r="J8" s="3" t="s">
        <v>1492</v>
      </c>
      <c r="K8" s="3" t="s">
        <v>1473</v>
      </c>
      <c r="L8" s="3" t="s">
        <v>95</v>
      </c>
      <c r="M8" s="3" t="s">
        <v>1493</v>
      </c>
      <c r="N8" s="3" t="s">
        <v>1475</v>
      </c>
      <c r="O8" s="3" t="s">
        <v>41</v>
      </c>
      <c r="P8" s="3" t="s">
        <v>58</v>
      </c>
      <c r="Q8" s="3" t="s">
        <v>1494</v>
      </c>
      <c r="R8" s="3" t="s">
        <v>4</v>
      </c>
      <c r="S8" s="3" t="s">
        <v>1330</v>
      </c>
      <c r="T8" s="3" t="s">
        <v>296</v>
      </c>
      <c r="U8" s="3" t="s">
        <v>142</v>
      </c>
      <c r="V8" s="3">
        <v>25</v>
      </c>
      <c r="W8" s="3" t="s">
        <v>54</v>
      </c>
      <c r="X8" s="3" t="s">
        <v>61</v>
      </c>
      <c r="Y8" s="3" t="s">
        <v>93</v>
      </c>
      <c r="Z8" s="4">
        <v>46115</v>
      </c>
      <c r="AA8" s="4">
        <v>46111</v>
      </c>
      <c r="AB8" s="3" t="s">
        <v>254</v>
      </c>
      <c r="AC8" s="7">
        <f>IF(AB8="Closed",AA8-C8,TODAY()-C8)</f>
        <v>0</v>
      </c>
      <c r="AD8" s="3" t="s">
        <v>4</v>
      </c>
    </row>
    <row r="9" spans="1:32">
      <c r="A9" s="3">
        <v>6</v>
      </c>
      <c r="B9" s="3" t="s">
        <v>1495</v>
      </c>
      <c r="C9" s="4">
        <v>46079</v>
      </c>
      <c r="D9" s="3" t="s">
        <v>19</v>
      </c>
      <c r="E9" s="5" t="s">
        <v>1469</v>
      </c>
      <c r="F9" s="5" t="s">
        <v>1470</v>
      </c>
      <c r="G9" s="3" t="s">
        <v>1471</v>
      </c>
      <c r="H9" s="3" t="s">
        <v>13</v>
      </c>
      <c r="I9" s="3" t="s">
        <v>21</v>
      </c>
      <c r="J9" s="3" t="s">
        <v>1492</v>
      </c>
      <c r="K9" s="3" t="s">
        <v>1473</v>
      </c>
      <c r="L9" s="3" t="s">
        <v>95</v>
      </c>
      <c r="M9" s="3" t="s">
        <v>1496</v>
      </c>
      <c r="N9" s="3" t="s">
        <v>1488</v>
      </c>
      <c r="O9" s="3" t="s">
        <v>36</v>
      </c>
      <c r="P9" s="3" t="s">
        <v>1482</v>
      </c>
      <c r="Q9" s="3" t="s">
        <v>1494</v>
      </c>
      <c r="R9" s="3" t="s">
        <v>16</v>
      </c>
      <c r="S9" s="3" t="s">
        <v>1330</v>
      </c>
      <c r="T9" s="3" t="s">
        <v>300</v>
      </c>
      <c r="U9" s="3" t="s">
        <v>142</v>
      </c>
      <c r="V9" s="3">
        <v>5</v>
      </c>
      <c r="W9" s="3" t="s">
        <v>12</v>
      </c>
      <c r="X9" s="3" t="s">
        <v>16</v>
      </c>
      <c r="Y9" s="3" t="s">
        <v>104</v>
      </c>
      <c r="Z9" s="4">
        <v>46105</v>
      </c>
      <c r="AA9" s="4">
        <v>46099</v>
      </c>
      <c r="AB9" s="3" t="s">
        <v>293</v>
      </c>
      <c r="AC9" s="7">
        <f>IF(AB9="Closed",AA9-C9,TODAY()-C9)</f>
        <v>0</v>
      </c>
      <c r="AD9" s="3" t="s">
        <v>45</v>
      </c>
    </row>
    <row r="10" spans="1:32">
      <c r="A10" s="3">
        <v>7</v>
      </c>
      <c r="B10" s="3" t="s">
        <v>1497</v>
      </c>
      <c r="C10" s="4">
        <v>46059</v>
      </c>
      <c r="D10" s="3" t="s">
        <v>19</v>
      </c>
      <c r="E10" s="5" t="s">
        <v>1479</v>
      </c>
      <c r="F10" s="5" t="s">
        <v>1470</v>
      </c>
      <c r="G10" s="3" t="s">
        <v>1471</v>
      </c>
      <c r="H10" s="3" t="s">
        <v>50</v>
      </c>
      <c r="I10" s="3" t="s">
        <v>77</v>
      </c>
      <c r="J10" s="3" t="s">
        <v>1480</v>
      </c>
      <c r="K10" s="3" t="s">
        <v>1473</v>
      </c>
      <c r="L10" s="3" t="s">
        <v>80</v>
      </c>
      <c r="M10" s="3" t="s">
        <v>1496</v>
      </c>
      <c r="N10" s="3" t="s">
        <v>1475</v>
      </c>
      <c r="O10" s="3" t="s">
        <v>70</v>
      </c>
      <c r="P10" s="3" t="s">
        <v>58</v>
      </c>
      <c r="Q10" s="3" t="s">
        <v>1494</v>
      </c>
      <c r="R10" s="3" t="s">
        <v>64</v>
      </c>
      <c r="S10" s="3" t="s">
        <v>300</v>
      </c>
      <c r="T10" s="3" t="s">
        <v>1315</v>
      </c>
      <c r="U10" s="3" t="s">
        <v>159</v>
      </c>
      <c r="V10" s="3">
        <v>3</v>
      </c>
      <c r="W10" s="3" t="s">
        <v>64</v>
      </c>
      <c r="X10" s="3" t="s">
        <v>45</v>
      </c>
      <c r="Y10" s="3" t="s">
        <v>78</v>
      </c>
      <c r="Z10" s="4">
        <v>46083</v>
      </c>
      <c r="AA10" s="4">
        <v>46071</v>
      </c>
      <c r="AB10" s="3" t="s">
        <v>254</v>
      </c>
      <c r="AC10" s="7">
        <f>IF(AB10="Closed",AA10-C10,TODAY()-C10)</f>
        <v>0</v>
      </c>
      <c r="AD10" s="3" t="s">
        <v>61</v>
      </c>
    </row>
    <row r="11" spans="1:32">
      <c r="A11" s="3">
        <v>8</v>
      </c>
      <c r="B11" s="3" t="s">
        <v>1498</v>
      </c>
      <c r="C11" s="4">
        <v>46066</v>
      </c>
      <c r="D11" s="3" t="s">
        <v>19</v>
      </c>
      <c r="E11" s="5" t="s">
        <v>1499</v>
      </c>
      <c r="F11" s="5" t="s">
        <v>1470</v>
      </c>
      <c r="G11" s="3" t="s">
        <v>1471</v>
      </c>
      <c r="H11" s="3" t="s">
        <v>50</v>
      </c>
      <c r="I11" s="3" t="s">
        <v>95</v>
      </c>
      <c r="J11" s="3" t="s">
        <v>1500</v>
      </c>
      <c r="K11" s="3" t="s">
        <v>1501</v>
      </c>
      <c r="L11" s="3" t="s">
        <v>95</v>
      </c>
      <c r="M11" s="3" t="s">
        <v>1493</v>
      </c>
      <c r="N11" s="3" t="s">
        <v>1475</v>
      </c>
      <c r="O11" s="3" t="s">
        <v>22</v>
      </c>
      <c r="P11" s="3" t="s">
        <v>1482</v>
      </c>
      <c r="Q11" s="3" t="s">
        <v>1502</v>
      </c>
      <c r="R11" s="3" t="s">
        <v>64</v>
      </c>
      <c r="S11" s="3" t="s">
        <v>1330</v>
      </c>
      <c r="T11" s="3" t="s">
        <v>1330</v>
      </c>
      <c r="U11" s="3" t="s">
        <v>154</v>
      </c>
      <c r="V11" s="3">
        <v>20</v>
      </c>
      <c r="W11" s="3" t="s">
        <v>91</v>
      </c>
      <c r="X11" s="3" t="s">
        <v>49</v>
      </c>
      <c r="Y11" s="3" t="s">
        <v>93</v>
      </c>
      <c r="Z11" s="4">
        <v>46081</v>
      </c>
      <c r="AA11" s="4">
        <v>46074</v>
      </c>
      <c r="AB11" s="3" t="s">
        <v>293</v>
      </c>
      <c r="AC11" s="7">
        <f>IF(AB11="Closed",AA11-C11,TODAY()-C11)</f>
        <v>0</v>
      </c>
      <c r="AD11" s="3" t="s">
        <v>61</v>
      </c>
    </row>
    <row r="12" spans="1:32">
      <c r="A12" s="3">
        <v>9</v>
      </c>
      <c r="B12" s="3" t="s">
        <v>1503</v>
      </c>
      <c r="C12" s="4">
        <v>46108</v>
      </c>
      <c r="D12" s="3" t="s">
        <v>44</v>
      </c>
      <c r="E12" s="5" t="s">
        <v>1469</v>
      </c>
      <c r="F12" s="5" t="s">
        <v>1470</v>
      </c>
      <c r="G12" s="3" t="s">
        <v>1471</v>
      </c>
      <c r="H12" s="3" t="s">
        <v>13</v>
      </c>
      <c r="I12" s="3" t="s">
        <v>21</v>
      </c>
      <c r="J12" s="3" t="s">
        <v>1492</v>
      </c>
      <c r="K12" s="3" t="s">
        <v>1473</v>
      </c>
      <c r="L12" s="3" t="s">
        <v>95</v>
      </c>
      <c r="M12" s="3" t="s">
        <v>1496</v>
      </c>
      <c r="N12" s="3" t="s">
        <v>1475</v>
      </c>
      <c r="O12" s="3" t="s">
        <v>68</v>
      </c>
      <c r="P12" s="3" t="s">
        <v>1482</v>
      </c>
      <c r="Q12" s="3" t="s">
        <v>1504</v>
      </c>
      <c r="R12" s="3" t="s">
        <v>61</v>
      </c>
      <c r="S12" s="3" t="s">
        <v>296</v>
      </c>
      <c r="T12" s="3" t="s">
        <v>1330</v>
      </c>
      <c r="U12" s="3" t="s">
        <v>154</v>
      </c>
      <c r="V12" s="3">
        <v>29</v>
      </c>
      <c r="W12" s="3" t="s">
        <v>12</v>
      </c>
      <c r="X12" s="3" t="s">
        <v>16</v>
      </c>
      <c r="Y12" s="3" t="s">
        <v>70</v>
      </c>
      <c r="Z12" s="4">
        <v>46121</v>
      </c>
      <c r="AA12" s="4">
        <v>46114</v>
      </c>
      <c r="AB12" s="3" t="s">
        <v>293</v>
      </c>
      <c r="AC12" s="7">
        <f>IF(AB12="Closed",AA12-C12,TODAY()-C12)</f>
        <v>0</v>
      </c>
      <c r="AD12" s="3" t="s">
        <v>49</v>
      </c>
    </row>
    <row r="13" spans="1:32">
      <c r="A13" s="3">
        <v>10</v>
      </c>
      <c r="B13" s="3" t="s">
        <v>1505</v>
      </c>
      <c r="C13" s="4">
        <v>46107</v>
      </c>
      <c r="D13" s="3" t="s">
        <v>44</v>
      </c>
      <c r="E13" s="5" t="s">
        <v>1469</v>
      </c>
      <c r="F13" s="5" t="s">
        <v>1470</v>
      </c>
      <c r="G13" s="3" t="s">
        <v>1471</v>
      </c>
      <c r="H13" s="3" t="s">
        <v>39</v>
      </c>
      <c r="I13" s="3" t="s">
        <v>87</v>
      </c>
      <c r="J13" s="3" t="s">
        <v>1486</v>
      </c>
      <c r="K13" s="3" t="s">
        <v>1501</v>
      </c>
      <c r="L13" s="3" t="s">
        <v>80</v>
      </c>
      <c r="M13" s="3" t="s">
        <v>1481</v>
      </c>
      <c r="N13" s="3" t="s">
        <v>1475</v>
      </c>
      <c r="O13" s="3" t="s">
        <v>36</v>
      </c>
      <c r="P13" s="3" t="s">
        <v>58</v>
      </c>
      <c r="Q13" s="3" t="s">
        <v>1494</v>
      </c>
      <c r="R13" s="3" t="s">
        <v>16</v>
      </c>
      <c r="S13" s="3" t="s">
        <v>300</v>
      </c>
      <c r="T13" s="3" t="s">
        <v>296</v>
      </c>
      <c r="U13" s="3" t="s">
        <v>159</v>
      </c>
      <c r="V13" s="3">
        <v>27</v>
      </c>
      <c r="W13" s="3" t="s">
        <v>4</v>
      </c>
      <c r="X13" s="3" t="s">
        <v>54</v>
      </c>
      <c r="Y13" s="3" t="s">
        <v>70</v>
      </c>
      <c r="Z13" s="4">
        <v>46118</v>
      </c>
      <c r="AA13" s="4">
        <v>46136</v>
      </c>
      <c r="AB13" s="3" t="s">
        <v>293</v>
      </c>
      <c r="AC13" s="7">
        <f>IF(AB13="Closed",AA13-C13,TODAY()-C13)</f>
        <v>0</v>
      </c>
      <c r="AD13" s="3" t="s">
        <v>61</v>
      </c>
    </row>
    <row r="14" spans="1:32">
      <c r="A14" s="3">
        <v>11</v>
      </c>
      <c r="B14" s="3" t="s">
        <v>1506</v>
      </c>
      <c r="C14" s="4">
        <v>46085</v>
      </c>
      <c r="D14" s="3" t="s">
        <v>44</v>
      </c>
      <c r="E14" s="5" t="s">
        <v>1479</v>
      </c>
      <c r="F14" s="5" t="s">
        <v>1470</v>
      </c>
      <c r="G14" s="3" t="s">
        <v>1471</v>
      </c>
      <c r="H14" s="3" t="s">
        <v>13</v>
      </c>
      <c r="I14" s="3" t="s">
        <v>77</v>
      </c>
      <c r="J14" s="3" t="s">
        <v>1480</v>
      </c>
      <c r="K14" s="3" t="s">
        <v>47</v>
      </c>
      <c r="L14" s="3" t="s">
        <v>51</v>
      </c>
      <c r="M14" s="3" t="s">
        <v>1474</v>
      </c>
      <c r="N14" s="3" t="s">
        <v>1488</v>
      </c>
      <c r="O14" s="3" t="s">
        <v>104</v>
      </c>
      <c r="P14" s="3" t="s">
        <v>1476</v>
      </c>
      <c r="Q14" s="3" t="s">
        <v>1504</v>
      </c>
      <c r="R14" s="3" t="s">
        <v>16</v>
      </c>
      <c r="S14" s="3" t="s">
        <v>1330</v>
      </c>
      <c r="T14" s="3" t="s">
        <v>1330</v>
      </c>
      <c r="U14" s="3" t="s">
        <v>159</v>
      </c>
      <c r="V14" s="3">
        <v>1</v>
      </c>
      <c r="W14" s="3" t="s">
        <v>16</v>
      </c>
      <c r="X14" s="3" t="s">
        <v>91</v>
      </c>
      <c r="Y14" s="3" t="s">
        <v>15</v>
      </c>
      <c r="Z14" s="4">
        <v>46119</v>
      </c>
      <c r="AA14" s="4">
        <v>46103</v>
      </c>
      <c r="AB14" s="3" t="s">
        <v>293</v>
      </c>
      <c r="AC14" s="7">
        <f>IF(AB14="Closed",AA14-C14,TODAY()-C14)</f>
        <v>0</v>
      </c>
      <c r="AD14" s="3" t="s">
        <v>54</v>
      </c>
    </row>
    <row r="15" spans="1:32">
      <c r="A15" s="3">
        <v>12</v>
      </c>
      <c r="B15" s="3" t="s">
        <v>1507</v>
      </c>
      <c r="C15" s="4">
        <v>46139</v>
      </c>
      <c r="D15" s="3" t="s">
        <v>53</v>
      </c>
      <c r="E15" s="5" t="s">
        <v>1469</v>
      </c>
      <c r="F15" s="5" t="s">
        <v>1508</v>
      </c>
      <c r="G15" s="3" t="s">
        <v>1471</v>
      </c>
      <c r="H15" s="3" t="s">
        <v>13</v>
      </c>
      <c r="I15" s="3" t="s">
        <v>82</v>
      </c>
      <c r="J15" s="3" t="s">
        <v>1480</v>
      </c>
      <c r="K15" s="3" t="s">
        <v>1509</v>
      </c>
      <c r="L15" s="3" t="s">
        <v>95</v>
      </c>
      <c r="M15" s="3" t="s">
        <v>1496</v>
      </c>
      <c r="N15" s="3" t="s">
        <v>1475</v>
      </c>
      <c r="O15" s="3" t="s">
        <v>7</v>
      </c>
      <c r="P15" s="3" t="s">
        <v>58</v>
      </c>
      <c r="Q15" s="3" t="s">
        <v>1494</v>
      </c>
      <c r="R15" s="3" t="s">
        <v>26</v>
      </c>
      <c r="S15" s="3" t="s">
        <v>296</v>
      </c>
      <c r="T15" s="3" t="s">
        <v>300</v>
      </c>
      <c r="U15" s="3" t="s">
        <v>159</v>
      </c>
      <c r="V15" s="3">
        <v>3</v>
      </c>
      <c r="W15" s="3" t="s">
        <v>16</v>
      </c>
      <c r="X15" s="3" t="s">
        <v>12</v>
      </c>
      <c r="Y15" s="3" t="s">
        <v>70</v>
      </c>
      <c r="Z15" s="4">
        <v>46168</v>
      </c>
      <c r="AA15" s="4">
        <v>46153</v>
      </c>
      <c r="AB15" s="3" t="s">
        <v>293</v>
      </c>
      <c r="AC15" s="7">
        <f>IF(AB15="Closed",AA15-C15,TODAY()-C15)</f>
        <v>0</v>
      </c>
      <c r="AD15" s="3" t="s">
        <v>12</v>
      </c>
    </row>
    <row r="16" spans="1:32">
      <c r="A16" s="3">
        <v>13</v>
      </c>
      <c r="B16" s="3" t="s">
        <v>1510</v>
      </c>
      <c r="C16" s="4">
        <v>46137</v>
      </c>
      <c r="D16" s="3" t="s">
        <v>53</v>
      </c>
      <c r="E16" s="5" t="s">
        <v>1469</v>
      </c>
      <c r="F16" s="5" t="s">
        <v>1508</v>
      </c>
      <c r="G16" s="3" t="s">
        <v>1471</v>
      </c>
      <c r="H16" s="3" t="s">
        <v>89</v>
      </c>
      <c r="I16" s="3" t="s">
        <v>35</v>
      </c>
      <c r="J16" s="3" t="s">
        <v>1492</v>
      </c>
      <c r="K16" s="3" t="s">
        <v>1509</v>
      </c>
      <c r="L16" s="3" t="s">
        <v>6</v>
      </c>
      <c r="M16" s="3" t="s">
        <v>1481</v>
      </c>
      <c r="N16" s="3" t="s">
        <v>1511</v>
      </c>
      <c r="O16" s="3" t="s">
        <v>22</v>
      </c>
      <c r="P16" s="3" t="s">
        <v>1476</v>
      </c>
      <c r="Q16" s="3" t="s">
        <v>1477</v>
      </c>
      <c r="R16" s="3" t="s">
        <v>45</v>
      </c>
      <c r="S16" s="3" t="s">
        <v>1330</v>
      </c>
      <c r="T16" s="3" t="s">
        <v>296</v>
      </c>
      <c r="U16" s="3" t="s">
        <v>142</v>
      </c>
      <c r="V16" s="3">
        <v>20</v>
      </c>
      <c r="W16" s="3" t="s">
        <v>26</v>
      </c>
      <c r="X16" s="3" t="s">
        <v>57</v>
      </c>
      <c r="Y16" s="3" t="s">
        <v>93</v>
      </c>
      <c r="Z16" s="4">
        <v>46174</v>
      </c>
      <c r="AA16" s="4">
        <v>46174</v>
      </c>
      <c r="AB16" s="3" t="s">
        <v>297</v>
      </c>
      <c r="AC16" s="7">
        <f>IF(AB16="Closed",AA16-C16,TODAY()-C16)</f>
        <v>0</v>
      </c>
      <c r="AD16" s="3" t="s">
        <v>12</v>
      </c>
    </row>
    <row r="17" spans="1:30">
      <c r="A17" s="3">
        <v>14</v>
      </c>
      <c r="B17" s="3" t="s">
        <v>1512</v>
      </c>
      <c r="C17" s="4">
        <v>46131</v>
      </c>
      <c r="D17" s="3" t="s">
        <v>53</v>
      </c>
      <c r="E17" s="5" t="s">
        <v>1485</v>
      </c>
      <c r="F17" s="5" t="s">
        <v>1508</v>
      </c>
      <c r="G17" s="3" t="s">
        <v>1471</v>
      </c>
      <c r="H17" s="3" t="s">
        <v>65</v>
      </c>
      <c r="I17" s="3" t="s">
        <v>31</v>
      </c>
      <c r="J17" s="3" t="s">
        <v>1472</v>
      </c>
      <c r="K17" s="3" t="s">
        <v>1473</v>
      </c>
      <c r="L17" s="3" t="s">
        <v>51</v>
      </c>
      <c r="M17" s="3" t="s">
        <v>1487</v>
      </c>
      <c r="N17" s="3" t="s">
        <v>1475</v>
      </c>
      <c r="O17" s="3" t="s">
        <v>7</v>
      </c>
      <c r="P17" s="3" t="s">
        <v>1489</v>
      </c>
      <c r="Q17" s="3" t="s">
        <v>1477</v>
      </c>
      <c r="R17" s="3" t="s">
        <v>20</v>
      </c>
      <c r="S17" s="3" t="s">
        <v>300</v>
      </c>
      <c r="T17" s="3" t="s">
        <v>1315</v>
      </c>
      <c r="U17" s="3" t="s">
        <v>154</v>
      </c>
      <c r="V17" s="3">
        <v>18</v>
      </c>
      <c r="W17" s="3" t="s">
        <v>57</v>
      </c>
      <c r="X17" s="3" t="s">
        <v>38</v>
      </c>
      <c r="Y17" s="3" t="s">
        <v>41</v>
      </c>
      <c r="Z17" s="4">
        <v>46140</v>
      </c>
      <c r="AA17" s="4">
        <v>46152</v>
      </c>
      <c r="AB17" s="3" t="s">
        <v>238</v>
      </c>
      <c r="AC17" s="7">
        <f>IF(AB17="Closed",AA17-C17,TODAY()-C17)</f>
        <v>0</v>
      </c>
      <c r="AD17" s="3" t="s">
        <v>49</v>
      </c>
    </row>
    <row r="18" spans="1:30">
      <c r="A18" s="3">
        <v>15</v>
      </c>
      <c r="B18" s="3" t="s">
        <v>1513</v>
      </c>
      <c r="C18" s="4">
        <v>46124</v>
      </c>
      <c r="D18" s="3" t="s">
        <v>53</v>
      </c>
      <c r="E18" s="5" t="s">
        <v>1499</v>
      </c>
      <c r="F18" s="5" t="s">
        <v>1508</v>
      </c>
      <c r="G18" s="3" t="s">
        <v>1471</v>
      </c>
      <c r="H18" s="3" t="s">
        <v>58</v>
      </c>
      <c r="I18" s="3" t="s">
        <v>40</v>
      </c>
      <c r="J18" s="3" t="s">
        <v>1500</v>
      </c>
      <c r="K18" s="3" t="s">
        <v>47</v>
      </c>
      <c r="L18" s="3" t="s">
        <v>82</v>
      </c>
      <c r="M18" s="3" t="s">
        <v>1474</v>
      </c>
      <c r="N18" s="3" t="s">
        <v>1475</v>
      </c>
      <c r="O18" s="3" t="s">
        <v>15</v>
      </c>
      <c r="P18" s="3" t="s">
        <v>1489</v>
      </c>
      <c r="Q18" s="3" t="s">
        <v>1514</v>
      </c>
      <c r="R18" s="3" t="s">
        <v>45</v>
      </c>
      <c r="S18" s="3" t="s">
        <v>1481</v>
      </c>
      <c r="T18" s="3" t="s">
        <v>1312</v>
      </c>
      <c r="U18" s="3" t="s">
        <v>162</v>
      </c>
      <c r="V18" s="3">
        <v>10</v>
      </c>
      <c r="W18" s="3" t="s">
        <v>20</v>
      </c>
      <c r="X18" s="3" t="s">
        <v>64</v>
      </c>
      <c r="Y18" s="3" t="s">
        <v>28</v>
      </c>
      <c r="Z18" s="4">
        <v>46129</v>
      </c>
      <c r="AA18" s="4">
        <v>46139</v>
      </c>
      <c r="AB18" s="3" t="s">
        <v>293</v>
      </c>
      <c r="AC18" s="7">
        <f>IF(AB18="Closed",AA18-C18,TODAY()-C18)</f>
        <v>0</v>
      </c>
      <c r="AD18" s="3" t="s">
        <v>30</v>
      </c>
    </row>
    <row r="19" spans="1:30">
      <c r="A19" s="3">
        <v>16</v>
      </c>
      <c r="B19" s="3" t="s">
        <v>1515</v>
      </c>
      <c r="C19" s="4">
        <v>46152</v>
      </c>
      <c r="D19" s="3" t="s">
        <v>60</v>
      </c>
      <c r="E19" s="5" t="s">
        <v>1499</v>
      </c>
      <c r="F19" s="5" t="s">
        <v>1508</v>
      </c>
      <c r="G19" s="3" t="s">
        <v>1471</v>
      </c>
      <c r="H19" s="3" t="s">
        <v>92</v>
      </c>
      <c r="I19" s="3" t="s">
        <v>51</v>
      </c>
      <c r="J19" s="3" t="s">
        <v>1480</v>
      </c>
      <c r="K19" s="3" t="s">
        <v>1501</v>
      </c>
      <c r="L19" s="3" t="s">
        <v>87</v>
      </c>
      <c r="M19" s="3" t="s">
        <v>1474</v>
      </c>
      <c r="N19" s="3" t="s">
        <v>1516</v>
      </c>
      <c r="O19" s="3" t="s">
        <v>15</v>
      </c>
      <c r="P19" s="3" t="s">
        <v>1476</v>
      </c>
      <c r="Q19" s="3" t="s">
        <v>1494</v>
      </c>
      <c r="R19" s="3" t="s">
        <v>26</v>
      </c>
      <c r="S19" s="3" t="s">
        <v>296</v>
      </c>
      <c r="T19" s="3" t="s">
        <v>1337</v>
      </c>
      <c r="U19" s="3" t="s">
        <v>142</v>
      </c>
      <c r="V19" s="3">
        <v>28</v>
      </c>
      <c r="W19" s="3" t="s">
        <v>57</v>
      </c>
      <c r="X19" s="3" t="s">
        <v>64</v>
      </c>
      <c r="Y19" s="3" t="s">
        <v>62</v>
      </c>
      <c r="Z19" s="4">
        <v>46197</v>
      </c>
      <c r="AA19" s="4">
        <v>46178</v>
      </c>
      <c r="AB19" s="3" t="s">
        <v>293</v>
      </c>
      <c r="AC19" s="7">
        <f>IF(AB19="Closed",AA19-C19,TODAY()-C19)</f>
        <v>0</v>
      </c>
      <c r="AD19" s="3" t="s">
        <v>91</v>
      </c>
    </row>
    <row r="20" spans="1:30">
      <c r="A20" s="3">
        <v>17</v>
      </c>
      <c r="B20" s="3" t="s">
        <v>1517</v>
      </c>
      <c r="C20" s="4">
        <v>46158</v>
      </c>
      <c r="D20" s="3" t="s">
        <v>60</v>
      </c>
      <c r="E20" s="5" t="s">
        <v>1485</v>
      </c>
      <c r="F20" s="5" t="s">
        <v>1508</v>
      </c>
      <c r="G20" s="3" t="s">
        <v>1471</v>
      </c>
      <c r="H20" s="3" t="s">
        <v>27</v>
      </c>
      <c r="I20" s="3" t="s">
        <v>14</v>
      </c>
      <c r="J20" s="3" t="s">
        <v>1480</v>
      </c>
      <c r="K20" s="3" t="s">
        <v>1473</v>
      </c>
      <c r="L20" s="3" t="s">
        <v>21</v>
      </c>
      <c r="M20" s="3" t="s">
        <v>1493</v>
      </c>
      <c r="N20" s="3" t="s">
        <v>1475</v>
      </c>
      <c r="O20" s="3" t="s">
        <v>15</v>
      </c>
      <c r="P20" s="3" t="s">
        <v>1489</v>
      </c>
      <c r="Q20" s="3" t="s">
        <v>1518</v>
      </c>
      <c r="R20" s="3" t="s">
        <v>61</v>
      </c>
      <c r="S20" s="3" t="s">
        <v>1330</v>
      </c>
      <c r="T20" s="3" t="s">
        <v>1330</v>
      </c>
      <c r="U20" s="3" t="s">
        <v>142</v>
      </c>
      <c r="V20" s="3">
        <v>17</v>
      </c>
      <c r="W20" s="3" t="s">
        <v>16</v>
      </c>
      <c r="X20" s="3" t="s">
        <v>64</v>
      </c>
      <c r="Y20" s="3" t="s">
        <v>28</v>
      </c>
      <c r="Z20" s="4">
        <v>46175</v>
      </c>
      <c r="AA20" s="4">
        <v>46176</v>
      </c>
      <c r="AB20" s="3" t="s">
        <v>293</v>
      </c>
      <c r="AC20" s="7">
        <f>IF(AB20="Closed",AA20-C20,TODAY()-C20)</f>
        <v>0</v>
      </c>
      <c r="AD20" s="3" t="s">
        <v>16</v>
      </c>
    </row>
    <row r="21" spans="1:30">
      <c r="A21" s="3">
        <v>18</v>
      </c>
      <c r="B21" s="3" t="s">
        <v>1519</v>
      </c>
      <c r="C21" s="4">
        <v>46155</v>
      </c>
      <c r="D21" s="3" t="s">
        <v>60</v>
      </c>
      <c r="E21" s="5" t="s">
        <v>1499</v>
      </c>
      <c r="F21" s="5" t="s">
        <v>1508</v>
      </c>
      <c r="G21" s="3" t="s">
        <v>1471</v>
      </c>
      <c r="H21" s="3" t="s">
        <v>27</v>
      </c>
      <c r="I21" s="3" t="s">
        <v>82</v>
      </c>
      <c r="J21" s="3" t="s">
        <v>1472</v>
      </c>
      <c r="K21" s="3" t="s">
        <v>47</v>
      </c>
      <c r="L21" s="3" t="s">
        <v>87</v>
      </c>
      <c r="M21" s="3" t="s">
        <v>1481</v>
      </c>
      <c r="N21" s="3" t="s">
        <v>1475</v>
      </c>
      <c r="O21" s="3" t="s">
        <v>104</v>
      </c>
      <c r="P21" s="3" t="s">
        <v>1489</v>
      </c>
      <c r="Q21" s="3" t="s">
        <v>1494</v>
      </c>
      <c r="R21" s="3" t="s">
        <v>16</v>
      </c>
      <c r="S21" s="3" t="s">
        <v>1330</v>
      </c>
      <c r="T21" s="3" t="s">
        <v>1312</v>
      </c>
      <c r="U21" s="3" t="s">
        <v>142</v>
      </c>
      <c r="V21" s="3">
        <v>27</v>
      </c>
      <c r="W21" s="3" t="s">
        <v>12</v>
      </c>
      <c r="X21" s="3" t="s">
        <v>4</v>
      </c>
      <c r="Y21" s="3" t="s">
        <v>66</v>
      </c>
      <c r="Z21" s="4">
        <v>46169</v>
      </c>
      <c r="AA21" s="4">
        <v>46186</v>
      </c>
      <c r="AB21" s="3" t="s">
        <v>293</v>
      </c>
      <c r="AC21" s="7">
        <f>IF(AB21="Closed",AA21-C21,TODAY()-C21)</f>
        <v>0</v>
      </c>
      <c r="AD21" s="3" t="s">
        <v>64</v>
      </c>
    </row>
    <row r="22" spans="1:30">
      <c r="A22" s="3">
        <v>19</v>
      </c>
      <c r="B22" s="3" t="s">
        <v>1520</v>
      </c>
      <c r="C22" s="4">
        <v>46162</v>
      </c>
      <c r="D22" s="3" t="s">
        <v>60</v>
      </c>
      <c r="E22" s="5" t="s">
        <v>1485</v>
      </c>
      <c r="F22" s="5" t="s">
        <v>1508</v>
      </c>
      <c r="G22" s="3" t="s">
        <v>1471</v>
      </c>
      <c r="H22" s="3" t="s">
        <v>13</v>
      </c>
      <c r="I22" s="3" t="s">
        <v>40</v>
      </c>
      <c r="J22" s="3" t="s">
        <v>1521</v>
      </c>
      <c r="K22" s="3" t="s">
        <v>1501</v>
      </c>
      <c r="L22" s="3" t="s">
        <v>14</v>
      </c>
      <c r="M22" s="3" t="s">
        <v>1487</v>
      </c>
      <c r="N22" s="3" t="s">
        <v>1475</v>
      </c>
      <c r="O22" s="3" t="s">
        <v>104</v>
      </c>
      <c r="P22" s="3" t="s">
        <v>1482</v>
      </c>
      <c r="Q22" s="3" t="s">
        <v>1504</v>
      </c>
      <c r="R22" s="3" t="s">
        <v>4</v>
      </c>
      <c r="S22" s="3" t="s">
        <v>296</v>
      </c>
      <c r="T22" s="3" t="s">
        <v>1315</v>
      </c>
      <c r="U22" s="3" t="s">
        <v>159</v>
      </c>
      <c r="V22" s="3">
        <v>10</v>
      </c>
      <c r="W22" s="3" t="s">
        <v>54</v>
      </c>
      <c r="X22" s="3" t="s">
        <v>54</v>
      </c>
      <c r="Y22" s="3" t="s">
        <v>70</v>
      </c>
      <c r="Z22" s="4">
        <v>46177</v>
      </c>
      <c r="AA22" s="4">
        <v>46186</v>
      </c>
      <c r="AB22" s="3" t="s">
        <v>254</v>
      </c>
      <c r="AC22" s="7">
        <f>IF(AB22="Closed",AA22-C22,TODAY()-C22)</f>
        <v>0</v>
      </c>
      <c r="AD22" s="3" t="s">
        <v>20</v>
      </c>
    </row>
    <row r="23" spans="1:30">
      <c r="A23" s="3">
        <v>20</v>
      </c>
      <c r="B23" s="3" t="s">
        <v>1522</v>
      </c>
      <c r="C23" s="4">
        <v>46156</v>
      </c>
      <c r="D23" s="3" t="s">
        <v>60</v>
      </c>
      <c r="E23" s="5" t="s">
        <v>1499</v>
      </c>
      <c r="F23" s="5" t="s">
        <v>1508</v>
      </c>
      <c r="G23" s="3" t="s">
        <v>1471</v>
      </c>
      <c r="H23" s="3" t="s">
        <v>65</v>
      </c>
      <c r="I23" s="3" t="s">
        <v>77</v>
      </c>
      <c r="J23" s="3" t="s">
        <v>1492</v>
      </c>
      <c r="K23" s="3" t="s">
        <v>1509</v>
      </c>
      <c r="L23" s="3" t="s">
        <v>51</v>
      </c>
      <c r="M23" s="3" t="s">
        <v>1493</v>
      </c>
      <c r="N23" s="3" t="s">
        <v>1516</v>
      </c>
      <c r="O23" s="3" t="s">
        <v>68</v>
      </c>
      <c r="P23" s="3" t="s">
        <v>1482</v>
      </c>
      <c r="Q23" s="3" t="s">
        <v>1477</v>
      </c>
      <c r="R23" s="3" t="s">
        <v>54</v>
      </c>
      <c r="S23" s="3" t="s">
        <v>1481</v>
      </c>
      <c r="T23" s="3" t="s">
        <v>1312</v>
      </c>
      <c r="U23" s="3" t="s">
        <v>142</v>
      </c>
      <c r="V23" s="3">
        <v>7</v>
      </c>
      <c r="W23" s="3" t="s">
        <v>49</v>
      </c>
      <c r="X23" s="3" t="s">
        <v>45</v>
      </c>
      <c r="Y23" s="3" t="s">
        <v>70</v>
      </c>
      <c r="Z23" s="4">
        <v>46179</v>
      </c>
      <c r="AA23" s="4">
        <v>46181</v>
      </c>
      <c r="AB23" s="3" t="s">
        <v>293</v>
      </c>
      <c r="AC23" s="7">
        <f>IF(AB23="Closed",AA23-C23,TODAY()-C23)</f>
        <v>0</v>
      </c>
      <c r="AD23" s="3" t="s">
        <v>49</v>
      </c>
    </row>
    <row r="24" spans="1:30">
      <c r="A24" s="3">
        <v>21</v>
      </c>
      <c r="B24" s="3" t="s">
        <v>1523</v>
      </c>
      <c r="C24" s="4">
        <v>46144</v>
      </c>
      <c r="D24" s="3" t="s">
        <v>60</v>
      </c>
      <c r="E24" s="5" t="s">
        <v>1479</v>
      </c>
      <c r="F24" s="5" t="s">
        <v>1508</v>
      </c>
      <c r="G24" s="3" t="s">
        <v>1471</v>
      </c>
      <c r="H24" s="3" t="s">
        <v>5</v>
      </c>
      <c r="I24" s="3" t="s">
        <v>14</v>
      </c>
      <c r="J24" s="3" t="s">
        <v>1492</v>
      </c>
      <c r="K24" s="3" t="s">
        <v>1473</v>
      </c>
      <c r="L24" s="3" t="s">
        <v>77</v>
      </c>
      <c r="M24" s="3" t="s">
        <v>1481</v>
      </c>
      <c r="N24" s="3" t="s">
        <v>1524</v>
      </c>
      <c r="O24" s="3" t="s">
        <v>104</v>
      </c>
      <c r="P24" s="3" t="s">
        <v>1482</v>
      </c>
      <c r="Q24" s="3" t="s">
        <v>1477</v>
      </c>
      <c r="R24" s="3" t="s">
        <v>61</v>
      </c>
      <c r="S24" s="3" t="s">
        <v>1481</v>
      </c>
      <c r="T24" s="3" t="s">
        <v>296</v>
      </c>
      <c r="U24" s="3" t="s">
        <v>142</v>
      </c>
      <c r="V24" s="3">
        <v>27</v>
      </c>
      <c r="W24" s="3" t="s">
        <v>57</v>
      </c>
      <c r="X24" s="3" t="s">
        <v>54</v>
      </c>
      <c r="Y24" s="3" t="s">
        <v>15</v>
      </c>
      <c r="Z24" s="4">
        <v>46160</v>
      </c>
      <c r="AA24" s="4">
        <v>46158</v>
      </c>
      <c r="AB24" s="3" t="s">
        <v>238</v>
      </c>
      <c r="AC24" s="7">
        <f>IF(AB24="Closed",AA24-C24,TODAY()-C24)</f>
        <v>0</v>
      </c>
      <c r="AD24" s="3" t="s">
        <v>61</v>
      </c>
    </row>
    <row r="25" spans="1:30">
      <c r="A25" s="3">
        <v>22</v>
      </c>
      <c r="B25" s="3" t="s">
        <v>1525</v>
      </c>
      <c r="C25" s="4">
        <v>46150</v>
      </c>
      <c r="D25" s="3" t="s">
        <v>60</v>
      </c>
      <c r="E25" s="5" t="s">
        <v>1499</v>
      </c>
      <c r="F25" s="5" t="s">
        <v>1508</v>
      </c>
      <c r="G25" s="3" t="s">
        <v>1471</v>
      </c>
      <c r="H25" s="3" t="s">
        <v>92</v>
      </c>
      <c r="I25" s="3" t="s">
        <v>31</v>
      </c>
      <c r="J25" s="3" t="s">
        <v>1486</v>
      </c>
      <c r="K25" s="3" t="s">
        <v>1501</v>
      </c>
      <c r="L25" s="3" t="s">
        <v>80</v>
      </c>
      <c r="M25" s="3" t="s">
        <v>1487</v>
      </c>
      <c r="N25" s="3" t="s">
        <v>1475</v>
      </c>
      <c r="O25" s="3" t="s">
        <v>7</v>
      </c>
      <c r="P25" s="3" t="s">
        <v>1476</v>
      </c>
      <c r="Q25" s="3" t="s">
        <v>1477</v>
      </c>
      <c r="R25" s="3" t="s">
        <v>20</v>
      </c>
      <c r="S25" s="3" t="s">
        <v>1481</v>
      </c>
      <c r="T25" s="3" t="s">
        <v>1318</v>
      </c>
      <c r="U25" s="3" t="s">
        <v>154</v>
      </c>
      <c r="V25" s="3">
        <v>7</v>
      </c>
      <c r="W25" s="3" t="s">
        <v>20</v>
      </c>
      <c r="X25" s="3" t="s">
        <v>49</v>
      </c>
      <c r="Y25" s="3" t="s">
        <v>36</v>
      </c>
      <c r="Z25" s="4">
        <v>46184</v>
      </c>
      <c r="AA25" s="4">
        <v>46155</v>
      </c>
      <c r="AB25" s="3" t="s">
        <v>293</v>
      </c>
      <c r="AC25" s="7">
        <f>IF(AB25="Closed",AA25-C25,TODAY()-C25)</f>
        <v>0</v>
      </c>
      <c r="AD25" s="3" t="s">
        <v>91</v>
      </c>
    </row>
    <row r="26" spans="1:30">
      <c r="A26" s="3">
        <v>23</v>
      </c>
      <c r="B26" s="3" t="s">
        <v>1526</v>
      </c>
      <c r="C26" s="4">
        <v>46160</v>
      </c>
      <c r="D26" s="3" t="s">
        <v>60</v>
      </c>
      <c r="E26" s="5" t="s">
        <v>1485</v>
      </c>
      <c r="F26" s="5" t="s">
        <v>1508</v>
      </c>
      <c r="G26" s="3" t="s">
        <v>1471</v>
      </c>
      <c r="H26" s="3" t="s">
        <v>65</v>
      </c>
      <c r="I26" s="3" t="s">
        <v>95</v>
      </c>
      <c r="J26" s="3" t="s">
        <v>1472</v>
      </c>
      <c r="K26" s="3" t="s">
        <v>1509</v>
      </c>
      <c r="L26" s="3" t="s">
        <v>40</v>
      </c>
      <c r="M26" s="3" t="s">
        <v>1493</v>
      </c>
      <c r="N26" s="3" t="s">
        <v>1475</v>
      </c>
      <c r="O26" s="3" t="s">
        <v>41</v>
      </c>
      <c r="P26" s="3" t="s">
        <v>1482</v>
      </c>
      <c r="Q26" s="3" t="s">
        <v>1502</v>
      </c>
      <c r="R26" s="3" t="s">
        <v>91</v>
      </c>
      <c r="S26" s="3" t="s">
        <v>1481</v>
      </c>
      <c r="T26" s="3" t="s">
        <v>296</v>
      </c>
      <c r="U26" s="3" t="s">
        <v>154</v>
      </c>
      <c r="V26" s="3">
        <v>11</v>
      </c>
      <c r="W26" s="3" t="s">
        <v>45</v>
      </c>
      <c r="X26" s="3" t="s">
        <v>64</v>
      </c>
      <c r="Y26" s="3" t="s">
        <v>36</v>
      </c>
      <c r="Z26" s="4">
        <v>46199</v>
      </c>
      <c r="AA26" s="4">
        <v>46179</v>
      </c>
      <c r="AB26" s="3" t="s">
        <v>293</v>
      </c>
      <c r="AC26" s="7">
        <f>IF(AB26="Closed",AA26-C26,TODAY()-C26)</f>
        <v>0</v>
      </c>
      <c r="AD26" s="3" t="s">
        <v>54</v>
      </c>
    </row>
    <row r="27" spans="1:30">
      <c r="A27" s="3">
        <v>24</v>
      </c>
      <c r="B27" s="3" t="s">
        <v>1527</v>
      </c>
      <c r="C27" s="4">
        <v>46148</v>
      </c>
      <c r="D27" s="3" t="s">
        <v>60</v>
      </c>
      <c r="E27" s="5" t="s">
        <v>1479</v>
      </c>
      <c r="F27" s="5" t="s">
        <v>1508</v>
      </c>
      <c r="G27" s="3" t="s">
        <v>1471</v>
      </c>
      <c r="H27" s="3" t="s">
        <v>65</v>
      </c>
      <c r="I27" s="3" t="s">
        <v>82</v>
      </c>
      <c r="J27" s="3" t="s">
        <v>1492</v>
      </c>
      <c r="K27" s="3" t="s">
        <v>47</v>
      </c>
      <c r="L27" s="3" t="s">
        <v>51</v>
      </c>
      <c r="M27" s="3" t="s">
        <v>1493</v>
      </c>
      <c r="N27" s="3" t="s">
        <v>1475</v>
      </c>
      <c r="O27" s="3" t="s">
        <v>62</v>
      </c>
      <c r="P27" s="3" t="s">
        <v>1489</v>
      </c>
      <c r="Q27" s="3" t="s">
        <v>1518</v>
      </c>
      <c r="R27" s="3" t="s">
        <v>38</v>
      </c>
      <c r="S27" s="3" t="s">
        <v>1330</v>
      </c>
      <c r="T27" s="3" t="s">
        <v>1330</v>
      </c>
      <c r="U27" s="3" t="s">
        <v>159</v>
      </c>
      <c r="V27" s="3">
        <v>0</v>
      </c>
      <c r="W27" s="3" t="s">
        <v>57</v>
      </c>
      <c r="X27" s="3" t="s">
        <v>61</v>
      </c>
      <c r="Y27" s="3" t="s">
        <v>41</v>
      </c>
      <c r="Z27" s="4">
        <v>46159</v>
      </c>
      <c r="AA27" s="4">
        <v>46161</v>
      </c>
      <c r="AB27" s="3" t="s">
        <v>238</v>
      </c>
      <c r="AC27" s="7">
        <f>IF(AB27="Closed",AA27-C27,TODAY()-C27)</f>
        <v>0</v>
      </c>
      <c r="AD27" s="3" t="s">
        <v>45</v>
      </c>
    </row>
    <row r="28" spans="1:30">
      <c r="A28" s="3">
        <v>25</v>
      </c>
      <c r="B28" s="3" t="s">
        <v>1528</v>
      </c>
      <c r="C28" s="4">
        <v>46164</v>
      </c>
      <c r="D28" s="3" t="s">
        <v>60</v>
      </c>
      <c r="E28" s="5" t="s">
        <v>1469</v>
      </c>
      <c r="F28" s="5" t="s">
        <v>1508</v>
      </c>
      <c r="G28" s="3" t="s">
        <v>1471</v>
      </c>
      <c r="H28" s="3" t="s">
        <v>89</v>
      </c>
      <c r="I28" s="3" t="s">
        <v>35</v>
      </c>
      <c r="J28" s="3" t="s">
        <v>1492</v>
      </c>
      <c r="K28" s="3" t="s">
        <v>47</v>
      </c>
      <c r="L28" s="3" t="s">
        <v>31</v>
      </c>
      <c r="M28" s="3" t="s">
        <v>1487</v>
      </c>
      <c r="N28" s="3" t="s">
        <v>1475</v>
      </c>
      <c r="O28" s="3" t="s">
        <v>66</v>
      </c>
      <c r="P28" s="3" t="s">
        <v>1482</v>
      </c>
      <c r="Q28" s="3" t="s">
        <v>1504</v>
      </c>
      <c r="R28" s="3" t="s">
        <v>45</v>
      </c>
      <c r="S28" s="3" t="s">
        <v>1330</v>
      </c>
      <c r="T28" s="3" t="s">
        <v>1315</v>
      </c>
      <c r="U28" s="3" t="s">
        <v>142</v>
      </c>
      <c r="V28" s="3">
        <v>25</v>
      </c>
      <c r="W28" s="3" t="s">
        <v>49</v>
      </c>
      <c r="X28" s="3" t="s">
        <v>91</v>
      </c>
      <c r="Y28" s="3" t="s">
        <v>78</v>
      </c>
      <c r="Z28" s="4">
        <v>46197</v>
      </c>
      <c r="AA28" s="4">
        <v>46171</v>
      </c>
      <c r="AB28" s="3" t="s">
        <v>238</v>
      </c>
      <c r="AC28" s="7">
        <f>IF(AB28="Closed",AA28-C28,TODAY()-C28)</f>
        <v>0</v>
      </c>
      <c r="AD28" s="3" t="s">
        <v>30</v>
      </c>
    </row>
    <row r="29" spans="1:30">
      <c r="A29" s="3">
        <v>26</v>
      </c>
      <c r="B29" s="3" t="s">
        <v>1529</v>
      </c>
      <c r="C29" s="4">
        <v>46162</v>
      </c>
      <c r="D29" s="3" t="s">
        <v>60</v>
      </c>
      <c r="E29" s="5" t="s">
        <v>1485</v>
      </c>
      <c r="F29" s="5" t="s">
        <v>1508</v>
      </c>
      <c r="G29" s="3" t="s">
        <v>1471</v>
      </c>
      <c r="H29" s="3" t="s">
        <v>5</v>
      </c>
      <c r="I29" s="3" t="s">
        <v>21</v>
      </c>
      <c r="J29" s="3" t="s">
        <v>1492</v>
      </c>
      <c r="K29" s="3" t="s">
        <v>47</v>
      </c>
      <c r="L29" s="3" t="s">
        <v>40</v>
      </c>
      <c r="M29" s="3" t="s">
        <v>1493</v>
      </c>
      <c r="N29" s="3" t="s">
        <v>1511</v>
      </c>
      <c r="O29" s="3" t="s">
        <v>70</v>
      </c>
      <c r="P29" s="3" t="s">
        <v>1476</v>
      </c>
      <c r="Q29" s="3" t="s">
        <v>1518</v>
      </c>
      <c r="R29" s="3" t="s">
        <v>64</v>
      </c>
      <c r="S29" s="3" t="s">
        <v>300</v>
      </c>
      <c r="T29" s="3" t="s">
        <v>1337</v>
      </c>
      <c r="U29" s="3" t="s">
        <v>154</v>
      </c>
      <c r="V29" s="3">
        <v>17</v>
      </c>
      <c r="W29" s="3" t="s">
        <v>64</v>
      </c>
      <c r="X29" s="3" t="s">
        <v>26</v>
      </c>
      <c r="Y29" s="3" t="s">
        <v>15</v>
      </c>
      <c r="Z29" s="4">
        <v>46167</v>
      </c>
      <c r="AA29" s="4">
        <v>46206</v>
      </c>
      <c r="AB29" s="3" t="s">
        <v>254</v>
      </c>
      <c r="AC29" s="7">
        <f>IF(AB29="Closed",AA29-C29,TODAY()-C29)</f>
        <v>0</v>
      </c>
      <c r="AD29" s="3" t="s">
        <v>61</v>
      </c>
    </row>
    <row r="30" spans="1:30">
      <c r="A30" s="3">
        <v>27</v>
      </c>
      <c r="B30" s="3" t="s">
        <v>1530</v>
      </c>
      <c r="C30" s="4">
        <v>46190</v>
      </c>
      <c r="D30" s="3" t="s">
        <v>73</v>
      </c>
      <c r="E30" s="5" t="s">
        <v>1485</v>
      </c>
      <c r="F30" s="5" t="s">
        <v>1508</v>
      </c>
      <c r="G30" s="3" t="s">
        <v>1471</v>
      </c>
      <c r="H30" s="3" t="s">
        <v>46</v>
      </c>
      <c r="I30" s="3" t="s">
        <v>51</v>
      </c>
      <c r="J30" s="3" t="s">
        <v>1492</v>
      </c>
      <c r="K30" s="3" t="s">
        <v>1473</v>
      </c>
      <c r="L30" s="3" t="s">
        <v>35</v>
      </c>
      <c r="M30" s="3" t="s">
        <v>1496</v>
      </c>
      <c r="N30" s="3" t="s">
        <v>1475</v>
      </c>
      <c r="O30" s="3" t="s">
        <v>78</v>
      </c>
      <c r="P30" s="3" t="s">
        <v>58</v>
      </c>
      <c r="Q30" s="3" t="s">
        <v>1502</v>
      </c>
      <c r="R30" s="3" t="s">
        <v>45</v>
      </c>
      <c r="S30" s="3" t="s">
        <v>1330</v>
      </c>
      <c r="T30" s="3" t="s">
        <v>1330</v>
      </c>
      <c r="U30" s="3" t="s">
        <v>142</v>
      </c>
      <c r="V30" s="3">
        <v>0</v>
      </c>
      <c r="W30" s="3" t="s">
        <v>16</v>
      </c>
      <c r="X30" s="3" t="s">
        <v>57</v>
      </c>
      <c r="Y30" s="3" t="s">
        <v>93</v>
      </c>
      <c r="Z30" s="4">
        <v>46217</v>
      </c>
      <c r="AA30" s="4">
        <v>46207</v>
      </c>
      <c r="AB30" s="3" t="s">
        <v>293</v>
      </c>
      <c r="AC30" s="7">
        <f>IF(AB30="Closed",AA30-C30,TODAY()-C30)</f>
        <v>0</v>
      </c>
      <c r="AD30" s="3" t="s">
        <v>61</v>
      </c>
    </row>
    <row r="31" spans="1:30">
      <c r="A31" s="3">
        <v>28</v>
      </c>
      <c r="B31" s="3" t="s">
        <v>1531</v>
      </c>
      <c r="C31" s="4">
        <v>46181</v>
      </c>
      <c r="D31" s="3" t="s">
        <v>73</v>
      </c>
      <c r="E31" s="5" t="s">
        <v>1499</v>
      </c>
      <c r="F31" s="5" t="s">
        <v>1508</v>
      </c>
      <c r="G31" s="3" t="s">
        <v>1471</v>
      </c>
      <c r="H31" s="3" t="s">
        <v>46</v>
      </c>
      <c r="I31" s="3" t="s">
        <v>14</v>
      </c>
      <c r="J31" s="3" t="s">
        <v>1492</v>
      </c>
      <c r="K31" s="3" t="s">
        <v>1473</v>
      </c>
      <c r="L31" s="3" t="s">
        <v>14</v>
      </c>
      <c r="M31" s="3" t="s">
        <v>1481</v>
      </c>
      <c r="N31" s="3" t="s">
        <v>1511</v>
      </c>
      <c r="O31" s="3" t="s">
        <v>15</v>
      </c>
      <c r="P31" s="3" t="s">
        <v>1489</v>
      </c>
      <c r="Q31" s="3" t="s">
        <v>1514</v>
      </c>
      <c r="R31" s="3" t="s">
        <v>12</v>
      </c>
      <c r="S31" s="3" t="s">
        <v>1330</v>
      </c>
      <c r="T31" s="3" t="s">
        <v>1318</v>
      </c>
      <c r="U31" s="3" t="s">
        <v>142</v>
      </c>
      <c r="V31" s="3">
        <v>22</v>
      </c>
      <c r="W31" s="3" t="s">
        <v>61</v>
      </c>
      <c r="X31" s="3" t="s">
        <v>64</v>
      </c>
      <c r="Y31" s="3" t="s">
        <v>32</v>
      </c>
      <c r="Z31" s="4">
        <v>46202</v>
      </c>
      <c r="AA31" s="4">
        <v>46196</v>
      </c>
      <c r="AB31" s="3" t="s">
        <v>293</v>
      </c>
      <c r="AC31" s="7">
        <f>IF(AB31="Closed",AA31-C31,TODAY()-C31)</f>
        <v>0</v>
      </c>
      <c r="AD31" s="3" t="s">
        <v>12</v>
      </c>
    </row>
    <row r="32" spans="1:30">
      <c r="A32" s="3">
        <v>29</v>
      </c>
      <c r="B32" s="3" t="s">
        <v>1532</v>
      </c>
      <c r="C32" s="4">
        <v>46187</v>
      </c>
      <c r="D32" s="3" t="s">
        <v>73</v>
      </c>
      <c r="E32" s="5" t="s">
        <v>1499</v>
      </c>
      <c r="F32" s="5" t="s">
        <v>1508</v>
      </c>
      <c r="G32" s="3" t="s">
        <v>1471</v>
      </c>
      <c r="H32" s="3" t="s">
        <v>5</v>
      </c>
      <c r="I32" s="3" t="s">
        <v>31</v>
      </c>
      <c r="J32" s="3" t="s">
        <v>1480</v>
      </c>
      <c r="K32" s="3" t="s">
        <v>1501</v>
      </c>
      <c r="L32" s="3" t="s">
        <v>40</v>
      </c>
      <c r="M32" s="3" t="s">
        <v>1481</v>
      </c>
      <c r="N32" s="3" t="s">
        <v>1511</v>
      </c>
      <c r="O32" s="3" t="s">
        <v>41</v>
      </c>
      <c r="P32" s="3" t="s">
        <v>1482</v>
      </c>
      <c r="Q32" s="3" t="s">
        <v>1477</v>
      </c>
      <c r="R32" s="3" t="s">
        <v>64</v>
      </c>
      <c r="S32" s="3" t="s">
        <v>1330</v>
      </c>
      <c r="T32" s="3" t="s">
        <v>1330</v>
      </c>
      <c r="U32" s="3" t="s">
        <v>154</v>
      </c>
      <c r="V32" s="3">
        <v>15</v>
      </c>
      <c r="W32" s="3" t="s">
        <v>54</v>
      </c>
      <c r="X32" s="3" t="s">
        <v>30</v>
      </c>
      <c r="Y32" s="3" t="s">
        <v>66</v>
      </c>
      <c r="Z32" s="4">
        <v>46224</v>
      </c>
      <c r="AA32" s="4">
        <v>46204</v>
      </c>
      <c r="AB32" s="3" t="s">
        <v>293</v>
      </c>
      <c r="AC32" s="7">
        <f>IF(AB32="Closed",AA32-C32,TODAY()-C32)</f>
        <v>0</v>
      </c>
      <c r="AD32" s="3" t="s">
        <v>49</v>
      </c>
    </row>
    <row r="33" spans="1:30">
      <c r="A33" s="3">
        <v>30</v>
      </c>
      <c r="B33" s="3" t="s">
        <v>1533</v>
      </c>
      <c r="C33" s="4">
        <v>46221</v>
      </c>
      <c r="D33" s="3" t="s">
        <v>76</v>
      </c>
      <c r="E33" s="5" t="s">
        <v>1485</v>
      </c>
      <c r="F33" s="5" t="s">
        <v>1534</v>
      </c>
      <c r="G33" s="3" t="s">
        <v>1471</v>
      </c>
      <c r="H33" s="3" t="s">
        <v>13</v>
      </c>
      <c r="I33" s="3" t="s">
        <v>6</v>
      </c>
      <c r="J33" s="3" t="s">
        <v>1521</v>
      </c>
      <c r="K33" s="3" t="s">
        <v>1509</v>
      </c>
      <c r="L33" s="3" t="s">
        <v>95</v>
      </c>
      <c r="M33" s="3" t="s">
        <v>1496</v>
      </c>
      <c r="N33" s="3" t="s">
        <v>1488</v>
      </c>
      <c r="O33" s="3" t="s">
        <v>68</v>
      </c>
      <c r="P33" s="3" t="s">
        <v>1482</v>
      </c>
      <c r="Q33" s="3" t="s">
        <v>1518</v>
      </c>
      <c r="R33" s="3" t="s">
        <v>20</v>
      </c>
      <c r="S33" s="3" t="s">
        <v>296</v>
      </c>
      <c r="T33" s="3" t="s">
        <v>296</v>
      </c>
      <c r="U33" s="3" t="s">
        <v>142</v>
      </c>
      <c r="V33" s="3">
        <v>29</v>
      </c>
      <c r="W33" s="3" t="s">
        <v>57</v>
      </c>
      <c r="X33" s="3" t="s">
        <v>20</v>
      </c>
      <c r="Y33" s="3" t="s">
        <v>62</v>
      </c>
      <c r="Z33" s="4">
        <v>46254</v>
      </c>
      <c r="AA33" s="4">
        <v>46232</v>
      </c>
      <c r="AB33" s="3" t="s">
        <v>293</v>
      </c>
      <c r="AC33" s="7">
        <f>IF(AB33="Closed",AA33-C33,TODAY()-C33)</f>
        <v>0</v>
      </c>
      <c r="AD33" s="3" t="s">
        <v>64</v>
      </c>
    </row>
    <row r="34" spans="1:30">
      <c r="A34" s="3">
        <v>31</v>
      </c>
      <c r="B34" s="3" t="s">
        <v>1535</v>
      </c>
      <c r="C34" s="4">
        <v>46215</v>
      </c>
      <c r="D34" s="3" t="s">
        <v>76</v>
      </c>
      <c r="E34" s="5" t="s">
        <v>1499</v>
      </c>
      <c r="F34" s="5" t="s">
        <v>1534</v>
      </c>
      <c r="G34" s="3" t="s">
        <v>1471</v>
      </c>
      <c r="H34" s="3" t="s">
        <v>58</v>
      </c>
      <c r="I34" s="3" t="s">
        <v>40</v>
      </c>
      <c r="J34" s="3" t="s">
        <v>1492</v>
      </c>
      <c r="K34" s="3" t="s">
        <v>1509</v>
      </c>
      <c r="L34" s="3" t="s">
        <v>21</v>
      </c>
      <c r="M34" s="3" t="s">
        <v>1496</v>
      </c>
      <c r="N34" s="3" t="s">
        <v>1475</v>
      </c>
      <c r="O34" s="3" t="s">
        <v>93</v>
      </c>
      <c r="P34" s="3" t="s">
        <v>58</v>
      </c>
      <c r="Q34" s="3" t="s">
        <v>1518</v>
      </c>
      <c r="R34" s="3" t="s">
        <v>38</v>
      </c>
      <c r="S34" s="3" t="s">
        <v>1330</v>
      </c>
      <c r="T34" s="3" t="s">
        <v>296</v>
      </c>
      <c r="U34" s="3" t="s">
        <v>154</v>
      </c>
      <c r="V34" s="3">
        <v>19</v>
      </c>
      <c r="W34" s="3" t="s">
        <v>30</v>
      </c>
      <c r="X34" s="3" t="s">
        <v>20</v>
      </c>
      <c r="Y34" s="3" t="s">
        <v>93</v>
      </c>
      <c r="Z34" s="4">
        <v>46241</v>
      </c>
      <c r="AA34" s="4">
        <v>46231</v>
      </c>
      <c r="AB34" s="3" t="s">
        <v>238</v>
      </c>
      <c r="AC34" s="7">
        <f>IF(AB34="Closed",AA34-C34,TODAY()-C34)</f>
        <v>0</v>
      </c>
      <c r="AD34" s="3" t="s">
        <v>4</v>
      </c>
    </row>
    <row r="35" spans="1:30">
      <c r="A35" s="3">
        <v>32</v>
      </c>
      <c r="B35" s="3" t="s">
        <v>1536</v>
      </c>
      <c r="C35" s="4">
        <v>46257</v>
      </c>
      <c r="D35" s="3" t="s">
        <v>86</v>
      </c>
      <c r="E35" s="5" t="s">
        <v>1469</v>
      </c>
      <c r="F35" s="5" t="s">
        <v>1534</v>
      </c>
      <c r="G35" s="3" t="s">
        <v>1471</v>
      </c>
      <c r="H35" s="3" t="s">
        <v>27</v>
      </c>
      <c r="I35" s="3" t="s">
        <v>14</v>
      </c>
      <c r="J35" s="3" t="s">
        <v>1521</v>
      </c>
      <c r="K35" s="3" t="s">
        <v>47</v>
      </c>
      <c r="L35" s="3" t="s">
        <v>95</v>
      </c>
      <c r="M35" s="3" t="s">
        <v>1493</v>
      </c>
      <c r="N35" s="3" t="s">
        <v>1475</v>
      </c>
      <c r="O35" s="3" t="s">
        <v>32</v>
      </c>
      <c r="P35" s="3" t="s">
        <v>1489</v>
      </c>
      <c r="Q35" s="3" t="s">
        <v>1518</v>
      </c>
      <c r="R35" s="3" t="s">
        <v>26</v>
      </c>
      <c r="S35" s="3" t="s">
        <v>1330</v>
      </c>
      <c r="T35" s="3" t="s">
        <v>1318</v>
      </c>
      <c r="U35" s="3" t="s">
        <v>159</v>
      </c>
      <c r="V35" s="3">
        <v>23</v>
      </c>
      <c r="W35" s="3" t="s">
        <v>49</v>
      </c>
      <c r="X35" s="3" t="s">
        <v>45</v>
      </c>
      <c r="Y35" s="3" t="s">
        <v>70</v>
      </c>
      <c r="Z35" s="4">
        <v>46280</v>
      </c>
      <c r="AA35" s="4">
        <v>46284</v>
      </c>
      <c r="AB35" s="3" t="s">
        <v>254</v>
      </c>
      <c r="AC35" s="7">
        <f>IF(AB35="Closed",AA35-C35,TODAY()-C35)</f>
        <v>0</v>
      </c>
      <c r="AD35" s="3" t="s">
        <v>4</v>
      </c>
    </row>
    <row r="36" spans="1:30">
      <c r="A36" s="3">
        <v>33</v>
      </c>
      <c r="B36" s="3" t="s">
        <v>1537</v>
      </c>
      <c r="C36" s="4">
        <v>46238</v>
      </c>
      <c r="D36" s="3" t="s">
        <v>86</v>
      </c>
      <c r="E36" s="5" t="s">
        <v>1479</v>
      </c>
      <c r="F36" s="5" t="s">
        <v>1534</v>
      </c>
      <c r="G36" s="3" t="s">
        <v>1471</v>
      </c>
      <c r="H36" s="3" t="s">
        <v>89</v>
      </c>
      <c r="I36" s="3" t="s">
        <v>14</v>
      </c>
      <c r="J36" s="3" t="s">
        <v>1486</v>
      </c>
      <c r="K36" s="3" t="s">
        <v>1473</v>
      </c>
      <c r="L36" s="3" t="s">
        <v>35</v>
      </c>
      <c r="M36" s="3" t="s">
        <v>1496</v>
      </c>
      <c r="N36" s="3" t="s">
        <v>1475</v>
      </c>
      <c r="O36" s="3" t="s">
        <v>68</v>
      </c>
      <c r="P36" s="3" t="s">
        <v>1482</v>
      </c>
      <c r="Q36" s="3" t="s">
        <v>1502</v>
      </c>
      <c r="R36" s="3" t="s">
        <v>54</v>
      </c>
      <c r="S36" s="3" t="s">
        <v>296</v>
      </c>
      <c r="T36" s="3" t="s">
        <v>1310</v>
      </c>
      <c r="U36" s="3" t="s">
        <v>142</v>
      </c>
      <c r="V36" s="3">
        <v>7</v>
      </c>
      <c r="W36" s="3" t="s">
        <v>61</v>
      </c>
      <c r="X36" s="3" t="s">
        <v>61</v>
      </c>
      <c r="Y36" s="3" t="s">
        <v>41</v>
      </c>
      <c r="Z36" s="4">
        <v>46243</v>
      </c>
      <c r="AA36" s="4">
        <v>46275</v>
      </c>
      <c r="AB36" s="3" t="s">
        <v>293</v>
      </c>
      <c r="AC36" s="7">
        <f>IF(AB36="Closed",AA36-C36,TODAY()-C36)</f>
        <v>0</v>
      </c>
      <c r="AD36" s="3" t="s">
        <v>91</v>
      </c>
    </row>
    <row r="37" spans="1:30">
      <c r="A37" s="3">
        <v>34</v>
      </c>
      <c r="B37" s="3" t="s">
        <v>1538</v>
      </c>
      <c r="C37" s="4">
        <v>46248</v>
      </c>
      <c r="D37" s="3" t="s">
        <v>86</v>
      </c>
      <c r="E37" s="5" t="s">
        <v>1499</v>
      </c>
      <c r="F37" s="5" t="s">
        <v>1534</v>
      </c>
      <c r="G37" s="3" t="s">
        <v>1471</v>
      </c>
      <c r="H37" s="3" t="s">
        <v>27</v>
      </c>
      <c r="I37" s="3" t="s">
        <v>95</v>
      </c>
      <c r="J37" s="3" t="s">
        <v>1486</v>
      </c>
      <c r="K37" s="3" t="s">
        <v>1509</v>
      </c>
      <c r="L37" s="3" t="s">
        <v>82</v>
      </c>
      <c r="M37" s="3" t="s">
        <v>1474</v>
      </c>
      <c r="N37" s="3" t="s">
        <v>1488</v>
      </c>
      <c r="O37" s="3" t="s">
        <v>93</v>
      </c>
      <c r="P37" s="3" t="s">
        <v>1489</v>
      </c>
      <c r="Q37" s="3" t="s">
        <v>1514</v>
      </c>
      <c r="R37" s="3" t="s">
        <v>91</v>
      </c>
      <c r="S37" s="3" t="s">
        <v>296</v>
      </c>
      <c r="T37" s="3" t="s">
        <v>1312</v>
      </c>
      <c r="U37" s="3" t="s">
        <v>154</v>
      </c>
      <c r="V37" s="3">
        <v>4</v>
      </c>
      <c r="W37" s="3" t="s">
        <v>38</v>
      </c>
      <c r="X37" s="3" t="s">
        <v>45</v>
      </c>
      <c r="Y37" s="3" t="s">
        <v>78</v>
      </c>
      <c r="Z37" s="4">
        <v>46277</v>
      </c>
      <c r="AA37" s="4">
        <v>46269</v>
      </c>
      <c r="AB37" s="3" t="s">
        <v>293</v>
      </c>
      <c r="AC37" s="7">
        <f>IF(AB37="Closed",AA37-C37,TODAY()-C37)</f>
        <v>0</v>
      </c>
      <c r="AD37" s="3" t="s">
        <v>61</v>
      </c>
    </row>
    <row r="38" spans="1:30">
      <c r="A38" s="3">
        <v>35</v>
      </c>
      <c r="B38" s="3" t="s">
        <v>1539</v>
      </c>
      <c r="C38" s="4">
        <v>46253</v>
      </c>
      <c r="D38" s="3" t="s">
        <v>86</v>
      </c>
      <c r="E38" s="5" t="s">
        <v>1485</v>
      </c>
      <c r="F38" s="5" t="s">
        <v>1534</v>
      </c>
      <c r="G38" s="3" t="s">
        <v>1471</v>
      </c>
      <c r="H38" s="3" t="s">
        <v>92</v>
      </c>
      <c r="I38" s="3" t="s">
        <v>6</v>
      </c>
      <c r="J38" s="3" t="s">
        <v>1480</v>
      </c>
      <c r="K38" s="3" t="s">
        <v>1509</v>
      </c>
      <c r="L38" s="3" t="s">
        <v>80</v>
      </c>
      <c r="M38" s="3" t="s">
        <v>1496</v>
      </c>
      <c r="N38" s="3" t="s">
        <v>1475</v>
      </c>
      <c r="O38" s="3" t="s">
        <v>7</v>
      </c>
      <c r="P38" s="3" t="s">
        <v>1482</v>
      </c>
      <c r="Q38" s="3" t="s">
        <v>1483</v>
      </c>
      <c r="R38" s="3" t="s">
        <v>20</v>
      </c>
      <c r="S38" s="3" t="s">
        <v>1330</v>
      </c>
      <c r="T38" s="3" t="s">
        <v>1315</v>
      </c>
      <c r="U38" s="3" t="s">
        <v>142</v>
      </c>
      <c r="V38" s="3">
        <v>5</v>
      </c>
      <c r="W38" s="3" t="s">
        <v>26</v>
      </c>
      <c r="X38" s="3" t="s">
        <v>38</v>
      </c>
      <c r="Y38" s="3" t="s">
        <v>93</v>
      </c>
      <c r="Z38" s="4">
        <v>46265</v>
      </c>
      <c r="AA38" s="4">
        <v>46264</v>
      </c>
      <c r="AB38" s="3" t="s">
        <v>293</v>
      </c>
      <c r="AC38" s="7">
        <f>IF(AB38="Closed",AA38-C38,TODAY()-C38)</f>
        <v>0</v>
      </c>
      <c r="AD38" s="3" t="s">
        <v>20</v>
      </c>
    </row>
    <row r="39" spans="1:30">
      <c r="A39" s="3">
        <v>36</v>
      </c>
      <c r="B39" s="3" t="s">
        <v>1540</v>
      </c>
      <c r="C39" s="4">
        <v>46273</v>
      </c>
      <c r="D39" s="3" t="s">
        <v>102</v>
      </c>
      <c r="E39" s="5" t="s">
        <v>1499</v>
      </c>
      <c r="F39" s="5" t="s">
        <v>1534</v>
      </c>
      <c r="G39" s="3" t="s">
        <v>1471</v>
      </c>
      <c r="H39" s="3" t="s">
        <v>50</v>
      </c>
      <c r="I39" s="3" t="s">
        <v>14</v>
      </c>
      <c r="J39" s="3" t="s">
        <v>1500</v>
      </c>
      <c r="K39" s="3" t="s">
        <v>47</v>
      </c>
      <c r="L39" s="3" t="s">
        <v>80</v>
      </c>
      <c r="M39" s="3" t="s">
        <v>1487</v>
      </c>
      <c r="N39" s="3" t="s">
        <v>1516</v>
      </c>
      <c r="O39" s="3" t="s">
        <v>32</v>
      </c>
      <c r="P39" s="3" t="s">
        <v>1482</v>
      </c>
      <c r="Q39" s="3" t="s">
        <v>1477</v>
      </c>
      <c r="R39" s="3" t="s">
        <v>30</v>
      </c>
      <c r="S39" s="3" t="s">
        <v>1330</v>
      </c>
      <c r="T39" s="3" t="s">
        <v>1315</v>
      </c>
      <c r="U39" s="3" t="s">
        <v>154</v>
      </c>
      <c r="V39" s="3">
        <v>3</v>
      </c>
      <c r="W39" s="3" t="s">
        <v>4</v>
      </c>
      <c r="X39" s="3" t="s">
        <v>30</v>
      </c>
      <c r="Y39" s="3" t="s">
        <v>22</v>
      </c>
      <c r="Z39" s="4">
        <v>46308</v>
      </c>
      <c r="AA39" s="4">
        <v>46311</v>
      </c>
      <c r="AB39" s="3" t="s">
        <v>254</v>
      </c>
      <c r="AC39" s="7">
        <f>IF(AB39="Closed",AA39-C39,TODAY()-C39)</f>
        <v>0</v>
      </c>
      <c r="AD39" s="3" t="s">
        <v>54</v>
      </c>
    </row>
    <row r="40" spans="1:30">
      <c r="A40" s="3">
        <v>37</v>
      </c>
      <c r="B40" s="3" t="s">
        <v>1541</v>
      </c>
      <c r="C40" s="4">
        <v>46290</v>
      </c>
      <c r="D40" s="3" t="s">
        <v>102</v>
      </c>
      <c r="E40" s="5" t="s">
        <v>1469</v>
      </c>
      <c r="F40" s="5" t="s">
        <v>1534</v>
      </c>
      <c r="G40" s="3" t="s">
        <v>1471</v>
      </c>
      <c r="H40" s="3" t="s">
        <v>92</v>
      </c>
      <c r="I40" s="3" t="s">
        <v>40</v>
      </c>
      <c r="J40" s="3" t="s">
        <v>1500</v>
      </c>
      <c r="K40" s="3" t="s">
        <v>1473</v>
      </c>
      <c r="L40" s="3" t="s">
        <v>21</v>
      </c>
      <c r="M40" s="3" t="s">
        <v>1487</v>
      </c>
      <c r="N40" s="3" t="s">
        <v>1511</v>
      </c>
      <c r="O40" s="3" t="s">
        <v>93</v>
      </c>
      <c r="P40" s="3" t="s">
        <v>1476</v>
      </c>
      <c r="Q40" s="3" t="s">
        <v>1542</v>
      </c>
      <c r="R40" s="3" t="s">
        <v>4</v>
      </c>
      <c r="S40" s="3" t="s">
        <v>1481</v>
      </c>
      <c r="T40" s="3" t="s">
        <v>1315</v>
      </c>
      <c r="U40" s="3" t="s">
        <v>154</v>
      </c>
      <c r="V40" s="3">
        <v>16</v>
      </c>
      <c r="W40" s="3" t="s">
        <v>12</v>
      </c>
      <c r="X40" s="3" t="s">
        <v>26</v>
      </c>
      <c r="Y40" s="3" t="s">
        <v>70</v>
      </c>
      <c r="Z40" s="4">
        <v>46326</v>
      </c>
      <c r="AA40" s="4">
        <v>46300</v>
      </c>
      <c r="AB40" s="3" t="s">
        <v>254</v>
      </c>
      <c r="AC40" s="7">
        <f>IF(AB40="Closed",AA40-C40,TODAY()-C40)</f>
        <v>0</v>
      </c>
      <c r="AD40" s="3" t="s">
        <v>49</v>
      </c>
    </row>
    <row r="41" spans="1:30">
      <c r="A41" s="3">
        <v>38</v>
      </c>
      <c r="B41" s="3" t="s">
        <v>1543</v>
      </c>
      <c r="C41" s="4">
        <v>46293</v>
      </c>
      <c r="D41" s="3" t="s">
        <v>102</v>
      </c>
      <c r="E41" s="5" t="s">
        <v>1469</v>
      </c>
      <c r="F41" s="5" t="s">
        <v>1534</v>
      </c>
      <c r="G41" s="3" t="s">
        <v>1471</v>
      </c>
      <c r="H41" s="3" t="s">
        <v>58</v>
      </c>
      <c r="I41" s="3" t="s">
        <v>80</v>
      </c>
      <c r="J41" s="3" t="s">
        <v>1492</v>
      </c>
      <c r="K41" s="3" t="s">
        <v>1501</v>
      </c>
      <c r="L41" s="3" t="s">
        <v>95</v>
      </c>
      <c r="M41" s="3" t="s">
        <v>1493</v>
      </c>
      <c r="N41" s="3" t="s">
        <v>1475</v>
      </c>
      <c r="O41" s="3" t="s">
        <v>36</v>
      </c>
      <c r="P41" s="3" t="s">
        <v>1482</v>
      </c>
      <c r="Q41" s="3" t="s">
        <v>1514</v>
      </c>
      <c r="R41" s="3" t="s">
        <v>30</v>
      </c>
      <c r="S41" s="3" t="s">
        <v>300</v>
      </c>
      <c r="T41" s="3" t="s">
        <v>1315</v>
      </c>
      <c r="U41" s="3" t="s">
        <v>159</v>
      </c>
      <c r="V41" s="3">
        <v>18</v>
      </c>
      <c r="W41" s="3" t="s">
        <v>16</v>
      </c>
      <c r="X41" s="3" t="s">
        <v>38</v>
      </c>
      <c r="Y41" s="3" t="s">
        <v>104</v>
      </c>
      <c r="Z41" s="4">
        <v>46335</v>
      </c>
      <c r="AA41" s="4">
        <v>46334</v>
      </c>
      <c r="AB41" s="3" t="s">
        <v>254</v>
      </c>
      <c r="AC41" s="7">
        <f>IF(AB41="Closed",AA41-C41,TODAY()-C41)</f>
        <v>0</v>
      </c>
      <c r="AD41" s="3" t="s">
        <v>49</v>
      </c>
    </row>
    <row r="42" spans="1:30">
      <c r="A42" s="3">
        <v>39</v>
      </c>
      <c r="B42" s="3" t="s">
        <v>1544</v>
      </c>
      <c r="C42" s="4">
        <v>46274</v>
      </c>
      <c r="D42" s="3" t="s">
        <v>102</v>
      </c>
      <c r="E42" s="5" t="s">
        <v>1499</v>
      </c>
      <c r="F42" s="5" t="s">
        <v>1534</v>
      </c>
      <c r="G42" s="3" t="s">
        <v>1471</v>
      </c>
      <c r="H42" s="3" t="s">
        <v>92</v>
      </c>
      <c r="I42" s="3" t="s">
        <v>35</v>
      </c>
      <c r="J42" s="3" t="s">
        <v>1500</v>
      </c>
      <c r="K42" s="3" t="s">
        <v>1501</v>
      </c>
      <c r="L42" s="3" t="s">
        <v>77</v>
      </c>
      <c r="M42" s="3" t="s">
        <v>1487</v>
      </c>
      <c r="N42" s="3" t="s">
        <v>1475</v>
      </c>
      <c r="O42" s="3" t="s">
        <v>68</v>
      </c>
      <c r="P42" s="3" t="s">
        <v>58</v>
      </c>
      <c r="Q42" s="3" t="s">
        <v>1477</v>
      </c>
      <c r="R42" s="3" t="s">
        <v>4</v>
      </c>
      <c r="S42" s="3" t="s">
        <v>1330</v>
      </c>
      <c r="T42" s="3" t="s">
        <v>1330</v>
      </c>
      <c r="U42" s="3" t="s">
        <v>159</v>
      </c>
      <c r="V42" s="3">
        <v>26</v>
      </c>
      <c r="W42" s="3" t="s">
        <v>30</v>
      </c>
      <c r="X42" s="3" t="s">
        <v>49</v>
      </c>
      <c r="Y42" s="3" t="s">
        <v>28</v>
      </c>
      <c r="Z42" s="4">
        <v>46316</v>
      </c>
      <c r="AA42" s="4">
        <v>46296</v>
      </c>
      <c r="AB42" s="3" t="s">
        <v>293</v>
      </c>
      <c r="AC42" s="7">
        <f>IF(AB42="Closed",AA42-C42,TODAY()-C42)</f>
        <v>0</v>
      </c>
      <c r="AD42" s="3" t="s">
        <v>45</v>
      </c>
    </row>
    <row r="43" spans="1:30">
      <c r="A43" s="3">
        <v>40</v>
      </c>
      <c r="B43" s="3" t="s">
        <v>1545</v>
      </c>
      <c r="C43" s="4">
        <v>46307</v>
      </c>
      <c r="D43" s="3" t="s">
        <v>106</v>
      </c>
      <c r="E43" s="5" t="s">
        <v>1499</v>
      </c>
      <c r="F43" s="5" t="s">
        <v>1546</v>
      </c>
      <c r="G43" s="3" t="s">
        <v>1471</v>
      </c>
      <c r="H43" s="3" t="s">
        <v>46</v>
      </c>
      <c r="I43" s="3" t="s">
        <v>14</v>
      </c>
      <c r="J43" s="3" t="s">
        <v>1492</v>
      </c>
      <c r="K43" s="3" t="s">
        <v>47</v>
      </c>
      <c r="L43" s="3" t="s">
        <v>77</v>
      </c>
      <c r="M43" s="3" t="s">
        <v>1474</v>
      </c>
      <c r="N43" s="3" t="s">
        <v>1475</v>
      </c>
      <c r="O43" s="3" t="s">
        <v>15</v>
      </c>
      <c r="P43" s="3" t="s">
        <v>1476</v>
      </c>
      <c r="Q43" s="3" t="s">
        <v>1502</v>
      </c>
      <c r="R43" s="3" t="s">
        <v>38</v>
      </c>
      <c r="S43" s="3" t="s">
        <v>1481</v>
      </c>
      <c r="T43" s="3" t="s">
        <v>300</v>
      </c>
      <c r="U43" s="3" t="s">
        <v>159</v>
      </c>
      <c r="V43" s="3">
        <v>24</v>
      </c>
      <c r="W43" s="3" t="s">
        <v>61</v>
      </c>
      <c r="X43" s="3" t="s">
        <v>4</v>
      </c>
      <c r="Y43" s="3" t="s">
        <v>68</v>
      </c>
      <c r="Z43" s="4">
        <v>46333</v>
      </c>
      <c r="AA43" s="4">
        <v>46315</v>
      </c>
      <c r="AB43" s="3" t="s">
        <v>293</v>
      </c>
      <c r="AC43" s="7">
        <f>IF(AB43="Closed",AA43-C43,TODAY()-C43)</f>
        <v>0</v>
      </c>
      <c r="AD43" s="3" t="s">
        <v>38</v>
      </c>
    </row>
    <row r="44" spans="1:30">
      <c r="A44" s="3">
        <v>41</v>
      </c>
      <c r="B44" s="3" t="s">
        <v>1547</v>
      </c>
      <c r="C44" s="4">
        <v>46353</v>
      </c>
      <c r="D44" s="3" t="s">
        <v>111</v>
      </c>
      <c r="E44" s="5" t="s">
        <v>1469</v>
      </c>
      <c r="F44" s="5" t="s">
        <v>1546</v>
      </c>
      <c r="G44" s="3" t="s">
        <v>1471</v>
      </c>
      <c r="H44" s="3" t="s">
        <v>46</v>
      </c>
      <c r="I44" s="3" t="s">
        <v>21</v>
      </c>
      <c r="J44" s="3" t="s">
        <v>1480</v>
      </c>
      <c r="K44" s="3" t="s">
        <v>1501</v>
      </c>
      <c r="L44" s="3" t="s">
        <v>80</v>
      </c>
      <c r="M44" s="3" t="s">
        <v>1496</v>
      </c>
      <c r="N44" s="3" t="s">
        <v>1475</v>
      </c>
      <c r="O44" s="3" t="s">
        <v>68</v>
      </c>
      <c r="P44" s="3" t="s">
        <v>1482</v>
      </c>
      <c r="Q44" s="3" t="s">
        <v>1483</v>
      </c>
      <c r="R44" s="3" t="s">
        <v>54</v>
      </c>
      <c r="S44" s="3" t="s">
        <v>1481</v>
      </c>
      <c r="T44" s="3" t="s">
        <v>1315</v>
      </c>
      <c r="U44" s="3" t="s">
        <v>159</v>
      </c>
      <c r="V44" s="3">
        <v>1</v>
      </c>
      <c r="W44" s="3" t="s">
        <v>4</v>
      </c>
      <c r="X44" s="3" t="s">
        <v>49</v>
      </c>
      <c r="Y44" s="3" t="s">
        <v>104</v>
      </c>
      <c r="Z44" s="4">
        <v>46377</v>
      </c>
      <c r="AA44" s="4">
        <v>46380</v>
      </c>
      <c r="AB44" s="3" t="s">
        <v>293</v>
      </c>
      <c r="AC44" s="7">
        <f>IF(AB44="Closed",AA44-C44,TODAY()-C44)</f>
        <v>0</v>
      </c>
      <c r="AD44" s="3" t="s">
        <v>30</v>
      </c>
    </row>
    <row r="45" spans="1:30">
      <c r="A45" s="3">
        <v>42</v>
      </c>
      <c r="B45" s="3" t="s">
        <v>1548</v>
      </c>
      <c r="C45" s="4">
        <v>46333</v>
      </c>
      <c r="D45" s="3" t="s">
        <v>111</v>
      </c>
      <c r="E45" s="5" t="s">
        <v>1479</v>
      </c>
      <c r="F45" s="5" t="s">
        <v>1546</v>
      </c>
      <c r="G45" s="3" t="s">
        <v>1471</v>
      </c>
      <c r="H45" s="3" t="s">
        <v>5</v>
      </c>
      <c r="I45" s="3" t="s">
        <v>80</v>
      </c>
      <c r="J45" s="3" t="s">
        <v>1486</v>
      </c>
      <c r="K45" s="3" t="s">
        <v>47</v>
      </c>
      <c r="L45" s="3" t="s">
        <v>82</v>
      </c>
      <c r="M45" s="3" t="s">
        <v>1481</v>
      </c>
      <c r="N45" s="3" t="s">
        <v>1475</v>
      </c>
      <c r="O45" s="3" t="s">
        <v>41</v>
      </c>
      <c r="P45" s="3" t="s">
        <v>1489</v>
      </c>
      <c r="Q45" s="3" t="s">
        <v>1477</v>
      </c>
      <c r="R45" s="3" t="s">
        <v>16</v>
      </c>
      <c r="S45" s="3" t="s">
        <v>1330</v>
      </c>
      <c r="T45" s="3" t="s">
        <v>1330</v>
      </c>
      <c r="U45" s="3" t="s">
        <v>162</v>
      </c>
      <c r="V45" s="3">
        <v>29</v>
      </c>
      <c r="W45" s="3" t="s">
        <v>20</v>
      </c>
      <c r="X45" s="3" t="s">
        <v>49</v>
      </c>
      <c r="Y45" s="3" t="s">
        <v>104</v>
      </c>
      <c r="Z45" s="4">
        <v>46362</v>
      </c>
      <c r="AA45" s="4">
        <v>46365</v>
      </c>
      <c r="AB45" s="3" t="s">
        <v>293</v>
      </c>
      <c r="AC45" s="7">
        <f>IF(AB45="Closed",AA45-C45,TODAY()-C45)</f>
        <v>0</v>
      </c>
      <c r="AD45" s="3" t="s">
        <v>16</v>
      </c>
    </row>
    <row r="46" spans="1:30">
      <c r="A46" s="3">
        <v>43</v>
      </c>
      <c r="B46" s="3" t="s">
        <v>1549</v>
      </c>
      <c r="C46" s="4">
        <v>46345</v>
      </c>
      <c r="D46" s="3" t="s">
        <v>111</v>
      </c>
      <c r="E46" s="5" t="s">
        <v>1485</v>
      </c>
      <c r="F46" s="5" t="s">
        <v>1546</v>
      </c>
      <c r="G46" s="3" t="s">
        <v>1471</v>
      </c>
      <c r="H46" s="3" t="s">
        <v>50</v>
      </c>
      <c r="I46" s="3" t="s">
        <v>82</v>
      </c>
      <c r="J46" s="3" t="s">
        <v>1486</v>
      </c>
      <c r="K46" s="3" t="s">
        <v>1473</v>
      </c>
      <c r="L46" s="3" t="s">
        <v>77</v>
      </c>
      <c r="M46" s="3" t="s">
        <v>1481</v>
      </c>
      <c r="N46" s="3" t="s">
        <v>1488</v>
      </c>
      <c r="O46" s="3" t="s">
        <v>32</v>
      </c>
      <c r="P46" s="3" t="s">
        <v>58</v>
      </c>
      <c r="Q46" s="3" t="s">
        <v>1514</v>
      </c>
      <c r="R46" s="3" t="s">
        <v>26</v>
      </c>
      <c r="S46" s="3" t="s">
        <v>1481</v>
      </c>
      <c r="T46" s="3" t="s">
        <v>1330</v>
      </c>
      <c r="U46" s="3" t="s">
        <v>159</v>
      </c>
      <c r="V46" s="3">
        <v>22</v>
      </c>
      <c r="W46" s="3" t="s">
        <v>26</v>
      </c>
      <c r="X46" s="3" t="s">
        <v>12</v>
      </c>
      <c r="Y46" s="3" t="s">
        <v>32</v>
      </c>
      <c r="Z46" s="4">
        <v>46373</v>
      </c>
      <c r="AA46" s="4">
        <v>46377</v>
      </c>
      <c r="AB46" s="3" t="s">
        <v>238</v>
      </c>
      <c r="AC46" s="7">
        <f>IF(AB46="Closed",AA46-C46,TODAY()-C46)</f>
        <v>0</v>
      </c>
      <c r="AD46" s="3" t="s">
        <v>16</v>
      </c>
    </row>
    <row r="47" spans="1:30">
      <c r="A47" s="3">
        <v>44</v>
      </c>
      <c r="B47" s="3" t="s">
        <v>1550</v>
      </c>
      <c r="C47" s="4">
        <v>46340</v>
      </c>
      <c r="D47" s="3" t="s">
        <v>111</v>
      </c>
      <c r="E47" s="5" t="s">
        <v>1499</v>
      </c>
      <c r="F47" s="5" t="s">
        <v>1546</v>
      </c>
      <c r="G47" s="3" t="s">
        <v>1471</v>
      </c>
      <c r="H47" s="3" t="s">
        <v>58</v>
      </c>
      <c r="I47" s="3" t="s">
        <v>31</v>
      </c>
      <c r="J47" s="3" t="s">
        <v>1521</v>
      </c>
      <c r="K47" s="3" t="s">
        <v>1509</v>
      </c>
      <c r="L47" s="3" t="s">
        <v>6</v>
      </c>
      <c r="M47" s="3" t="s">
        <v>1493</v>
      </c>
      <c r="N47" s="3" t="s">
        <v>1488</v>
      </c>
      <c r="O47" s="3" t="s">
        <v>68</v>
      </c>
      <c r="P47" s="3" t="s">
        <v>58</v>
      </c>
      <c r="Q47" s="3" t="s">
        <v>1504</v>
      </c>
      <c r="R47" s="3" t="s">
        <v>64</v>
      </c>
      <c r="S47" s="3" t="s">
        <v>300</v>
      </c>
      <c r="T47" s="3" t="s">
        <v>1337</v>
      </c>
      <c r="U47" s="3" t="s">
        <v>162</v>
      </c>
      <c r="V47" s="3">
        <v>12</v>
      </c>
      <c r="W47" s="3" t="s">
        <v>57</v>
      </c>
      <c r="X47" s="3" t="s">
        <v>4</v>
      </c>
      <c r="Y47" s="3" t="s">
        <v>7</v>
      </c>
      <c r="Z47" s="4">
        <v>46357</v>
      </c>
      <c r="AA47" s="4">
        <v>46378</v>
      </c>
      <c r="AB47" s="3" t="s">
        <v>293</v>
      </c>
      <c r="AC47" s="7">
        <f>IF(AB47="Closed",AA47-C47,TODAY()-C47)</f>
        <v>0</v>
      </c>
      <c r="AD47" s="3" t="s">
        <v>64</v>
      </c>
    </row>
    <row r="48" spans="1:30">
      <c r="A48" s="3">
        <v>45</v>
      </c>
      <c r="B48" s="3" t="s">
        <v>1551</v>
      </c>
      <c r="C48" s="4">
        <v>46348</v>
      </c>
      <c r="D48" s="3" t="s">
        <v>111</v>
      </c>
      <c r="E48" s="5" t="s">
        <v>1469</v>
      </c>
      <c r="F48" s="5" t="s">
        <v>1546</v>
      </c>
      <c r="G48" s="3" t="s">
        <v>1471</v>
      </c>
      <c r="H48" s="3" t="s">
        <v>39</v>
      </c>
      <c r="I48" s="3" t="s">
        <v>77</v>
      </c>
      <c r="J48" s="3" t="s">
        <v>1472</v>
      </c>
      <c r="K48" s="3" t="s">
        <v>1473</v>
      </c>
      <c r="L48" s="3" t="s">
        <v>31</v>
      </c>
      <c r="M48" s="3" t="s">
        <v>1474</v>
      </c>
      <c r="N48" s="3" t="s">
        <v>1475</v>
      </c>
      <c r="O48" s="3" t="s">
        <v>32</v>
      </c>
      <c r="P48" s="3" t="s">
        <v>1482</v>
      </c>
      <c r="Q48" s="3" t="s">
        <v>1514</v>
      </c>
      <c r="R48" s="3" t="s">
        <v>54</v>
      </c>
      <c r="S48" s="3" t="s">
        <v>296</v>
      </c>
      <c r="T48" s="3" t="s">
        <v>1310</v>
      </c>
      <c r="U48" s="3" t="s">
        <v>154</v>
      </c>
      <c r="V48" s="3">
        <v>22</v>
      </c>
      <c r="W48" s="3" t="s">
        <v>38</v>
      </c>
      <c r="X48" s="3" t="s">
        <v>12</v>
      </c>
      <c r="Y48" s="3" t="s">
        <v>93</v>
      </c>
      <c r="Z48" s="4">
        <v>46364</v>
      </c>
      <c r="AA48" s="4">
        <v>46379</v>
      </c>
      <c r="AB48" s="3" t="s">
        <v>254</v>
      </c>
      <c r="AC48" s="7">
        <f>IF(AB48="Closed",AA48-C48,TODAY()-C48)</f>
        <v>0</v>
      </c>
      <c r="AD48" s="3" t="s">
        <v>20</v>
      </c>
    </row>
    <row r="49" spans="1:30">
      <c r="A49" s="3">
        <v>46</v>
      </c>
      <c r="B49" s="3" t="s">
        <v>1552</v>
      </c>
      <c r="C49" s="4">
        <v>46327</v>
      </c>
      <c r="D49" s="3" t="s">
        <v>111</v>
      </c>
      <c r="E49" s="5" t="s">
        <v>1479</v>
      </c>
      <c r="F49" s="5" t="s">
        <v>1546</v>
      </c>
      <c r="G49" s="3" t="s">
        <v>1471</v>
      </c>
      <c r="H49" s="3" t="s">
        <v>58</v>
      </c>
      <c r="I49" s="3" t="s">
        <v>95</v>
      </c>
      <c r="J49" s="3" t="s">
        <v>1492</v>
      </c>
      <c r="K49" s="3" t="s">
        <v>1501</v>
      </c>
      <c r="L49" s="3" t="s">
        <v>80</v>
      </c>
      <c r="M49" s="3" t="s">
        <v>1474</v>
      </c>
      <c r="N49" s="3" t="s">
        <v>1475</v>
      </c>
      <c r="O49" s="3" t="s">
        <v>41</v>
      </c>
      <c r="P49" s="3" t="s">
        <v>1476</v>
      </c>
      <c r="Q49" s="3" t="s">
        <v>1502</v>
      </c>
      <c r="R49" s="3" t="s">
        <v>38</v>
      </c>
      <c r="S49" s="3" t="s">
        <v>296</v>
      </c>
      <c r="T49" s="3" t="s">
        <v>300</v>
      </c>
      <c r="U49" s="3" t="s">
        <v>159</v>
      </c>
      <c r="V49" s="3">
        <v>12</v>
      </c>
      <c r="W49" s="3" t="s">
        <v>64</v>
      </c>
      <c r="X49" s="3" t="s">
        <v>45</v>
      </c>
      <c r="Y49" s="3" t="s">
        <v>32</v>
      </c>
      <c r="Z49" s="4">
        <v>46341</v>
      </c>
      <c r="AA49" s="4">
        <v>46362</v>
      </c>
      <c r="AB49" s="3" t="s">
        <v>293</v>
      </c>
      <c r="AC49" s="7">
        <f>IF(AB49="Closed",AA49-C49,TODAY()-C49)</f>
        <v>0</v>
      </c>
      <c r="AD49" s="3" t="s">
        <v>54</v>
      </c>
    </row>
    <row r="50" spans="1:30">
      <c r="A50" s="3">
        <v>47</v>
      </c>
      <c r="B50" s="3" t="s">
        <v>1553</v>
      </c>
      <c r="C50" s="4">
        <v>46382</v>
      </c>
      <c r="D50" s="3" t="s">
        <v>122</v>
      </c>
      <c r="E50" s="5" t="s">
        <v>1469</v>
      </c>
      <c r="F50" s="5" t="s">
        <v>1546</v>
      </c>
      <c r="G50" s="3" t="s">
        <v>1471</v>
      </c>
      <c r="H50" s="3" t="s">
        <v>5</v>
      </c>
      <c r="I50" s="3" t="s">
        <v>51</v>
      </c>
      <c r="J50" s="3" t="s">
        <v>1486</v>
      </c>
      <c r="K50" s="3" t="s">
        <v>1501</v>
      </c>
      <c r="L50" s="3" t="s">
        <v>87</v>
      </c>
      <c r="M50" s="3" t="s">
        <v>1481</v>
      </c>
      <c r="N50" s="3" t="s">
        <v>1554</v>
      </c>
      <c r="O50" s="3" t="s">
        <v>70</v>
      </c>
      <c r="P50" s="3" t="s">
        <v>1476</v>
      </c>
      <c r="Q50" s="3" t="s">
        <v>1504</v>
      </c>
      <c r="R50" s="3" t="s">
        <v>64</v>
      </c>
      <c r="S50" s="3" t="s">
        <v>1481</v>
      </c>
      <c r="T50" s="3" t="s">
        <v>1315</v>
      </c>
      <c r="U50" s="3" t="s">
        <v>154</v>
      </c>
      <c r="V50" s="3">
        <v>6</v>
      </c>
      <c r="W50" s="3" t="s">
        <v>49</v>
      </c>
      <c r="X50" s="3" t="s">
        <v>57</v>
      </c>
      <c r="Y50" s="3" t="s">
        <v>78</v>
      </c>
      <c r="Z50" s="4">
        <v>46425</v>
      </c>
      <c r="AA50" s="4">
        <v>46424</v>
      </c>
      <c r="AB50" s="3" t="s">
        <v>293</v>
      </c>
      <c r="AC50" s="7">
        <f>IF(AB50="Closed",AA50-C50,TODAY()-C50)</f>
        <v>0</v>
      </c>
      <c r="AD50" s="3" t="s">
        <v>12</v>
      </c>
    </row>
    <row r="51" spans="1:30">
      <c r="A51" s="3">
        <v>48</v>
      </c>
      <c r="B51" s="3" t="s">
        <v>1555</v>
      </c>
      <c r="C51" s="4">
        <v>46383</v>
      </c>
      <c r="D51" s="3" t="s">
        <v>122</v>
      </c>
      <c r="E51" s="5" t="s">
        <v>1469</v>
      </c>
      <c r="F51" s="5" t="s">
        <v>1546</v>
      </c>
      <c r="G51" s="3" t="s">
        <v>1471</v>
      </c>
      <c r="H51" s="3" t="s">
        <v>89</v>
      </c>
      <c r="I51" s="3" t="s">
        <v>87</v>
      </c>
      <c r="J51" s="3" t="s">
        <v>1492</v>
      </c>
      <c r="K51" s="3" t="s">
        <v>47</v>
      </c>
      <c r="L51" s="3" t="s">
        <v>77</v>
      </c>
      <c r="M51" s="3" t="s">
        <v>1474</v>
      </c>
      <c r="N51" s="3" t="s">
        <v>1516</v>
      </c>
      <c r="O51" s="3" t="s">
        <v>68</v>
      </c>
      <c r="P51" s="3" t="s">
        <v>58</v>
      </c>
      <c r="Q51" s="3" t="s">
        <v>1483</v>
      </c>
      <c r="R51" s="3" t="s">
        <v>91</v>
      </c>
      <c r="S51" s="3" t="s">
        <v>300</v>
      </c>
      <c r="T51" s="3" t="s">
        <v>1315</v>
      </c>
      <c r="U51" s="3" t="s">
        <v>142</v>
      </c>
      <c r="V51" s="3">
        <v>29</v>
      </c>
      <c r="W51" s="3" t="s">
        <v>49</v>
      </c>
      <c r="X51" s="3" t="s">
        <v>12</v>
      </c>
      <c r="Y51" s="3" t="s">
        <v>36</v>
      </c>
      <c r="Z51" s="4">
        <v>46396</v>
      </c>
      <c r="AA51" s="4">
        <v>46424</v>
      </c>
      <c r="AB51" s="3" t="s">
        <v>293</v>
      </c>
      <c r="AC51" s="7">
        <f>IF(AB51="Closed",AA51-C51,TODAY()-C51)</f>
        <v>0</v>
      </c>
      <c r="AD51" s="3" t="s">
        <v>91</v>
      </c>
    </row>
  </sheetData>
  <mergeCells count="2">
    <mergeCell ref="A1:AD1"/>
    <mergeCell ref="A2:AD2"/>
  </mergeCells>
  <dataValidations count="5">
    <dataValidation type="list" allowBlank="1" showInputMessage="1" showErrorMessage="1" sqref="H4:H5003">
      <formula1>L_Dept</formula1>
    </dataValidation>
    <dataValidation type="list" allowBlank="1" showInputMessage="1" showErrorMessage="1" sqref="L4:L5003">
      <formula1>L_Loc</formula1>
    </dataValidation>
    <dataValidation type="list" allowBlank="1" showInputMessage="1" showErrorMessage="1" sqref="I4:I5003">
      <formula1>L_Loc</formula1>
    </dataValidation>
    <dataValidation type="list" allowBlank="1" showInputMessage="1" showErrorMessage="1" sqref="AB4:AB5003">
      <formula1>L_Status</formula1>
    </dataValidation>
    <dataValidation type="list" allowBlank="1" showInputMessage="1" showErrorMessage="1" sqref="U4:U5003">
      <formula1>L_Risk</formula1>
    </dataValidation>
  </dataValidations>
  <hyperlinks>
    <hyperlink ref="AF1" location="'Home'!A1" display="Home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8" t="s">
        <v>139</v>
      </c>
    </row>
    <row r="2" spans="2:11">
      <c r="B2" s="9" t="s">
        <v>1578</v>
      </c>
      <c r="C2" s="9"/>
      <c r="D2" s="9"/>
      <c r="E2" s="9"/>
      <c r="F2" s="9"/>
      <c r="G2" s="9"/>
      <c r="H2" s="9"/>
      <c r="I2" s="9"/>
      <c r="J2" s="9"/>
      <c r="K2" s="9"/>
    </row>
    <row r="4" spans="2:11">
      <c r="B4" s="10" t="s">
        <v>129</v>
      </c>
      <c r="C4" s="10" t="s">
        <v>130</v>
      </c>
      <c r="D4" s="10" t="s">
        <v>287</v>
      </c>
      <c r="E4" s="10" t="s">
        <v>210</v>
      </c>
      <c r="F4" s="10" t="s">
        <v>1579</v>
      </c>
      <c r="G4" s="10" t="s">
        <v>1181</v>
      </c>
      <c r="H4" s="10" t="s">
        <v>127</v>
      </c>
      <c r="I4" s="10" t="s">
        <v>1580</v>
      </c>
      <c r="J4" s="10" t="s">
        <v>1582</v>
      </c>
      <c r="K4" s="10" t="s">
        <v>1583</v>
      </c>
    </row>
    <row r="5" spans="2:11">
      <c r="B5" s="11" t="s">
        <v>27</v>
      </c>
      <c r="C5" s="11" t="s">
        <v>87</v>
      </c>
      <c r="D5" s="11" t="s">
        <v>297</v>
      </c>
      <c r="E5" s="11" t="s">
        <v>162</v>
      </c>
      <c r="F5" s="11" t="s">
        <v>10</v>
      </c>
      <c r="G5" s="11" t="s">
        <v>221</v>
      </c>
      <c r="H5" s="11" t="s">
        <v>3</v>
      </c>
      <c r="I5" s="11" t="s">
        <v>1581</v>
      </c>
      <c r="J5" s="11" t="s">
        <v>1581</v>
      </c>
      <c r="K5" s="11" t="s">
        <v>3</v>
      </c>
    </row>
    <row r="6" spans="2:11">
      <c r="B6" s="11" t="s">
        <v>92</v>
      </c>
      <c r="C6" s="11" t="s">
        <v>77</v>
      </c>
      <c r="D6" s="11" t="s">
        <v>254</v>
      </c>
      <c r="E6" s="11" t="s">
        <v>159</v>
      </c>
      <c r="F6" s="11" t="s">
        <v>42</v>
      </c>
      <c r="G6" s="11" t="s">
        <v>228</v>
      </c>
      <c r="H6" s="11" t="s">
        <v>19</v>
      </c>
      <c r="I6" s="11" t="s">
        <v>3</v>
      </c>
      <c r="J6" s="11" t="s">
        <v>27</v>
      </c>
      <c r="K6" s="11" t="s">
        <v>19</v>
      </c>
    </row>
    <row r="7" spans="2:11">
      <c r="B7" s="11" t="s">
        <v>39</v>
      </c>
      <c r="C7" s="11" t="s">
        <v>95</v>
      </c>
      <c r="D7" s="11" t="s">
        <v>293</v>
      </c>
      <c r="E7" s="11" t="s">
        <v>142</v>
      </c>
      <c r="F7" s="11" t="s">
        <v>17</v>
      </c>
      <c r="G7" s="11" t="s">
        <v>225</v>
      </c>
      <c r="H7" s="11" t="s">
        <v>44</v>
      </c>
      <c r="I7" s="11" t="s">
        <v>19</v>
      </c>
      <c r="J7" s="11" t="s">
        <v>92</v>
      </c>
      <c r="K7" s="11" t="s">
        <v>44</v>
      </c>
    </row>
    <row r="8" spans="2:11">
      <c r="B8" s="11" t="s">
        <v>89</v>
      </c>
      <c r="C8" s="11" t="s">
        <v>82</v>
      </c>
      <c r="D8" s="11" t="s">
        <v>238</v>
      </c>
      <c r="E8" s="11" t="s">
        <v>154</v>
      </c>
      <c r="F8" s="11" t="s">
        <v>96</v>
      </c>
      <c r="H8" s="11" t="s">
        <v>53</v>
      </c>
      <c r="I8" s="11" t="s">
        <v>44</v>
      </c>
      <c r="J8" s="11" t="s">
        <v>39</v>
      </c>
      <c r="K8" s="11" t="s">
        <v>53</v>
      </c>
    </row>
    <row r="9" spans="2:11">
      <c r="B9" s="11" t="s">
        <v>65</v>
      </c>
      <c r="C9" s="11" t="s">
        <v>80</v>
      </c>
      <c r="F9" s="11" t="s">
        <v>24</v>
      </c>
      <c r="H9" s="11" t="s">
        <v>60</v>
      </c>
      <c r="I9" s="11" t="s">
        <v>53</v>
      </c>
      <c r="J9" s="11" t="s">
        <v>89</v>
      </c>
      <c r="K9" s="11" t="s">
        <v>60</v>
      </c>
    </row>
    <row r="10" spans="2:11">
      <c r="B10" s="11" t="s">
        <v>5</v>
      </c>
      <c r="C10" s="11" t="s">
        <v>31</v>
      </c>
      <c r="H10" s="11" t="s">
        <v>73</v>
      </c>
      <c r="I10" s="11" t="s">
        <v>60</v>
      </c>
      <c r="J10" s="11" t="s">
        <v>65</v>
      </c>
      <c r="K10" s="11" t="s">
        <v>73</v>
      </c>
    </row>
    <row r="11" spans="2:11">
      <c r="B11" s="11" t="s">
        <v>50</v>
      </c>
      <c r="C11" s="11" t="s">
        <v>40</v>
      </c>
      <c r="H11" s="11" t="s">
        <v>76</v>
      </c>
      <c r="I11" s="11" t="s">
        <v>73</v>
      </c>
      <c r="J11" s="11" t="s">
        <v>5</v>
      </c>
      <c r="K11" s="11" t="s">
        <v>76</v>
      </c>
    </row>
    <row r="12" spans="2:11">
      <c r="B12" s="11" t="s">
        <v>46</v>
      </c>
      <c r="C12" s="11" t="s">
        <v>51</v>
      </c>
      <c r="H12" s="11" t="s">
        <v>86</v>
      </c>
      <c r="I12" s="11" t="s">
        <v>76</v>
      </c>
      <c r="J12" s="11" t="s">
        <v>50</v>
      </c>
      <c r="K12" s="11" t="s">
        <v>86</v>
      </c>
    </row>
    <row r="13" spans="2:11">
      <c r="B13" s="11" t="s">
        <v>13</v>
      </c>
      <c r="C13" s="11" t="s">
        <v>6</v>
      </c>
      <c r="H13" s="11" t="s">
        <v>102</v>
      </c>
      <c r="I13" s="11" t="s">
        <v>86</v>
      </c>
      <c r="J13" s="11" t="s">
        <v>46</v>
      </c>
      <c r="K13" s="11" t="s">
        <v>102</v>
      </c>
    </row>
    <row r="14" spans="2:11">
      <c r="B14" s="11" t="s">
        <v>58</v>
      </c>
      <c r="C14" s="11" t="s">
        <v>14</v>
      </c>
      <c r="H14" s="11" t="s">
        <v>106</v>
      </c>
      <c r="I14" s="11" t="s">
        <v>102</v>
      </c>
      <c r="J14" s="11" t="s">
        <v>13</v>
      </c>
      <c r="K14" s="11" t="s">
        <v>106</v>
      </c>
    </row>
    <row r="15" spans="2:11">
      <c r="C15" s="11" t="s">
        <v>21</v>
      </c>
      <c r="H15" s="11" t="s">
        <v>111</v>
      </c>
      <c r="I15" s="11" t="s">
        <v>106</v>
      </c>
      <c r="J15" s="11" t="s">
        <v>58</v>
      </c>
      <c r="K15" s="11" t="s">
        <v>111</v>
      </c>
    </row>
    <row r="16" spans="2:11">
      <c r="C16" s="11" t="s">
        <v>35</v>
      </c>
      <c r="H16" s="11" t="s">
        <v>122</v>
      </c>
      <c r="I16" s="11" t="s">
        <v>111</v>
      </c>
      <c r="K16" s="11" t="s">
        <v>122</v>
      </c>
    </row>
    <row r="17" spans="9:11">
      <c r="I17" s="11" t="s">
        <v>122</v>
      </c>
      <c r="K17" s="11" t="s">
        <v>1470</v>
      </c>
    </row>
    <row r="18" spans="9:11">
      <c r="K18" s="11" t="s">
        <v>1508</v>
      </c>
    </row>
    <row r="19" spans="9:11">
      <c r="K19" s="11" t="s">
        <v>1534</v>
      </c>
    </row>
    <row r="20" spans="9:11">
      <c r="K20" s="11" t="s">
        <v>1546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8" t="s">
        <v>139</v>
      </c>
    </row>
    <row r="2" spans="2:4">
      <c r="B2" s="9" t="s">
        <v>1584</v>
      </c>
      <c r="C2" s="9"/>
      <c r="D2" s="9"/>
    </row>
    <row r="5" spans="2:4">
      <c r="B5" s="12" t="s">
        <v>1585</v>
      </c>
      <c r="C5" s="12"/>
      <c r="D5" s="12"/>
    </row>
    <row r="6" spans="2:4">
      <c r="B6" s="13" t="s">
        <v>1586</v>
      </c>
      <c r="C6" s="14" t="s">
        <v>1587</v>
      </c>
    </row>
    <row r="7" spans="2:4">
      <c r="B7" s="13" t="s">
        <v>1588</v>
      </c>
      <c r="C7" s="14" t="s">
        <v>1589</v>
      </c>
    </row>
    <row r="8" spans="2:4">
      <c r="B8" s="13" t="s">
        <v>130</v>
      </c>
      <c r="C8" s="14" t="s">
        <v>1590</v>
      </c>
    </row>
    <row r="9" spans="2:4">
      <c r="B9" s="13" t="s">
        <v>1591</v>
      </c>
      <c r="C9" s="14">
        <v>2026</v>
      </c>
    </row>
    <row r="11" spans="2:4">
      <c r="B11" s="12" t="s">
        <v>1592</v>
      </c>
      <c r="C11" s="12"/>
      <c r="D11" s="12"/>
    </row>
    <row r="12" spans="2:4">
      <c r="B12" s="13" t="s">
        <v>1593</v>
      </c>
      <c r="C12" s="14">
        <v>1000000</v>
      </c>
      <c r="D12" s="15" t="s">
        <v>1594</v>
      </c>
    </row>
    <row r="13" spans="2:4">
      <c r="B13" s="13" t="s">
        <v>1595</v>
      </c>
      <c r="C13" s="14">
        <v>200000</v>
      </c>
      <c r="D13" s="15" t="s">
        <v>1596</v>
      </c>
    </row>
    <row r="14" spans="2:4">
      <c r="B14" s="13" t="s">
        <v>1597</v>
      </c>
      <c r="C14" s="14">
        <v>1000000</v>
      </c>
      <c r="D14" s="15" t="s">
        <v>1598</v>
      </c>
    </row>
    <row r="16" spans="2:4">
      <c r="B16" s="12" t="s">
        <v>1599</v>
      </c>
      <c r="C16" s="12"/>
      <c r="D16" s="12"/>
    </row>
    <row r="17" spans="2:4">
      <c r="B17" s="13" t="s">
        <v>1600</v>
      </c>
      <c r="C17" s="14">
        <v>0.9</v>
      </c>
      <c r="D17" s="15" t="s">
        <v>1601</v>
      </c>
    </row>
    <row r="18" spans="2:4">
      <c r="B18" s="13" t="s">
        <v>1602</v>
      </c>
      <c r="C18" s="14">
        <v>0.95</v>
      </c>
      <c r="D18" s="15"/>
    </row>
    <row r="19" spans="2:4">
      <c r="B19" s="13" t="s">
        <v>1603</v>
      </c>
      <c r="C19" s="14">
        <v>0.9</v>
      </c>
      <c r="D19" s="15"/>
    </row>
    <row r="20" spans="2:4">
      <c r="B20" s="13" t="s">
        <v>1604</v>
      </c>
      <c r="C20" s="14">
        <v>1</v>
      </c>
      <c r="D20" s="15" t="s">
        <v>1605</v>
      </c>
    </row>
    <row r="21" spans="2:4">
      <c r="B21" s="13" t="s">
        <v>1606</v>
      </c>
      <c r="C21" s="14">
        <v>0.8</v>
      </c>
      <c r="D21" s="15" t="s">
        <v>1607</v>
      </c>
    </row>
  </sheetData>
  <mergeCells count="4">
    <mergeCell ref="B2:D2"/>
    <mergeCell ref="B5:D5"/>
    <mergeCell ref="B11:D11"/>
    <mergeCell ref="B16:D16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6" t="s">
        <v>1608</v>
      </c>
    </row>
    <row r="3" spans="2:10">
      <c r="B3" s="12" t="s">
        <v>1609</v>
      </c>
    </row>
    <row r="5" spans="2:10" ht="30" customHeight="1">
      <c r="B5" s="17" t="s">
        <v>1610</v>
      </c>
      <c r="C5" s="18" t="s">
        <v>1611</v>
      </c>
      <c r="D5" s="18"/>
      <c r="E5" s="18"/>
      <c r="F5" s="18"/>
      <c r="G5" s="18"/>
      <c r="H5" s="18"/>
      <c r="I5" s="18"/>
      <c r="J5" s="18"/>
    </row>
    <row r="6" spans="2:10" ht="30" customHeight="1">
      <c r="B6" s="17" t="s">
        <v>1612</v>
      </c>
      <c r="C6" s="18" t="s">
        <v>1613</v>
      </c>
      <c r="D6" s="18"/>
      <c r="E6" s="18"/>
      <c r="F6" s="18"/>
      <c r="G6" s="18"/>
      <c r="H6" s="18"/>
      <c r="I6" s="18"/>
      <c r="J6" s="18"/>
    </row>
    <row r="7" spans="2:10" ht="30" customHeight="1">
      <c r="B7" s="17" t="s">
        <v>1614</v>
      </c>
      <c r="C7" s="18" t="s">
        <v>1615</v>
      </c>
      <c r="D7" s="18"/>
      <c r="E7" s="18"/>
      <c r="F7" s="18"/>
      <c r="G7" s="18"/>
      <c r="H7" s="18"/>
      <c r="I7" s="18"/>
      <c r="J7" s="18"/>
    </row>
    <row r="8" spans="2:10" ht="30" customHeight="1">
      <c r="B8" s="17" t="s">
        <v>1616</v>
      </c>
      <c r="C8" s="18" t="s">
        <v>1617</v>
      </c>
      <c r="D8" s="18"/>
      <c r="E8" s="18"/>
      <c r="F8" s="18"/>
      <c r="G8" s="18"/>
      <c r="H8" s="18"/>
      <c r="I8" s="18"/>
      <c r="J8" s="18"/>
    </row>
    <row r="9" spans="2:10" ht="30" customHeight="1">
      <c r="B9" s="17" t="s">
        <v>1618</v>
      </c>
      <c r="C9" s="18" t="s">
        <v>1619</v>
      </c>
      <c r="D9" s="18"/>
      <c r="E9" s="18"/>
      <c r="F9" s="18"/>
      <c r="G9" s="18"/>
      <c r="H9" s="18"/>
      <c r="I9" s="18"/>
      <c r="J9" s="18"/>
    </row>
    <row r="10" spans="2:10" ht="30" customHeight="1">
      <c r="B10" s="17" t="s">
        <v>1620</v>
      </c>
      <c r="C10" s="18" t="s">
        <v>1621</v>
      </c>
      <c r="D10" s="18"/>
      <c r="E10" s="18"/>
      <c r="F10" s="18"/>
      <c r="G10" s="18"/>
      <c r="H10" s="18"/>
      <c r="I10" s="18"/>
      <c r="J10" s="18"/>
    </row>
    <row r="11" spans="2:10" ht="30" customHeight="1">
      <c r="B11" s="17" t="s">
        <v>1622</v>
      </c>
      <c r="C11" s="18" t="s">
        <v>1623</v>
      </c>
      <c r="D11" s="18"/>
      <c r="E11" s="18"/>
      <c r="F11" s="18"/>
      <c r="G11" s="18"/>
      <c r="H11" s="18"/>
      <c r="I11" s="18"/>
      <c r="J11" s="18"/>
    </row>
    <row r="12" spans="2:10" ht="30" customHeight="1">
      <c r="B12" s="17" t="s">
        <v>1624</v>
      </c>
      <c r="C12" s="18" t="s">
        <v>1625</v>
      </c>
      <c r="D12" s="18"/>
      <c r="E12" s="18"/>
      <c r="F12" s="18"/>
      <c r="G12" s="18"/>
      <c r="H12" s="18"/>
      <c r="I12" s="18"/>
      <c r="J12" s="18"/>
    </row>
    <row r="13" spans="2:10" ht="30" customHeight="1">
      <c r="B13" s="17" t="s">
        <v>1626</v>
      </c>
      <c r="C13" s="18" t="s">
        <v>1627</v>
      </c>
      <c r="D13" s="18"/>
      <c r="E13" s="18"/>
      <c r="F13" s="18"/>
      <c r="G13" s="18"/>
      <c r="H13" s="18"/>
      <c r="I13" s="18"/>
      <c r="J13" s="18"/>
    </row>
    <row r="14" spans="2:10" ht="30" customHeight="1">
      <c r="B14" s="17" t="s">
        <v>1628</v>
      </c>
      <c r="C14" s="18" t="s">
        <v>1629</v>
      </c>
      <c r="D14" s="18"/>
      <c r="E14" s="18"/>
      <c r="F14" s="18"/>
      <c r="G14" s="18"/>
      <c r="H14" s="18"/>
      <c r="I14" s="18"/>
      <c r="J14" s="18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AQ50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43">
      <c r="B1" s="8" t="s">
        <v>139</v>
      </c>
    </row>
    <row r="2" spans="2:43">
      <c r="B2" s="9" t="s">
        <v>1630</v>
      </c>
      <c r="C2" s="9"/>
      <c r="D2" s="9"/>
      <c r="E2" s="9"/>
      <c r="F2" s="9"/>
      <c r="G2" s="9"/>
      <c r="H2" s="9"/>
    </row>
    <row r="5" spans="2:43">
      <c r="B5" s="17" t="s">
        <v>1631</v>
      </c>
    </row>
    <row r="6" spans="2:43">
      <c r="B6" s="13" t="s">
        <v>1632</v>
      </c>
      <c r="C6" s="19">
        <f>IF(SelMonth="All","&lt;&gt;",SelMonth)</f>
        <v>0</v>
      </c>
    </row>
    <row r="7" spans="2:43">
      <c r="B7" s="13" t="s">
        <v>1633</v>
      </c>
      <c r="C7" s="19">
        <f>IF(SelDept="All","&lt;&gt;",SelDept)</f>
        <v>0</v>
      </c>
    </row>
    <row r="9" spans="2:43">
      <c r="B9" s="17" t="s">
        <v>1634</v>
      </c>
    </row>
    <row r="10" spans="2:43">
      <c r="B10" s="13" t="s">
        <v>1635</v>
      </c>
      <c r="C10" s="19">
        <f>IF(LEFT(SelPeriod,1)="Q",1,0)</f>
        <v>0</v>
      </c>
      <c r="E10" s="13" t="s">
        <v>1636</v>
      </c>
      <c r="F10" s="19">
        <f>IF(Calculations!$C$10=1,VALUE(MID(SelPeriod,2,1)),ROUNDUP(MATCH(SelPeriod,L_Month,0)/3,0))</f>
        <v>0</v>
      </c>
      <c r="H10" s="13" t="s">
        <v>1637</v>
      </c>
      <c r="I10" s="19">
        <f>IF(Calculations!$C$10=1,0,MATCH(SelPeriod,L_Month,0))</f>
        <v>0</v>
      </c>
      <c r="AF10" s="17" t="s">
        <v>1667</v>
      </c>
      <c r="AM10" s="10" t="s">
        <v>1691</v>
      </c>
      <c r="AN10" s="10" t="s">
        <v>1692</v>
      </c>
      <c r="AP10" s="10" t="s">
        <v>1703</v>
      </c>
      <c r="AQ10" s="10" t="s">
        <v>1704</v>
      </c>
    </row>
    <row r="11" spans="2:43">
      <c r="B11" s="10" t="s">
        <v>127</v>
      </c>
      <c r="C11" s="10" t="s">
        <v>23</v>
      </c>
      <c r="D11" s="10" t="s">
        <v>1638</v>
      </c>
      <c r="E11" s="10" t="s">
        <v>1639</v>
      </c>
      <c r="F11" s="10" t="s">
        <v>1640</v>
      </c>
      <c r="G11" s="10" t="s">
        <v>1641</v>
      </c>
      <c r="H11" s="10" t="s">
        <v>1642</v>
      </c>
      <c r="I11" s="10" t="s">
        <v>1643</v>
      </c>
      <c r="J11" s="10" t="s">
        <v>1644</v>
      </c>
      <c r="K11" s="10" t="s">
        <v>1645</v>
      </c>
      <c r="L11" s="10" t="s">
        <v>1646</v>
      </c>
      <c r="M11" s="10" t="s">
        <v>1647</v>
      </c>
      <c r="N11" s="10" t="s">
        <v>1648</v>
      </c>
      <c r="O11" s="10" t="s">
        <v>1649</v>
      </c>
      <c r="P11" s="10" t="s">
        <v>1650</v>
      </c>
      <c r="Q11" s="10" t="s">
        <v>1651</v>
      </c>
      <c r="R11" s="10" t="s">
        <v>1652</v>
      </c>
      <c r="S11" s="10" t="s">
        <v>1653</v>
      </c>
      <c r="T11" s="10" t="s">
        <v>1654</v>
      </c>
      <c r="U11" s="10" t="s">
        <v>1655</v>
      </c>
      <c r="V11" s="10" t="s">
        <v>1656</v>
      </c>
      <c r="W11" s="10" t="s">
        <v>1657</v>
      </c>
      <c r="X11" s="10" t="s">
        <v>1658</v>
      </c>
      <c r="Y11" s="10" t="s">
        <v>1659</v>
      </c>
      <c r="Z11" s="10" t="s">
        <v>1660</v>
      </c>
      <c r="AA11" s="10" t="s">
        <v>1661</v>
      </c>
      <c r="AB11" s="10" t="s">
        <v>1662</v>
      </c>
      <c r="AC11" s="10" t="s">
        <v>1663</v>
      </c>
      <c r="AD11" s="10" t="s">
        <v>1664</v>
      </c>
      <c r="AE11" s="10" t="s">
        <v>1665</v>
      </c>
      <c r="AF11" s="10" t="s">
        <v>1668</v>
      </c>
      <c r="AG11" s="10" t="s">
        <v>1669</v>
      </c>
      <c r="AH11" s="10" t="s">
        <v>1638</v>
      </c>
      <c r="AI11" s="10" t="s">
        <v>1639</v>
      </c>
      <c r="AJ11" s="10" t="s">
        <v>1670</v>
      </c>
      <c r="AK11" s="10" t="s">
        <v>42</v>
      </c>
      <c r="AM11" s="11" t="s">
        <v>1524</v>
      </c>
      <c r="AN11" s="20">
        <f>SUMPRODUCT(Calculations!$M$12:$M$23,Calculations!$D$12:$D$23)</f>
        <v>0</v>
      </c>
      <c r="AP11" s="19" t="s">
        <v>3</v>
      </c>
      <c r="AQ11" s="20">
        <f>COUNTIFS('Incident'!$D$4:$D$5003,"Jan",'Incident'!$H$4:$H$5003,dCrit)</f>
        <v>0</v>
      </c>
    </row>
    <row r="12" spans="2:43">
      <c r="B12" s="19" t="s">
        <v>3</v>
      </c>
      <c r="C12" s="19">
        <v>1</v>
      </c>
      <c r="D12" s="19">
        <f>IF(Calculations!$C$10=1,IF(ROUNDUP($C$12/3,0)=Calculations!$F$10,1,0),IF($C$12=Calculations!$I$10,1,0))</f>
        <v>0</v>
      </c>
      <c r="E12" s="19">
        <f>IF(Calculations!$C$10=1,IF(ROUNDUP($C$12/3,0)=Calculations!$F$10-1,1,0),IF($C$12=Calculations!$I$10-1,1,0))</f>
        <v>0</v>
      </c>
      <c r="F12" s="20">
        <f>COUNTIFS('Incident'!$N$4:$N$5003,"Medical Treatment",'Incident'!$D$4:$D$5003,"Jan",'Incident'!$H$4:$H$5003,dCrit)+COUNTIFS('Incident'!$N$4:$N$5003,"Restricted Work",'Incident'!$D$4:$D$5003,"Jan",'Incident'!$H$4:$H$5003,dCrit)+COUNTIFS('Incident'!$N$4:$N$5003,"Lost Time Injury",'Incident'!$D$4:$D$5003,"Jan",'Incident'!$H$4:$H$5003,dCrit)+COUNTIFS('Incident'!$N$4:$N$5003,"Fatality",'Incident'!$D$4:$D$5003,"Jan",'Incident'!$H$4:$H$5003,dCrit)</f>
        <v>0</v>
      </c>
      <c r="G12" s="20">
        <f>COUNTIFS('Incident'!$N$4:$N$5003,"Lost Time Injury",'Incident'!$D$4:$D$5003,"Jan",'Incident'!$H$4:$H$5003,dCrit)+COUNTIFS('Incident'!$N$4:$N$5003,"Fatality",'Incident'!$D$4:$D$5003,"Jan",'Incident'!$H$4:$H$5003,dCrit)</f>
        <v>0</v>
      </c>
      <c r="H12" s="20">
        <f>COUNTIFS('Incident'!$N$4:$N$5003,"Near Miss",'Incident'!$D$4:$D$5003,"Jan",'Incident'!$H$4:$H$5003,dCrit)</f>
        <v>0</v>
      </c>
      <c r="I12" s="20">
        <f>COUNTIFS('Incident'!$N$4:$N$5003,"First Aid",'Incident'!$D$4:$D$5003,"Jan",'Incident'!$H$4:$H$5003,dCrit)</f>
        <v>0</v>
      </c>
      <c r="J12" s="20">
        <f>COUNTIFS('Incident'!$N$4:$N$5003,"Medical Treatment",'Incident'!$D$4:$D$5003,"Jan",'Incident'!$H$4:$H$5003,dCrit)</f>
        <v>0</v>
      </c>
      <c r="K12" s="20">
        <f>COUNTIFS('Incident'!$N$4:$N$5003,"Restricted Work",'Incident'!$D$4:$D$5003,"Jan",'Incident'!$H$4:$H$5003,dCrit)</f>
        <v>0</v>
      </c>
      <c r="L12" s="20">
        <f>COUNTIFS('Incident'!$N$4:$N$5003,"Lost Time Injury",'Incident'!$D$4:$D$5003,"Jan",'Incident'!$H$4:$H$5003,dCrit)</f>
        <v>0</v>
      </c>
      <c r="M12" s="20">
        <f>COUNTIFS('Incident'!$N$4:$N$5003,"Fatality",'Incident'!$D$4:$D$5003,"Jan",'Incident'!$H$4:$H$5003,dCrit)</f>
        <v>0</v>
      </c>
      <c r="N12" s="20">
        <f>SUMIFS('Incident'!$V$4:$V$5003,'Incident'!$D$4:$D$5003,"Jan",'Incident'!$H$4:$H$5003,dCrit)</f>
        <v>0</v>
      </c>
      <c r="O12" s="20">
        <f>COUNTIFS('Incident'!$D$4:$D$5003,"Jan",'Incident'!$H$4:$H$5003,dCrit)</f>
        <v>0</v>
      </c>
      <c r="P12" s="20">
        <f>COUNTIFS('Disciplinary Actions'!$D$4:$D$5003,"Jan",'Disciplinary Actions'!$F$4:$F$5003,dCrit)</f>
        <v>0</v>
      </c>
      <c r="Q12" s="20">
        <f>COUNTIFS('NC Management'!$M$4:$M$5003,"Open",'NC Management'!$D$4:$D$5003,"Jan",'NC Management'!$G$4:$G$5003,dCrit)+COUNTIFS('NC Management'!$M$4:$M$5003,"Overdue",'NC Management'!$D$4:$D$5003,"Jan",'NC Management'!$G$4:$G$5003,dCrit)</f>
        <v>0</v>
      </c>
      <c r="R12" s="20">
        <f>COUNTIFS('Training'!$D$4:$D$5003,"Jan",'Training'!$G$4:$G$5003,dCrit)</f>
        <v>0</v>
      </c>
      <c r="S12" s="20">
        <f>COUNTIFS('Training'!$N$4:$N$5003,"Completed",'Training'!$D$4:$D$5003,"Jan",'Training'!$G$4:$G$5003,dCrit)</f>
        <v>0</v>
      </c>
      <c r="T12" s="20">
        <f>COUNTIFS('HSE Observations'!$D$4:$D$5003,"Jan",'HSE Observations'!$G$4:$G$5003,dCrit)</f>
        <v>0</v>
      </c>
      <c r="U12" s="20">
        <f>COUNTIFS('HSE Observations'!$M$4:$M$5003,"Closed",'HSE Observations'!$D$4:$D$5003,"Jan",'HSE Observations'!$G$4:$G$5003,dCrit)</f>
        <v>0</v>
      </c>
      <c r="V12" s="20">
        <f>COUNTIFS('Toolbox Talks'!$D$4:$D$5003,"Jan",'Toolbox Talks'!$F$4:$F$5003,dCrit)</f>
        <v>0</v>
      </c>
      <c r="W12" s="20">
        <f>COUNTIFS('Workplace Inspections'!$D$4:$D$5003,"Jan",'Workplace Inspections'!$F$4:$F$5003,dCrit)+COUNTIFS('Equipment Inspections'!$D$4:$D$5003,"Jan",'Equipment Inspections'!$F$4:$F$5003,dCrit)+COUNTIFS('Safety Walkthroughs'!$D$4:$D$5003,"Jan",'Safety Walkthroughs'!$F$4:$F$5003,dCrit)</f>
        <v>0</v>
      </c>
      <c r="X12" s="20">
        <f>COUNTIFS('Internal Audits'!$D$4:$D$5003,"Jan",'Internal Audits'!$G$4:$G$5003,dCrit)+COUNTIFS('External Audits'!$D$4:$D$5003,"Jan",'External Audits'!$G$4:$G$5003,dCrit)</f>
        <v>0</v>
      </c>
      <c r="Y12" s="20">
        <f>COUNTIFS('PTW Audits'!$D$4:$D$5003,"Jan",'PTW Audits'!$F$4:$F$5003,dCrit)</f>
        <v>0</v>
      </c>
      <c r="Z12" s="20">
        <f>COUNTIFS('PTW Audits'!$M$4:$M$5003,"Compliant",'PTW Audits'!$D$4:$D$5003,"Jan",'PTW Audits'!$F$4:$F$5003,dCrit)</f>
        <v>0</v>
      </c>
      <c r="AA12" s="20">
        <f>COUNTIFS('Emergency Drills'!$D$4:$D$5003,"Jan")</f>
        <v>0</v>
      </c>
      <c r="AB12" s="20">
        <f>COUNTIFS('Corrective Actions'!$D$4:$D$5003,"Jan",'Corrective Actions'!$F$4:$F$5003,dCrit)</f>
        <v>0</v>
      </c>
      <c r="AC12" s="20">
        <f>COUNTIFS('Corrective Actions'!$N$4:$N$5003,"Closed",'Corrective Actions'!$D$4:$D$5003,"Jan",'Corrective Actions'!$F$4:$F$5003,dCrit)</f>
        <v>0</v>
      </c>
      <c r="AD12" s="20">
        <f>COUNTIFS('JSA Risk Assessment'!$D$4:$D$5003,"Jan",'JSA Risk Assessment'!$F$4:$F$5003,dCrit)</f>
        <v>0</v>
      </c>
      <c r="AE12" s="20">
        <f>COUNTIFS('Safety Meetings'!$D$4:$D$5003,"Jan",'Safety Meetings'!$G$4:$G$5003,dCrit)</f>
        <v>0</v>
      </c>
      <c r="AF12" s="11" t="s">
        <v>1620</v>
      </c>
      <c r="AG12" s="19" t="s">
        <v>1671</v>
      </c>
      <c r="AH12" s="19">
        <f>IFERROR(SUMPRODUCT(Calculations!$F$12:$F$23,Calculations!$D$12:$D$23)*TRIRmult/(SUM(Calculations!$D$12:$D$23)*Manhours/12),0)</f>
        <v>0</v>
      </c>
      <c r="AI12" s="19">
        <f>IFERROR(SUMPRODUCT(Calculations!$F$12:$F$23,Calculations!$E$12:$E$23)*TRIRmult/(SUM(Calculations!$E$12:$E$23)*Manhours/12),0)</f>
        <v>0</v>
      </c>
      <c r="AJ12" s="21">
        <f>IFERROR(($AH$12-$AI$12)/$AI$12,IF($AH$12&gt;0,1,0))</f>
        <v>0</v>
      </c>
      <c r="AK12" s="19">
        <f>($AH$12-$AI$12)*-1</f>
        <v>0</v>
      </c>
      <c r="AM12" s="11" t="s">
        <v>1554</v>
      </c>
      <c r="AN12" s="20">
        <f>SUMPRODUCT(Calculations!$L$12:$L$23,Calculations!$D$12:$D$23)</f>
        <v>0</v>
      </c>
      <c r="AP12" s="19" t="s">
        <v>19</v>
      </c>
      <c r="AQ12" s="20">
        <f>COUNTIFS('Incident'!$D$4:$D$5003,"Feb",'Incident'!$H$4:$H$5003,dCrit)</f>
        <v>0</v>
      </c>
    </row>
    <row r="13" spans="2:43">
      <c r="B13" s="19" t="s">
        <v>19</v>
      </c>
      <c r="C13" s="19">
        <v>2</v>
      </c>
      <c r="D13" s="19">
        <f>IF(Calculations!$C$10=1,IF(ROUNDUP($C$13/3,0)=Calculations!$F$10,1,0),IF($C$13=Calculations!$I$10,1,0))</f>
        <v>0</v>
      </c>
      <c r="E13" s="19">
        <f>IF(Calculations!$C$10=1,IF(ROUNDUP($C$13/3,0)=Calculations!$F$10-1,1,0),IF($C$13=Calculations!$I$10-1,1,0))</f>
        <v>0</v>
      </c>
      <c r="F13" s="20">
        <f>COUNTIFS('Incident'!$N$4:$N$5003,"Medical Treatment",'Incident'!$D$4:$D$5003,"Feb",'Incident'!$H$4:$H$5003,dCrit)+COUNTIFS('Incident'!$N$4:$N$5003,"Restricted Work",'Incident'!$D$4:$D$5003,"Feb",'Incident'!$H$4:$H$5003,dCrit)+COUNTIFS('Incident'!$N$4:$N$5003,"Lost Time Injury",'Incident'!$D$4:$D$5003,"Feb",'Incident'!$H$4:$H$5003,dCrit)+COUNTIFS('Incident'!$N$4:$N$5003,"Fatality",'Incident'!$D$4:$D$5003,"Feb",'Incident'!$H$4:$H$5003,dCrit)</f>
        <v>0</v>
      </c>
      <c r="G13" s="20">
        <f>COUNTIFS('Incident'!$N$4:$N$5003,"Lost Time Injury",'Incident'!$D$4:$D$5003,"Feb",'Incident'!$H$4:$H$5003,dCrit)+COUNTIFS('Incident'!$N$4:$N$5003,"Fatality",'Incident'!$D$4:$D$5003,"Feb",'Incident'!$H$4:$H$5003,dCrit)</f>
        <v>0</v>
      </c>
      <c r="H13" s="20">
        <f>COUNTIFS('Incident'!$N$4:$N$5003,"Near Miss",'Incident'!$D$4:$D$5003,"Feb",'Incident'!$H$4:$H$5003,dCrit)</f>
        <v>0</v>
      </c>
      <c r="I13" s="20">
        <f>COUNTIFS('Incident'!$N$4:$N$5003,"First Aid",'Incident'!$D$4:$D$5003,"Feb",'Incident'!$H$4:$H$5003,dCrit)</f>
        <v>0</v>
      </c>
      <c r="J13" s="20">
        <f>COUNTIFS('Incident'!$N$4:$N$5003,"Medical Treatment",'Incident'!$D$4:$D$5003,"Feb",'Incident'!$H$4:$H$5003,dCrit)</f>
        <v>0</v>
      </c>
      <c r="K13" s="20">
        <f>COUNTIFS('Incident'!$N$4:$N$5003,"Restricted Work",'Incident'!$D$4:$D$5003,"Feb",'Incident'!$H$4:$H$5003,dCrit)</f>
        <v>0</v>
      </c>
      <c r="L13" s="20">
        <f>COUNTIFS('Incident'!$N$4:$N$5003,"Lost Time Injury",'Incident'!$D$4:$D$5003,"Feb",'Incident'!$H$4:$H$5003,dCrit)</f>
        <v>0</v>
      </c>
      <c r="M13" s="20">
        <f>COUNTIFS('Incident'!$N$4:$N$5003,"Fatality",'Incident'!$D$4:$D$5003,"Feb",'Incident'!$H$4:$H$5003,dCrit)</f>
        <v>0</v>
      </c>
      <c r="N13" s="20">
        <f>SUMIFS('Incident'!$V$4:$V$5003,'Incident'!$D$4:$D$5003,"Feb",'Incident'!$H$4:$H$5003,dCrit)</f>
        <v>0</v>
      </c>
      <c r="O13" s="20">
        <f>COUNTIFS('Incident'!$D$4:$D$5003,"Feb",'Incident'!$H$4:$H$5003,dCrit)</f>
        <v>0</v>
      </c>
      <c r="P13" s="20">
        <f>COUNTIFS('Disciplinary Actions'!$D$4:$D$5003,"Feb",'Disciplinary Actions'!$F$4:$F$5003,dCrit)</f>
        <v>0</v>
      </c>
      <c r="Q13" s="20">
        <f>COUNTIFS('NC Management'!$M$4:$M$5003,"Open",'NC Management'!$D$4:$D$5003,"Feb",'NC Management'!$G$4:$G$5003,dCrit)+COUNTIFS('NC Management'!$M$4:$M$5003,"Overdue",'NC Management'!$D$4:$D$5003,"Feb",'NC Management'!$G$4:$G$5003,dCrit)</f>
        <v>0</v>
      </c>
      <c r="R13" s="20">
        <f>COUNTIFS('Training'!$D$4:$D$5003,"Feb",'Training'!$G$4:$G$5003,dCrit)</f>
        <v>0</v>
      </c>
      <c r="S13" s="20">
        <f>COUNTIFS('Training'!$N$4:$N$5003,"Completed",'Training'!$D$4:$D$5003,"Feb",'Training'!$G$4:$G$5003,dCrit)</f>
        <v>0</v>
      </c>
      <c r="T13" s="20">
        <f>COUNTIFS('HSE Observations'!$D$4:$D$5003,"Feb",'HSE Observations'!$G$4:$G$5003,dCrit)</f>
        <v>0</v>
      </c>
      <c r="U13" s="20">
        <f>COUNTIFS('HSE Observations'!$M$4:$M$5003,"Closed",'HSE Observations'!$D$4:$D$5003,"Feb",'HSE Observations'!$G$4:$G$5003,dCrit)</f>
        <v>0</v>
      </c>
      <c r="V13" s="20">
        <f>COUNTIFS('Toolbox Talks'!$D$4:$D$5003,"Feb",'Toolbox Talks'!$F$4:$F$5003,dCrit)</f>
        <v>0</v>
      </c>
      <c r="W13" s="20">
        <f>COUNTIFS('Workplace Inspections'!$D$4:$D$5003,"Feb",'Workplace Inspections'!$F$4:$F$5003,dCrit)+COUNTIFS('Equipment Inspections'!$D$4:$D$5003,"Feb",'Equipment Inspections'!$F$4:$F$5003,dCrit)+COUNTIFS('Safety Walkthroughs'!$D$4:$D$5003,"Feb",'Safety Walkthroughs'!$F$4:$F$5003,dCrit)</f>
        <v>0</v>
      </c>
      <c r="X13" s="20">
        <f>COUNTIFS('Internal Audits'!$D$4:$D$5003,"Feb",'Internal Audits'!$G$4:$G$5003,dCrit)+COUNTIFS('External Audits'!$D$4:$D$5003,"Feb",'External Audits'!$G$4:$G$5003,dCrit)</f>
        <v>0</v>
      </c>
      <c r="Y13" s="20">
        <f>COUNTIFS('PTW Audits'!$D$4:$D$5003,"Feb",'PTW Audits'!$F$4:$F$5003,dCrit)</f>
        <v>0</v>
      </c>
      <c r="Z13" s="20">
        <f>COUNTIFS('PTW Audits'!$M$4:$M$5003,"Compliant",'PTW Audits'!$D$4:$D$5003,"Feb",'PTW Audits'!$F$4:$F$5003,dCrit)</f>
        <v>0</v>
      </c>
      <c r="AA13" s="20">
        <f>COUNTIFS('Emergency Drills'!$D$4:$D$5003,"Feb")</f>
        <v>0</v>
      </c>
      <c r="AB13" s="20">
        <f>COUNTIFS('Corrective Actions'!$D$4:$D$5003,"Feb",'Corrective Actions'!$F$4:$F$5003,dCrit)</f>
        <v>0</v>
      </c>
      <c r="AC13" s="20">
        <f>COUNTIFS('Corrective Actions'!$N$4:$N$5003,"Closed",'Corrective Actions'!$D$4:$D$5003,"Feb",'Corrective Actions'!$F$4:$F$5003,dCrit)</f>
        <v>0</v>
      </c>
      <c r="AD13" s="20">
        <f>COUNTIFS('JSA Risk Assessment'!$D$4:$D$5003,"Feb",'JSA Risk Assessment'!$F$4:$F$5003,dCrit)</f>
        <v>0</v>
      </c>
      <c r="AE13" s="20">
        <f>COUNTIFS('Safety Meetings'!$D$4:$D$5003,"Feb",'Safety Meetings'!$G$4:$G$5003,dCrit)</f>
        <v>0</v>
      </c>
      <c r="AF13" s="11" t="s">
        <v>1622</v>
      </c>
      <c r="AG13" s="19" t="s">
        <v>1671</v>
      </c>
      <c r="AH13" s="19">
        <f>IFERROR(SUMPRODUCT(Calculations!$G$12:$G$23,Calculations!$D$12:$D$23)*LTIFRmult/(SUM(Calculations!$D$12:$D$23)*Manhours/12),0)</f>
        <v>0</v>
      </c>
      <c r="AI13" s="19">
        <f>IFERROR(SUMPRODUCT(Calculations!$G$12:$G$23,Calculations!$E$12:$E$23)*LTIFRmult/(SUM(Calculations!$E$12:$E$23)*Manhours/12),0)</f>
        <v>0</v>
      </c>
      <c r="AJ13" s="21">
        <f>IFERROR(($AH$13-$AI$13)/$AI$13,IF($AH$13&gt;0,1,0))</f>
        <v>0</v>
      </c>
      <c r="AK13" s="19">
        <f>($AH$13-$AI$13)*-1</f>
        <v>0</v>
      </c>
      <c r="AM13" s="11" t="s">
        <v>1516</v>
      </c>
      <c r="AN13" s="20">
        <f>SUMPRODUCT(Calculations!$K$12:$K$23,Calculations!$D$12:$D$23)</f>
        <v>0</v>
      </c>
      <c r="AP13" s="19" t="s">
        <v>44</v>
      </c>
      <c r="AQ13" s="20">
        <f>COUNTIFS('Incident'!$D$4:$D$5003,"Mar",'Incident'!$H$4:$H$5003,dCrit)</f>
        <v>0</v>
      </c>
    </row>
    <row r="14" spans="2:43">
      <c r="B14" s="19" t="s">
        <v>44</v>
      </c>
      <c r="C14" s="19">
        <v>3</v>
      </c>
      <c r="D14" s="19">
        <f>IF(Calculations!$C$10=1,IF(ROUNDUP($C$14/3,0)=Calculations!$F$10,1,0),IF($C$14=Calculations!$I$10,1,0))</f>
        <v>0</v>
      </c>
      <c r="E14" s="19">
        <f>IF(Calculations!$C$10=1,IF(ROUNDUP($C$14/3,0)=Calculations!$F$10-1,1,0),IF($C$14=Calculations!$I$10-1,1,0))</f>
        <v>0</v>
      </c>
      <c r="F14" s="20">
        <f>COUNTIFS('Incident'!$N$4:$N$5003,"Medical Treatment",'Incident'!$D$4:$D$5003,"Mar",'Incident'!$H$4:$H$5003,dCrit)+COUNTIFS('Incident'!$N$4:$N$5003,"Restricted Work",'Incident'!$D$4:$D$5003,"Mar",'Incident'!$H$4:$H$5003,dCrit)+COUNTIFS('Incident'!$N$4:$N$5003,"Lost Time Injury",'Incident'!$D$4:$D$5003,"Mar",'Incident'!$H$4:$H$5003,dCrit)+COUNTIFS('Incident'!$N$4:$N$5003,"Fatality",'Incident'!$D$4:$D$5003,"Mar",'Incident'!$H$4:$H$5003,dCrit)</f>
        <v>0</v>
      </c>
      <c r="G14" s="20">
        <f>COUNTIFS('Incident'!$N$4:$N$5003,"Lost Time Injury",'Incident'!$D$4:$D$5003,"Mar",'Incident'!$H$4:$H$5003,dCrit)+COUNTIFS('Incident'!$N$4:$N$5003,"Fatality",'Incident'!$D$4:$D$5003,"Mar",'Incident'!$H$4:$H$5003,dCrit)</f>
        <v>0</v>
      </c>
      <c r="H14" s="20">
        <f>COUNTIFS('Incident'!$N$4:$N$5003,"Near Miss",'Incident'!$D$4:$D$5003,"Mar",'Incident'!$H$4:$H$5003,dCrit)</f>
        <v>0</v>
      </c>
      <c r="I14" s="20">
        <f>COUNTIFS('Incident'!$N$4:$N$5003,"First Aid",'Incident'!$D$4:$D$5003,"Mar",'Incident'!$H$4:$H$5003,dCrit)</f>
        <v>0</v>
      </c>
      <c r="J14" s="20">
        <f>COUNTIFS('Incident'!$N$4:$N$5003,"Medical Treatment",'Incident'!$D$4:$D$5003,"Mar",'Incident'!$H$4:$H$5003,dCrit)</f>
        <v>0</v>
      </c>
      <c r="K14" s="20">
        <f>COUNTIFS('Incident'!$N$4:$N$5003,"Restricted Work",'Incident'!$D$4:$D$5003,"Mar",'Incident'!$H$4:$H$5003,dCrit)</f>
        <v>0</v>
      </c>
      <c r="L14" s="20">
        <f>COUNTIFS('Incident'!$N$4:$N$5003,"Lost Time Injury",'Incident'!$D$4:$D$5003,"Mar",'Incident'!$H$4:$H$5003,dCrit)</f>
        <v>0</v>
      </c>
      <c r="M14" s="20">
        <f>COUNTIFS('Incident'!$N$4:$N$5003,"Fatality",'Incident'!$D$4:$D$5003,"Mar",'Incident'!$H$4:$H$5003,dCrit)</f>
        <v>0</v>
      </c>
      <c r="N14" s="20">
        <f>SUMIFS('Incident'!$V$4:$V$5003,'Incident'!$D$4:$D$5003,"Mar",'Incident'!$H$4:$H$5003,dCrit)</f>
        <v>0</v>
      </c>
      <c r="O14" s="20">
        <f>COUNTIFS('Incident'!$D$4:$D$5003,"Mar",'Incident'!$H$4:$H$5003,dCrit)</f>
        <v>0</v>
      </c>
      <c r="P14" s="20">
        <f>COUNTIFS('Disciplinary Actions'!$D$4:$D$5003,"Mar",'Disciplinary Actions'!$F$4:$F$5003,dCrit)</f>
        <v>0</v>
      </c>
      <c r="Q14" s="20">
        <f>COUNTIFS('NC Management'!$M$4:$M$5003,"Open",'NC Management'!$D$4:$D$5003,"Mar",'NC Management'!$G$4:$G$5003,dCrit)+COUNTIFS('NC Management'!$M$4:$M$5003,"Overdue",'NC Management'!$D$4:$D$5003,"Mar",'NC Management'!$G$4:$G$5003,dCrit)</f>
        <v>0</v>
      </c>
      <c r="R14" s="20">
        <f>COUNTIFS('Training'!$D$4:$D$5003,"Mar",'Training'!$G$4:$G$5003,dCrit)</f>
        <v>0</v>
      </c>
      <c r="S14" s="20">
        <f>COUNTIFS('Training'!$N$4:$N$5003,"Completed",'Training'!$D$4:$D$5003,"Mar",'Training'!$G$4:$G$5003,dCrit)</f>
        <v>0</v>
      </c>
      <c r="T14" s="20">
        <f>COUNTIFS('HSE Observations'!$D$4:$D$5003,"Mar",'HSE Observations'!$G$4:$G$5003,dCrit)</f>
        <v>0</v>
      </c>
      <c r="U14" s="20">
        <f>COUNTIFS('HSE Observations'!$M$4:$M$5003,"Closed",'HSE Observations'!$D$4:$D$5003,"Mar",'HSE Observations'!$G$4:$G$5003,dCrit)</f>
        <v>0</v>
      </c>
      <c r="V14" s="20">
        <f>COUNTIFS('Toolbox Talks'!$D$4:$D$5003,"Mar",'Toolbox Talks'!$F$4:$F$5003,dCrit)</f>
        <v>0</v>
      </c>
      <c r="W14" s="20">
        <f>COUNTIFS('Workplace Inspections'!$D$4:$D$5003,"Mar",'Workplace Inspections'!$F$4:$F$5003,dCrit)+COUNTIFS('Equipment Inspections'!$D$4:$D$5003,"Mar",'Equipment Inspections'!$F$4:$F$5003,dCrit)+COUNTIFS('Safety Walkthroughs'!$D$4:$D$5003,"Mar",'Safety Walkthroughs'!$F$4:$F$5003,dCrit)</f>
        <v>0</v>
      </c>
      <c r="X14" s="20">
        <f>COUNTIFS('Internal Audits'!$D$4:$D$5003,"Mar",'Internal Audits'!$G$4:$G$5003,dCrit)+COUNTIFS('External Audits'!$D$4:$D$5003,"Mar",'External Audits'!$G$4:$G$5003,dCrit)</f>
        <v>0</v>
      </c>
      <c r="Y14" s="20">
        <f>COUNTIFS('PTW Audits'!$D$4:$D$5003,"Mar",'PTW Audits'!$F$4:$F$5003,dCrit)</f>
        <v>0</v>
      </c>
      <c r="Z14" s="20">
        <f>COUNTIFS('PTW Audits'!$M$4:$M$5003,"Compliant",'PTW Audits'!$D$4:$D$5003,"Mar",'PTW Audits'!$F$4:$F$5003,dCrit)</f>
        <v>0</v>
      </c>
      <c r="AA14" s="20">
        <f>COUNTIFS('Emergency Drills'!$D$4:$D$5003,"Mar")</f>
        <v>0</v>
      </c>
      <c r="AB14" s="20">
        <f>COUNTIFS('Corrective Actions'!$D$4:$D$5003,"Mar",'Corrective Actions'!$F$4:$F$5003,dCrit)</f>
        <v>0</v>
      </c>
      <c r="AC14" s="20">
        <f>COUNTIFS('Corrective Actions'!$N$4:$N$5003,"Closed",'Corrective Actions'!$D$4:$D$5003,"Mar",'Corrective Actions'!$F$4:$F$5003,dCrit)</f>
        <v>0</v>
      </c>
      <c r="AD14" s="20">
        <f>COUNTIFS('JSA Risk Assessment'!$D$4:$D$5003,"Mar",'JSA Risk Assessment'!$F$4:$F$5003,dCrit)</f>
        <v>0</v>
      </c>
      <c r="AE14" s="20">
        <f>COUNTIFS('Safety Meetings'!$D$4:$D$5003,"Mar",'Safety Meetings'!$G$4:$G$5003,dCrit)</f>
        <v>0</v>
      </c>
      <c r="AF14" s="11" t="s">
        <v>1672</v>
      </c>
      <c r="AG14" s="19" t="s">
        <v>1671</v>
      </c>
      <c r="AH14" s="20">
        <f>SUMPRODUCT(Calculations!$O$12:$O$23,Calculations!$D$12:$D$23)</f>
        <v>0</v>
      </c>
      <c r="AI14" s="20">
        <f>SUMPRODUCT(Calculations!$O$12:$O$23,Calculations!$E$12:$E$23)</f>
        <v>0</v>
      </c>
      <c r="AJ14" s="21">
        <f>IFERROR(($AH$14-$AI$14)/$AI$14,IF($AH$14&gt;0,1,0))</f>
        <v>0</v>
      </c>
      <c r="AK14" s="19">
        <f>($AH$14-$AI$14)*-1</f>
        <v>0</v>
      </c>
      <c r="AM14" s="11" t="s">
        <v>1511</v>
      </c>
      <c r="AN14" s="20">
        <f>SUMPRODUCT(Calculations!$J$12:$J$23,Calculations!$D$12:$D$23)</f>
        <v>0</v>
      </c>
      <c r="AP14" s="19" t="s">
        <v>53</v>
      </c>
      <c r="AQ14" s="20">
        <f>COUNTIFS('Incident'!$D$4:$D$5003,"Apr",'Incident'!$H$4:$H$5003,dCrit)</f>
        <v>0</v>
      </c>
    </row>
    <row r="15" spans="2:43">
      <c r="B15" s="19" t="s">
        <v>53</v>
      </c>
      <c r="C15" s="19">
        <v>4</v>
      </c>
      <c r="D15" s="19">
        <f>IF(Calculations!$C$10=1,IF(ROUNDUP($C$15/3,0)=Calculations!$F$10,1,0),IF($C$15=Calculations!$I$10,1,0))</f>
        <v>0</v>
      </c>
      <c r="E15" s="19">
        <f>IF(Calculations!$C$10=1,IF(ROUNDUP($C$15/3,0)=Calculations!$F$10-1,1,0),IF($C$15=Calculations!$I$10-1,1,0))</f>
        <v>0</v>
      </c>
      <c r="F15" s="20">
        <f>COUNTIFS('Incident'!$N$4:$N$5003,"Medical Treatment",'Incident'!$D$4:$D$5003,"Apr",'Incident'!$H$4:$H$5003,dCrit)+COUNTIFS('Incident'!$N$4:$N$5003,"Restricted Work",'Incident'!$D$4:$D$5003,"Apr",'Incident'!$H$4:$H$5003,dCrit)+COUNTIFS('Incident'!$N$4:$N$5003,"Lost Time Injury",'Incident'!$D$4:$D$5003,"Apr",'Incident'!$H$4:$H$5003,dCrit)+COUNTIFS('Incident'!$N$4:$N$5003,"Fatality",'Incident'!$D$4:$D$5003,"Apr",'Incident'!$H$4:$H$5003,dCrit)</f>
        <v>0</v>
      </c>
      <c r="G15" s="20">
        <f>COUNTIFS('Incident'!$N$4:$N$5003,"Lost Time Injury",'Incident'!$D$4:$D$5003,"Apr",'Incident'!$H$4:$H$5003,dCrit)+COUNTIFS('Incident'!$N$4:$N$5003,"Fatality",'Incident'!$D$4:$D$5003,"Apr",'Incident'!$H$4:$H$5003,dCrit)</f>
        <v>0</v>
      </c>
      <c r="H15" s="20">
        <f>COUNTIFS('Incident'!$N$4:$N$5003,"Near Miss",'Incident'!$D$4:$D$5003,"Apr",'Incident'!$H$4:$H$5003,dCrit)</f>
        <v>0</v>
      </c>
      <c r="I15" s="20">
        <f>COUNTIFS('Incident'!$N$4:$N$5003,"First Aid",'Incident'!$D$4:$D$5003,"Apr",'Incident'!$H$4:$H$5003,dCrit)</f>
        <v>0</v>
      </c>
      <c r="J15" s="20">
        <f>COUNTIFS('Incident'!$N$4:$N$5003,"Medical Treatment",'Incident'!$D$4:$D$5003,"Apr",'Incident'!$H$4:$H$5003,dCrit)</f>
        <v>0</v>
      </c>
      <c r="K15" s="20">
        <f>COUNTIFS('Incident'!$N$4:$N$5003,"Restricted Work",'Incident'!$D$4:$D$5003,"Apr",'Incident'!$H$4:$H$5003,dCrit)</f>
        <v>0</v>
      </c>
      <c r="L15" s="20">
        <f>COUNTIFS('Incident'!$N$4:$N$5003,"Lost Time Injury",'Incident'!$D$4:$D$5003,"Apr",'Incident'!$H$4:$H$5003,dCrit)</f>
        <v>0</v>
      </c>
      <c r="M15" s="20">
        <f>COUNTIFS('Incident'!$N$4:$N$5003,"Fatality",'Incident'!$D$4:$D$5003,"Apr",'Incident'!$H$4:$H$5003,dCrit)</f>
        <v>0</v>
      </c>
      <c r="N15" s="20">
        <f>SUMIFS('Incident'!$V$4:$V$5003,'Incident'!$D$4:$D$5003,"Apr",'Incident'!$H$4:$H$5003,dCrit)</f>
        <v>0</v>
      </c>
      <c r="O15" s="20">
        <f>COUNTIFS('Incident'!$D$4:$D$5003,"Apr",'Incident'!$H$4:$H$5003,dCrit)</f>
        <v>0</v>
      </c>
      <c r="P15" s="20">
        <f>COUNTIFS('Disciplinary Actions'!$D$4:$D$5003,"Apr",'Disciplinary Actions'!$F$4:$F$5003,dCrit)</f>
        <v>0</v>
      </c>
      <c r="Q15" s="20">
        <f>COUNTIFS('NC Management'!$M$4:$M$5003,"Open",'NC Management'!$D$4:$D$5003,"Apr",'NC Management'!$G$4:$G$5003,dCrit)+COUNTIFS('NC Management'!$M$4:$M$5003,"Overdue",'NC Management'!$D$4:$D$5003,"Apr",'NC Management'!$G$4:$G$5003,dCrit)</f>
        <v>0</v>
      </c>
      <c r="R15" s="20">
        <f>COUNTIFS('Training'!$D$4:$D$5003,"Apr",'Training'!$G$4:$G$5003,dCrit)</f>
        <v>0</v>
      </c>
      <c r="S15" s="20">
        <f>COUNTIFS('Training'!$N$4:$N$5003,"Completed",'Training'!$D$4:$D$5003,"Apr",'Training'!$G$4:$G$5003,dCrit)</f>
        <v>0</v>
      </c>
      <c r="T15" s="20">
        <f>COUNTIFS('HSE Observations'!$D$4:$D$5003,"Apr",'HSE Observations'!$G$4:$G$5003,dCrit)</f>
        <v>0</v>
      </c>
      <c r="U15" s="20">
        <f>COUNTIFS('HSE Observations'!$M$4:$M$5003,"Closed",'HSE Observations'!$D$4:$D$5003,"Apr",'HSE Observations'!$G$4:$G$5003,dCrit)</f>
        <v>0</v>
      </c>
      <c r="V15" s="20">
        <f>COUNTIFS('Toolbox Talks'!$D$4:$D$5003,"Apr",'Toolbox Talks'!$F$4:$F$5003,dCrit)</f>
        <v>0</v>
      </c>
      <c r="W15" s="20">
        <f>COUNTIFS('Workplace Inspections'!$D$4:$D$5003,"Apr",'Workplace Inspections'!$F$4:$F$5003,dCrit)+COUNTIFS('Equipment Inspections'!$D$4:$D$5003,"Apr",'Equipment Inspections'!$F$4:$F$5003,dCrit)+COUNTIFS('Safety Walkthroughs'!$D$4:$D$5003,"Apr",'Safety Walkthroughs'!$F$4:$F$5003,dCrit)</f>
        <v>0</v>
      </c>
      <c r="X15" s="20">
        <f>COUNTIFS('Internal Audits'!$D$4:$D$5003,"Apr",'Internal Audits'!$G$4:$G$5003,dCrit)+COUNTIFS('External Audits'!$D$4:$D$5003,"Apr",'External Audits'!$G$4:$G$5003,dCrit)</f>
        <v>0</v>
      </c>
      <c r="Y15" s="20">
        <f>COUNTIFS('PTW Audits'!$D$4:$D$5003,"Apr",'PTW Audits'!$F$4:$F$5003,dCrit)</f>
        <v>0</v>
      </c>
      <c r="Z15" s="20">
        <f>COUNTIFS('PTW Audits'!$M$4:$M$5003,"Compliant",'PTW Audits'!$D$4:$D$5003,"Apr",'PTW Audits'!$F$4:$F$5003,dCrit)</f>
        <v>0</v>
      </c>
      <c r="AA15" s="20">
        <f>COUNTIFS('Emergency Drills'!$D$4:$D$5003,"Apr")</f>
        <v>0</v>
      </c>
      <c r="AB15" s="20">
        <f>COUNTIFS('Corrective Actions'!$D$4:$D$5003,"Apr",'Corrective Actions'!$F$4:$F$5003,dCrit)</f>
        <v>0</v>
      </c>
      <c r="AC15" s="20">
        <f>COUNTIFS('Corrective Actions'!$N$4:$N$5003,"Closed",'Corrective Actions'!$D$4:$D$5003,"Apr",'Corrective Actions'!$F$4:$F$5003,dCrit)</f>
        <v>0</v>
      </c>
      <c r="AD15" s="20">
        <f>COUNTIFS('JSA Risk Assessment'!$D$4:$D$5003,"Apr",'JSA Risk Assessment'!$F$4:$F$5003,dCrit)</f>
        <v>0</v>
      </c>
      <c r="AE15" s="20">
        <f>COUNTIFS('Safety Meetings'!$D$4:$D$5003,"Apr",'Safety Meetings'!$G$4:$G$5003,dCrit)</f>
        <v>0</v>
      </c>
      <c r="AF15" s="11" t="s">
        <v>1673</v>
      </c>
      <c r="AG15" s="19" t="s">
        <v>1671</v>
      </c>
      <c r="AH15" s="20">
        <f>SUMPRODUCT(Calculations!$F$12:$F$23,Calculations!$D$12:$D$23)</f>
        <v>0</v>
      </c>
      <c r="AI15" s="20">
        <f>SUMPRODUCT(Calculations!$F$12:$F$23,Calculations!$E$12:$E$23)</f>
        <v>0</v>
      </c>
      <c r="AJ15" s="21">
        <f>IFERROR(($AH$15-$AI$15)/$AI$15,IF($AH$15&gt;0,1,0))</f>
        <v>0</v>
      </c>
      <c r="AK15" s="19">
        <f>($AH$15-$AI$15)*-1</f>
        <v>0</v>
      </c>
      <c r="AM15" s="11" t="s">
        <v>1488</v>
      </c>
      <c r="AN15" s="20">
        <f>SUMPRODUCT(Calculations!$I$12:$I$23,Calculations!$D$12:$D$23)</f>
        <v>0</v>
      </c>
      <c r="AP15" s="19" t="s">
        <v>60</v>
      </c>
      <c r="AQ15" s="20">
        <f>COUNTIFS('Incident'!$D$4:$D$5003,"May",'Incident'!$H$4:$H$5003,dCrit)</f>
        <v>0</v>
      </c>
    </row>
    <row r="16" spans="2:43">
      <c r="B16" s="19" t="s">
        <v>60</v>
      </c>
      <c r="C16" s="19">
        <v>5</v>
      </c>
      <c r="D16" s="19">
        <f>IF(Calculations!$C$10=1,IF(ROUNDUP($C$16/3,0)=Calculations!$F$10,1,0),IF($C$16=Calculations!$I$10,1,0))</f>
        <v>0</v>
      </c>
      <c r="E16" s="19">
        <f>IF(Calculations!$C$10=1,IF(ROUNDUP($C$16/3,0)=Calculations!$F$10-1,1,0),IF($C$16=Calculations!$I$10-1,1,0))</f>
        <v>0</v>
      </c>
      <c r="F16" s="20">
        <f>COUNTIFS('Incident'!$N$4:$N$5003,"Medical Treatment",'Incident'!$D$4:$D$5003,"May",'Incident'!$H$4:$H$5003,dCrit)+COUNTIFS('Incident'!$N$4:$N$5003,"Restricted Work",'Incident'!$D$4:$D$5003,"May",'Incident'!$H$4:$H$5003,dCrit)+COUNTIFS('Incident'!$N$4:$N$5003,"Lost Time Injury",'Incident'!$D$4:$D$5003,"May",'Incident'!$H$4:$H$5003,dCrit)+COUNTIFS('Incident'!$N$4:$N$5003,"Fatality",'Incident'!$D$4:$D$5003,"May",'Incident'!$H$4:$H$5003,dCrit)</f>
        <v>0</v>
      </c>
      <c r="G16" s="20">
        <f>COUNTIFS('Incident'!$N$4:$N$5003,"Lost Time Injury",'Incident'!$D$4:$D$5003,"May",'Incident'!$H$4:$H$5003,dCrit)+COUNTIFS('Incident'!$N$4:$N$5003,"Fatality",'Incident'!$D$4:$D$5003,"May",'Incident'!$H$4:$H$5003,dCrit)</f>
        <v>0</v>
      </c>
      <c r="H16" s="20">
        <f>COUNTIFS('Incident'!$N$4:$N$5003,"Near Miss",'Incident'!$D$4:$D$5003,"May",'Incident'!$H$4:$H$5003,dCrit)</f>
        <v>0</v>
      </c>
      <c r="I16" s="20">
        <f>COUNTIFS('Incident'!$N$4:$N$5003,"First Aid",'Incident'!$D$4:$D$5003,"May",'Incident'!$H$4:$H$5003,dCrit)</f>
        <v>0</v>
      </c>
      <c r="J16" s="20">
        <f>COUNTIFS('Incident'!$N$4:$N$5003,"Medical Treatment",'Incident'!$D$4:$D$5003,"May",'Incident'!$H$4:$H$5003,dCrit)</f>
        <v>0</v>
      </c>
      <c r="K16" s="20">
        <f>COUNTIFS('Incident'!$N$4:$N$5003,"Restricted Work",'Incident'!$D$4:$D$5003,"May",'Incident'!$H$4:$H$5003,dCrit)</f>
        <v>0</v>
      </c>
      <c r="L16" s="20">
        <f>COUNTIFS('Incident'!$N$4:$N$5003,"Lost Time Injury",'Incident'!$D$4:$D$5003,"May",'Incident'!$H$4:$H$5003,dCrit)</f>
        <v>0</v>
      </c>
      <c r="M16" s="20">
        <f>COUNTIFS('Incident'!$N$4:$N$5003,"Fatality",'Incident'!$D$4:$D$5003,"May",'Incident'!$H$4:$H$5003,dCrit)</f>
        <v>0</v>
      </c>
      <c r="N16" s="20">
        <f>SUMIFS('Incident'!$V$4:$V$5003,'Incident'!$D$4:$D$5003,"May",'Incident'!$H$4:$H$5003,dCrit)</f>
        <v>0</v>
      </c>
      <c r="O16" s="20">
        <f>COUNTIFS('Incident'!$D$4:$D$5003,"May",'Incident'!$H$4:$H$5003,dCrit)</f>
        <v>0</v>
      </c>
      <c r="P16" s="20">
        <f>COUNTIFS('Disciplinary Actions'!$D$4:$D$5003,"May",'Disciplinary Actions'!$F$4:$F$5003,dCrit)</f>
        <v>0</v>
      </c>
      <c r="Q16" s="20">
        <f>COUNTIFS('NC Management'!$M$4:$M$5003,"Open",'NC Management'!$D$4:$D$5003,"May",'NC Management'!$G$4:$G$5003,dCrit)+COUNTIFS('NC Management'!$M$4:$M$5003,"Overdue",'NC Management'!$D$4:$D$5003,"May",'NC Management'!$G$4:$G$5003,dCrit)</f>
        <v>0</v>
      </c>
      <c r="R16" s="20">
        <f>COUNTIFS('Training'!$D$4:$D$5003,"May",'Training'!$G$4:$G$5003,dCrit)</f>
        <v>0</v>
      </c>
      <c r="S16" s="20">
        <f>COUNTIFS('Training'!$N$4:$N$5003,"Completed",'Training'!$D$4:$D$5003,"May",'Training'!$G$4:$G$5003,dCrit)</f>
        <v>0</v>
      </c>
      <c r="T16" s="20">
        <f>COUNTIFS('HSE Observations'!$D$4:$D$5003,"May",'HSE Observations'!$G$4:$G$5003,dCrit)</f>
        <v>0</v>
      </c>
      <c r="U16" s="20">
        <f>COUNTIFS('HSE Observations'!$M$4:$M$5003,"Closed",'HSE Observations'!$D$4:$D$5003,"May",'HSE Observations'!$G$4:$G$5003,dCrit)</f>
        <v>0</v>
      </c>
      <c r="V16" s="20">
        <f>COUNTIFS('Toolbox Talks'!$D$4:$D$5003,"May",'Toolbox Talks'!$F$4:$F$5003,dCrit)</f>
        <v>0</v>
      </c>
      <c r="W16" s="20">
        <f>COUNTIFS('Workplace Inspections'!$D$4:$D$5003,"May",'Workplace Inspections'!$F$4:$F$5003,dCrit)+COUNTIFS('Equipment Inspections'!$D$4:$D$5003,"May",'Equipment Inspections'!$F$4:$F$5003,dCrit)+COUNTIFS('Safety Walkthroughs'!$D$4:$D$5003,"May",'Safety Walkthroughs'!$F$4:$F$5003,dCrit)</f>
        <v>0</v>
      </c>
      <c r="X16" s="20">
        <f>COUNTIFS('Internal Audits'!$D$4:$D$5003,"May",'Internal Audits'!$G$4:$G$5003,dCrit)+COUNTIFS('External Audits'!$D$4:$D$5003,"May",'External Audits'!$G$4:$G$5003,dCrit)</f>
        <v>0</v>
      </c>
      <c r="Y16" s="20">
        <f>COUNTIFS('PTW Audits'!$D$4:$D$5003,"May",'PTW Audits'!$F$4:$F$5003,dCrit)</f>
        <v>0</v>
      </c>
      <c r="Z16" s="20">
        <f>COUNTIFS('PTW Audits'!$M$4:$M$5003,"Compliant",'PTW Audits'!$D$4:$D$5003,"May",'PTW Audits'!$F$4:$F$5003,dCrit)</f>
        <v>0</v>
      </c>
      <c r="AA16" s="20">
        <f>COUNTIFS('Emergency Drills'!$D$4:$D$5003,"May")</f>
        <v>0</v>
      </c>
      <c r="AB16" s="20">
        <f>COUNTIFS('Corrective Actions'!$D$4:$D$5003,"May",'Corrective Actions'!$F$4:$F$5003,dCrit)</f>
        <v>0</v>
      </c>
      <c r="AC16" s="20">
        <f>COUNTIFS('Corrective Actions'!$N$4:$N$5003,"Closed",'Corrective Actions'!$D$4:$D$5003,"May",'Corrective Actions'!$F$4:$F$5003,dCrit)</f>
        <v>0</v>
      </c>
      <c r="AD16" s="20">
        <f>COUNTIFS('JSA Risk Assessment'!$D$4:$D$5003,"May",'JSA Risk Assessment'!$F$4:$F$5003,dCrit)</f>
        <v>0</v>
      </c>
      <c r="AE16" s="20">
        <f>COUNTIFS('Safety Meetings'!$D$4:$D$5003,"May",'Safety Meetings'!$G$4:$G$5003,dCrit)</f>
        <v>0</v>
      </c>
      <c r="AF16" s="11" t="s">
        <v>1674</v>
      </c>
      <c r="AG16" s="19" t="s">
        <v>1671</v>
      </c>
      <c r="AH16" s="20">
        <f>SUMPRODUCT(Calculations!$G$12:$G$23,Calculations!$D$12:$D$23)</f>
        <v>0</v>
      </c>
      <c r="AI16" s="20">
        <f>SUMPRODUCT(Calculations!$G$12:$G$23,Calculations!$E$12:$E$23)</f>
        <v>0</v>
      </c>
      <c r="AJ16" s="21">
        <f>IFERROR(($AH$16-$AI$16)/$AI$16,IF($AH$16&gt;0,1,0))</f>
        <v>0</v>
      </c>
      <c r="AK16" s="19">
        <f>($AH$16-$AI$16)*-1</f>
        <v>0</v>
      </c>
      <c r="AM16" s="11" t="s">
        <v>1475</v>
      </c>
      <c r="AN16" s="20">
        <f>SUMPRODUCT(Calculations!$H$12:$H$23,Calculations!$D$12:$D$23)</f>
        <v>0</v>
      </c>
      <c r="AP16" s="19" t="s">
        <v>73</v>
      </c>
      <c r="AQ16" s="20">
        <f>COUNTIFS('Incident'!$D$4:$D$5003,"Jun",'Incident'!$H$4:$H$5003,dCrit)</f>
        <v>0</v>
      </c>
    </row>
    <row r="17" spans="2:43">
      <c r="B17" s="19" t="s">
        <v>73</v>
      </c>
      <c r="C17" s="19">
        <v>6</v>
      </c>
      <c r="D17" s="19">
        <f>IF(Calculations!$C$10=1,IF(ROUNDUP($C$17/3,0)=Calculations!$F$10,1,0),IF($C$17=Calculations!$I$10,1,0))</f>
        <v>0</v>
      </c>
      <c r="E17" s="19">
        <f>IF(Calculations!$C$10=1,IF(ROUNDUP($C$17/3,0)=Calculations!$F$10-1,1,0),IF($C$17=Calculations!$I$10-1,1,0))</f>
        <v>0</v>
      </c>
      <c r="F17" s="20">
        <f>COUNTIFS('Incident'!$N$4:$N$5003,"Medical Treatment",'Incident'!$D$4:$D$5003,"Jun",'Incident'!$H$4:$H$5003,dCrit)+COUNTIFS('Incident'!$N$4:$N$5003,"Restricted Work",'Incident'!$D$4:$D$5003,"Jun",'Incident'!$H$4:$H$5003,dCrit)+COUNTIFS('Incident'!$N$4:$N$5003,"Lost Time Injury",'Incident'!$D$4:$D$5003,"Jun",'Incident'!$H$4:$H$5003,dCrit)+COUNTIFS('Incident'!$N$4:$N$5003,"Fatality",'Incident'!$D$4:$D$5003,"Jun",'Incident'!$H$4:$H$5003,dCrit)</f>
        <v>0</v>
      </c>
      <c r="G17" s="20">
        <f>COUNTIFS('Incident'!$N$4:$N$5003,"Lost Time Injury",'Incident'!$D$4:$D$5003,"Jun",'Incident'!$H$4:$H$5003,dCrit)+COUNTIFS('Incident'!$N$4:$N$5003,"Fatality",'Incident'!$D$4:$D$5003,"Jun",'Incident'!$H$4:$H$5003,dCrit)</f>
        <v>0</v>
      </c>
      <c r="H17" s="20">
        <f>COUNTIFS('Incident'!$N$4:$N$5003,"Near Miss",'Incident'!$D$4:$D$5003,"Jun",'Incident'!$H$4:$H$5003,dCrit)</f>
        <v>0</v>
      </c>
      <c r="I17" s="20">
        <f>COUNTIFS('Incident'!$N$4:$N$5003,"First Aid",'Incident'!$D$4:$D$5003,"Jun",'Incident'!$H$4:$H$5003,dCrit)</f>
        <v>0</v>
      </c>
      <c r="J17" s="20">
        <f>COUNTIFS('Incident'!$N$4:$N$5003,"Medical Treatment",'Incident'!$D$4:$D$5003,"Jun",'Incident'!$H$4:$H$5003,dCrit)</f>
        <v>0</v>
      </c>
      <c r="K17" s="20">
        <f>COUNTIFS('Incident'!$N$4:$N$5003,"Restricted Work",'Incident'!$D$4:$D$5003,"Jun",'Incident'!$H$4:$H$5003,dCrit)</f>
        <v>0</v>
      </c>
      <c r="L17" s="20">
        <f>COUNTIFS('Incident'!$N$4:$N$5003,"Lost Time Injury",'Incident'!$D$4:$D$5003,"Jun",'Incident'!$H$4:$H$5003,dCrit)</f>
        <v>0</v>
      </c>
      <c r="M17" s="20">
        <f>COUNTIFS('Incident'!$N$4:$N$5003,"Fatality",'Incident'!$D$4:$D$5003,"Jun",'Incident'!$H$4:$H$5003,dCrit)</f>
        <v>0</v>
      </c>
      <c r="N17" s="20">
        <f>SUMIFS('Incident'!$V$4:$V$5003,'Incident'!$D$4:$D$5003,"Jun",'Incident'!$H$4:$H$5003,dCrit)</f>
        <v>0</v>
      </c>
      <c r="O17" s="20">
        <f>COUNTIFS('Incident'!$D$4:$D$5003,"Jun",'Incident'!$H$4:$H$5003,dCrit)</f>
        <v>0</v>
      </c>
      <c r="P17" s="20">
        <f>COUNTIFS('Disciplinary Actions'!$D$4:$D$5003,"Jun",'Disciplinary Actions'!$F$4:$F$5003,dCrit)</f>
        <v>0</v>
      </c>
      <c r="Q17" s="20">
        <f>COUNTIFS('NC Management'!$M$4:$M$5003,"Open",'NC Management'!$D$4:$D$5003,"Jun",'NC Management'!$G$4:$G$5003,dCrit)+COUNTIFS('NC Management'!$M$4:$M$5003,"Overdue",'NC Management'!$D$4:$D$5003,"Jun",'NC Management'!$G$4:$G$5003,dCrit)</f>
        <v>0</v>
      </c>
      <c r="R17" s="20">
        <f>COUNTIFS('Training'!$D$4:$D$5003,"Jun",'Training'!$G$4:$G$5003,dCrit)</f>
        <v>0</v>
      </c>
      <c r="S17" s="20">
        <f>COUNTIFS('Training'!$N$4:$N$5003,"Completed",'Training'!$D$4:$D$5003,"Jun",'Training'!$G$4:$G$5003,dCrit)</f>
        <v>0</v>
      </c>
      <c r="T17" s="20">
        <f>COUNTIFS('HSE Observations'!$D$4:$D$5003,"Jun",'HSE Observations'!$G$4:$G$5003,dCrit)</f>
        <v>0</v>
      </c>
      <c r="U17" s="20">
        <f>COUNTIFS('HSE Observations'!$M$4:$M$5003,"Closed",'HSE Observations'!$D$4:$D$5003,"Jun",'HSE Observations'!$G$4:$G$5003,dCrit)</f>
        <v>0</v>
      </c>
      <c r="V17" s="20">
        <f>COUNTIFS('Toolbox Talks'!$D$4:$D$5003,"Jun",'Toolbox Talks'!$F$4:$F$5003,dCrit)</f>
        <v>0</v>
      </c>
      <c r="W17" s="20">
        <f>COUNTIFS('Workplace Inspections'!$D$4:$D$5003,"Jun",'Workplace Inspections'!$F$4:$F$5003,dCrit)+COUNTIFS('Equipment Inspections'!$D$4:$D$5003,"Jun",'Equipment Inspections'!$F$4:$F$5003,dCrit)+COUNTIFS('Safety Walkthroughs'!$D$4:$D$5003,"Jun",'Safety Walkthroughs'!$F$4:$F$5003,dCrit)</f>
        <v>0</v>
      </c>
      <c r="X17" s="20">
        <f>COUNTIFS('Internal Audits'!$D$4:$D$5003,"Jun",'Internal Audits'!$G$4:$G$5003,dCrit)+COUNTIFS('External Audits'!$D$4:$D$5003,"Jun",'External Audits'!$G$4:$G$5003,dCrit)</f>
        <v>0</v>
      </c>
      <c r="Y17" s="20">
        <f>COUNTIFS('PTW Audits'!$D$4:$D$5003,"Jun",'PTW Audits'!$F$4:$F$5003,dCrit)</f>
        <v>0</v>
      </c>
      <c r="Z17" s="20">
        <f>COUNTIFS('PTW Audits'!$M$4:$M$5003,"Compliant",'PTW Audits'!$D$4:$D$5003,"Jun",'PTW Audits'!$F$4:$F$5003,dCrit)</f>
        <v>0</v>
      </c>
      <c r="AA17" s="20">
        <f>COUNTIFS('Emergency Drills'!$D$4:$D$5003,"Jun")</f>
        <v>0</v>
      </c>
      <c r="AB17" s="20">
        <f>COUNTIFS('Corrective Actions'!$D$4:$D$5003,"Jun",'Corrective Actions'!$F$4:$F$5003,dCrit)</f>
        <v>0</v>
      </c>
      <c r="AC17" s="20">
        <f>COUNTIFS('Corrective Actions'!$N$4:$N$5003,"Closed",'Corrective Actions'!$D$4:$D$5003,"Jun",'Corrective Actions'!$F$4:$F$5003,dCrit)</f>
        <v>0</v>
      </c>
      <c r="AD17" s="20">
        <f>COUNTIFS('JSA Risk Assessment'!$D$4:$D$5003,"Jun",'JSA Risk Assessment'!$F$4:$F$5003,dCrit)</f>
        <v>0</v>
      </c>
      <c r="AE17" s="20">
        <f>COUNTIFS('Safety Meetings'!$D$4:$D$5003,"Jun",'Safety Meetings'!$G$4:$G$5003,dCrit)</f>
        <v>0</v>
      </c>
      <c r="AF17" s="11" t="s">
        <v>1475</v>
      </c>
      <c r="AG17" s="19" t="s">
        <v>1671</v>
      </c>
      <c r="AH17" s="20">
        <f>SUMPRODUCT(Calculations!$H$12:$H$23,Calculations!$D$12:$D$23)</f>
        <v>0</v>
      </c>
      <c r="AI17" s="20">
        <f>SUMPRODUCT(Calculations!$H$12:$H$23,Calculations!$E$12:$E$23)</f>
        <v>0</v>
      </c>
      <c r="AJ17" s="21">
        <f>IFERROR(($AH$17-$AI$17)/$AI$17,IF($AH$17&gt;0,1,0))</f>
        <v>0</v>
      </c>
      <c r="AK17" s="19">
        <f>($AH$17-$AI$17)*-1</f>
        <v>0</v>
      </c>
      <c r="AM17" s="11" t="s">
        <v>1693</v>
      </c>
      <c r="AN17" s="20">
        <f>SUMPRODUCT(Calculations!$AF$12:$AF$23,Calculations!$D$12:$D$23)</f>
        <v>0</v>
      </c>
      <c r="AP17" s="19" t="s">
        <v>76</v>
      </c>
      <c r="AQ17" s="20">
        <f>COUNTIFS('Incident'!$D$4:$D$5003,"Jul",'Incident'!$H$4:$H$5003,dCrit)</f>
        <v>0</v>
      </c>
    </row>
    <row r="18" spans="2:43">
      <c r="B18" s="19" t="s">
        <v>76</v>
      </c>
      <c r="C18" s="19">
        <v>7</v>
      </c>
      <c r="D18" s="19">
        <f>IF(Calculations!$C$10=1,IF(ROUNDUP($C$18/3,0)=Calculations!$F$10,1,0),IF($C$18=Calculations!$I$10,1,0))</f>
        <v>0</v>
      </c>
      <c r="E18" s="19">
        <f>IF(Calculations!$C$10=1,IF(ROUNDUP($C$18/3,0)=Calculations!$F$10-1,1,0),IF($C$18=Calculations!$I$10-1,1,0))</f>
        <v>0</v>
      </c>
      <c r="F18" s="20">
        <f>COUNTIFS('Incident'!$N$4:$N$5003,"Medical Treatment",'Incident'!$D$4:$D$5003,"Jul",'Incident'!$H$4:$H$5003,dCrit)+COUNTIFS('Incident'!$N$4:$N$5003,"Restricted Work",'Incident'!$D$4:$D$5003,"Jul",'Incident'!$H$4:$H$5003,dCrit)+COUNTIFS('Incident'!$N$4:$N$5003,"Lost Time Injury",'Incident'!$D$4:$D$5003,"Jul",'Incident'!$H$4:$H$5003,dCrit)+COUNTIFS('Incident'!$N$4:$N$5003,"Fatality",'Incident'!$D$4:$D$5003,"Jul",'Incident'!$H$4:$H$5003,dCrit)</f>
        <v>0</v>
      </c>
      <c r="G18" s="20">
        <f>COUNTIFS('Incident'!$N$4:$N$5003,"Lost Time Injury",'Incident'!$D$4:$D$5003,"Jul",'Incident'!$H$4:$H$5003,dCrit)+COUNTIFS('Incident'!$N$4:$N$5003,"Fatality",'Incident'!$D$4:$D$5003,"Jul",'Incident'!$H$4:$H$5003,dCrit)</f>
        <v>0</v>
      </c>
      <c r="H18" s="20">
        <f>COUNTIFS('Incident'!$N$4:$N$5003,"Near Miss",'Incident'!$D$4:$D$5003,"Jul",'Incident'!$H$4:$H$5003,dCrit)</f>
        <v>0</v>
      </c>
      <c r="I18" s="20">
        <f>COUNTIFS('Incident'!$N$4:$N$5003,"First Aid",'Incident'!$D$4:$D$5003,"Jul",'Incident'!$H$4:$H$5003,dCrit)</f>
        <v>0</v>
      </c>
      <c r="J18" s="20">
        <f>COUNTIFS('Incident'!$N$4:$N$5003,"Medical Treatment",'Incident'!$D$4:$D$5003,"Jul",'Incident'!$H$4:$H$5003,dCrit)</f>
        <v>0</v>
      </c>
      <c r="K18" s="20">
        <f>COUNTIFS('Incident'!$N$4:$N$5003,"Restricted Work",'Incident'!$D$4:$D$5003,"Jul",'Incident'!$H$4:$H$5003,dCrit)</f>
        <v>0</v>
      </c>
      <c r="L18" s="20">
        <f>COUNTIFS('Incident'!$N$4:$N$5003,"Lost Time Injury",'Incident'!$D$4:$D$5003,"Jul",'Incident'!$H$4:$H$5003,dCrit)</f>
        <v>0</v>
      </c>
      <c r="M18" s="20">
        <f>COUNTIFS('Incident'!$N$4:$N$5003,"Fatality",'Incident'!$D$4:$D$5003,"Jul",'Incident'!$H$4:$H$5003,dCrit)</f>
        <v>0</v>
      </c>
      <c r="N18" s="20">
        <f>SUMIFS('Incident'!$V$4:$V$5003,'Incident'!$D$4:$D$5003,"Jul",'Incident'!$H$4:$H$5003,dCrit)</f>
        <v>0</v>
      </c>
      <c r="O18" s="20">
        <f>COUNTIFS('Incident'!$D$4:$D$5003,"Jul",'Incident'!$H$4:$H$5003,dCrit)</f>
        <v>0</v>
      </c>
      <c r="P18" s="20">
        <f>COUNTIFS('Disciplinary Actions'!$D$4:$D$5003,"Jul",'Disciplinary Actions'!$F$4:$F$5003,dCrit)</f>
        <v>0</v>
      </c>
      <c r="Q18" s="20">
        <f>COUNTIFS('NC Management'!$M$4:$M$5003,"Open",'NC Management'!$D$4:$D$5003,"Jul",'NC Management'!$G$4:$G$5003,dCrit)+COUNTIFS('NC Management'!$M$4:$M$5003,"Overdue",'NC Management'!$D$4:$D$5003,"Jul",'NC Management'!$G$4:$G$5003,dCrit)</f>
        <v>0</v>
      </c>
      <c r="R18" s="20">
        <f>COUNTIFS('Training'!$D$4:$D$5003,"Jul",'Training'!$G$4:$G$5003,dCrit)</f>
        <v>0</v>
      </c>
      <c r="S18" s="20">
        <f>COUNTIFS('Training'!$N$4:$N$5003,"Completed",'Training'!$D$4:$D$5003,"Jul",'Training'!$G$4:$G$5003,dCrit)</f>
        <v>0</v>
      </c>
      <c r="T18" s="20">
        <f>COUNTIFS('HSE Observations'!$D$4:$D$5003,"Jul",'HSE Observations'!$G$4:$G$5003,dCrit)</f>
        <v>0</v>
      </c>
      <c r="U18" s="20">
        <f>COUNTIFS('HSE Observations'!$M$4:$M$5003,"Closed",'HSE Observations'!$D$4:$D$5003,"Jul",'HSE Observations'!$G$4:$G$5003,dCrit)</f>
        <v>0</v>
      </c>
      <c r="V18" s="20">
        <f>COUNTIFS('Toolbox Talks'!$D$4:$D$5003,"Jul",'Toolbox Talks'!$F$4:$F$5003,dCrit)</f>
        <v>0</v>
      </c>
      <c r="W18" s="20">
        <f>COUNTIFS('Workplace Inspections'!$D$4:$D$5003,"Jul",'Workplace Inspections'!$F$4:$F$5003,dCrit)+COUNTIFS('Equipment Inspections'!$D$4:$D$5003,"Jul",'Equipment Inspections'!$F$4:$F$5003,dCrit)+COUNTIFS('Safety Walkthroughs'!$D$4:$D$5003,"Jul",'Safety Walkthroughs'!$F$4:$F$5003,dCrit)</f>
        <v>0</v>
      </c>
      <c r="X18" s="20">
        <f>COUNTIFS('Internal Audits'!$D$4:$D$5003,"Jul",'Internal Audits'!$G$4:$G$5003,dCrit)+COUNTIFS('External Audits'!$D$4:$D$5003,"Jul",'External Audits'!$G$4:$G$5003,dCrit)</f>
        <v>0</v>
      </c>
      <c r="Y18" s="20">
        <f>COUNTIFS('PTW Audits'!$D$4:$D$5003,"Jul",'PTW Audits'!$F$4:$F$5003,dCrit)</f>
        <v>0</v>
      </c>
      <c r="Z18" s="20">
        <f>COUNTIFS('PTW Audits'!$M$4:$M$5003,"Compliant",'PTW Audits'!$D$4:$D$5003,"Jul",'PTW Audits'!$F$4:$F$5003,dCrit)</f>
        <v>0</v>
      </c>
      <c r="AA18" s="20">
        <f>COUNTIFS('Emergency Drills'!$D$4:$D$5003,"Jul")</f>
        <v>0</v>
      </c>
      <c r="AB18" s="20">
        <f>COUNTIFS('Corrective Actions'!$D$4:$D$5003,"Jul",'Corrective Actions'!$F$4:$F$5003,dCrit)</f>
        <v>0</v>
      </c>
      <c r="AC18" s="20">
        <f>COUNTIFS('Corrective Actions'!$N$4:$N$5003,"Closed",'Corrective Actions'!$D$4:$D$5003,"Jul",'Corrective Actions'!$F$4:$F$5003,dCrit)</f>
        <v>0</v>
      </c>
      <c r="AD18" s="20">
        <f>COUNTIFS('JSA Risk Assessment'!$D$4:$D$5003,"Jul",'JSA Risk Assessment'!$F$4:$F$5003,dCrit)</f>
        <v>0</v>
      </c>
      <c r="AE18" s="20">
        <f>COUNTIFS('Safety Meetings'!$D$4:$D$5003,"Jul",'Safety Meetings'!$G$4:$G$5003,dCrit)</f>
        <v>0</v>
      </c>
      <c r="AF18" s="11" t="s">
        <v>1488</v>
      </c>
      <c r="AG18" s="19" t="s">
        <v>1671</v>
      </c>
      <c r="AH18" s="20">
        <f>SUMPRODUCT(Calculations!$I$12:$I$23,Calculations!$D$12:$D$23)</f>
        <v>0</v>
      </c>
      <c r="AI18" s="20">
        <f>SUMPRODUCT(Calculations!$I$12:$I$23,Calculations!$E$12:$E$23)</f>
        <v>0</v>
      </c>
      <c r="AJ18" s="21">
        <f>IFERROR(($AH$18-$AI$18)/$AI$18,IF($AH$18&gt;0,1,0))</f>
        <v>0</v>
      </c>
      <c r="AK18" s="19">
        <f>($AH$18-$AI$18)*-1</f>
        <v>0</v>
      </c>
      <c r="AP18" s="19" t="s">
        <v>86</v>
      </c>
      <c r="AQ18" s="20">
        <f>COUNTIFS('Incident'!$D$4:$D$5003,"Aug",'Incident'!$H$4:$H$5003,dCrit)</f>
        <v>0</v>
      </c>
    </row>
    <row r="19" spans="2:43">
      <c r="B19" s="19" t="s">
        <v>86</v>
      </c>
      <c r="C19" s="19">
        <v>8</v>
      </c>
      <c r="D19" s="19">
        <f>IF(Calculations!$C$10=1,IF(ROUNDUP($C$19/3,0)=Calculations!$F$10,1,0),IF($C$19=Calculations!$I$10,1,0))</f>
        <v>0</v>
      </c>
      <c r="E19" s="19">
        <f>IF(Calculations!$C$10=1,IF(ROUNDUP($C$19/3,0)=Calculations!$F$10-1,1,0),IF($C$19=Calculations!$I$10-1,1,0))</f>
        <v>0</v>
      </c>
      <c r="F19" s="20">
        <f>COUNTIFS('Incident'!$N$4:$N$5003,"Medical Treatment",'Incident'!$D$4:$D$5003,"Aug",'Incident'!$H$4:$H$5003,dCrit)+COUNTIFS('Incident'!$N$4:$N$5003,"Restricted Work",'Incident'!$D$4:$D$5003,"Aug",'Incident'!$H$4:$H$5003,dCrit)+COUNTIFS('Incident'!$N$4:$N$5003,"Lost Time Injury",'Incident'!$D$4:$D$5003,"Aug",'Incident'!$H$4:$H$5003,dCrit)+COUNTIFS('Incident'!$N$4:$N$5003,"Fatality",'Incident'!$D$4:$D$5003,"Aug",'Incident'!$H$4:$H$5003,dCrit)</f>
        <v>0</v>
      </c>
      <c r="G19" s="20">
        <f>COUNTIFS('Incident'!$N$4:$N$5003,"Lost Time Injury",'Incident'!$D$4:$D$5003,"Aug",'Incident'!$H$4:$H$5003,dCrit)+COUNTIFS('Incident'!$N$4:$N$5003,"Fatality",'Incident'!$D$4:$D$5003,"Aug",'Incident'!$H$4:$H$5003,dCrit)</f>
        <v>0</v>
      </c>
      <c r="H19" s="20">
        <f>COUNTIFS('Incident'!$N$4:$N$5003,"Near Miss",'Incident'!$D$4:$D$5003,"Aug",'Incident'!$H$4:$H$5003,dCrit)</f>
        <v>0</v>
      </c>
      <c r="I19" s="20">
        <f>COUNTIFS('Incident'!$N$4:$N$5003,"First Aid",'Incident'!$D$4:$D$5003,"Aug",'Incident'!$H$4:$H$5003,dCrit)</f>
        <v>0</v>
      </c>
      <c r="J19" s="20">
        <f>COUNTIFS('Incident'!$N$4:$N$5003,"Medical Treatment",'Incident'!$D$4:$D$5003,"Aug",'Incident'!$H$4:$H$5003,dCrit)</f>
        <v>0</v>
      </c>
      <c r="K19" s="20">
        <f>COUNTIFS('Incident'!$N$4:$N$5003,"Restricted Work",'Incident'!$D$4:$D$5003,"Aug",'Incident'!$H$4:$H$5003,dCrit)</f>
        <v>0</v>
      </c>
      <c r="L19" s="20">
        <f>COUNTIFS('Incident'!$N$4:$N$5003,"Lost Time Injury",'Incident'!$D$4:$D$5003,"Aug",'Incident'!$H$4:$H$5003,dCrit)</f>
        <v>0</v>
      </c>
      <c r="M19" s="20">
        <f>COUNTIFS('Incident'!$N$4:$N$5003,"Fatality",'Incident'!$D$4:$D$5003,"Aug",'Incident'!$H$4:$H$5003,dCrit)</f>
        <v>0</v>
      </c>
      <c r="N19" s="20">
        <f>SUMIFS('Incident'!$V$4:$V$5003,'Incident'!$D$4:$D$5003,"Aug",'Incident'!$H$4:$H$5003,dCrit)</f>
        <v>0</v>
      </c>
      <c r="O19" s="20">
        <f>COUNTIFS('Incident'!$D$4:$D$5003,"Aug",'Incident'!$H$4:$H$5003,dCrit)</f>
        <v>0</v>
      </c>
      <c r="P19" s="20">
        <f>COUNTIFS('Disciplinary Actions'!$D$4:$D$5003,"Aug",'Disciplinary Actions'!$F$4:$F$5003,dCrit)</f>
        <v>0</v>
      </c>
      <c r="Q19" s="20">
        <f>COUNTIFS('NC Management'!$M$4:$M$5003,"Open",'NC Management'!$D$4:$D$5003,"Aug",'NC Management'!$G$4:$G$5003,dCrit)+COUNTIFS('NC Management'!$M$4:$M$5003,"Overdue",'NC Management'!$D$4:$D$5003,"Aug",'NC Management'!$G$4:$G$5003,dCrit)</f>
        <v>0</v>
      </c>
      <c r="R19" s="20">
        <f>COUNTIFS('Training'!$D$4:$D$5003,"Aug",'Training'!$G$4:$G$5003,dCrit)</f>
        <v>0</v>
      </c>
      <c r="S19" s="20">
        <f>COUNTIFS('Training'!$N$4:$N$5003,"Completed",'Training'!$D$4:$D$5003,"Aug",'Training'!$G$4:$G$5003,dCrit)</f>
        <v>0</v>
      </c>
      <c r="T19" s="20">
        <f>COUNTIFS('HSE Observations'!$D$4:$D$5003,"Aug",'HSE Observations'!$G$4:$G$5003,dCrit)</f>
        <v>0</v>
      </c>
      <c r="U19" s="20">
        <f>COUNTIFS('HSE Observations'!$M$4:$M$5003,"Closed",'HSE Observations'!$D$4:$D$5003,"Aug",'HSE Observations'!$G$4:$G$5003,dCrit)</f>
        <v>0</v>
      </c>
      <c r="V19" s="20">
        <f>COUNTIFS('Toolbox Talks'!$D$4:$D$5003,"Aug",'Toolbox Talks'!$F$4:$F$5003,dCrit)</f>
        <v>0</v>
      </c>
      <c r="W19" s="20">
        <f>COUNTIFS('Workplace Inspections'!$D$4:$D$5003,"Aug",'Workplace Inspections'!$F$4:$F$5003,dCrit)+COUNTIFS('Equipment Inspections'!$D$4:$D$5003,"Aug",'Equipment Inspections'!$F$4:$F$5003,dCrit)+COUNTIFS('Safety Walkthroughs'!$D$4:$D$5003,"Aug",'Safety Walkthroughs'!$F$4:$F$5003,dCrit)</f>
        <v>0</v>
      </c>
      <c r="X19" s="20">
        <f>COUNTIFS('Internal Audits'!$D$4:$D$5003,"Aug",'Internal Audits'!$G$4:$G$5003,dCrit)+COUNTIFS('External Audits'!$D$4:$D$5003,"Aug",'External Audits'!$G$4:$G$5003,dCrit)</f>
        <v>0</v>
      </c>
      <c r="Y19" s="20">
        <f>COUNTIFS('PTW Audits'!$D$4:$D$5003,"Aug",'PTW Audits'!$F$4:$F$5003,dCrit)</f>
        <v>0</v>
      </c>
      <c r="Z19" s="20">
        <f>COUNTIFS('PTW Audits'!$M$4:$M$5003,"Compliant",'PTW Audits'!$D$4:$D$5003,"Aug",'PTW Audits'!$F$4:$F$5003,dCrit)</f>
        <v>0</v>
      </c>
      <c r="AA19" s="20">
        <f>COUNTIFS('Emergency Drills'!$D$4:$D$5003,"Aug")</f>
        <v>0</v>
      </c>
      <c r="AB19" s="20">
        <f>COUNTIFS('Corrective Actions'!$D$4:$D$5003,"Aug",'Corrective Actions'!$F$4:$F$5003,dCrit)</f>
        <v>0</v>
      </c>
      <c r="AC19" s="20">
        <f>COUNTIFS('Corrective Actions'!$N$4:$N$5003,"Closed",'Corrective Actions'!$D$4:$D$5003,"Aug",'Corrective Actions'!$F$4:$F$5003,dCrit)</f>
        <v>0</v>
      </c>
      <c r="AD19" s="20">
        <f>COUNTIFS('JSA Risk Assessment'!$D$4:$D$5003,"Aug",'JSA Risk Assessment'!$F$4:$F$5003,dCrit)</f>
        <v>0</v>
      </c>
      <c r="AE19" s="20">
        <f>COUNTIFS('Safety Meetings'!$D$4:$D$5003,"Aug",'Safety Meetings'!$G$4:$G$5003,dCrit)</f>
        <v>0</v>
      </c>
      <c r="AF19" s="11" t="s">
        <v>1571</v>
      </c>
      <c r="AG19" s="19" t="s">
        <v>1671</v>
      </c>
      <c r="AH19" s="20">
        <f>SUMPRODUCT(Calculations!$N$12:$N$23,Calculations!$D$12:$D$23)</f>
        <v>0</v>
      </c>
      <c r="AI19" s="20">
        <f>SUMPRODUCT(Calculations!$N$12:$N$23,Calculations!$E$12:$E$23)</f>
        <v>0</v>
      </c>
      <c r="AJ19" s="21">
        <f>IFERROR(($AH$19-$AI$19)/$AI$19,IF($AH$19&gt;0,1,0))</f>
        <v>0</v>
      </c>
      <c r="AK19" s="19">
        <f>($AH$19-$AI$19)*-1</f>
        <v>0</v>
      </c>
      <c r="AM19" s="10" t="s">
        <v>1694</v>
      </c>
      <c r="AN19" s="10" t="s">
        <v>1692</v>
      </c>
      <c r="AP19" s="19" t="s">
        <v>102</v>
      </c>
      <c r="AQ19" s="20">
        <f>COUNTIFS('Incident'!$D$4:$D$5003,"Sep",'Incident'!$H$4:$H$5003,dCrit)</f>
        <v>0</v>
      </c>
    </row>
    <row r="20" spans="2:43">
      <c r="B20" s="19" t="s">
        <v>102</v>
      </c>
      <c r="C20" s="19">
        <v>9</v>
      </c>
      <c r="D20" s="19">
        <f>IF(Calculations!$C$10=1,IF(ROUNDUP($C$20/3,0)=Calculations!$F$10,1,0),IF($C$20=Calculations!$I$10,1,0))</f>
        <v>0</v>
      </c>
      <c r="E20" s="19">
        <f>IF(Calculations!$C$10=1,IF(ROUNDUP($C$20/3,0)=Calculations!$F$10-1,1,0),IF($C$20=Calculations!$I$10-1,1,0))</f>
        <v>0</v>
      </c>
      <c r="F20" s="20">
        <f>COUNTIFS('Incident'!$N$4:$N$5003,"Medical Treatment",'Incident'!$D$4:$D$5003,"Sep",'Incident'!$H$4:$H$5003,dCrit)+COUNTIFS('Incident'!$N$4:$N$5003,"Restricted Work",'Incident'!$D$4:$D$5003,"Sep",'Incident'!$H$4:$H$5003,dCrit)+COUNTIFS('Incident'!$N$4:$N$5003,"Lost Time Injury",'Incident'!$D$4:$D$5003,"Sep",'Incident'!$H$4:$H$5003,dCrit)+COUNTIFS('Incident'!$N$4:$N$5003,"Fatality",'Incident'!$D$4:$D$5003,"Sep",'Incident'!$H$4:$H$5003,dCrit)</f>
        <v>0</v>
      </c>
      <c r="G20" s="20">
        <f>COUNTIFS('Incident'!$N$4:$N$5003,"Lost Time Injury",'Incident'!$D$4:$D$5003,"Sep",'Incident'!$H$4:$H$5003,dCrit)+COUNTIFS('Incident'!$N$4:$N$5003,"Fatality",'Incident'!$D$4:$D$5003,"Sep",'Incident'!$H$4:$H$5003,dCrit)</f>
        <v>0</v>
      </c>
      <c r="H20" s="20">
        <f>COUNTIFS('Incident'!$N$4:$N$5003,"Near Miss",'Incident'!$D$4:$D$5003,"Sep",'Incident'!$H$4:$H$5003,dCrit)</f>
        <v>0</v>
      </c>
      <c r="I20" s="20">
        <f>COUNTIFS('Incident'!$N$4:$N$5003,"First Aid",'Incident'!$D$4:$D$5003,"Sep",'Incident'!$H$4:$H$5003,dCrit)</f>
        <v>0</v>
      </c>
      <c r="J20" s="20">
        <f>COUNTIFS('Incident'!$N$4:$N$5003,"Medical Treatment",'Incident'!$D$4:$D$5003,"Sep",'Incident'!$H$4:$H$5003,dCrit)</f>
        <v>0</v>
      </c>
      <c r="K20" s="20">
        <f>COUNTIFS('Incident'!$N$4:$N$5003,"Restricted Work",'Incident'!$D$4:$D$5003,"Sep",'Incident'!$H$4:$H$5003,dCrit)</f>
        <v>0</v>
      </c>
      <c r="L20" s="20">
        <f>COUNTIFS('Incident'!$N$4:$N$5003,"Lost Time Injury",'Incident'!$D$4:$D$5003,"Sep",'Incident'!$H$4:$H$5003,dCrit)</f>
        <v>0</v>
      </c>
      <c r="M20" s="20">
        <f>COUNTIFS('Incident'!$N$4:$N$5003,"Fatality",'Incident'!$D$4:$D$5003,"Sep",'Incident'!$H$4:$H$5003,dCrit)</f>
        <v>0</v>
      </c>
      <c r="N20" s="20">
        <f>SUMIFS('Incident'!$V$4:$V$5003,'Incident'!$D$4:$D$5003,"Sep",'Incident'!$H$4:$H$5003,dCrit)</f>
        <v>0</v>
      </c>
      <c r="O20" s="20">
        <f>COUNTIFS('Incident'!$D$4:$D$5003,"Sep",'Incident'!$H$4:$H$5003,dCrit)</f>
        <v>0</v>
      </c>
      <c r="P20" s="20">
        <f>COUNTIFS('Disciplinary Actions'!$D$4:$D$5003,"Sep",'Disciplinary Actions'!$F$4:$F$5003,dCrit)</f>
        <v>0</v>
      </c>
      <c r="Q20" s="20">
        <f>COUNTIFS('NC Management'!$M$4:$M$5003,"Open",'NC Management'!$D$4:$D$5003,"Sep",'NC Management'!$G$4:$G$5003,dCrit)+COUNTIFS('NC Management'!$M$4:$M$5003,"Overdue",'NC Management'!$D$4:$D$5003,"Sep",'NC Management'!$G$4:$G$5003,dCrit)</f>
        <v>0</v>
      </c>
      <c r="R20" s="20">
        <f>COUNTIFS('Training'!$D$4:$D$5003,"Sep",'Training'!$G$4:$G$5003,dCrit)</f>
        <v>0</v>
      </c>
      <c r="S20" s="20">
        <f>COUNTIFS('Training'!$N$4:$N$5003,"Completed",'Training'!$D$4:$D$5003,"Sep",'Training'!$G$4:$G$5003,dCrit)</f>
        <v>0</v>
      </c>
      <c r="T20" s="20">
        <f>COUNTIFS('HSE Observations'!$D$4:$D$5003,"Sep",'HSE Observations'!$G$4:$G$5003,dCrit)</f>
        <v>0</v>
      </c>
      <c r="U20" s="20">
        <f>COUNTIFS('HSE Observations'!$M$4:$M$5003,"Closed",'HSE Observations'!$D$4:$D$5003,"Sep",'HSE Observations'!$G$4:$G$5003,dCrit)</f>
        <v>0</v>
      </c>
      <c r="V20" s="20">
        <f>COUNTIFS('Toolbox Talks'!$D$4:$D$5003,"Sep",'Toolbox Talks'!$F$4:$F$5003,dCrit)</f>
        <v>0</v>
      </c>
      <c r="W20" s="20">
        <f>COUNTIFS('Workplace Inspections'!$D$4:$D$5003,"Sep",'Workplace Inspections'!$F$4:$F$5003,dCrit)+COUNTIFS('Equipment Inspections'!$D$4:$D$5003,"Sep",'Equipment Inspections'!$F$4:$F$5003,dCrit)+COUNTIFS('Safety Walkthroughs'!$D$4:$D$5003,"Sep",'Safety Walkthroughs'!$F$4:$F$5003,dCrit)</f>
        <v>0</v>
      </c>
      <c r="X20" s="20">
        <f>COUNTIFS('Internal Audits'!$D$4:$D$5003,"Sep",'Internal Audits'!$G$4:$G$5003,dCrit)+COUNTIFS('External Audits'!$D$4:$D$5003,"Sep",'External Audits'!$G$4:$G$5003,dCrit)</f>
        <v>0</v>
      </c>
      <c r="Y20" s="20">
        <f>COUNTIFS('PTW Audits'!$D$4:$D$5003,"Sep",'PTW Audits'!$F$4:$F$5003,dCrit)</f>
        <v>0</v>
      </c>
      <c r="Z20" s="20">
        <f>COUNTIFS('PTW Audits'!$M$4:$M$5003,"Compliant",'PTW Audits'!$D$4:$D$5003,"Sep",'PTW Audits'!$F$4:$F$5003,dCrit)</f>
        <v>0</v>
      </c>
      <c r="AA20" s="20">
        <f>COUNTIFS('Emergency Drills'!$D$4:$D$5003,"Sep")</f>
        <v>0</v>
      </c>
      <c r="AB20" s="20">
        <f>COUNTIFS('Corrective Actions'!$D$4:$D$5003,"Sep",'Corrective Actions'!$F$4:$F$5003,dCrit)</f>
        <v>0</v>
      </c>
      <c r="AC20" s="20">
        <f>COUNTIFS('Corrective Actions'!$N$4:$N$5003,"Closed",'Corrective Actions'!$D$4:$D$5003,"Sep",'Corrective Actions'!$F$4:$F$5003,dCrit)</f>
        <v>0</v>
      </c>
      <c r="AD20" s="20">
        <f>COUNTIFS('JSA Risk Assessment'!$D$4:$D$5003,"Sep",'JSA Risk Assessment'!$F$4:$F$5003,dCrit)</f>
        <v>0</v>
      </c>
      <c r="AE20" s="20">
        <f>COUNTIFS('Safety Meetings'!$D$4:$D$5003,"Sep",'Safety Meetings'!$G$4:$G$5003,dCrit)</f>
        <v>0</v>
      </c>
      <c r="AF20" s="11" t="s">
        <v>1675</v>
      </c>
      <c r="AG20" s="19" t="s">
        <v>1671</v>
      </c>
      <c r="AH20" s="20">
        <f>SUMPRODUCT(Calculations!$P$12:$P$23,Calculations!$D$12:$D$23)</f>
        <v>0</v>
      </c>
      <c r="AI20" s="20">
        <f>SUMPRODUCT(Calculations!$P$12:$P$23,Calculations!$E$12:$E$23)</f>
        <v>0</v>
      </c>
      <c r="AJ20" s="21">
        <f>IFERROR(($AH$20-$AI$20)/$AI$20,IF($AH$20&gt;0,1,0))</f>
        <v>0</v>
      </c>
      <c r="AK20" s="19">
        <f>($AH$20-$AI$20)*-1</f>
        <v>0</v>
      </c>
      <c r="AM20" s="11" t="s">
        <v>1695</v>
      </c>
      <c r="AN20" s="20">
        <f>SUMPRODUCT(Calculations!$V$12:$V$23,Calculations!$D$12:$D$23)</f>
        <v>0</v>
      </c>
      <c r="AP20" s="19" t="s">
        <v>106</v>
      </c>
      <c r="AQ20" s="20">
        <f>COUNTIFS('Incident'!$D$4:$D$5003,"Oct",'Incident'!$H$4:$H$5003,dCrit)</f>
        <v>0</v>
      </c>
    </row>
    <row r="21" spans="2:43">
      <c r="B21" s="19" t="s">
        <v>106</v>
      </c>
      <c r="C21" s="19">
        <v>10</v>
      </c>
      <c r="D21" s="19">
        <f>IF(Calculations!$C$10=1,IF(ROUNDUP($C$21/3,0)=Calculations!$F$10,1,0),IF($C$21=Calculations!$I$10,1,0))</f>
        <v>0</v>
      </c>
      <c r="E21" s="19">
        <f>IF(Calculations!$C$10=1,IF(ROUNDUP($C$21/3,0)=Calculations!$F$10-1,1,0),IF($C$21=Calculations!$I$10-1,1,0))</f>
        <v>0</v>
      </c>
      <c r="F21" s="20">
        <f>COUNTIFS('Incident'!$N$4:$N$5003,"Medical Treatment",'Incident'!$D$4:$D$5003,"Oct",'Incident'!$H$4:$H$5003,dCrit)+COUNTIFS('Incident'!$N$4:$N$5003,"Restricted Work",'Incident'!$D$4:$D$5003,"Oct",'Incident'!$H$4:$H$5003,dCrit)+COUNTIFS('Incident'!$N$4:$N$5003,"Lost Time Injury",'Incident'!$D$4:$D$5003,"Oct",'Incident'!$H$4:$H$5003,dCrit)+COUNTIFS('Incident'!$N$4:$N$5003,"Fatality",'Incident'!$D$4:$D$5003,"Oct",'Incident'!$H$4:$H$5003,dCrit)</f>
        <v>0</v>
      </c>
      <c r="G21" s="20">
        <f>COUNTIFS('Incident'!$N$4:$N$5003,"Lost Time Injury",'Incident'!$D$4:$D$5003,"Oct",'Incident'!$H$4:$H$5003,dCrit)+COUNTIFS('Incident'!$N$4:$N$5003,"Fatality",'Incident'!$D$4:$D$5003,"Oct",'Incident'!$H$4:$H$5003,dCrit)</f>
        <v>0</v>
      </c>
      <c r="H21" s="20">
        <f>COUNTIFS('Incident'!$N$4:$N$5003,"Near Miss",'Incident'!$D$4:$D$5003,"Oct",'Incident'!$H$4:$H$5003,dCrit)</f>
        <v>0</v>
      </c>
      <c r="I21" s="20">
        <f>COUNTIFS('Incident'!$N$4:$N$5003,"First Aid",'Incident'!$D$4:$D$5003,"Oct",'Incident'!$H$4:$H$5003,dCrit)</f>
        <v>0</v>
      </c>
      <c r="J21" s="20">
        <f>COUNTIFS('Incident'!$N$4:$N$5003,"Medical Treatment",'Incident'!$D$4:$D$5003,"Oct",'Incident'!$H$4:$H$5003,dCrit)</f>
        <v>0</v>
      </c>
      <c r="K21" s="20">
        <f>COUNTIFS('Incident'!$N$4:$N$5003,"Restricted Work",'Incident'!$D$4:$D$5003,"Oct",'Incident'!$H$4:$H$5003,dCrit)</f>
        <v>0</v>
      </c>
      <c r="L21" s="20">
        <f>COUNTIFS('Incident'!$N$4:$N$5003,"Lost Time Injury",'Incident'!$D$4:$D$5003,"Oct",'Incident'!$H$4:$H$5003,dCrit)</f>
        <v>0</v>
      </c>
      <c r="M21" s="20">
        <f>COUNTIFS('Incident'!$N$4:$N$5003,"Fatality",'Incident'!$D$4:$D$5003,"Oct",'Incident'!$H$4:$H$5003,dCrit)</f>
        <v>0</v>
      </c>
      <c r="N21" s="20">
        <f>SUMIFS('Incident'!$V$4:$V$5003,'Incident'!$D$4:$D$5003,"Oct",'Incident'!$H$4:$H$5003,dCrit)</f>
        <v>0</v>
      </c>
      <c r="O21" s="20">
        <f>COUNTIFS('Incident'!$D$4:$D$5003,"Oct",'Incident'!$H$4:$H$5003,dCrit)</f>
        <v>0</v>
      </c>
      <c r="P21" s="20">
        <f>COUNTIFS('Disciplinary Actions'!$D$4:$D$5003,"Oct",'Disciplinary Actions'!$F$4:$F$5003,dCrit)</f>
        <v>0</v>
      </c>
      <c r="Q21" s="20">
        <f>COUNTIFS('NC Management'!$M$4:$M$5003,"Open",'NC Management'!$D$4:$D$5003,"Oct",'NC Management'!$G$4:$G$5003,dCrit)+COUNTIFS('NC Management'!$M$4:$M$5003,"Overdue",'NC Management'!$D$4:$D$5003,"Oct",'NC Management'!$G$4:$G$5003,dCrit)</f>
        <v>0</v>
      </c>
      <c r="R21" s="20">
        <f>COUNTIFS('Training'!$D$4:$D$5003,"Oct",'Training'!$G$4:$G$5003,dCrit)</f>
        <v>0</v>
      </c>
      <c r="S21" s="20">
        <f>COUNTIFS('Training'!$N$4:$N$5003,"Completed",'Training'!$D$4:$D$5003,"Oct",'Training'!$G$4:$G$5003,dCrit)</f>
        <v>0</v>
      </c>
      <c r="T21" s="20">
        <f>COUNTIFS('HSE Observations'!$D$4:$D$5003,"Oct",'HSE Observations'!$G$4:$G$5003,dCrit)</f>
        <v>0</v>
      </c>
      <c r="U21" s="20">
        <f>COUNTIFS('HSE Observations'!$M$4:$M$5003,"Closed",'HSE Observations'!$D$4:$D$5003,"Oct",'HSE Observations'!$G$4:$G$5003,dCrit)</f>
        <v>0</v>
      </c>
      <c r="V21" s="20">
        <f>COUNTIFS('Toolbox Talks'!$D$4:$D$5003,"Oct",'Toolbox Talks'!$F$4:$F$5003,dCrit)</f>
        <v>0</v>
      </c>
      <c r="W21" s="20">
        <f>COUNTIFS('Workplace Inspections'!$D$4:$D$5003,"Oct",'Workplace Inspections'!$F$4:$F$5003,dCrit)+COUNTIFS('Equipment Inspections'!$D$4:$D$5003,"Oct",'Equipment Inspections'!$F$4:$F$5003,dCrit)+COUNTIFS('Safety Walkthroughs'!$D$4:$D$5003,"Oct",'Safety Walkthroughs'!$F$4:$F$5003,dCrit)</f>
        <v>0</v>
      </c>
      <c r="X21" s="20">
        <f>COUNTIFS('Internal Audits'!$D$4:$D$5003,"Oct",'Internal Audits'!$G$4:$G$5003,dCrit)+COUNTIFS('External Audits'!$D$4:$D$5003,"Oct",'External Audits'!$G$4:$G$5003,dCrit)</f>
        <v>0</v>
      </c>
      <c r="Y21" s="20">
        <f>COUNTIFS('PTW Audits'!$D$4:$D$5003,"Oct",'PTW Audits'!$F$4:$F$5003,dCrit)</f>
        <v>0</v>
      </c>
      <c r="Z21" s="20">
        <f>COUNTIFS('PTW Audits'!$M$4:$M$5003,"Compliant",'PTW Audits'!$D$4:$D$5003,"Oct",'PTW Audits'!$F$4:$F$5003,dCrit)</f>
        <v>0</v>
      </c>
      <c r="AA21" s="20">
        <f>COUNTIFS('Emergency Drills'!$D$4:$D$5003,"Oct")</f>
        <v>0</v>
      </c>
      <c r="AB21" s="20">
        <f>COUNTIFS('Corrective Actions'!$D$4:$D$5003,"Oct",'Corrective Actions'!$F$4:$F$5003,dCrit)</f>
        <v>0</v>
      </c>
      <c r="AC21" s="20">
        <f>COUNTIFS('Corrective Actions'!$N$4:$N$5003,"Closed",'Corrective Actions'!$D$4:$D$5003,"Oct",'Corrective Actions'!$F$4:$F$5003,dCrit)</f>
        <v>0</v>
      </c>
      <c r="AD21" s="20">
        <f>COUNTIFS('JSA Risk Assessment'!$D$4:$D$5003,"Oct",'JSA Risk Assessment'!$F$4:$F$5003,dCrit)</f>
        <v>0</v>
      </c>
      <c r="AE21" s="20">
        <f>COUNTIFS('Safety Meetings'!$D$4:$D$5003,"Oct",'Safety Meetings'!$G$4:$G$5003,dCrit)</f>
        <v>0</v>
      </c>
      <c r="AF21" s="11" t="s">
        <v>1676</v>
      </c>
      <c r="AG21" s="19" t="s">
        <v>1671</v>
      </c>
      <c r="AH21" s="20">
        <f>SUMPRODUCT(Calculations!$Q$12:$Q$23,Calculations!$D$12:$D$23)</f>
        <v>0</v>
      </c>
      <c r="AI21" s="20">
        <f>SUMPRODUCT(Calculations!$Q$12:$Q$23,Calculations!$E$12:$E$23)</f>
        <v>0</v>
      </c>
      <c r="AJ21" s="21">
        <f>IFERROR(($AH$21-$AI$21)/$AI$21,IF($AH$21&gt;0,1,0))</f>
        <v>0</v>
      </c>
      <c r="AK21" s="19">
        <f>($AH$21-$AI$21)*-1</f>
        <v>0</v>
      </c>
      <c r="AM21" s="11" t="s">
        <v>1677</v>
      </c>
      <c r="AN21" s="20">
        <f>SUMPRODUCT(Calculations!$R$12:$R$23,Calculations!$D$12:$D$23)</f>
        <v>0</v>
      </c>
      <c r="AP21" s="19" t="s">
        <v>111</v>
      </c>
      <c r="AQ21" s="20">
        <f>COUNTIFS('Incident'!$D$4:$D$5003,"Nov",'Incident'!$H$4:$H$5003,dCrit)</f>
        <v>0</v>
      </c>
    </row>
    <row r="22" spans="2:43">
      <c r="B22" s="19" t="s">
        <v>111</v>
      </c>
      <c r="C22" s="19">
        <v>11</v>
      </c>
      <c r="D22" s="19">
        <f>IF(Calculations!$C$10=1,IF(ROUNDUP($C$22/3,0)=Calculations!$F$10,1,0),IF($C$22=Calculations!$I$10,1,0))</f>
        <v>0</v>
      </c>
      <c r="E22" s="19">
        <f>IF(Calculations!$C$10=1,IF(ROUNDUP($C$22/3,0)=Calculations!$F$10-1,1,0),IF($C$22=Calculations!$I$10-1,1,0))</f>
        <v>0</v>
      </c>
      <c r="F22" s="20">
        <f>COUNTIFS('Incident'!$N$4:$N$5003,"Medical Treatment",'Incident'!$D$4:$D$5003,"Nov",'Incident'!$H$4:$H$5003,dCrit)+COUNTIFS('Incident'!$N$4:$N$5003,"Restricted Work",'Incident'!$D$4:$D$5003,"Nov",'Incident'!$H$4:$H$5003,dCrit)+COUNTIFS('Incident'!$N$4:$N$5003,"Lost Time Injury",'Incident'!$D$4:$D$5003,"Nov",'Incident'!$H$4:$H$5003,dCrit)+COUNTIFS('Incident'!$N$4:$N$5003,"Fatality",'Incident'!$D$4:$D$5003,"Nov",'Incident'!$H$4:$H$5003,dCrit)</f>
        <v>0</v>
      </c>
      <c r="G22" s="20">
        <f>COUNTIFS('Incident'!$N$4:$N$5003,"Lost Time Injury",'Incident'!$D$4:$D$5003,"Nov",'Incident'!$H$4:$H$5003,dCrit)+COUNTIFS('Incident'!$N$4:$N$5003,"Fatality",'Incident'!$D$4:$D$5003,"Nov",'Incident'!$H$4:$H$5003,dCrit)</f>
        <v>0</v>
      </c>
      <c r="H22" s="20">
        <f>COUNTIFS('Incident'!$N$4:$N$5003,"Near Miss",'Incident'!$D$4:$D$5003,"Nov",'Incident'!$H$4:$H$5003,dCrit)</f>
        <v>0</v>
      </c>
      <c r="I22" s="20">
        <f>COUNTIFS('Incident'!$N$4:$N$5003,"First Aid",'Incident'!$D$4:$D$5003,"Nov",'Incident'!$H$4:$H$5003,dCrit)</f>
        <v>0</v>
      </c>
      <c r="J22" s="20">
        <f>COUNTIFS('Incident'!$N$4:$N$5003,"Medical Treatment",'Incident'!$D$4:$D$5003,"Nov",'Incident'!$H$4:$H$5003,dCrit)</f>
        <v>0</v>
      </c>
      <c r="K22" s="20">
        <f>COUNTIFS('Incident'!$N$4:$N$5003,"Restricted Work",'Incident'!$D$4:$D$5003,"Nov",'Incident'!$H$4:$H$5003,dCrit)</f>
        <v>0</v>
      </c>
      <c r="L22" s="20">
        <f>COUNTIFS('Incident'!$N$4:$N$5003,"Lost Time Injury",'Incident'!$D$4:$D$5003,"Nov",'Incident'!$H$4:$H$5003,dCrit)</f>
        <v>0</v>
      </c>
      <c r="M22" s="20">
        <f>COUNTIFS('Incident'!$N$4:$N$5003,"Fatality",'Incident'!$D$4:$D$5003,"Nov",'Incident'!$H$4:$H$5003,dCrit)</f>
        <v>0</v>
      </c>
      <c r="N22" s="20">
        <f>SUMIFS('Incident'!$V$4:$V$5003,'Incident'!$D$4:$D$5003,"Nov",'Incident'!$H$4:$H$5003,dCrit)</f>
        <v>0</v>
      </c>
      <c r="O22" s="20">
        <f>COUNTIFS('Incident'!$D$4:$D$5003,"Nov",'Incident'!$H$4:$H$5003,dCrit)</f>
        <v>0</v>
      </c>
      <c r="P22" s="20">
        <f>COUNTIFS('Disciplinary Actions'!$D$4:$D$5003,"Nov",'Disciplinary Actions'!$F$4:$F$5003,dCrit)</f>
        <v>0</v>
      </c>
      <c r="Q22" s="20">
        <f>COUNTIFS('NC Management'!$M$4:$M$5003,"Open",'NC Management'!$D$4:$D$5003,"Nov",'NC Management'!$G$4:$G$5003,dCrit)+COUNTIFS('NC Management'!$M$4:$M$5003,"Overdue",'NC Management'!$D$4:$D$5003,"Nov",'NC Management'!$G$4:$G$5003,dCrit)</f>
        <v>0</v>
      </c>
      <c r="R22" s="20">
        <f>COUNTIFS('Training'!$D$4:$D$5003,"Nov",'Training'!$G$4:$G$5003,dCrit)</f>
        <v>0</v>
      </c>
      <c r="S22" s="20">
        <f>COUNTIFS('Training'!$N$4:$N$5003,"Completed",'Training'!$D$4:$D$5003,"Nov",'Training'!$G$4:$G$5003,dCrit)</f>
        <v>0</v>
      </c>
      <c r="T22" s="20">
        <f>COUNTIFS('HSE Observations'!$D$4:$D$5003,"Nov",'HSE Observations'!$G$4:$G$5003,dCrit)</f>
        <v>0</v>
      </c>
      <c r="U22" s="20">
        <f>COUNTIFS('HSE Observations'!$M$4:$M$5003,"Closed",'HSE Observations'!$D$4:$D$5003,"Nov",'HSE Observations'!$G$4:$G$5003,dCrit)</f>
        <v>0</v>
      </c>
      <c r="V22" s="20">
        <f>COUNTIFS('Toolbox Talks'!$D$4:$D$5003,"Nov",'Toolbox Talks'!$F$4:$F$5003,dCrit)</f>
        <v>0</v>
      </c>
      <c r="W22" s="20">
        <f>COUNTIFS('Workplace Inspections'!$D$4:$D$5003,"Nov",'Workplace Inspections'!$F$4:$F$5003,dCrit)+COUNTIFS('Equipment Inspections'!$D$4:$D$5003,"Nov",'Equipment Inspections'!$F$4:$F$5003,dCrit)+COUNTIFS('Safety Walkthroughs'!$D$4:$D$5003,"Nov",'Safety Walkthroughs'!$F$4:$F$5003,dCrit)</f>
        <v>0</v>
      </c>
      <c r="X22" s="20">
        <f>COUNTIFS('Internal Audits'!$D$4:$D$5003,"Nov",'Internal Audits'!$G$4:$G$5003,dCrit)+COUNTIFS('External Audits'!$D$4:$D$5003,"Nov",'External Audits'!$G$4:$G$5003,dCrit)</f>
        <v>0</v>
      </c>
      <c r="Y22" s="20">
        <f>COUNTIFS('PTW Audits'!$D$4:$D$5003,"Nov",'PTW Audits'!$F$4:$F$5003,dCrit)</f>
        <v>0</v>
      </c>
      <c r="Z22" s="20">
        <f>COUNTIFS('PTW Audits'!$M$4:$M$5003,"Compliant",'PTW Audits'!$D$4:$D$5003,"Nov",'PTW Audits'!$F$4:$F$5003,dCrit)</f>
        <v>0</v>
      </c>
      <c r="AA22" s="20">
        <f>COUNTIFS('Emergency Drills'!$D$4:$D$5003,"Nov")</f>
        <v>0</v>
      </c>
      <c r="AB22" s="20">
        <f>COUNTIFS('Corrective Actions'!$D$4:$D$5003,"Nov",'Corrective Actions'!$F$4:$F$5003,dCrit)</f>
        <v>0</v>
      </c>
      <c r="AC22" s="20">
        <f>COUNTIFS('Corrective Actions'!$N$4:$N$5003,"Closed",'Corrective Actions'!$D$4:$D$5003,"Nov",'Corrective Actions'!$F$4:$F$5003,dCrit)</f>
        <v>0</v>
      </c>
      <c r="AD22" s="20">
        <f>COUNTIFS('JSA Risk Assessment'!$D$4:$D$5003,"Nov",'JSA Risk Assessment'!$F$4:$F$5003,dCrit)</f>
        <v>0</v>
      </c>
      <c r="AE22" s="20">
        <f>COUNTIFS('Safety Meetings'!$D$4:$D$5003,"Nov",'Safety Meetings'!$G$4:$G$5003,dCrit)</f>
        <v>0</v>
      </c>
      <c r="AF22" s="11" t="s">
        <v>1677</v>
      </c>
      <c r="AG22" s="19" t="s">
        <v>1678</v>
      </c>
      <c r="AH22" s="20">
        <f>SUMPRODUCT(Calculations!$R$12:$R$23,Calculations!$D$12:$D$23)</f>
        <v>0</v>
      </c>
      <c r="AI22" s="20">
        <f>SUMPRODUCT(Calculations!$R$12:$R$23,Calculations!$E$12:$E$23)</f>
        <v>0</v>
      </c>
      <c r="AJ22" s="21">
        <f>IFERROR(($AH$22-$AI$22)/$AI$22,IF($AH$22&gt;0,1,0))</f>
        <v>0</v>
      </c>
      <c r="AK22" s="19">
        <f>($AH$22-$AI$22)*1</f>
        <v>0</v>
      </c>
      <c r="AM22" s="11" t="s">
        <v>771</v>
      </c>
      <c r="AN22" s="20">
        <f>SUMPRODUCT(Calculations!$T$12:$T$23,Calculations!$D$12:$D$23)</f>
        <v>0</v>
      </c>
      <c r="AP22" s="19" t="s">
        <v>122</v>
      </c>
      <c r="AQ22" s="20">
        <f>COUNTIFS('Incident'!$D$4:$D$5003,"Dec",'Incident'!$H$4:$H$5003,dCrit)</f>
        <v>0</v>
      </c>
    </row>
    <row r="23" spans="2:43">
      <c r="B23" s="19" t="s">
        <v>122</v>
      </c>
      <c r="C23" s="19">
        <v>12</v>
      </c>
      <c r="D23" s="19">
        <f>IF(Calculations!$C$10=1,IF(ROUNDUP($C$23/3,0)=Calculations!$F$10,1,0),IF($C$23=Calculations!$I$10,1,0))</f>
        <v>0</v>
      </c>
      <c r="E23" s="19">
        <f>IF(Calculations!$C$10=1,IF(ROUNDUP($C$23/3,0)=Calculations!$F$10-1,1,0),IF($C$23=Calculations!$I$10-1,1,0))</f>
        <v>0</v>
      </c>
      <c r="F23" s="20">
        <f>COUNTIFS('Incident'!$N$4:$N$5003,"Medical Treatment",'Incident'!$D$4:$D$5003,"Dec",'Incident'!$H$4:$H$5003,dCrit)+COUNTIFS('Incident'!$N$4:$N$5003,"Restricted Work",'Incident'!$D$4:$D$5003,"Dec",'Incident'!$H$4:$H$5003,dCrit)+COUNTIFS('Incident'!$N$4:$N$5003,"Lost Time Injury",'Incident'!$D$4:$D$5003,"Dec",'Incident'!$H$4:$H$5003,dCrit)+COUNTIFS('Incident'!$N$4:$N$5003,"Fatality",'Incident'!$D$4:$D$5003,"Dec",'Incident'!$H$4:$H$5003,dCrit)</f>
        <v>0</v>
      </c>
      <c r="G23" s="20">
        <f>COUNTIFS('Incident'!$N$4:$N$5003,"Lost Time Injury",'Incident'!$D$4:$D$5003,"Dec",'Incident'!$H$4:$H$5003,dCrit)+COUNTIFS('Incident'!$N$4:$N$5003,"Fatality",'Incident'!$D$4:$D$5003,"Dec",'Incident'!$H$4:$H$5003,dCrit)</f>
        <v>0</v>
      </c>
      <c r="H23" s="20">
        <f>COUNTIFS('Incident'!$N$4:$N$5003,"Near Miss",'Incident'!$D$4:$D$5003,"Dec",'Incident'!$H$4:$H$5003,dCrit)</f>
        <v>0</v>
      </c>
      <c r="I23" s="20">
        <f>COUNTIFS('Incident'!$N$4:$N$5003,"First Aid",'Incident'!$D$4:$D$5003,"Dec",'Incident'!$H$4:$H$5003,dCrit)</f>
        <v>0</v>
      </c>
      <c r="J23" s="20">
        <f>COUNTIFS('Incident'!$N$4:$N$5003,"Medical Treatment",'Incident'!$D$4:$D$5003,"Dec",'Incident'!$H$4:$H$5003,dCrit)</f>
        <v>0</v>
      </c>
      <c r="K23" s="20">
        <f>COUNTIFS('Incident'!$N$4:$N$5003,"Restricted Work",'Incident'!$D$4:$D$5003,"Dec",'Incident'!$H$4:$H$5003,dCrit)</f>
        <v>0</v>
      </c>
      <c r="L23" s="20">
        <f>COUNTIFS('Incident'!$N$4:$N$5003,"Lost Time Injury",'Incident'!$D$4:$D$5003,"Dec",'Incident'!$H$4:$H$5003,dCrit)</f>
        <v>0</v>
      </c>
      <c r="M23" s="20">
        <f>COUNTIFS('Incident'!$N$4:$N$5003,"Fatality",'Incident'!$D$4:$D$5003,"Dec",'Incident'!$H$4:$H$5003,dCrit)</f>
        <v>0</v>
      </c>
      <c r="N23" s="20">
        <f>SUMIFS('Incident'!$V$4:$V$5003,'Incident'!$D$4:$D$5003,"Dec",'Incident'!$H$4:$H$5003,dCrit)</f>
        <v>0</v>
      </c>
      <c r="O23" s="20">
        <f>COUNTIFS('Incident'!$D$4:$D$5003,"Dec",'Incident'!$H$4:$H$5003,dCrit)</f>
        <v>0</v>
      </c>
      <c r="P23" s="20">
        <f>COUNTIFS('Disciplinary Actions'!$D$4:$D$5003,"Dec",'Disciplinary Actions'!$F$4:$F$5003,dCrit)</f>
        <v>0</v>
      </c>
      <c r="Q23" s="20">
        <f>COUNTIFS('NC Management'!$M$4:$M$5003,"Open",'NC Management'!$D$4:$D$5003,"Dec",'NC Management'!$G$4:$G$5003,dCrit)+COUNTIFS('NC Management'!$M$4:$M$5003,"Overdue",'NC Management'!$D$4:$D$5003,"Dec",'NC Management'!$G$4:$G$5003,dCrit)</f>
        <v>0</v>
      </c>
      <c r="R23" s="20">
        <f>COUNTIFS('Training'!$D$4:$D$5003,"Dec",'Training'!$G$4:$G$5003,dCrit)</f>
        <v>0</v>
      </c>
      <c r="S23" s="20">
        <f>COUNTIFS('Training'!$N$4:$N$5003,"Completed",'Training'!$D$4:$D$5003,"Dec",'Training'!$G$4:$G$5003,dCrit)</f>
        <v>0</v>
      </c>
      <c r="T23" s="20">
        <f>COUNTIFS('HSE Observations'!$D$4:$D$5003,"Dec",'HSE Observations'!$G$4:$G$5003,dCrit)</f>
        <v>0</v>
      </c>
      <c r="U23" s="20">
        <f>COUNTIFS('HSE Observations'!$M$4:$M$5003,"Closed",'HSE Observations'!$D$4:$D$5003,"Dec",'HSE Observations'!$G$4:$G$5003,dCrit)</f>
        <v>0</v>
      </c>
      <c r="V23" s="20">
        <f>COUNTIFS('Toolbox Talks'!$D$4:$D$5003,"Dec",'Toolbox Talks'!$F$4:$F$5003,dCrit)</f>
        <v>0</v>
      </c>
      <c r="W23" s="20">
        <f>COUNTIFS('Workplace Inspections'!$D$4:$D$5003,"Dec",'Workplace Inspections'!$F$4:$F$5003,dCrit)+COUNTIFS('Equipment Inspections'!$D$4:$D$5003,"Dec",'Equipment Inspections'!$F$4:$F$5003,dCrit)+COUNTIFS('Safety Walkthroughs'!$D$4:$D$5003,"Dec",'Safety Walkthroughs'!$F$4:$F$5003,dCrit)</f>
        <v>0</v>
      </c>
      <c r="X23" s="20">
        <f>COUNTIFS('Internal Audits'!$D$4:$D$5003,"Dec",'Internal Audits'!$G$4:$G$5003,dCrit)+COUNTIFS('External Audits'!$D$4:$D$5003,"Dec",'External Audits'!$G$4:$G$5003,dCrit)</f>
        <v>0</v>
      </c>
      <c r="Y23" s="20">
        <f>COUNTIFS('PTW Audits'!$D$4:$D$5003,"Dec",'PTW Audits'!$F$4:$F$5003,dCrit)</f>
        <v>0</v>
      </c>
      <c r="Z23" s="20">
        <f>COUNTIFS('PTW Audits'!$M$4:$M$5003,"Compliant",'PTW Audits'!$D$4:$D$5003,"Dec",'PTW Audits'!$F$4:$F$5003,dCrit)</f>
        <v>0</v>
      </c>
      <c r="AA23" s="20">
        <f>COUNTIFS('Emergency Drills'!$D$4:$D$5003,"Dec")</f>
        <v>0</v>
      </c>
      <c r="AB23" s="20">
        <f>COUNTIFS('Corrective Actions'!$D$4:$D$5003,"Dec",'Corrective Actions'!$F$4:$F$5003,dCrit)</f>
        <v>0</v>
      </c>
      <c r="AC23" s="20">
        <f>COUNTIFS('Corrective Actions'!$N$4:$N$5003,"Closed",'Corrective Actions'!$D$4:$D$5003,"Dec",'Corrective Actions'!$F$4:$F$5003,dCrit)</f>
        <v>0</v>
      </c>
      <c r="AD23" s="20">
        <f>COUNTIFS('JSA Risk Assessment'!$D$4:$D$5003,"Dec",'JSA Risk Assessment'!$F$4:$F$5003,dCrit)</f>
        <v>0</v>
      </c>
      <c r="AE23" s="20">
        <f>COUNTIFS('Safety Meetings'!$D$4:$D$5003,"Dec",'Safety Meetings'!$G$4:$G$5003,dCrit)</f>
        <v>0</v>
      </c>
      <c r="AF23" s="11" t="s">
        <v>1679</v>
      </c>
      <c r="AG23" s="19" t="s">
        <v>1678</v>
      </c>
      <c r="AH23" s="21">
        <f>IFERROR(SUMPRODUCT(Calculations!$S$12:$S$23,Calculations!$D$12:$D$23)/SUMPRODUCT(Calculations!$R$12:$R$23,Calculations!$D$12:$D$23),0)*100</f>
        <v>0</v>
      </c>
      <c r="AI23" s="21">
        <f>IFERROR(SUMPRODUCT(Calculations!$S$12:$S$23,Calculations!$E$12:$E$23)/SUMPRODUCT(Calculations!$R$12:$R$23,Calculations!$E$12:$E$23),0)*100</f>
        <v>0</v>
      </c>
      <c r="AJ23" s="21">
        <f>IFERROR(($AH$23-$AI$23)/$AI$23,IF($AH$23&gt;0,1,0))</f>
        <v>0</v>
      </c>
      <c r="AK23" s="19">
        <f>($AH$23-$AI$23)*1</f>
        <v>0</v>
      </c>
      <c r="AM23" s="11" t="s">
        <v>1683</v>
      </c>
      <c r="AN23" s="20">
        <f>SUMPRODUCT(Calculations!$W$12:$W$23,Calculations!$D$12:$D$23)</f>
        <v>0</v>
      </c>
    </row>
    <row r="24" spans="2:43">
      <c r="AF24" s="11" t="s">
        <v>1680</v>
      </c>
      <c r="AG24" s="19" t="s">
        <v>1678</v>
      </c>
      <c r="AH24" s="20">
        <f>SUMPRODUCT(Calculations!$T$12:$T$23,Calculations!$D$12:$D$23)</f>
        <v>0</v>
      </c>
      <c r="AI24" s="20">
        <f>SUMPRODUCT(Calculations!$T$12:$T$23,Calculations!$E$12:$E$23)</f>
        <v>0</v>
      </c>
      <c r="AJ24" s="21">
        <f>IFERROR(($AH$24-$AI$24)/$AI$24,IF($AH$24&gt;0,1,0))</f>
        <v>0</v>
      </c>
      <c r="AK24" s="19">
        <f>($AH$24-$AI$24)*1</f>
        <v>0</v>
      </c>
      <c r="AM24" s="11" t="s">
        <v>1684</v>
      </c>
      <c r="AN24" s="20">
        <f>SUMPRODUCT(Calculations!$X$12:$X$23,Calculations!$D$12:$D$23)</f>
        <v>0</v>
      </c>
    </row>
    <row r="25" spans="2:43">
      <c r="AF25" s="11" t="s">
        <v>1681</v>
      </c>
      <c r="AG25" s="19" t="s">
        <v>1678</v>
      </c>
      <c r="AH25" s="21">
        <f>IFERROR(SUMPRODUCT(Calculations!$U$12:$U$23,Calculations!$D$12:$D$23)/SUMPRODUCT(Calculations!$T$12:$T$23,Calculations!$D$12:$D$23),0)*100</f>
        <v>0</v>
      </c>
      <c r="AI25" s="21">
        <f>IFERROR(SUMPRODUCT(Calculations!$U$12:$U$23,Calculations!$E$12:$E$23)/SUMPRODUCT(Calculations!$T$12:$T$23,Calculations!$E$12:$E$23),0)*100</f>
        <v>0</v>
      </c>
      <c r="AJ25" s="21">
        <f>IFERROR(($AH$25-$AI$25)/$AI$25,IF($AH$25&gt;0,1,0))</f>
        <v>0</v>
      </c>
      <c r="AK25" s="19">
        <f>($AH$25-$AI$25)*1</f>
        <v>0</v>
      </c>
      <c r="AM25" s="11" t="s">
        <v>1696</v>
      </c>
      <c r="AN25" s="20">
        <f>SUMPRODUCT(Calculations!$AA$12:$AA$23,Calculations!$D$12:$D$23)</f>
        <v>0</v>
      </c>
    </row>
    <row r="26" spans="2:43">
      <c r="AF26" s="11" t="s">
        <v>1682</v>
      </c>
      <c r="AG26" s="19" t="s">
        <v>1678</v>
      </c>
      <c r="AH26" s="20">
        <f>SUMPRODUCT(Calculations!$V$12:$V$23,Calculations!$D$12:$D$23)</f>
        <v>0</v>
      </c>
      <c r="AI26" s="20">
        <f>SUMPRODUCT(Calculations!$V$12:$V$23,Calculations!$E$12:$E$23)</f>
        <v>0</v>
      </c>
      <c r="AJ26" s="21">
        <f>IFERROR(($AH$26-$AI$26)/$AI$26,IF($AH$26&gt;0,1,0))</f>
        <v>0</v>
      </c>
      <c r="AK26" s="19">
        <f>($AH$26-$AI$26)*1</f>
        <v>0</v>
      </c>
      <c r="AM26" s="11" t="s">
        <v>1697</v>
      </c>
      <c r="AN26" s="20">
        <f>SUMPRODUCT(Calculations!$Y$12:$Y$23,Calculations!$D$12:$D$23)</f>
        <v>0</v>
      </c>
    </row>
    <row r="27" spans="2:43">
      <c r="AF27" s="11" t="s">
        <v>1683</v>
      </c>
      <c r="AG27" s="19" t="s">
        <v>1678</v>
      </c>
      <c r="AH27" s="20">
        <f>SUMPRODUCT(Calculations!$W$12:$W$23,Calculations!$D$12:$D$23)</f>
        <v>0</v>
      </c>
      <c r="AI27" s="20">
        <f>SUMPRODUCT(Calculations!$W$12:$W$23,Calculations!$E$12:$E$23)</f>
        <v>0</v>
      </c>
      <c r="AJ27" s="21">
        <f>IFERROR(($AH$27-$AI$27)/$AI$27,IF($AH$27&gt;0,1,0))</f>
        <v>0</v>
      </c>
      <c r="AK27" s="19">
        <f>($AH$27-$AI$27)*1</f>
        <v>0</v>
      </c>
      <c r="AM27" s="11" t="s">
        <v>1698</v>
      </c>
      <c r="AN27" s="20">
        <f>SUMPRODUCT(Calculations!$AE$12:$AE$23,Calculations!$D$12:$D$23)</f>
        <v>0</v>
      </c>
    </row>
    <row r="28" spans="2:43">
      <c r="AF28" s="11" t="s">
        <v>1684</v>
      </c>
      <c r="AG28" s="19" t="s">
        <v>1678</v>
      </c>
      <c r="AH28" s="20">
        <f>SUMPRODUCT(Calculations!$X$12:$X$23,Calculations!$D$12:$D$23)</f>
        <v>0</v>
      </c>
      <c r="AI28" s="20">
        <f>SUMPRODUCT(Calculations!$X$12:$X$23,Calculations!$E$12:$E$23)</f>
        <v>0</v>
      </c>
      <c r="AJ28" s="21">
        <f>IFERROR(($AH$28-$AI$28)/$AI$28,IF($AH$28&gt;0,1,0))</f>
        <v>0</v>
      </c>
      <c r="AK28" s="19">
        <f>($AH$28-$AI$28)*1</f>
        <v>0</v>
      </c>
      <c r="AM28" s="11" t="s">
        <v>169</v>
      </c>
      <c r="AN28" s="20">
        <f>SUMPRODUCT(Calculations!$AD$12:$AD$23,Calculations!$D$12:$D$23)</f>
        <v>0</v>
      </c>
    </row>
    <row r="29" spans="2:43">
      <c r="AF29" s="11" t="s">
        <v>1685</v>
      </c>
      <c r="AG29" s="19" t="s">
        <v>1678</v>
      </c>
      <c r="AH29" s="21">
        <f>IFERROR(SUMPRODUCT(Calculations!$Z$12:$Z$23,Calculations!$D$12:$D$23)/SUMPRODUCT(Calculations!$Y$12:$Y$23,Calculations!$D$12:$D$23),0)*100</f>
        <v>0</v>
      </c>
      <c r="AI29" s="21">
        <f>IFERROR(SUMPRODUCT(Calculations!$Z$12:$Z$23,Calculations!$E$12:$E$23)/SUMPRODUCT(Calculations!$Y$12:$Y$23,Calculations!$E$12:$E$23),0)*100</f>
        <v>0</v>
      </c>
      <c r="AJ29" s="21">
        <f>IFERROR(($AH$29-$AI$29)/$AI$29,IF($AH$29&gt;0,1,0))</f>
        <v>0</v>
      </c>
      <c r="AK29" s="19">
        <f>($AH$29-$AI$29)*1</f>
        <v>0</v>
      </c>
    </row>
    <row r="30" spans="2:43">
      <c r="AF30" s="11" t="s">
        <v>1686</v>
      </c>
      <c r="AG30" s="19" t="s">
        <v>1678</v>
      </c>
      <c r="AH30" s="20">
        <f>SUMPRODUCT(Calculations!$AA$12:$AA$23,Calculations!$D$12:$D$23)</f>
        <v>0</v>
      </c>
      <c r="AI30" s="20">
        <f>SUMPRODUCT(Calculations!$AA$12:$AA$23,Calculations!$E$12:$E$23)</f>
        <v>0</v>
      </c>
      <c r="AJ30" s="21">
        <f>IFERROR(($AH$30-$AI$30)/$AI$30,IF($AH$30&gt;0,1,0))</f>
        <v>0</v>
      </c>
      <c r="AK30" s="19">
        <f>($AH$30-$AI$30)*1</f>
        <v>0</v>
      </c>
      <c r="AM30" s="10" t="s">
        <v>1699</v>
      </c>
      <c r="AN30" s="10" t="s">
        <v>1692</v>
      </c>
    </row>
    <row r="31" spans="2:43">
      <c r="AF31" s="11" t="s">
        <v>1687</v>
      </c>
      <c r="AG31" s="19" t="s">
        <v>1678</v>
      </c>
      <c r="AH31" s="21">
        <f>IFERROR(SUMPRODUCT(Calculations!$AC$12:$AC$23,Calculations!$D$12:$D$23)/SUMPRODUCT(Calculations!$AB$12:$AB$23,Calculations!$D$12:$D$23),0)*100</f>
        <v>0</v>
      </c>
      <c r="AI31" s="21">
        <f>IFERROR(SUMPRODUCT(Calculations!$AC$12:$AC$23,Calculations!$E$12:$E$23)/SUMPRODUCT(Calculations!$AB$12:$AB$23,Calculations!$E$12:$E$23),0)*100</f>
        <v>0</v>
      </c>
      <c r="AJ31" s="21">
        <f>IFERROR(($AH$31-$AI$31)/$AI$31,IF($AH$31&gt;0,1,0))</f>
        <v>0</v>
      </c>
      <c r="AK31" s="19">
        <f>($AH$31-$AI$31)*1</f>
        <v>0</v>
      </c>
      <c r="AM31" s="11" t="s">
        <v>1700</v>
      </c>
      <c r="AN31" s="20">
        <f>SUMPRODUCT(Calculations!$O$12:$O$23,Calculations!$D$12:$D$23)</f>
        <v>0</v>
      </c>
    </row>
    <row r="32" spans="2:43">
      <c r="AF32" s="17" t="s">
        <v>1688</v>
      </c>
      <c r="AM32" s="11" t="s">
        <v>1673</v>
      </c>
      <c r="AN32" s="20">
        <f>SUMPRODUCT(Calculations!$F$12:$F$23,Calculations!$D$12:$D$23)</f>
        <v>0</v>
      </c>
    </row>
    <row r="33" spans="32:42">
      <c r="AF33" s="11" t="s">
        <v>1689</v>
      </c>
      <c r="AG33" s="19">
        <f>MIN(100,Calculations!$AH$23)/2</f>
        <v>0</v>
      </c>
      <c r="AH33" s="19">
        <f>50-$AG$33</f>
        <v>0</v>
      </c>
      <c r="AI33" s="19">
        <v>50</v>
      </c>
      <c r="AM33" s="11" t="s">
        <v>1475</v>
      </c>
      <c r="AN33" s="20">
        <f>SUMPRODUCT(Calculations!$H$12:$H$23,Calculations!$D$12:$D$23)</f>
        <v>0</v>
      </c>
    </row>
    <row r="34" spans="32:42">
      <c r="AF34" s="11" t="s">
        <v>1690</v>
      </c>
      <c r="AG34" s="19">
        <f>MIN(100,Calculations!$AH$29)/2</f>
        <v>0</v>
      </c>
      <c r="AH34" s="19">
        <f>50-$AG$34</f>
        <v>0</v>
      </c>
      <c r="AI34" s="19">
        <v>50</v>
      </c>
      <c r="AM34" s="11" t="s">
        <v>1488</v>
      </c>
      <c r="AN34" s="20">
        <f>SUMPRODUCT(Calculations!$I$12:$I$23,Calculations!$D$12:$D$23)</f>
        <v>0</v>
      </c>
    </row>
    <row r="35" spans="32:42">
      <c r="AF35" s="11" t="s">
        <v>1681</v>
      </c>
      <c r="AG35" s="19">
        <f>MIN(100,Calculations!$AH$25)/2</f>
        <v>0</v>
      </c>
      <c r="AH35" s="19">
        <f>50-$AG$35</f>
        <v>0</v>
      </c>
      <c r="AI35" s="19">
        <v>50</v>
      </c>
      <c r="AM35" s="11" t="s">
        <v>1701</v>
      </c>
      <c r="AN35" s="20">
        <f>SUMPRODUCT(Calculations!$G$12:$G$23,Calculations!$D$12:$D$23)</f>
        <v>0</v>
      </c>
    </row>
    <row r="36" spans="32:42">
      <c r="AF36" s="11" t="s">
        <v>1687</v>
      </c>
      <c r="AG36" s="19">
        <f>MIN(100,Calculations!$AH$31)/2</f>
        <v>0</v>
      </c>
      <c r="AH36" s="19">
        <f>50-$AG$36</f>
        <v>0</v>
      </c>
      <c r="AI36" s="19">
        <v>50</v>
      </c>
      <c r="AM36" s="11" t="s">
        <v>1571</v>
      </c>
      <c r="AN36" s="20">
        <f>SUMPRODUCT(Calculations!$N$12:$N$23,Calculations!$D$12:$D$23)</f>
        <v>0</v>
      </c>
    </row>
    <row r="37" spans="32:42">
      <c r="AM37" s="11" t="s">
        <v>1675</v>
      </c>
      <c r="AN37" s="20">
        <f>SUMPRODUCT(Calculations!$P$12:$P$23,Calculations!$D$12:$D$23)</f>
        <v>0</v>
      </c>
    </row>
    <row r="38" spans="32:42">
      <c r="AM38" s="11" t="s">
        <v>1702</v>
      </c>
      <c r="AN38" s="20">
        <f>SUMPRODUCT(Calculations!$Q$12:$Q$23,Calculations!$D$12:$D$23)</f>
        <v>0</v>
      </c>
    </row>
    <row r="40" spans="32:42">
      <c r="AM40" s="10" t="s">
        <v>1705</v>
      </c>
      <c r="AN40" s="10" t="s">
        <v>1706</v>
      </c>
      <c r="AO40" s="10" t="s">
        <v>1707</v>
      </c>
      <c r="AP40" s="10" t="s">
        <v>287</v>
      </c>
    </row>
    <row r="41" spans="32:42">
      <c r="AM41" s="11" t="s">
        <v>1620</v>
      </c>
      <c r="AN41" s="19">
        <f>TRIR</f>
        <v>0</v>
      </c>
      <c r="AO41" s="19">
        <f>TgtTRIR</f>
        <v>0</v>
      </c>
      <c r="AP41" s="11">
        <f>IF(TRIR&lt;=TgtTRIR,"🟢 GREEN",IF(TRIR&lt;=TgtTRIR/AmberBand,"🟡 AMBER","🔴 RED"))</f>
        <v>0</v>
      </c>
    </row>
    <row r="42" spans="32:42">
      <c r="AM42" s="11" t="s">
        <v>1681</v>
      </c>
      <c r="AN42" s="19">
        <f>ObsClosure/100</f>
        <v>0</v>
      </c>
      <c r="AO42" s="19">
        <f>TgtObs</f>
        <v>0</v>
      </c>
      <c r="AP42" s="11">
        <f>IF(ObsClosure/100&gt;=TgtObs,"🟢 GREEN",IF(ObsClosure/100&gt;=TgtObs*AmberBand,"🟡 AMBER","🔴 RED"))</f>
        <v>0</v>
      </c>
    </row>
    <row r="43" spans="32:42">
      <c r="AM43" s="11" t="s">
        <v>1689</v>
      </c>
      <c r="AN43" s="19">
        <f>TrainCompliance/100</f>
        <v>0</v>
      </c>
      <c r="AO43" s="19">
        <f>TgtTrain</f>
        <v>0</v>
      </c>
      <c r="AP43" s="11">
        <f>IF(TrainCompliance/100&gt;=TgtTrain,"🟢 GREEN",IF(TrainCompliance/100&gt;=TgtTrain*AmberBand,"🟡 AMBER","🔴 RED"))</f>
        <v>0</v>
      </c>
    </row>
    <row r="44" spans="32:42">
      <c r="AM44" s="11" t="s">
        <v>1687</v>
      </c>
      <c r="AN44" s="19">
        <f>CAClosure/100</f>
        <v>0</v>
      </c>
      <c r="AO44" s="19">
        <f>TgtCA</f>
        <v>0</v>
      </c>
      <c r="AP44" s="11">
        <f>IF(CAClosure/100&gt;=TgtCA,"🟢 GREEN",IF(CAClosure/100&gt;=TgtCA*AmberBand,"🟡 AMBER","🔴 RED"))</f>
        <v>0</v>
      </c>
    </row>
    <row r="100" spans="2:12">
      <c r="B100" s="17" t="s">
        <v>1708</v>
      </c>
    </row>
    <row r="101" spans="2:12">
      <c r="B101" s="10" t="s">
        <v>127</v>
      </c>
      <c r="C101" s="10" t="s">
        <v>1692</v>
      </c>
      <c r="E101" s="10" t="s">
        <v>136</v>
      </c>
      <c r="F101" s="10" t="s">
        <v>1692</v>
      </c>
      <c r="K101" s="10" t="s">
        <v>1668</v>
      </c>
      <c r="L101" s="10" t="s">
        <v>1709</v>
      </c>
    </row>
    <row r="102" spans="2:12">
      <c r="B102" s="19" t="s">
        <v>3</v>
      </c>
      <c r="C102" s="20">
        <f>COUNTIFS('Toolbox Talks'!$D$4:$D$5003,"Jan",'Toolbox Talks'!$F$4:$F$5003,dCrit)</f>
        <v>0</v>
      </c>
      <c r="E102" s="11" t="s">
        <v>8</v>
      </c>
      <c r="F102" s="20">
        <f>COUNTIFS('Toolbox Talks'!$M$4:$M$5003,"Ergonomics",'Toolbox Talks'!$D$4:$D$5003,mCrit,'Toolbox Talks'!$F$4:$F$5003,dCrit)</f>
        <v>0</v>
      </c>
      <c r="K102" s="11" t="s">
        <v>1710</v>
      </c>
      <c r="L102" s="20">
        <f>COUNTIFS('Toolbox Talks'!$D$4:$D$5003,mCrit,'Toolbox Talks'!$F$4:$F$5003,dCrit)</f>
        <v>0</v>
      </c>
    </row>
    <row r="103" spans="2:12">
      <c r="B103" s="19" t="s">
        <v>19</v>
      </c>
      <c r="C103" s="20">
        <f>COUNTIFS('Toolbox Talks'!$D$4:$D$5003,"Feb",'Toolbox Talks'!$F$4:$F$5003,dCrit)</f>
        <v>0</v>
      </c>
      <c r="E103" s="11" t="s">
        <v>16</v>
      </c>
      <c r="F103" s="20">
        <f>COUNTIFS('Toolbox Talks'!$M$4:$M$5003,"Housekeeping",'Toolbox Talks'!$D$4:$D$5003,mCrit,'Toolbox Talks'!$F$4:$F$5003,dCrit)</f>
        <v>0</v>
      </c>
      <c r="K103" s="11" t="s">
        <v>1711</v>
      </c>
      <c r="L103" s="21">
        <f>IFERROR(AVERAGEIFS('Toolbox Talks'!$K$4:$K$5003,'Toolbox Talks'!$D$4:$D$5003,mCrit,'Toolbox Talks'!$F$4:$F$5003,dCrit),0)</f>
        <v>0</v>
      </c>
    </row>
    <row r="104" spans="2:12">
      <c r="B104" s="19" t="s">
        <v>44</v>
      </c>
      <c r="C104" s="20">
        <f>COUNTIFS('Toolbox Talks'!$D$4:$D$5003,"Mar",'Toolbox Talks'!$F$4:$F$5003,dCrit)</f>
        <v>0</v>
      </c>
      <c r="E104" s="11" t="s">
        <v>33</v>
      </c>
      <c r="F104" s="20">
        <f>COUNTIFS('Toolbox Talks'!$M$4:$M$5003,"BBS",'Toolbox Talks'!$D$4:$D$5003,mCrit,'Toolbox Talks'!$F$4:$F$5003,dCrit)</f>
        <v>0</v>
      </c>
    </row>
    <row r="105" spans="2:12">
      <c r="B105" s="19" t="s">
        <v>53</v>
      </c>
      <c r="C105" s="20">
        <f>COUNTIFS('Toolbox Talks'!$D$4:$D$5003,"Apr",'Toolbox Talks'!$F$4:$F$5003,dCrit)</f>
        <v>0</v>
      </c>
      <c r="E105" s="11" t="s">
        <v>47</v>
      </c>
      <c r="F105" s="20">
        <f>COUNTIFS('Toolbox Talks'!$M$4:$M$5003,"General",'Toolbox Talks'!$D$4:$D$5003,mCrit,'Toolbox Talks'!$F$4:$F$5003,dCrit)</f>
        <v>0</v>
      </c>
    </row>
    <row r="106" spans="2:12">
      <c r="B106" s="19" t="s">
        <v>60</v>
      </c>
      <c r="C106" s="20">
        <f>COUNTIFS('Toolbox Talks'!$D$4:$D$5003,"May",'Toolbox Talks'!$F$4:$F$5003,dCrit)</f>
        <v>0</v>
      </c>
      <c r="E106" s="11" t="s">
        <v>55</v>
      </c>
      <c r="F106" s="20">
        <f>COUNTIFS('Toolbox Talks'!$M$4:$M$5003,"Process Safety",'Toolbox Talks'!$D$4:$D$5003,mCrit,'Toolbox Talks'!$F$4:$F$5003,dCrit)</f>
        <v>0</v>
      </c>
    </row>
    <row r="107" spans="2:12">
      <c r="B107" s="19" t="s">
        <v>73</v>
      </c>
      <c r="C107" s="20">
        <f>COUNTIFS('Toolbox Talks'!$D$4:$D$5003,"Jun",'Toolbox Talks'!$F$4:$F$5003,dCrit)</f>
        <v>0</v>
      </c>
      <c r="E107" s="11" t="s">
        <v>99</v>
      </c>
      <c r="F107" s="20">
        <f>COUNTIFS('Toolbox Talks'!$M$4:$M$5003,"PPE",'Toolbox Talks'!$D$4:$D$5003,mCrit,'Toolbox Talks'!$F$4:$F$5003,dCrit)</f>
        <v>0</v>
      </c>
    </row>
    <row r="108" spans="2:12">
      <c r="B108" s="19" t="s">
        <v>76</v>
      </c>
      <c r="C108" s="20">
        <f>COUNTIFS('Toolbox Talks'!$D$4:$D$5003,"Jul",'Toolbox Talks'!$F$4:$F$5003,dCrit)</f>
        <v>0</v>
      </c>
    </row>
    <row r="109" spans="2:12">
      <c r="B109" s="19" t="s">
        <v>86</v>
      </c>
      <c r="C109" s="20">
        <f>COUNTIFS('Toolbox Talks'!$D$4:$D$5003,"Aug",'Toolbox Talks'!$F$4:$F$5003,dCrit)</f>
        <v>0</v>
      </c>
    </row>
    <row r="110" spans="2:12">
      <c r="B110" s="19" t="s">
        <v>102</v>
      </c>
      <c r="C110" s="20">
        <f>COUNTIFS('Toolbox Talks'!$D$4:$D$5003,"Sep",'Toolbox Talks'!$F$4:$F$5003,dCrit)</f>
        <v>0</v>
      </c>
    </row>
    <row r="111" spans="2:12">
      <c r="B111" s="19" t="s">
        <v>106</v>
      </c>
      <c r="C111" s="20">
        <f>COUNTIFS('Toolbox Talks'!$D$4:$D$5003,"Oct",'Toolbox Talks'!$F$4:$F$5003,dCrit)</f>
        <v>0</v>
      </c>
    </row>
    <row r="112" spans="2:12">
      <c r="B112" s="19" t="s">
        <v>111</v>
      </c>
      <c r="C112" s="20">
        <f>COUNTIFS('Toolbox Talks'!$D$4:$D$5003,"Nov",'Toolbox Talks'!$F$4:$F$5003,dCrit)</f>
        <v>0</v>
      </c>
    </row>
    <row r="113" spans="2:12">
      <c r="B113" s="19" t="s">
        <v>122</v>
      </c>
      <c r="C113" s="20">
        <f>COUNTIFS('Toolbox Talks'!$D$4:$D$5003,"Dec",'Toolbox Talks'!$F$4:$F$5003,dCrit)</f>
        <v>0</v>
      </c>
    </row>
    <row r="117" spans="2:12">
      <c r="B117" s="17" t="s">
        <v>1712</v>
      </c>
    </row>
    <row r="118" spans="2:12">
      <c r="B118" s="10" t="s">
        <v>127</v>
      </c>
      <c r="C118" s="10" t="s">
        <v>1692</v>
      </c>
      <c r="E118" s="10" t="s">
        <v>210</v>
      </c>
      <c r="F118" s="10" t="s">
        <v>1692</v>
      </c>
      <c r="H118" s="10" t="s">
        <v>213</v>
      </c>
      <c r="I118" s="10" t="s">
        <v>1692</v>
      </c>
      <c r="K118" s="10" t="s">
        <v>1668</v>
      </c>
      <c r="L118" s="10" t="s">
        <v>1709</v>
      </c>
    </row>
    <row r="119" spans="2:12">
      <c r="B119" s="19" t="s">
        <v>3</v>
      </c>
      <c r="C119" s="20">
        <f>COUNTIFS('JSA Risk Assessment'!$D$4:$D$5003,"Jan",'JSA Risk Assessment'!$F$4:$F$5003,dCrit)</f>
        <v>0</v>
      </c>
      <c r="E119" s="11" t="s">
        <v>162</v>
      </c>
      <c r="F119" s="20">
        <f>COUNTIFS('JSA Risk Assessment'!$J$4:$J$5003,"Critical",'JSA Risk Assessment'!$D$4:$D$5003,mCrit,'JSA Risk Assessment'!$F$4:$F$5003,dCrit)</f>
        <v>0</v>
      </c>
      <c r="H119" s="11" t="s">
        <v>152</v>
      </c>
      <c r="I119" s="20">
        <f>COUNTIFS('JSA Risk Assessment'!$M$4:$M$5003,"Approved",'JSA Risk Assessment'!$D$4:$D$5003,mCrit,'JSA Risk Assessment'!$F$4:$F$5003,dCrit)</f>
        <v>0</v>
      </c>
      <c r="K119" s="11" t="s">
        <v>1710</v>
      </c>
      <c r="L119" s="20">
        <f>COUNTIFS('JSA Risk Assessment'!$D$4:$D$5003,mCrit,'JSA Risk Assessment'!$F$4:$F$5003,dCrit)</f>
        <v>0</v>
      </c>
    </row>
    <row r="120" spans="2:12">
      <c r="B120" s="19" t="s">
        <v>19</v>
      </c>
      <c r="C120" s="20">
        <f>COUNTIFS('JSA Risk Assessment'!$D$4:$D$5003,"Feb",'JSA Risk Assessment'!$F$4:$F$5003,dCrit)</f>
        <v>0</v>
      </c>
      <c r="E120" s="11" t="s">
        <v>159</v>
      </c>
      <c r="F120" s="20">
        <f>COUNTIFS('JSA Risk Assessment'!$J$4:$J$5003,"High",'JSA Risk Assessment'!$D$4:$D$5003,mCrit,'JSA Risk Assessment'!$F$4:$F$5003,dCrit)</f>
        <v>0</v>
      </c>
      <c r="H120" s="11" t="s">
        <v>144</v>
      </c>
      <c r="I120" s="20">
        <f>COUNTIFS('JSA Risk Assessment'!$M$4:$M$5003,"Pending Review",'JSA Risk Assessment'!$D$4:$D$5003,mCrit,'JSA Risk Assessment'!$F$4:$F$5003,dCrit)</f>
        <v>0</v>
      </c>
      <c r="K120" s="11" t="s">
        <v>1713</v>
      </c>
      <c r="L120" s="21">
        <f>IFERROR((COUNTIFS('JSA Risk Assessment'!$M$4:$M$5003,"Approved",'JSA Risk Assessment'!$D$4:$D$5003,mCrit,'JSA Risk Assessment'!$F$4:$F$5003,dCrit))/COUNTIFS('JSA Risk Assessment'!$D$4:$D$5003,mCrit,'JSA Risk Assessment'!$F$4:$F$5003,dCrit)*100,0)</f>
        <v>0</v>
      </c>
    </row>
    <row r="121" spans="2:12">
      <c r="B121" s="19" t="s">
        <v>44</v>
      </c>
      <c r="C121" s="20">
        <f>COUNTIFS('JSA Risk Assessment'!$D$4:$D$5003,"Mar",'JSA Risk Assessment'!$F$4:$F$5003,dCrit)</f>
        <v>0</v>
      </c>
      <c r="E121" s="11" t="s">
        <v>142</v>
      </c>
      <c r="F121" s="20">
        <f>COUNTIFS('JSA Risk Assessment'!$J$4:$J$5003,"Medium",'JSA Risk Assessment'!$D$4:$D$5003,mCrit,'JSA Risk Assessment'!$F$4:$F$5003,dCrit)</f>
        <v>0</v>
      </c>
      <c r="H121" s="11" t="s">
        <v>155</v>
      </c>
      <c r="I121" s="20">
        <f>COUNTIFS('JSA Risk Assessment'!$M$4:$M$5003,"Revision Required",'JSA Risk Assessment'!$D$4:$D$5003,mCrit,'JSA Risk Assessment'!$F$4:$F$5003,dCrit)</f>
        <v>0</v>
      </c>
      <c r="K121" s="11" t="s">
        <v>1714</v>
      </c>
      <c r="L121" s="20">
        <f>COUNTIFS('JSA Risk Assessment'!$M$4:$M$5003,"Pending Review",'JSA Risk Assessment'!$D$4:$D$5003,mCrit,'JSA Risk Assessment'!$F$4:$F$5003,dCrit)</f>
        <v>0</v>
      </c>
    </row>
    <row r="122" spans="2:12">
      <c r="B122" s="19" t="s">
        <v>53</v>
      </c>
      <c r="C122" s="20">
        <f>COUNTIFS('JSA Risk Assessment'!$D$4:$D$5003,"Apr",'JSA Risk Assessment'!$F$4:$F$5003,dCrit)</f>
        <v>0</v>
      </c>
      <c r="E122" s="11" t="s">
        <v>154</v>
      </c>
      <c r="F122" s="20">
        <f>COUNTIFS('JSA Risk Assessment'!$J$4:$J$5003,"Low",'JSA Risk Assessment'!$D$4:$D$5003,mCrit,'JSA Risk Assessment'!$F$4:$F$5003,dCrit)</f>
        <v>0</v>
      </c>
      <c r="H122" s="11" t="s">
        <v>147</v>
      </c>
      <c r="I122" s="20">
        <f>COUNTIFS('JSA Risk Assessment'!$M$4:$M$5003,"Rejected",'JSA Risk Assessment'!$D$4:$D$5003,mCrit,'JSA Risk Assessment'!$F$4:$F$5003,dCrit)</f>
        <v>0</v>
      </c>
    </row>
    <row r="123" spans="2:12">
      <c r="B123" s="19" t="s">
        <v>60</v>
      </c>
      <c r="C123" s="20">
        <f>COUNTIFS('JSA Risk Assessment'!$D$4:$D$5003,"May",'JSA Risk Assessment'!$F$4:$F$5003,dCrit)</f>
        <v>0</v>
      </c>
    </row>
    <row r="124" spans="2:12">
      <c r="B124" s="19" t="s">
        <v>73</v>
      </c>
      <c r="C124" s="20">
        <f>COUNTIFS('JSA Risk Assessment'!$D$4:$D$5003,"Jun",'JSA Risk Assessment'!$F$4:$F$5003,dCrit)</f>
        <v>0</v>
      </c>
    </row>
    <row r="125" spans="2:12">
      <c r="B125" s="19" t="s">
        <v>76</v>
      </c>
      <c r="C125" s="20">
        <f>COUNTIFS('JSA Risk Assessment'!$D$4:$D$5003,"Jul",'JSA Risk Assessment'!$F$4:$F$5003,dCrit)</f>
        <v>0</v>
      </c>
    </row>
    <row r="126" spans="2:12">
      <c r="B126" s="19" t="s">
        <v>86</v>
      </c>
      <c r="C126" s="20">
        <f>COUNTIFS('JSA Risk Assessment'!$D$4:$D$5003,"Aug",'JSA Risk Assessment'!$F$4:$F$5003,dCrit)</f>
        <v>0</v>
      </c>
    </row>
    <row r="127" spans="2:12">
      <c r="B127" s="19" t="s">
        <v>102</v>
      </c>
      <c r="C127" s="20">
        <f>COUNTIFS('JSA Risk Assessment'!$D$4:$D$5003,"Sep",'JSA Risk Assessment'!$F$4:$F$5003,dCrit)</f>
        <v>0</v>
      </c>
    </row>
    <row r="128" spans="2:12">
      <c r="B128" s="19" t="s">
        <v>106</v>
      </c>
      <c r="C128" s="20">
        <f>COUNTIFS('JSA Risk Assessment'!$D$4:$D$5003,"Oct",'JSA Risk Assessment'!$F$4:$F$5003,dCrit)</f>
        <v>0</v>
      </c>
    </row>
    <row r="129" spans="2:12">
      <c r="B129" s="19" t="s">
        <v>111</v>
      </c>
      <c r="C129" s="20">
        <f>COUNTIFS('JSA Risk Assessment'!$D$4:$D$5003,"Nov",'JSA Risk Assessment'!$F$4:$F$5003,dCrit)</f>
        <v>0</v>
      </c>
    </row>
    <row r="130" spans="2:12">
      <c r="B130" s="19" t="s">
        <v>122</v>
      </c>
      <c r="C130" s="20">
        <f>COUNTIFS('JSA Risk Assessment'!$D$4:$D$5003,"Dec",'JSA Risk Assessment'!$F$4:$F$5003,dCrit)</f>
        <v>0</v>
      </c>
    </row>
    <row r="134" spans="2:12">
      <c r="B134" s="17" t="s">
        <v>1715</v>
      </c>
    </row>
    <row r="135" spans="2:12">
      <c r="B135" s="10" t="s">
        <v>127</v>
      </c>
      <c r="C135" s="10" t="s">
        <v>1692</v>
      </c>
      <c r="E135" s="10" t="s">
        <v>283</v>
      </c>
      <c r="F135" s="10" t="s">
        <v>1692</v>
      </c>
      <c r="H135" s="10" t="s">
        <v>287</v>
      </c>
      <c r="I135" s="10" t="s">
        <v>1692</v>
      </c>
      <c r="K135" s="10" t="s">
        <v>1668</v>
      </c>
      <c r="L135" s="10" t="s">
        <v>1709</v>
      </c>
    </row>
    <row r="136" spans="2:12">
      <c r="B136" s="19" t="s">
        <v>3</v>
      </c>
      <c r="C136" s="20">
        <f>COUNTIFS('Training'!$D$4:$D$5003,"Jan",'Training'!$G$4:$G$5003,dCrit)</f>
        <v>0</v>
      </c>
      <c r="E136" s="11" t="s">
        <v>237</v>
      </c>
      <c r="F136" s="20">
        <f>COUNTIFS('Training'!$F$4:$F$5003,"Induction",'Training'!$D$4:$D$5003,mCrit,'Training'!$G$4:$G$5003,dCrit)</f>
        <v>0</v>
      </c>
      <c r="H136" s="11" t="s">
        <v>220</v>
      </c>
      <c r="I136" s="20">
        <f>COUNTIFS('Training'!$N$4:$N$5003,"Completed",'Training'!$D$4:$D$5003,mCrit,'Training'!$G$4:$G$5003,dCrit)</f>
        <v>0</v>
      </c>
      <c r="K136" s="11" t="s">
        <v>1710</v>
      </c>
      <c r="L136" s="20">
        <f>COUNTIFS('Training'!$D$4:$D$5003,mCrit,'Training'!$G$4:$G$5003,dCrit)</f>
        <v>0</v>
      </c>
    </row>
    <row r="137" spans="2:12">
      <c r="B137" s="19" t="s">
        <v>19</v>
      </c>
      <c r="C137" s="20">
        <f>COUNTIFS('Training'!$D$4:$D$5003,"Feb",'Training'!$G$4:$G$5003,dCrit)</f>
        <v>0</v>
      </c>
      <c r="E137" s="11" t="s">
        <v>233</v>
      </c>
      <c r="F137" s="20">
        <f>COUNTIFS('Training'!$F$4:$F$5003,"Refresher",'Training'!$D$4:$D$5003,mCrit,'Training'!$G$4:$G$5003,dCrit)</f>
        <v>0</v>
      </c>
      <c r="H137" s="11" t="s">
        <v>235</v>
      </c>
      <c r="I137" s="20">
        <f>COUNTIFS('Training'!$N$4:$N$5003,"Scheduled",'Training'!$D$4:$D$5003,mCrit,'Training'!$G$4:$G$5003,dCrit)</f>
        <v>0</v>
      </c>
      <c r="K137" s="11" t="s">
        <v>1713</v>
      </c>
      <c r="L137" s="21">
        <f>IFERROR((COUNTIFS('Training'!$N$4:$N$5003,"Closed",'Training'!$D$4:$D$5003,mCrit,'Training'!$G$4:$G$5003,dCrit))/COUNTIFS('Training'!$D$4:$D$5003,mCrit,'Training'!$G$4:$G$5003,dCrit)*100,0)</f>
        <v>0</v>
      </c>
    </row>
    <row r="138" spans="2:12">
      <c r="B138" s="19" t="s">
        <v>44</v>
      </c>
      <c r="C138" s="20">
        <f>COUNTIFS('Training'!$D$4:$D$5003,"Mar",'Training'!$G$4:$G$5003,dCrit)</f>
        <v>0</v>
      </c>
      <c r="E138" s="11" t="s">
        <v>230</v>
      </c>
      <c r="F138" s="20">
        <f>COUNTIFS('Training'!$F$4:$F$5003,"Advanced",'Training'!$D$4:$D$5003,mCrit,'Training'!$G$4:$G$5003,dCrit)</f>
        <v>0</v>
      </c>
      <c r="H138" s="11" t="s">
        <v>238</v>
      </c>
      <c r="I138" s="20">
        <f>COUNTIFS('Training'!$N$4:$N$5003,"Overdue",'Training'!$D$4:$D$5003,mCrit,'Training'!$G$4:$G$5003,dCrit)</f>
        <v>0</v>
      </c>
      <c r="K138" s="11" t="s">
        <v>1714</v>
      </c>
      <c r="L138" s="20">
        <f>COUNTIFS('Training'!$N$4:$N$5003,"Open",'Training'!$D$4:$D$5003,mCrit,'Training'!$G$4:$G$5003,dCrit)+COUNTIFS('Training'!$N$4:$N$5003,"In Progress",'Training'!$D$4:$D$5003,mCrit,'Training'!$G$4:$G$5003,dCrit)+COUNTIFS('Training'!$N$4:$N$5003,"Overdue",'Training'!$D$4:$D$5003,mCrit,'Training'!$G$4:$G$5003,dCrit)</f>
        <v>0</v>
      </c>
    </row>
    <row r="139" spans="2:12">
      <c r="B139" s="19" t="s">
        <v>53</v>
      </c>
      <c r="C139" s="20">
        <f>COUNTIFS('Training'!$D$4:$D$5003,"Apr",'Training'!$G$4:$G$5003,dCrit)</f>
        <v>0</v>
      </c>
      <c r="E139" s="11" t="s">
        <v>224</v>
      </c>
      <c r="F139" s="20">
        <f>COUNTIFS('Training'!$F$4:$F$5003,"On-the-Job",'Training'!$D$4:$D$5003,mCrit,'Training'!$G$4:$G$5003,dCrit)</f>
        <v>0</v>
      </c>
      <c r="H139" s="11" t="s">
        <v>254</v>
      </c>
      <c r="I139" s="20">
        <f>COUNTIFS('Training'!$N$4:$N$5003,"In Progress",'Training'!$D$4:$D$5003,mCrit,'Training'!$G$4:$G$5003,dCrit)</f>
        <v>0</v>
      </c>
      <c r="K139" s="11" t="s">
        <v>1711</v>
      </c>
      <c r="L139" s="21">
        <f>IFERROR(AVERAGEIFS('Training'!$L$4:$L$5003,'Training'!$D$4:$D$5003,mCrit,'Training'!$G$4:$G$5003,dCrit),0)</f>
        <v>0</v>
      </c>
    </row>
    <row r="140" spans="2:12">
      <c r="B140" s="19" t="s">
        <v>60</v>
      </c>
      <c r="C140" s="20">
        <f>COUNTIFS('Training'!$D$4:$D$5003,"May",'Training'!$G$4:$G$5003,dCrit)</f>
        <v>0</v>
      </c>
      <c r="E140" s="11" t="s">
        <v>223</v>
      </c>
      <c r="F140" s="20">
        <f>COUNTIFS('Training'!$F$4:$F$5003,"Awareness",'Training'!$D$4:$D$5003,mCrit,'Training'!$G$4:$G$5003,dCrit)</f>
        <v>0</v>
      </c>
    </row>
    <row r="141" spans="2:12">
      <c r="B141" s="19" t="s">
        <v>73</v>
      </c>
      <c r="C141" s="20">
        <f>COUNTIFS('Training'!$D$4:$D$5003,"Jun",'Training'!$G$4:$G$5003,dCrit)</f>
        <v>0</v>
      </c>
      <c r="E141" s="11" t="s">
        <v>218</v>
      </c>
      <c r="F141" s="20">
        <f>COUNTIFS('Training'!$F$4:$F$5003,"Competency",'Training'!$D$4:$D$5003,mCrit,'Training'!$G$4:$G$5003,dCrit)</f>
        <v>0</v>
      </c>
    </row>
    <row r="142" spans="2:12">
      <c r="B142" s="19" t="s">
        <v>76</v>
      </c>
      <c r="C142" s="20">
        <f>COUNTIFS('Training'!$D$4:$D$5003,"Jul",'Training'!$G$4:$G$5003,dCrit)</f>
        <v>0</v>
      </c>
    </row>
    <row r="143" spans="2:12">
      <c r="B143" s="19" t="s">
        <v>86</v>
      </c>
      <c r="C143" s="20">
        <f>COUNTIFS('Training'!$D$4:$D$5003,"Aug",'Training'!$G$4:$G$5003,dCrit)</f>
        <v>0</v>
      </c>
    </row>
    <row r="144" spans="2:12">
      <c r="B144" s="19" t="s">
        <v>102</v>
      </c>
      <c r="C144" s="20">
        <f>COUNTIFS('Training'!$D$4:$D$5003,"Sep",'Training'!$G$4:$G$5003,dCrit)</f>
        <v>0</v>
      </c>
    </row>
    <row r="145" spans="2:12">
      <c r="B145" s="19" t="s">
        <v>106</v>
      </c>
      <c r="C145" s="20">
        <f>COUNTIFS('Training'!$D$4:$D$5003,"Oct",'Training'!$G$4:$G$5003,dCrit)</f>
        <v>0</v>
      </c>
    </row>
    <row r="146" spans="2:12">
      <c r="B146" s="19" t="s">
        <v>111</v>
      </c>
      <c r="C146" s="20">
        <f>COUNTIFS('Training'!$D$4:$D$5003,"Nov",'Training'!$G$4:$G$5003,dCrit)</f>
        <v>0</v>
      </c>
    </row>
    <row r="147" spans="2:12">
      <c r="B147" s="19" t="s">
        <v>122</v>
      </c>
      <c r="C147" s="20">
        <f>COUNTIFS('Training'!$D$4:$D$5003,"Dec",'Training'!$G$4:$G$5003,dCrit)</f>
        <v>0</v>
      </c>
    </row>
    <row r="151" spans="2:12">
      <c r="B151" s="17" t="s">
        <v>1716</v>
      </c>
    </row>
    <row r="152" spans="2:12">
      <c r="B152" s="10" t="s">
        <v>127</v>
      </c>
      <c r="C152" s="10" t="s">
        <v>1692</v>
      </c>
      <c r="E152" s="10" t="s">
        <v>351</v>
      </c>
      <c r="F152" s="10" t="s">
        <v>1692</v>
      </c>
      <c r="H152" s="10" t="s">
        <v>287</v>
      </c>
      <c r="I152" s="10" t="s">
        <v>1692</v>
      </c>
      <c r="K152" s="10" t="s">
        <v>1668</v>
      </c>
      <c r="L152" s="10" t="s">
        <v>1709</v>
      </c>
    </row>
    <row r="153" spans="2:12">
      <c r="B153" s="19" t="s">
        <v>3</v>
      </c>
      <c r="C153" s="20">
        <f>COUNTIFS('HSE Observations'!$D$4:$D$5003,"Jan",'HSE Observations'!$G$4:$G$5003,dCrit)</f>
        <v>0</v>
      </c>
      <c r="E153" s="11" t="s">
        <v>292</v>
      </c>
      <c r="F153" s="20">
        <f>COUNTIFS('HSE Observations'!$E$4:$E$5003,"Safe Act",'HSE Observations'!$D$4:$D$5003,mCrit,'HSE Observations'!$G$4:$G$5003,dCrit)</f>
        <v>0</v>
      </c>
      <c r="H153" s="11" t="s">
        <v>293</v>
      </c>
      <c r="I153" s="20">
        <f>COUNTIFS('HSE Observations'!$M$4:$M$5003,"Closed",'HSE Observations'!$D$4:$D$5003,mCrit,'HSE Observations'!$G$4:$G$5003,dCrit)</f>
        <v>0</v>
      </c>
      <c r="K153" s="11" t="s">
        <v>1710</v>
      </c>
      <c r="L153" s="20">
        <f>COUNTIFS('HSE Observations'!$D$4:$D$5003,mCrit,'HSE Observations'!$G$4:$G$5003,dCrit)</f>
        <v>0</v>
      </c>
    </row>
    <row r="154" spans="2:12">
      <c r="B154" s="19" t="s">
        <v>19</v>
      </c>
      <c r="C154" s="20">
        <f>COUNTIFS('HSE Observations'!$D$4:$D$5003,"Feb",'HSE Observations'!$G$4:$G$5003,dCrit)</f>
        <v>0</v>
      </c>
      <c r="E154" s="11" t="s">
        <v>300</v>
      </c>
      <c r="F154" s="20">
        <f>COUNTIFS('HSE Observations'!$E$4:$E$5003,"Unsafe Act",'HSE Observations'!$D$4:$D$5003,mCrit,'HSE Observations'!$G$4:$G$5003,dCrit)</f>
        <v>0</v>
      </c>
      <c r="H154" s="11" t="s">
        <v>297</v>
      </c>
      <c r="I154" s="20">
        <f>COUNTIFS('HSE Observations'!$M$4:$M$5003,"Open",'HSE Observations'!$D$4:$D$5003,mCrit,'HSE Observations'!$G$4:$G$5003,dCrit)</f>
        <v>0</v>
      </c>
      <c r="K154" s="11" t="s">
        <v>1713</v>
      </c>
      <c r="L154" s="21">
        <f>IFERROR((COUNTIFS('HSE Observations'!$M$4:$M$5003,"Closed",'HSE Observations'!$D$4:$D$5003,mCrit,'HSE Observations'!$G$4:$G$5003,dCrit))/COUNTIFS('HSE Observations'!$D$4:$D$5003,mCrit,'HSE Observations'!$G$4:$G$5003,dCrit)*100,0)</f>
        <v>0</v>
      </c>
    </row>
    <row r="155" spans="2:12">
      <c r="B155" s="19" t="s">
        <v>44</v>
      </c>
      <c r="C155" s="20">
        <f>COUNTIFS('HSE Observations'!$D$4:$D$5003,"Mar",'HSE Observations'!$G$4:$G$5003,dCrit)</f>
        <v>0</v>
      </c>
      <c r="E155" s="11" t="s">
        <v>302</v>
      </c>
      <c r="F155" s="20">
        <f>COUNTIFS('HSE Observations'!$E$4:$E$5003,"Safe Condition",'HSE Observations'!$D$4:$D$5003,mCrit,'HSE Observations'!$G$4:$G$5003,dCrit)</f>
        <v>0</v>
      </c>
      <c r="H155" s="11" t="s">
        <v>254</v>
      </c>
      <c r="I155" s="20">
        <f>COUNTIFS('HSE Observations'!$M$4:$M$5003,"In Progress",'HSE Observations'!$D$4:$D$5003,mCrit,'HSE Observations'!$G$4:$G$5003,dCrit)</f>
        <v>0</v>
      </c>
      <c r="K155" s="11" t="s">
        <v>1714</v>
      </c>
      <c r="L155" s="20">
        <f>COUNTIFS('HSE Observations'!$M$4:$M$5003,"Open",'HSE Observations'!$D$4:$D$5003,mCrit,'HSE Observations'!$G$4:$G$5003,dCrit)+COUNTIFS('HSE Observations'!$M$4:$M$5003,"In Progress",'HSE Observations'!$D$4:$D$5003,mCrit,'HSE Observations'!$G$4:$G$5003,dCrit)+COUNTIFS('HSE Observations'!$M$4:$M$5003,"Overdue",'HSE Observations'!$D$4:$D$5003,mCrit,'HSE Observations'!$G$4:$G$5003,dCrit)</f>
        <v>0</v>
      </c>
    </row>
    <row r="156" spans="2:12">
      <c r="B156" s="19" t="s">
        <v>53</v>
      </c>
      <c r="C156" s="20">
        <f>COUNTIFS('HSE Observations'!$D$4:$D$5003,"Apr",'HSE Observations'!$G$4:$G$5003,dCrit)</f>
        <v>0</v>
      </c>
      <c r="E156" s="11" t="s">
        <v>296</v>
      </c>
      <c r="F156" s="20">
        <f>COUNTIFS('HSE Observations'!$E$4:$E$5003,"Unsafe Condition",'HSE Observations'!$D$4:$D$5003,mCrit,'HSE Observations'!$G$4:$G$5003,dCrit)</f>
        <v>0</v>
      </c>
      <c r="H156" s="11" t="s">
        <v>238</v>
      </c>
      <c r="I156" s="20">
        <f>COUNTIFS('HSE Observations'!$M$4:$M$5003,"Overdue",'HSE Observations'!$D$4:$D$5003,mCrit,'HSE Observations'!$G$4:$G$5003,dCrit)</f>
        <v>0</v>
      </c>
    </row>
    <row r="157" spans="2:12">
      <c r="B157" s="19" t="s">
        <v>60</v>
      </c>
      <c r="C157" s="20">
        <f>COUNTIFS('HSE Observations'!$D$4:$D$5003,"May",'HSE Observations'!$G$4:$G$5003,dCrit)</f>
        <v>0</v>
      </c>
    </row>
    <row r="158" spans="2:12">
      <c r="B158" s="19" t="s">
        <v>73</v>
      </c>
      <c r="C158" s="20">
        <f>COUNTIFS('HSE Observations'!$D$4:$D$5003,"Jun",'HSE Observations'!$G$4:$G$5003,dCrit)</f>
        <v>0</v>
      </c>
    </row>
    <row r="159" spans="2:12">
      <c r="B159" s="19" t="s">
        <v>76</v>
      </c>
      <c r="C159" s="20">
        <f>COUNTIFS('HSE Observations'!$D$4:$D$5003,"Jul",'HSE Observations'!$G$4:$G$5003,dCrit)</f>
        <v>0</v>
      </c>
    </row>
    <row r="160" spans="2:12">
      <c r="B160" s="19" t="s">
        <v>86</v>
      </c>
      <c r="C160" s="20">
        <f>COUNTIFS('HSE Observations'!$D$4:$D$5003,"Aug",'HSE Observations'!$G$4:$G$5003,dCrit)</f>
        <v>0</v>
      </c>
    </row>
    <row r="161" spans="2:12">
      <c r="B161" s="19" t="s">
        <v>102</v>
      </c>
      <c r="C161" s="20">
        <f>COUNTIFS('HSE Observations'!$D$4:$D$5003,"Sep",'HSE Observations'!$G$4:$G$5003,dCrit)</f>
        <v>0</v>
      </c>
    </row>
    <row r="162" spans="2:12">
      <c r="B162" s="19" t="s">
        <v>106</v>
      </c>
      <c r="C162" s="20">
        <f>COUNTIFS('HSE Observations'!$D$4:$D$5003,"Oct",'HSE Observations'!$G$4:$G$5003,dCrit)</f>
        <v>0</v>
      </c>
    </row>
    <row r="163" spans="2:12">
      <c r="B163" s="19" t="s">
        <v>111</v>
      </c>
      <c r="C163" s="20">
        <f>COUNTIFS('HSE Observations'!$D$4:$D$5003,"Nov",'HSE Observations'!$G$4:$G$5003,dCrit)</f>
        <v>0</v>
      </c>
    </row>
    <row r="164" spans="2:12">
      <c r="B164" s="19" t="s">
        <v>122</v>
      </c>
      <c r="C164" s="20">
        <f>COUNTIFS('HSE Observations'!$D$4:$D$5003,"Dec",'HSE Observations'!$G$4:$G$5003,dCrit)</f>
        <v>0</v>
      </c>
    </row>
    <row r="168" spans="2:12">
      <c r="B168" s="17" t="s">
        <v>1717</v>
      </c>
    </row>
    <row r="169" spans="2:12">
      <c r="B169" s="10" t="s">
        <v>127</v>
      </c>
      <c r="C169" s="10" t="s">
        <v>1692</v>
      </c>
      <c r="E169" s="10" t="s">
        <v>412</v>
      </c>
      <c r="F169" s="10" t="s">
        <v>1692</v>
      </c>
      <c r="H169" s="10" t="s">
        <v>287</v>
      </c>
      <c r="I169" s="10" t="s">
        <v>1692</v>
      </c>
      <c r="K169" s="10" t="s">
        <v>1668</v>
      </c>
      <c r="L169" s="10" t="s">
        <v>1709</v>
      </c>
    </row>
    <row r="170" spans="2:12">
      <c r="B170" s="19" t="s">
        <v>3</v>
      </c>
      <c r="C170" s="20">
        <f>COUNTIFS('Workplace Inspections'!$D$4:$D$5003,"Jan",'Workplace Inspections'!$F$4:$F$5003,dCrit)</f>
        <v>0</v>
      </c>
      <c r="E170" s="11" t="s">
        <v>10</v>
      </c>
      <c r="F170" s="20">
        <f>COUNTIFS('Workplace Inspections'!$L$4:$L$5003,"Excellent",'Workplace Inspections'!$D$4:$D$5003,mCrit,'Workplace Inspections'!$F$4:$F$5003,dCrit)</f>
        <v>0</v>
      </c>
      <c r="H170" s="11" t="s">
        <v>297</v>
      </c>
      <c r="I170" s="20">
        <f>COUNTIFS('Workplace Inspections'!$M$4:$M$5003,"Open",'Workplace Inspections'!$D$4:$D$5003,mCrit,'Workplace Inspections'!$F$4:$F$5003,dCrit)</f>
        <v>0</v>
      </c>
      <c r="K170" s="11" t="s">
        <v>1710</v>
      </c>
      <c r="L170" s="20">
        <f>COUNTIFS('Workplace Inspections'!$D$4:$D$5003,mCrit,'Workplace Inspections'!$F$4:$F$5003,dCrit)</f>
        <v>0</v>
      </c>
    </row>
    <row r="171" spans="2:12">
      <c r="B171" s="19" t="s">
        <v>19</v>
      </c>
      <c r="C171" s="20">
        <f>COUNTIFS('Workplace Inspections'!$D$4:$D$5003,"Feb",'Workplace Inspections'!$F$4:$F$5003,dCrit)</f>
        <v>0</v>
      </c>
      <c r="E171" s="11" t="s">
        <v>42</v>
      </c>
      <c r="F171" s="20">
        <f>COUNTIFS('Workplace Inspections'!$L$4:$L$5003,"Good",'Workplace Inspections'!$D$4:$D$5003,mCrit,'Workplace Inspections'!$F$4:$F$5003,dCrit)</f>
        <v>0</v>
      </c>
      <c r="H171" s="11" t="s">
        <v>254</v>
      </c>
      <c r="I171" s="20">
        <f>COUNTIFS('Workplace Inspections'!$M$4:$M$5003,"In Progress",'Workplace Inspections'!$D$4:$D$5003,mCrit,'Workplace Inspections'!$F$4:$F$5003,dCrit)</f>
        <v>0</v>
      </c>
      <c r="K171" s="11" t="s">
        <v>1713</v>
      </c>
      <c r="L171" s="21">
        <f>IFERROR((COUNTIFS('Workplace Inspections'!$M$4:$M$5003,"Closed",'Workplace Inspections'!$D$4:$D$5003,mCrit,'Workplace Inspections'!$F$4:$F$5003,dCrit))/COUNTIFS('Workplace Inspections'!$D$4:$D$5003,mCrit,'Workplace Inspections'!$F$4:$F$5003,dCrit)*100,0)</f>
        <v>0</v>
      </c>
    </row>
    <row r="172" spans="2:12">
      <c r="B172" s="19" t="s">
        <v>44</v>
      </c>
      <c r="C172" s="20">
        <f>COUNTIFS('Workplace Inspections'!$D$4:$D$5003,"Mar",'Workplace Inspections'!$F$4:$F$5003,dCrit)</f>
        <v>0</v>
      </c>
      <c r="E172" s="11" t="s">
        <v>17</v>
      </c>
      <c r="F172" s="20">
        <f>COUNTIFS('Workplace Inspections'!$L$4:$L$5003,"Satisfactory",'Workplace Inspections'!$D$4:$D$5003,mCrit,'Workplace Inspections'!$F$4:$F$5003,dCrit)</f>
        <v>0</v>
      </c>
      <c r="H172" s="11" t="s">
        <v>293</v>
      </c>
      <c r="I172" s="20">
        <f>COUNTIFS('Workplace Inspections'!$M$4:$M$5003,"Closed",'Workplace Inspections'!$D$4:$D$5003,mCrit,'Workplace Inspections'!$F$4:$F$5003,dCrit)</f>
        <v>0</v>
      </c>
      <c r="K172" s="11" t="s">
        <v>1714</v>
      </c>
      <c r="L172" s="20">
        <f>COUNTIFS('Workplace Inspections'!$M$4:$M$5003,"Open",'Workplace Inspections'!$D$4:$D$5003,mCrit,'Workplace Inspections'!$F$4:$F$5003,dCrit)+COUNTIFS('Workplace Inspections'!$M$4:$M$5003,"In Progress",'Workplace Inspections'!$D$4:$D$5003,mCrit,'Workplace Inspections'!$F$4:$F$5003,dCrit)+COUNTIFS('Workplace Inspections'!$M$4:$M$5003,"Overdue",'Workplace Inspections'!$D$4:$D$5003,mCrit,'Workplace Inspections'!$F$4:$F$5003,dCrit)</f>
        <v>0</v>
      </c>
    </row>
    <row r="173" spans="2:12">
      <c r="B173" s="19" t="s">
        <v>53</v>
      </c>
      <c r="C173" s="20">
        <f>COUNTIFS('Workplace Inspections'!$D$4:$D$5003,"Apr",'Workplace Inspections'!$F$4:$F$5003,dCrit)</f>
        <v>0</v>
      </c>
      <c r="E173" s="11" t="s">
        <v>96</v>
      </c>
      <c r="F173" s="20">
        <f>COUNTIFS('Workplace Inspections'!$L$4:$L$5003,"Needs Improvement",'Workplace Inspections'!$D$4:$D$5003,mCrit,'Workplace Inspections'!$F$4:$F$5003,dCrit)</f>
        <v>0</v>
      </c>
      <c r="H173" s="11" t="s">
        <v>238</v>
      </c>
      <c r="I173" s="20">
        <f>COUNTIFS('Workplace Inspections'!$M$4:$M$5003,"Overdue",'Workplace Inspections'!$D$4:$D$5003,mCrit,'Workplace Inspections'!$F$4:$F$5003,dCrit)</f>
        <v>0</v>
      </c>
      <c r="K173" s="11" t="s">
        <v>1718</v>
      </c>
      <c r="L173" s="20">
        <f>SUMIFS('Workplace Inspections'!$J$4:$J$5003,'Workplace Inspections'!$D$4:$D$5003,mCrit,'Workplace Inspections'!$F$4:$F$5003,dCrit)</f>
        <v>0</v>
      </c>
    </row>
    <row r="174" spans="2:12">
      <c r="B174" s="19" t="s">
        <v>60</v>
      </c>
      <c r="C174" s="20">
        <f>COUNTIFS('Workplace Inspections'!$D$4:$D$5003,"May",'Workplace Inspections'!$F$4:$F$5003,dCrit)</f>
        <v>0</v>
      </c>
      <c r="E174" s="11" t="s">
        <v>24</v>
      </c>
      <c r="F174" s="20">
        <f>COUNTIFS('Workplace Inspections'!$L$4:$L$5003,"Unsatisfactory",'Workplace Inspections'!$D$4:$D$5003,mCrit,'Workplace Inspections'!$F$4:$F$5003,dCrit)</f>
        <v>0</v>
      </c>
    </row>
    <row r="175" spans="2:12">
      <c r="B175" s="19" t="s">
        <v>73</v>
      </c>
      <c r="C175" s="20">
        <f>COUNTIFS('Workplace Inspections'!$D$4:$D$5003,"Jun",'Workplace Inspections'!$F$4:$F$5003,dCrit)</f>
        <v>0</v>
      </c>
    </row>
    <row r="176" spans="2:12">
      <c r="B176" s="19" t="s">
        <v>76</v>
      </c>
      <c r="C176" s="20">
        <f>COUNTIFS('Workplace Inspections'!$D$4:$D$5003,"Jul",'Workplace Inspections'!$F$4:$F$5003,dCrit)</f>
        <v>0</v>
      </c>
    </row>
    <row r="177" spans="2:12">
      <c r="B177" s="19" t="s">
        <v>86</v>
      </c>
      <c r="C177" s="20">
        <f>COUNTIFS('Workplace Inspections'!$D$4:$D$5003,"Aug",'Workplace Inspections'!$F$4:$F$5003,dCrit)</f>
        <v>0</v>
      </c>
    </row>
    <row r="178" spans="2:12">
      <c r="B178" s="19" t="s">
        <v>102</v>
      </c>
      <c r="C178" s="20">
        <f>COUNTIFS('Workplace Inspections'!$D$4:$D$5003,"Sep",'Workplace Inspections'!$F$4:$F$5003,dCrit)</f>
        <v>0</v>
      </c>
    </row>
    <row r="179" spans="2:12">
      <c r="B179" s="19" t="s">
        <v>106</v>
      </c>
      <c r="C179" s="20">
        <f>COUNTIFS('Workplace Inspections'!$D$4:$D$5003,"Oct",'Workplace Inspections'!$F$4:$F$5003,dCrit)</f>
        <v>0</v>
      </c>
    </row>
    <row r="180" spans="2:12">
      <c r="B180" s="19" t="s">
        <v>111</v>
      </c>
      <c r="C180" s="20">
        <f>COUNTIFS('Workplace Inspections'!$D$4:$D$5003,"Nov",'Workplace Inspections'!$F$4:$F$5003,dCrit)</f>
        <v>0</v>
      </c>
    </row>
    <row r="181" spans="2:12">
      <c r="B181" s="19" t="s">
        <v>122</v>
      </c>
      <c r="C181" s="20">
        <f>COUNTIFS('Workplace Inspections'!$D$4:$D$5003,"Dec",'Workplace Inspections'!$F$4:$F$5003,dCrit)</f>
        <v>0</v>
      </c>
    </row>
    <row r="185" spans="2:12">
      <c r="B185" s="17" t="s">
        <v>1719</v>
      </c>
    </row>
    <row r="186" spans="2:12">
      <c r="B186" s="10" t="s">
        <v>127</v>
      </c>
      <c r="C186" s="10" t="s">
        <v>1692</v>
      </c>
      <c r="E186" s="10" t="s">
        <v>412</v>
      </c>
      <c r="F186" s="10" t="s">
        <v>1692</v>
      </c>
      <c r="H186" s="10" t="s">
        <v>287</v>
      </c>
      <c r="I186" s="10" t="s">
        <v>1692</v>
      </c>
      <c r="K186" s="10" t="s">
        <v>1668</v>
      </c>
      <c r="L186" s="10" t="s">
        <v>1709</v>
      </c>
    </row>
    <row r="187" spans="2:12">
      <c r="B187" s="19" t="s">
        <v>3</v>
      </c>
      <c r="C187" s="20">
        <f>COUNTIFS('Equipment Inspections'!$D$4:$D$5003,"Jan",'Equipment Inspections'!$F$4:$F$5003,dCrit)</f>
        <v>0</v>
      </c>
      <c r="E187" s="11" t="s">
        <v>10</v>
      </c>
      <c r="F187" s="20">
        <f>COUNTIFS('Equipment Inspections'!$L$4:$L$5003,"Excellent",'Equipment Inspections'!$D$4:$D$5003,mCrit,'Equipment Inspections'!$F$4:$F$5003,dCrit)</f>
        <v>0</v>
      </c>
      <c r="H187" s="11" t="s">
        <v>293</v>
      </c>
      <c r="I187" s="20">
        <f>COUNTIFS('Equipment Inspections'!$M$4:$M$5003,"Closed",'Equipment Inspections'!$D$4:$D$5003,mCrit,'Equipment Inspections'!$F$4:$F$5003,dCrit)</f>
        <v>0</v>
      </c>
      <c r="K187" s="11" t="s">
        <v>1710</v>
      </c>
      <c r="L187" s="20">
        <f>COUNTIFS('Equipment Inspections'!$D$4:$D$5003,mCrit,'Equipment Inspections'!$F$4:$F$5003,dCrit)</f>
        <v>0</v>
      </c>
    </row>
    <row r="188" spans="2:12">
      <c r="B188" s="19" t="s">
        <v>19</v>
      </c>
      <c r="C188" s="20">
        <f>COUNTIFS('Equipment Inspections'!$D$4:$D$5003,"Feb",'Equipment Inspections'!$F$4:$F$5003,dCrit)</f>
        <v>0</v>
      </c>
      <c r="E188" s="11" t="s">
        <v>42</v>
      </c>
      <c r="F188" s="20">
        <f>COUNTIFS('Equipment Inspections'!$L$4:$L$5003,"Good",'Equipment Inspections'!$D$4:$D$5003,mCrit,'Equipment Inspections'!$F$4:$F$5003,dCrit)</f>
        <v>0</v>
      </c>
      <c r="H188" s="11" t="s">
        <v>238</v>
      </c>
      <c r="I188" s="20">
        <f>COUNTIFS('Equipment Inspections'!$M$4:$M$5003,"Overdue",'Equipment Inspections'!$D$4:$D$5003,mCrit,'Equipment Inspections'!$F$4:$F$5003,dCrit)</f>
        <v>0</v>
      </c>
      <c r="K188" s="11" t="s">
        <v>1713</v>
      </c>
      <c r="L188" s="21">
        <f>IFERROR((COUNTIFS('Equipment Inspections'!$M$4:$M$5003,"Closed",'Equipment Inspections'!$D$4:$D$5003,mCrit,'Equipment Inspections'!$F$4:$F$5003,dCrit))/COUNTIFS('Equipment Inspections'!$D$4:$D$5003,mCrit,'Equipment Inspections'!$F$4:$F$5003,dCrit)*100,0)</f>
        <v>0</v>
      </c>
    </row>
    <row r="189" spans="2:12">
      <c r="B189" s="19" t="s">
        <v>44</v>
      </c>
      <c r="C189" s="20">
        <f>COUNTIFS('Equipment Inspections'!$D$4:$D$5003,"Mar",'Equipment Inspections'!$F$4:$F$5003,dCrit)</f>
        <v>0</v>
      </c>
      <c r="E189" s="11" t="s">
        <v>17</v>
      </c>
      <c r="F189" s="20">
        <f>COUNTIFS('Equipment Inspections'!$L$4:$L$5003,"Satisfactory",'Equipment Inspections'!$D$4:$D$5003,mCrit,'Equipment Inspections'!$F$4:$F$5003,dCrit)</f>
        <v>0</v>
      </c>
      <c r="H189" s="11" t="s">
        <v>254</v>
      </c>
      <c r="I189" s="20">
        <f>COUNTIFS('Equipment Inspections'!$M$4:$M$5003,"In Progress",'Equipment Inspections'!$D$4:$D$5003,mCrit,'Equipment Inspections'!$F$4:$F$5003,dCrit)</f>
        <v>0</v>
      </c>
      <c r="K189" s="11" t="s">
        <v>1714</v>
      </c>
      <c r="L189" s="20">
        <f>COUNTIFS('Equipment Inspections'!$M$4:$M$5003,"Open",'Equipment Inspections'!$D$4:$D$5003,mCrit,'Equipment Inspections'!$F$4:$F$5003,dCrit)+COUNTIFS('Equipment Inspections'!$M$4:$M$5003,"In Progress",'Equipment Inspections'!$D$4:$D$5003,mCrit,'Equipment Inspections'!$F$4:$F$5003,dCrit)+COUNTIFS('Equipment Inspections'!$M$4:$M$5003,"Overdue",'Equipment Inspections'!$D$4:$D$5003,mCrit,'Equipment Inspections'!$F$4:$F$5003,dCrit)</f>
        <v>0</v>
      </c>
    </row>
    <row r="190" spans="2:12">
      <c r="B190" s="19" t="s">
        <v>53</v>
      </c>
      <c r="C190" s="20">
        <f>COUNTIFS('Equipment Inspections'!$D$4:$D$5003,"Apr",'Equipment Inspections'!$F$4:$F$5003,dCrit)</f>
        <v>0</v>
      </c>
      <c r="E190" s="11" t="s">
        <v>96</v>
      </c>
      <c r="F190" s="20">
        <f>COUNTIFS('Equipment Inspections'!$L$4:$L$5003,"Needs Improvement",'Equipment Inspections'!$D$4:$D$5003,mCrit,'Equipment Inspections'!$F$4:$F$5003,dCrit)</f>
        <v>0</v>
      </c>
      <c r="H190" s="11" t="s">
        <v>297</v>
      </c>
      <c r="I190" s="20">
        <f>COUNTIFS('Equipment Inspections'!$M$4:$M$5003,"Open",'Equipment Inspections'!$D$4:$D$5003,mCrit,'Equipment Inspections'!$F$4:$F$5003,dCrit)</f>
        <v>0</v>
      </c>
      <c r="K190" s="11" t="s">
        <v>1718</v>
      </c>
      <c r="L190" s="20">
        <f>SUMIFS('Equipment Inspections'!$J$4:$J$5003,'Equipment Inspections'!$D$4:$D$5003,mCrit,'Equipment Inspections'!$F$4:$F$5003,dCrit)</f>
        <v>0</v>
      </c>
    </row>
    <row r="191" spans="2:12">
      <c r="B191" s="19" t="s">
        <v>60</v>
      </c>
      <c r="C191" s="20">
        <f>COUNTIFS('Equipment Inspections'!$D$4:$D$5003,"May",'Equipment Inspections'!$F$4:$F$5003,dCrit)</f>
        <v>0</v>
      </c>
      <c r="E191" s="11" t="s">
        <v>24</v>
      </c>
      <c r="F191" s="20">
        <f>COUNTIFS('Equipment Inspections'!$L$4:$L$5003,"Unsatisfactory",'Equipment Inspections'!$D$4:$D$5003,mCrit,'Equipment Inspections'!$F$4:$F$5003,dCrit)</f>
        <v>0</v>
      </c>
    </row>
    <row r="192" spans="2:12">
      <c r="B192" s="19" t="s">
        <v>73</v>
      </c>
      <c r="C192" s="20">
        <f>COUNTIFS('Equipment Inspections'!$D$4:$D$5003,"Jun",'Equipment Inspections'!$F$4:$F$5003,dCrit)</f>
        <v>0</v>
      </c>
    </row>
    <row r="193" spans="2:12">
      <c r="B193" s="19" t="s">
        <v>76</v>
      </c>
      <c r="C193" s="20">
        <f>COUNTIFS('Equipment Inspections'!$D$4:$D$5003,"Jul",'Equipment Inspections'!$F$4:$F$5003,dCrit)</f>
        <v>0</v>
      </c>
    </row>
    <row r="194" spans="2:12">
      <c r="B194" s="19" t="s">
        <v>86</v>
      </c>
      <c r="C194" s="20">
        <f>COUNTIFS('Equipment Inspections'!$D$4:$D$5003,"Aug",'Equipment Inspections'!$F$4:$F$5003,dCrit)</f>
        <v>0</v>
      </c>
    </row>
    <row r="195" spans="2:12">
      <c r="B195" s="19" t="s">
        <v>102</v>
      </c>
      <c r="C195" s="20">
        <f>COUNTIFS('Equipment Inspections'!$D$4:$D$5003,"Sep",'Equipment Inspections'!$F$4:$F$5003,dCrit)</f>
        <v>0</v>
      </c>
    </row>
    <row r="196" spans="2:12">
      <c r="B196" s="19" t="s">
        <v>106</v>
      </c>
      <c r="C196" s="20">
        <f>COUNTIFS('Equipment Inspections'!$D$4:$D$5003,"Oct",'Equipment Inspections'!$F$4:$F$5003,dCrit)</f>
        <v>0</v>
      </c>
    </row>
    <row r="197" spans="2:12">
      <c r="B197" s="19" t="s">
        <v>111</v>
      </c>
      <c r="C197" s="20">
        <f>COUNTIFS('Equipment Inspections'!$D$4:$D$5003,"Nov",'Equipment Inspections'!$F$4:$F$5003,dCrit)</f>
        <v>0</v>
      </c>
    </row>
    <row r="198" spans="2:12">
      <c r="B198" s="19" t="s">
        <v>122</v>
      </c>
      <c r="C198" s="20">
        <f>COUNTIFS('Equipment Inspections'!$D$4:$D$5003,"Dec",'Equipment Inspections'!$F$4:$F$5003,dCrit)</f>
        <v>0</v>
      </c>
    </row>
    <row r="202" spans="2:12">
      <c r="B202" s="17" t="s">
        <v>1720</v>
      </c>
    </row>
    <row r="203" spans="2:12">
      <c r="B203" s="10" t="s">
        <v>127</v>
      </c>
      <c r="C203" s="10" t="s">
        <v>1692</v>
      </c>
      <c r="E203" s="10" t="s">
        <v>412</v>
      </c>
      <c r="F203" s="10" t="s">
        <v>1692</v>
      </c>
      <c r="H203" s="10" t="s">
        <v>287</v>
      </c>
      <c r="I203" s="10" t="s">
        <v>1692</v>
      </c>
      <c r="K203" s="10" t="s">
        <v>1668</v>
      </c>
      <c r="L203" s="10" t="s">
        <v>1709</v>
      </c>
    </row>
    <row r="204" spans="2:12">
      <c r="B204" s="19" t="s">
        <v>3</v>
      </c>
      <c r="C204" s="20">
        <f>COUNTIFS('Safety Walkthroughs'!$D$4:$D$5003,"Jan",'Safety Walkthroughs'!$F$4:$F$5003,dCrit)</f>
        <v>0</v>
      </c>
      <c r="E204" s="11" t="s">
        <v>10</v>
      </c>
      <c r="F204" s="20">
        <f>COUNTIFS('Safety Walkthroughs'!$L$4:$L$5003,"Excellent",'Safety Walkthroughs'!$D$4:$D$5003,mCrit,'Safety Walkthroughs'!$F$4:$F$5003,dCrit)</f>
        <v>0</v>
      </c>
      <c r="H204" s="11" t="s">
        <v>297</v>
      </c>
      <c r="I204" s="20">
        <f>COUNTIFS('Safety Walkthroughs'!$M$4:$M$5003,"Open",'Safety Walkthroughs'!$D$4:$D$5003,mCrit,'Safety Walkthroughs'!$F$4:$F$5003,dCrit)</f>
        <v>0</v>
      </c>
      <c r="K204" s="11" t="s">
        <v>1710</v>
      </c>
      <c r="L204" s="20">
        <f>COUNTIFS('Safety Walkthroughs'!$D$4:$D$5003,mCrit,'Safety Walkthroughs'!$F$4:$F$5003,dCrit)</f>
        <v>0</v>
      </c>
    </row>
    <row r="205" spans="2:12">
      <c r="B205" s="19" t="s">
        <v>19</v>
      </c>
      <c r="C205" s="20">
        <f>COUNTIFS('Safety Walkthroughs'!$D$4:$D$5003,"Feb",'Safety Walkthroughs'!$F$4:$F$5003,dCrit)</f>
        <v>0</v>
      </c>
      <c r="E205" s="11" t="s">
        <v>42</v>
      </c>
      <c r="F205" s="20">
        <f>COUNTIFS('Safety Walkthroughs'!$L$4:$L$5003,"Good",'Safety Walkthroughs'!$D$4:$D$5003,mCrit,'Safety Walkthroughs'!$F$4:$F$5003,dCrit)</f>
        <v>0</v>
      </c>
      <c r="H205" s="11" t="s">
        <v>254</v>
      </c>
      <c r="I205" s="20">
        <f>COUNTIFS('Safety Walkthroughs'!$M$4:$M$5003,"In Progress",'Safety Walkthroughs'!$D$4:$D$5003,mCrit,'Safety Walkthroughs'!$F$4:$F$5003,dCrit)</f>
        <v>0</v>
      </c>
      <c r="K205" s="11" t="s">
        <v>1713</v>
      </c>
      <c r="L205" s="21">
        <f>IFERROR((COUNTIFS('Safety Walkthroughs'!$M$4:$M$5003,"Closed",'Safety Walkthroughs'!$D$4:$D$5003,mCrit,'Safety Walkthroughs'!$F$4:$F$5003,dCrit))/COUNTIFS('Safety Walkthroughs'!$D$4:$D$5003,mCrit,'Safety Walkthroughs'!$F$4:$F$5003,dCrit)*100,0)</f>
        <v>0</v>
      </c>
    </row>
    <row r="206" spans="2:12">
      <c r="B206" s="19" t="s">
        <v>44</v>
      </c>
      <c r="C206" s="20">
        <f>COUNTIFS('Safety Walkthroughs'!$D$4:$D$5003,"Mar",'Safety Walkthroughs'!$F$4:$F$5003,dCrit)</f>
        <v>0</v>
      </c>
      <c r="E206" s="11" t="s">
        <v>17</v>
      </c>
      <c r="F206" s="20">
        <f>COUNTIFS('Safety Walkthroughs'!$L$4:$L$5003,"Satisfactory",'Safety Walkthroughs'!$D$4:$D$5003,mCrit,'Safety Walkthroughs'!$F$4:$F$5003,dCrit)</f>
        <v>0</v>
      </c>
      <c r="H206" s="11" t="s">
        <v>293</v>
      </c>
      <c r="I206" s="20">
        <f>COUNTIFS('Safety Walkthroughs'!$M$4:$M$5003,"Closed",'Safety Walkthroughs'!$D$4:$D$5003,mCrit,'Safety Walkthroughs'!$F$4:$F$5003,dCrit)</f>
        <v>0</v>
      </c>
      <c r="K206" s="11" t="s">
        <v>1714</v>
      </c>
      <c r="L206" s="20">
        <f>COUNTIFS('Safety Walkthroughs'!$M$4:$M$5003,"Open",'Safety Walkthroughs'!$D$4:$D$5003,mCrit,'Safety Walkthroughs'!$F$4:$F$5003,dCrit)+COUNTIFS('Safety Walkthroughs'!$M$4:$M$5003,"In Progress",'Safety Walkthroughs'!$D$4:$D$5003,mCrit,'Safety Walkthroughs'!$F$4:$F$5003,dCrit)+COUNTIFS('Safety Walkthroughs'!$M$4:$M$5003,"Overdue",'Safety Walkthroughs'!$D$4:$D$5003,mCrit,'Safety Walkthroughs'!$F$4:$F$5003,dCrit)</f>
        <v>0</v>
      </c>
    </row>
    <row r="207" spans="2:12">
      <c r="B207" s="19" t="s">
        <v>53</v>
      </c>
      <c r="C207" s="20">
        <f>COUNTIFS('Safety Walkthroughs'!$D$4:$D$5003,"Apr",'Safety Walkthroughs'!$F$4:$F$5003,dCrit)</f>
        <v>0</v>
      </c>
      <c r="E207" s="11" t="s">
        <v>96</v>
      </c>
      <c r="F207" s="20">
        <f>COUNTIFS('Safety Walkthroughs'!$L$4:$L$5003,"Needs Improvement",'Safety Walkthroughs'!$D$4:$D$5003,mCrit,'Safety Walkthroughs'!$F$4:$F$5003,dCrit)</f>
        <v>0</v>
      </c>
      <c r="H207" s="11" t="s">
        <v>238</v>
      </c>
      <c r="I207" s="20">
        <f>COUNTIFS('Safety Walkthroughs'!$M$4:$M$5003,"Overdue",'Safety Walkthroughs'!$D$4:$D$5003,mCrit,'Safety Walkthroughs'!$F$4:$F$5003,dCrit)</f>
        <v>0</v>
      </c>
      <c r="K207" s="11" t="s">
        <v>1718</v>
      </c>
      <c r="L207" s="20">
        <f>SUMIFS('Safety Walkthroughs'!$J$4:$J$5003,'Safety Walkthroughs'!$D$4:$D$5003,mCrit,'Safety Walkthroughs'!$F$4:$F$5003,dCrit)</f>
        <v>0</v>
      </c>
    </row>
    <row r="208" spans="2:12">
      <c r="B208" s="19" t="s">
        <v>60</v>
      </c>
      <c r="C208" s="20">
        <f>COUNTIFS('Safety Walkthroughs'!$D$4:$D$5003,"May",'Safety Walkthroughs'!$F$4:$F$5003,dCrit)</f>
        <v>0</v>
      </c>
      <c r="E208" s="11" t="s">
        <v>24</v>
      </c>
      <c r="F208" s="20">
        <f>COUNTIFS('Safety Walkthroughs'!$L$4:$L$5003,"Unsatisfactory",'Safety Walkthroughs'!$D$4:$D$5003,mCrit,'Safety Walkthroughs'!$F$4:$F$5003,dCrit)</f>
        <v>0</v>
      </c>
    </row>
    <row r="209" spans="2:12">
      <c r="B209" s="19" t="s">
        <v>73</v>
      </c>
      <c r="C209" s="20">
        <f>COUNTIFS('Safety Walkthroughs'!$D$4:$D$5003,"Jun",'Safety Walkthroughs'!$F$4:$F$5003,dCrit)</f>
        <v>0</v>
      </c>
    </row>
    <row r="210" spans="2:12">
      <c r="B210" s="19" t="s">
        <v>76</v>
      </c>
      <c r="C210" s="20">
        <f>COUNTIFS('Safety Walkthroughs'!$D$4:$D$5003,"Jul",'Safety Walkthroughs'!$F$4:$F$5003,dCrit)</f>
        <v>0</v>
      </c>
    </row>
    <row r="211" spans="2:12">
      <c r="B211" s="19" t="s">
        <v>86</v>
      </c>
      <c r="C211" s="20">
        <f>COUNTIFS('Safety Walkthroughs'!$D$4:$D$5003,"Aug",'Safety Walkthroughs'!$F$4:$F$5003,dCrit)</f>
        <v>0</v>
      </c>
    </row>
    <row r="212" spans="2:12">
      <c r="B212" s="19" t="s">
        <v>102</v>
      </c>
      <c r="C212" s="20">
        <f>COUNTIFS('Safety Walkthroughs'!$D$4:$D$5003,"Sep",'Safety Walkthroughs'!$F$4:$F$5003,dCrit)</f>
        <v>0</v>
      </c>
    </row>
    <row r="213" spans="2:12">
      <c r="B213" s="19" t="s">
        <v>106</v>
      </c>
      <c r="C213" s="20">
        <f>COUNTIFS('Safety Walkthroughs'!$D$4:$D$5003,"Oct",'Safety Walkthroughs'!$F$4:$F$5003,dCrit)</f>
        <v>0</v>
      </c>
    </row>
    <row r="214" spans="2:12">
      <c r="B214" s="19" t="s">
        <v>111</v>
      </c>
      <c r="C214" s="20">
        <f>COUNTIFS('Safety Walkthroughs'!$D$4:$D$5003,"Nov",'Safety Walkthroughs'!$F$4:$F$5003,dCrit)</f>
        <v>0</v>
      </c>
    </row>
    <row r="215" spans="2:12">
      <c r="B215" s="19" t="s">
        <v>122</v>
      </c>
      <c r="C215" s="20">
        <f>COUNTIFS('Safety Walkthroughs'!$D$4:$D$5003,"Dec",'Safety Walkthroughs'!$F$4:$F$5003,dCrit)</f>
        <v>0</v>
      </c>
    </row>
    <row r="219" spans="2:12">
      <c r="B219" s="17" t="s">
        <v>1721</v>
      </c>
    </row>
    <row r="220" spans="2:12">
      <c r="B220" s="10" t="s">
        <v>127</v>
      </c>
      <c r="C220" s="10" t="s">
        <v>1692</v>
      </c>
      <c r="E220" s="10" t="s">
        <v>566</v>
      </c>
      <c r="F220" s="10" t="s">
        <v>1692</v>
      </c>
      <c r="K220" s="10" t="s">
        <v>1668</v>
      </c>
      <c r="L220" s="10" t="s">
        <v>1709</v>
      </c>
    </row>
    <row r="221" spans="2:12">
      <c r="B221" s="19" t="s">
        <v>3</v>
      </c>
      <c r="C221" s="20">
        <f>COUNTIFS('Safety Meetings'!$D$4:$D$5003,"Jan",'Safety Meetings'!$G$4:$G$5003,dCrit)</f>
        <v>0</v>
      </c>
      <c r="E221" s="11" t="s">
        <v>514</v>
      </c>
      <c r="F221" s="20">
        <f>COUNTIFS('Safety Meetings'!$E$4:$E$5003,"Weekly",'Safety Meetings'!$D$4:$D$5003,mCrit,'Safety Meetings'!$G$4:$G$5003,dCrit)</f>
        <v>0</v>
      </c>
      <c r="K221" s="11" t="s">
        <v>1710</v>
      </c>
      <c r="L221" s="20">
        <f>COUNTIFS('Safety Meetings'!$D$4:$D$5003,mCrit,'Safety Meetings'!$G$4:$G$5003,dCrit)</f>
        <v>0</v>
      </c>
    </row>
    <row r="222" spans="2:12">
      <c r="B222" s="19" t="s">
        <v>19</v>
      </c>
      <c r="C222" s="20">
        <f>COUNTIFS('Safety Meetings'!$D$4:$D$5003,"Feb",'Safety Meetings'!$G$4:$G$5003,dCrit)</f>
        <v>0</v>
      </c>
      <c r="E222" s="11" t="s">
        <v>523</v>
      </c>
      <c r="F222" s="20">
        <f>COUNTIFS('Safety Meetings'!$E$4:$E$5003,"Monthly",'Safety Meetings'!$D$4:$D$5003,mCrit,'Safety Meetings'!$G$4:$G$5003,dCrit)</f>
        <v>0</v>
      </c>
      <c r="K222" s="11" t="s">
        <v>1711</v>
      </c>
      <c r="L222" s="21">
        <f>IFERROR(AVERAGEIFS('Safety Meetings'!$K$4:$K$5003,'Safety Meetings'!$D$4:$D$5003,mCrit,'Safety Meetings'!$G$4:$G$5003,dCrit),0)</f>
        <v>0</v>
      </c>
    </row>
    <row r="223" spans="2:12">
      <c r="B223" s="19" t="s">
        <v>44</v>
      </c>
      <c r="C223" s="20">
        <f>COUNTIFS('Safety Meetings'!$D$4:$D$5003,"Mar",'Safety Meetings'!$G$4:$G$5003,dCrit)</f>
        <v>0</v>
      </c>
      <c r="E223" s="11" t="s">
        <v>516</v>
      </c>
      <c r="F223" s="20">
        <f>COUNTIFS('Safety Meetings'!$E$4:$E$5003,"Quarterly",'Safety Meetings'!$D$4:$D$5003,mCrit,'Safety Meetings'!$G$4:$G$5003,dCrit)</f>
        <v>0</v>
      </c>
    </row>
    <row r="224" spans="2:12">
      <c r="B224" s="19" t="s">
        <v>53</v>
      </c>
      <c r="C224" s="20">
        <f>COUNTIFS('Safety Meetings'!$D$4:$D$5003,"Apr",'Safety Meetings'!$G$4:$G$5003,dCrit)</f>
        <v>0</v>
      </c>
      <c r="E224" s="11" t="s">
        <v>518</v>
      </c>
      <c r="F224" s="20">
        <f>COUNTIFS('Safety Meetings'!$E$4:$E$5003,"Annual",'Safety Meetings'!$D$4:$D$5003,mCrit,'Safety Meetings'!$G$4:$G$5003,dCrit)</f>
        <v>0</v>
      </c>
    </row>
    <row r="225" spans="2:12">
      <c r="B225" s="19" t="s">
        <v>60</v>
      </c>
      <c r="C225" s="20">
        <f>COUNTIFS('Safety Meetings'!$D$4:$D$5003,"May",'Safety Meetings'!$G$4:$G$5003,dCrit)</f>
        <v>0</v>
      </c>
    </row>
    <row r="226" spans="2:12">
      <c r="B226" s="19" t="s">
        <v>73</v>
      </c>
      <c r="C226" s="20">
        <f>COUNTIFS('Safety Meetings'!$D$4:$D$5003,"Jun",'Safety Meetings'!$G$4:$G$5003,dCrit)</f>
        <v>0</v>
      </c>
    </row>
    <row r="227" spans="2:12">
      <c r="B227" s="19" t="s">
        <v>76</v>
      </c>
      <c r="C227" s="20">
        <f>COUNTIFS('Safety Meetings'!$D$4:$D$5003,"Jul",'Safety Meetings'!$G$4:$G$5003,dCrit)</f>
        <v>0</v>
      </c>
    </row>
    <row r="228" spans="2:12">
      <c r="B228" s="19" t="s">
        <v>86</v>
      </c>
      <c r="C228" s="20">
        <f>COUNTIFS('Safety Meetings'!$D$4:$D$5003,"Aug",'Safety Meetings'!$G$4:$G$5003,dCrit)</f>
        <v>0</v>
      </c>
    </row>
    <row r="229" spans="2:12">
      <c r="B229" s="19" t="s">
        <v>102</v>
      </c>
      <c r="C229" s="20">
        <f>COUNTIFS('Safety Meetings'!$D$4:$D$5003,"Sep",'Safety Meetings'!$G$4:$G$5003,dCrit)</f>
        <v>0</v>
      </c>
    </row>
    <row r="230" spans="2:12">
      <c r="B230" s="19" t="s">
        <v>106</v>
      </c>
      <c r="C230" s="20">
        <f>COUNTIFS('Safety Meetings'!$D$4:$D$5003,"Oct",'Safety Meetings'!$G$4:$G$5003,dCrit)</f>
        <v>0</v>
      </c>
    </row>
    <row r="231" spans="2:12">
      <c r="B231" s="19" t="s">
        <v>111</v>
      </c>
      <c r="C231" s="20">
        <f>COUNTIFS('Safety Meetings'!$D$4:$D$5003,"Nov",'Safety Meetings'!$G$4:$G$5003,dCrit)</f>
        <v>0</v>
      </c>
    </row>
    <row r="232" spans="2:12">
      <c r="B232" s="19" t="s">
        <v>122</v>
      </c>
      <c r="C232" s="20">
        <f>COUNTIFS('Safety Meetings'!$D$4:$D$5003,"Dec",'Safety Meetings'!$G$4:$G$5003,dCrit)</f>
        <v>0</v>
      </c>
    </row>
    <row r="236" spans="2:12">
      <c r="B236" s="17" t="s">
        <v>1722</v>
      </c>
    </row>
    <row r="237" spans="2:12">
      <c r="B237" s="10" t="s">
        <v>127</v>
      </c>
      <c r="C237" s="10" t="s">
        <v>1692</v>
      </c>
      <c r="E237" s="10" t="s">
        <v>636</v>
      </c>
      <c r="F237" s="10" t="s">
        <v>1692</v>
      </c>
      <c r="H237" s="10" t="s">
        <v>287</v>
      </c>
      <c r="I237" s="10" t="s">
        <v>1692</v>
      </c>
      <c r="K237" s="10" t="s">
        <v>1668</v>
      </c>
      <c r="L237" s="10" t="s">
        <v>1709</v>
      </c>
    </row>
    <row r="238" spans="2:12">
      <c r="B238" s="19" t="s">
        <v>3</v>
      </c>
      <c r="C238" s="20">
        <f>COUNTIFS('Safety Bulletins'!$D$4:$D$5003,"Jan")</f>
        <v>0</v>
      </c>
      <c r="E238" s="11" t="s">
        <v>588</v>
      </c>
      <c r="F238" s="20">
        <f>COUNTIFS('Safety Bulletins'!$E$4:$E$5003,"Safety Alert",'Safety Bulletins'!$D$4:$D$5003,mCrit)</f>
        <v>0</v>
      </c>
      <c r="H238" s="11" t="s">
        <v>293</v>
      </c>
      <c r="I238" s="20">
        <f>COUNTIFS('Safety Bulletins'!$K$4:$K$5003,"Closed",'Safety Bulletins'!$D$4:$D$5003,mCrit)</f>
        <v>0</v>
      </c>
      <c r="K238" s="11" t="s">
        <v>1710</v>
      </c>
      <c r="L238" s="20">
        <f>COUNTIFS('Safety Bulletins'!$D$4:$D$5003,mCrit)</f>
        <v>0</v>
      </c>
    </row>
    <row r="239" spans="2:12">
      <c r="B239" s="19" t="s">
        <v>19</v>
      </c>
      <c r="C239" s="20">
        <f>COUNTIFS('Safety Bulletins'!$D$4:$D$5003,"Feb")</f>
        <v>0</v>
      </c>
      <c r="E239" s="11" t="s">
        <v>594</v>
      </c>
      <c r="F239" s="20">
        <f>COUNTIFS('Safety Bulletins'!$E$4:$E$5003,"Bulletin",'Safety Bulletins'!$D$4:$D$5003,mCrit)</f>
        <v>0</v>
      </c>
      <c r="H239" s="11" t="s">
        <v>254</v>
      </c>
      <c r="I239" s="20">
        <f>COUNTIFS('Safety Bulletins'!$K$4:$K$5003,"In Progress",'Safety Bulletins'!$D$4:$D$5003,mCrit)</f>
        <v>0</v>
      </c>
      <c r="K239" s="11" t="s">
        <v>1713</v>
      </c>
      <c r="L239" s="21">
        <f>IFERROR((COUNTIFS('Safety Bulletins'!$K$4:$K$5003,"Closed",'Safety Bulletins'!$D$4:$D$5003,mCrit))/COUNTIFS('Safety Bulletins'!$D$4:$D$5003,mCrit)*100,0)</f>
        <v>0</v>
      </c>
    </row>
    <row r="240" spans="2:12">
      <c r="B240" s="19" t="s">
        <v>44</v>
      </c>
      <c r="C240" s="20">
        <f>COUNTIFS('Safety Bulletins'!$D$4:$D$5003,"Mar")</f>
        <v>0</v>
      </c>
      <c r="E240" s="11" t="s">
        <v>584</v>
      </c>
      <c r="F240" s="20">
        <f>COUNTIFS('Safety Bulletins'!$E$4:$E$5003,"Toolbox Topic",'Safety Bulletins'!$D$4:$D$5003,mCrit)</f>
        <v>0</v>
      </c>
      <c r="H240" s="11" t="s">
        <v>238</v>
      </c>
      <c r="I240" s="20">
        <f>COUNTIFS('Safety Bulletins'!$K$4:$K$5003,"Overdue",'Safety Bulletins'!$D$4:$D$5003,mCrit)</f>
        <v>0</v>
      </c>
      <c r="K240" s="11" t="s">
        <v>1714</v>
      </c>
      <c r="L240" s="20">
        <f>COUNTIFS('Safety Bulletins'!$K$4:$K$5003,"Open",'Safety Bulletins'!$D$4:$D$5003,mCrit)+COUNTIFS('Safety Bulletins'!$K$4:$K$5003,"In Progress",'Safety Bulletins'!$D$4:$D$5003,mCrit)+COUNTIFS('Safety Bulletins'!$K$4:$K$5003,"Overdue",'Safety Bulletins'!$D$4:$D$5003,mCrit)</f>
        <v>0</v>
      </c>
    </row>
    <row r="241" spans="2:12">
      <c r="B241" s="19" t="s">
        <v>53</v>
      </c>
      <c r="C241" s="20">
        <f>COUNTIFS('Safety Bulletins'!$D$4:$D$5003,"Apr")</f>
        <v>0</v>
      </c>
      <c r="E241" s="11" t="s">
        <v>577</v>
      </c>
      <c r="F241" s="20">
        <f>COUNTIFS('Safety Bulletins'!$E$4:$E$5003,"Lesson Learned",'Safety Bulletins'!$D$4:$D$5003,mCrit)</f>
        <v>0</v>
      </c>
      <c r="H241" s="11" t="s">
        <v>297</v>
      </c>
      <c r="I241" s="20">
        <f>COUNTIFS('Safety Bulletins'!$K$4:$K$5003,"Open",'Safety Bulletins'!$D$4:$D$5003,mCrit)</f>
        <v>0</v>
      </c>
      <c r="K241" s="11" t="s">
        <v>1723</v>
      </c>
      <c r="L241" s="21">
        <f>IFERROR(AVERAGEIFS('Safety Bulletins'!$N$4:$N$5003,'Safety Bulletins'!$D$4:$D$5003,mCrit),0)</f>
        <v>0</v>
      </c>
    </row>
    <row r="242" spans="2:12">
      <c r="B242" s="19" t="s">
        <v>60</v>
      </c>
      <c r="C242" s="20">
        <f>COUNTIFS('Safety Bulletins'!$D$4:$D$5003,"May")</f>
        <v>0</v>
      </c>
      <c r="E242" s="11" t="s">
        <v>580</v>
      </c>
      <c r="F242" s="20">
        <f>COUNTIFS('Safety Bulletins'!$E$4:$E$5003,"Best Practice",'Safety Bulletins'!$D$4:$D$5003,mCrit)</f>
        <v>0</v>
      </c>
    </row>
    <row r="243" spans="2:12">
      <c r="B243" s="19" t="s">
        <v>73</v>
      </c>
      <c r="C243" s="20">
        <f>COUNTIFS('Safety Bulletins'!$D$4:$D$5003,"Jun")</f>
        <v>0</v>
      </c>
      <c r="E243" s="11" t="s">
        <v>590</v>
      </c>
      <c r="F243" s="20">
        <f>COUNTIFS('Safety Bulletins'!$E$4:$E$5003,"Advisory",'Safety Bulletins'!$D$4:$D$5003,mCrit)</f>
        <v>0</v>
      </c>
    </row>
    <row r="244" spans="2:12">
      <c r="B244" s="19" t="s">
        <v>76</v>
      </c>
      <c r="C244" s="20">
        <f>COUNTIFS('Safety Bulletins'!$D$4:$D$5003,"Jul")</f>
        <v>0</v>
      </c>
    </row>
    <row r="245" spans="2:12">
      <c r="B245" s="19" t="s">
        <v>86</v>
      </c>
      <c r="C245" s="20">
        <f>COUNTIFS('Safety Bulletins'!$D$4:$D$5003,"Aug")</f>
        <v>0</v>
      </c>
    </row>
    <row r="246" spans="2:12">
      <c r="B246" s="19" t="s">
        <v>102</v>
      </c>
      <c r="C246" s="20">
        <f>COUNTIFS('Safety Bulletins'!$D$4:$D$5003,"Sep")</f>
        <v>0</v>
      </c>
    </row>
    <row r="247" spans="2:12">
      <c r="B247" s="19" t="s">
        <v>106</v>
      </c>
      <c r="C247" s="20">
        <f>COUNTIFS('Safety Bulletins'!$D$4:$D$5003,"Oct")</f>
        <v>0</v>
      </c>
    </row>
    <row r="248" spans="2:12">
      <c r="B248" s="19" t="s">
        <v>111</v>
      </c>
      <c r="C248" s="20">
        <f>COUNTIFS('Safety Bulletins'!$D$4:$D$5003,"Nov")</f>
        <v>0</v>
      </c>
    </row>
    <row r="249" spans="2:12">
      <c r="B249" s="19" t="s">
        <v>122</v>
      </c>
      <c r="C249" s="20">
        <f>COUNTIFS('Safety Bulletins'!$D$4:$D$5003,"Dec")</f>
        <v>0</v>
      </c>
    </row>
    <row r="253" spans="2:12">
      <c r="B253" s="17" t="s">
        <v>1724</v>
      </c>
    </row>
    <row r="254" spans="2:12">
      <c r="B254" s="10" t="s">
        <v>127</v>
      </c>
      <c r="C254" s="10" t="s">
        <v>1692</v>
      </c>
      <c r="E254" s="10" t="s">
        <v>701</v>
      </c>
      <c r="F254" s="10" t="s">
        <v>1692</v>
      </c>
      <c r="H254" s="10" t="s">
        <v>287</v>
      </c>
      <c r="I254" s="10" t="s">
        <v>1692</v>
      </c>
      <c r="K254" s="10" t="s">
        <v>1668</v>
      </c>
      <c r="L254" s="10" t="s">
        <v>1709</v>
      </c>
    </row>
    <row r="255" spans="2:12">
      <c r="B255" s="19" t="s">
        <v>3</v>
      </c>
      <c r="C255" s="20">
        <f>COUNTIFS('Emergency Drills'!$D$4:$D$5003,"Jan")</f>
        <v>0</v>
      </c>
      <c r="E255" s="11" t="s">
        <v>649</v>
      </c>
      <c r="F255" s="20">
        <f>COUNTIFS('Emergency Drills'!$E$4:$E$5003,"Fire Evacuation",'Emergency Drills'!$D$4:$D$5003,mCrit)</f>
        <v>0</v>
      </c>
      <c r="H255" s="11" t="s">
        <v>254</v>
      </c>
      <c r="I255" s="20">
        <f>COUNTIFS('Emergency Drills'!$O$4:$O$5003,"In Progress",'Emergency Drills'!$D$4:$D$5003,mCrit)</f>
        <v>0</v>
      </c>
      <c r="K255" s="11" t="s">
        <v>1710</v>
      </c>
      <c r="L255" s="20">
        <f>COUNTIFS('Emergency Drills'!$D$4:$D$5003,mCrit)</f>
        <v>0</v>
      </c>
    </row>
    <row r="256" spans="2:12">
      <c r="B256" s="19" t="s">
        <v>19</v>
      </c>
      <c r="C256" s="20">
        <f>COUNTIFS('Emergency Drills'!$D$4:$D$5003,"Feb")</f>
        <v>0</v>
      </c>
      <c r="E256" s="11" t="s">
        <v>657</v>
      </c>
      <c r="F256" s="20">
        <f>COUNTIFS('Emergency Drills'!$E$4:$E$5003,"Chemical Spill",'Emergency Drills'!$D$4:$D$5003,mCrit)</f>
        <v>0</v>
      </c>
      <c r="H256" s="11" t="s">
        <v>293</v>
      </c>
      <c r="I256" s="20">
        <f>COUNTIFS('Emergency Drills'!$O$4:$O$5003,"Closed",'Emergency Drills'!$D$4:$D$5003,mCrit)</f>
        <v>0</v>
      </c>
      <c r="K256" s="11" t="s">
        <v>1713</v>
      </c>
      <c r="L256" s="21">
        <f>IFERROR((COUNTIFS('Emergency Drills'!$O$4:$O$5003,"Closed",'Emergency Drills'!$D$4:$D$5003,mCrit))/COUNTIFS('Emergency Drills'!$D$4:$D$5003,mCrit)*100,0)</f>
        <v>0</v>
      </c>
    </row>
    <row r="257" spans="2:12">
      <c r="B257" s="19" t="s">
        <v>44</v>
      </c>
      <c r="C257" s="20">
        <f>COUNTIFS('Emergency Drills'!$D$4:$D$5003,"Mar")</f>
        <v>0</v>
      </c>
      <c r="E257" s="11" t="s">
        <v>654</v>
      </c>
      <c r="F257" s="20">
        <f>COUNTIFS('Emergency Drills'!$E$4:$E$5003,"Medical Emergency",'Emergency Drills'!$D$4:$D$5003,mCrit)</f>
        <v>0</v>
      </c>
      <c r="H257" s="11" t="s">
        <v>297</v>
      </c>
      <c r="I257" s="20">
        <f>COUNTIFS('Emergency Drills'!$O$4:$O$5003,"Open",'Emergency Drills'!$D$4:$D$5003,mCrit)</f>
        <v>0</v>
      </c>
      <c r="K257" s="11" t="s">
        <v>1714</v>
      </c>
      <c r="L257" s="20">
        <f>COUNTIFS('Emergency Drills'!$O$4:$O$5003,"Open",'Emergency Drills'!$D$4:$D$5003,mCrit)+COUNTIFS('Emergency Drills'!$O$4:$O$5003,"In Progress",'Emergency Drills'!$D$4:$D$5003,mCrit)+COUNTIFS('Emergency Drills'!$O$4:$O$5003,"Overdue",'Emergency Drills'!$D$4:$D$5003,mCrit)</f>
        <v>0</v>
      </c>
    </row>
    <row r="258" spans="2:12">
      <c r="B258" s="19" t="s">
        <v>53</v>
      </c>
      <c r="C258" s="20">
        <f>COUNTIFS('Emergency Drills'!$D$4:$D$5003,"Apr")</f>
        <v>0</v>
      </c>
      <c r="E258" s="11" t="s">
        <v>651</v>
      </c>
      <c r="F258" s="20">
        <f>COUNTIFS('Emergency Drills'!$E$4:$E$5003,"Gas Leak",'Emergency Drills'!$D$4:$D$5003,mCrit)</f>
        <v>0</v>
      </c>
      <c r="H258" s="11" t="s">
        <v>238</v>
      </c>
      <c r="I258" s="20">
        <f>COUNTIFS('Emergency Drills'!$O$4:$O$5003,"Overdue",'Emergency Drills'!$D$4:$D$5003,mCrit)</f>
        <v>0</v>
      </c>
      <c r="K258" s="11" t="s">
        <v>1725</v>
      </c>
      <c r="L258" s="21">
        <f>IFERROR(AVERAGEIFS('Emergency Drills'!$J$4:$J$5003,'Emergency Drills'!$D$4:$D$5003,mCrit),0)</f>
        <v>0</v>
      </c>
    </row>
    <row r="259" spans="2:12">
      <c r="B259" s="19" t="s">
        <v>60</v>
      </c>
      <c r="C259" s="20">
        <f>COUNTIFS('Emergency Drills'!$D$4:$D$5003,"May")</f>
        <v>0</v>
      </c>
      <c r="E259" s="11" t="s">
        <v>647</v>
      </c>
      <c r="F259" s="20">
        <f>COUNTIFS('Emergency Drills'!$E$4:$E$5003,"Confined Space Rescue",'Emergency Drills'!$D$4:$D$5003,mCrit)</f>
        <v>0</v>
      </c>
    </row>
    <row r="260" spans="2:12">
      <c r="B260" s="19" t="s">
        <v>73</v>
      </c>
      <c r="C260" s="20">
        <f>COUNTIFS('Emergency Drills'!$D$4:$D$5003,"Jun")</f>
        <v>0</v>
      </c>
      <c r="E260" s="11" t="s">
        <v>659</v>
      </c>
      <c r="F260" s="20">
        <f>COUNTIFS('Emergency Drills'!$E$4:$E$5003,"Earthquake",'Emergency Drills'!$D$4:$D$5003,mCrit)</f>
        <v>0</v>
      </c>
    </row>
    <row r="261" spans="2:12">
      <c r="B261" s="19" t="s">
        <v>76</v>
      </c>
      <c r="C261" s="20">
        <f>COUNTIFS('Emergency Drills'!$D$4:$D$5003,"Jul")</f>
        <v>0</v>
      </c>
    </row>
    <row r="262" spans="2:12">
      <c r="B262" s="19" t="s">
        <v>86</v>
      </c>
      <c r="C262" s="20">
        <f>COUNTIFS('Emergency Drills'!$D$4:$D$5003,"Aug")</f>
        <v>0</v>
      </c>
    </row>
    <row r="263" spans="2:12">
      <c r="B263" s="19" t="s">
        <v>102</v>
      </c>
      <c r="C263" s="20">
        <f>COUNTIFS('Emergency Drills'!$D$4:$D$5003,"Sep")</f>
        <v>0</v>
      </c>
    </row>
    <row r="264" spans="2:12">
      <c r="B264" s="19" t="s">
        <v>106</v>
      </c>
      <c r="C264" s="20">
        <f>COUNTIFS('Emergency Drills'!$D$4:$D$5003,"Oct")</f>
        <v>0</v>
      </c>
    </row>
    <row r="265" spans="2:12">
      <c r="B265" s="19" t="s">
        <v>111</v>
      </c>
      <c r="C265" s="20">
        <f>COUNTIFS('Emergency Drills'!$D$4:$D$5003,"Nov")</f>
        <v>0</v>
      </c>
    </row>
    <row r="266" spans="2:12">
      <c r="B266" s="19" t="s">
        <v>122</v>
      </c>
      <c r="C266" s="20">
        <f>COUNTIFS('Emergency Drills'!$D$4:$D$5003,"Dec")</f>
        <v>0</v>
      </c>
    </row>
    <row r="270" spans="2:12">
      <c r="B270" s="17" t="s">
        <v>1726</v>
      </c>
    </row>
    <row r="271" spans="2:12">
      <c r="B271" s="10" t="s">
        <v>127</v>
      </c>
      <c r="C271" s="10" t="s">
        <v>1692</v>
      </c>
      <c r="E271" s="10" t="s">
        <v>766</v>
      </c>
      <c r="F271" s="10" t="s">
        <v>1692</v>
      </c>
      <c r="H271" s="10" t="s">
        <v>287</v>
      </c>
      <c r="I271" s="10" t="s">
        <v>1692</v>
      </c>
      <c r="K271" s="10" t="s">
        <v>1668</v>
      </c>
      <c r="L271" s="10" t="s">
        <v>1709</v>
      </c>
    </row>
    <row r="272" spans="2:12">
      <c r="B272" s="19" t="s">
        <v>3</v>
      </c>
      <c r="C272" s="20">
        <f>COUNTIFS('Internal Audits'!$D$4:$D$5003,"Jan",'Internal Audits'!$G$4:$G$5003,dCrit)</f>
        <v>0</v>
      </c>
      <c r="E272" s="11" t="s">
        <v>715</v>
      </c>
      <c r="F272" s="20">
        <f>COUNTIFS('Internal Audits'!$F$4:$F$5003,"System Audit",'Internal Audits'!$D$4:$D$5003,mCrit,'Internal Audits'!$G$4:$G$5003,dCrit)</f>
        <v>0</v>
      </c>
      <c r="H272" s="11" t="s">
        <v>238</v>
      </c>
      <c r="I272" s="20">
        <f>COUNTIFS('Internal Audits'!$P$4:$P$5003,"Overdue",'Internal Audits'!$D$4:$D$5003,mCrit,'Internal Audits'!$G$4:$G$5003,dCrit)</f>
        <v>0</v>
      </c>
      <c r="K272" s="11" t="s">
        <v>1710</v>
      </c>
      <c r="L272" s="20">
        <f>COUNTIFS('Internal Audits'!$D$4:$D$5003,mCrit,'Internal Audits'!$G$4:$G$5003,dCrit)</f>
        <v>0</v>
      </c>
    </row>
    <row r="273" spans="2:12">
      <c r="B273" s="19" t="s">
        <v>19</v>
      </c>
      <c r="C273" s="20">
        <f>COUNTIFS('Internal Audits'!$D$4:$D$5003,"Feb",'Internal Audits'!$G$4:$G$5003,dCrit)</f>
        <v>0</v>
      </c>
      <c r="E273" s="11" t="s">
        <v>740</v>
      </c>
      <c r="F273" s="20">
        <f>COUNTIFS('Internal Audits'!$F$4:$F$5003,"Compliance Audit",'Internal Audits'!$D$4:$D$5003,mCrit,'Internal Audits'!$G$4:$G$5003,dCrit)</f>
        <v>0</v>
      </c>
      <c r="H273" s="11" t="s">
        <v>293</v>
      </c>
      <c r="I273" s="20">
        <f>COUNTIFS('Internal Audits'!$P$4:$P$5003,"Closed",'Internal Audits'!$D$4:$D$5003,mCrit,'Internal Audits'!$G$4:$G$5003,dCrit)</f>
        <v>0</v>
      </c>
      <c r="K273" s="11" t="s">
        <v>1713</v>
      </c>
      <c r="L273" s="21">
        <f>IFERROR((COUNTIFS('Internal Audits'!$P$4:$P$5003,"Closed",'Internal Audits'!$D$4:$D$5003,mCrit,'Internal Audits'!$G$4:$G$5003,dCrit))/COUNTIFS('Internal Audits'!$D$4:$D$5003,mCrit,'Internal Audits'!$G$4:$G$5003,dCrit)*100,0)</f>
        <v>0</v>
      </c>
    </row>
    <row r="274" spans="2:12">
      <c r="B274" s="19" t="s">
        <v>44</v>
      </c>
      <c r="C274" s="20">
        <f>COUNTIFS('Internal Audits'!$D$4:$D$5003,"Mar",'Internal Audits'!$G$4:$G$5003,dCrit)</f>
        <v>0</v>
      </c>
      <c r="E274" s="11" t="s">
        <v>717</v>
      </c>
      <c r="F274" s="20">
        <f>COUNTIFS('Internal Audits'!$F$4:$F$5003,"Process Audit",'Internal Audits'!$D$4:$D$5003,mCrit,'Internal Audits'!$G$4:$G$5003,dCrit)</f>
        <v>0</v>
      </c>
      <c r="H274" s="11" t="s">
        <v>254</v>
      </c>
      <c r="I274" s="20">
        <f>COUNTIFS('Internal Audits'!$P$4:$P$5003,"In Progress",'Internal Audits'!$D$4:$D$5003,mCrit,'Internal Audits'!$G$4:$G$5003,dCrit)</f>
        <v>0</v>
      </c>
      <c r="K274" s="11" t="s">
        <v>1714</v>
      </c>
      <c r="L274" s="20">
        <f>COUNTIFS('Internal Audits'!$P$4:$P$5003,"Open",'Internal Audits'!$D$4:$D$5003,mCrit,'Internal Audits'!$G$4:$G$5003,dCrit)+COUNTIFS('Internal Audits'!$P$4:$P$5003,"In Progress",'Internal Audits'!$D$4:$D$5003,mCrit,'Internal Audits'!$G$4:$G$5003,dCrit)+COUNTIFS('Internal Audits'!$P$4:$P$5003,"Overdue",'Internal Audits'!$D$4:$D$5003,mCrit,'Internal Audits'!$G$4:$G$5003,dCrit)</f>
        <v>0</v>
      </c>
    </row>
    <row r="275" spans="2:12">
      <c r="B275" s="19" t="s">
        <v>53</v>
      </c>
      <c r="C275" s="20">
        <f>COUNTIFS('Internal Audits'!$D$4:$D$5003,"Apr",'Internal Audits'!$G$4:$G$5003,dCrit)</f>
        <v>0</v>
      </c>
      <c r="E275" s="11" t="s">
        <v>722</v>
      </c>
      <c r="F275" s="20">
        <f>COUNTIFS('Internal Audits'!$F$4:$F$5003,"Surveillance",'Internal Audits'!$D$4:$D$5003,mCrit,'Internal Audits'!$G$4:$G$5003,dCrit)</f>
        <v>0</v>
      </c>
      <c r="H275" s="11" t="s">
        <v>297</v>
      </c>
      <c r="I275" s="20">
        <f>COUNTIFS('Internal Audits'!$P$4:$P$5003,"Open",'Internal Audits'!$D$4:$D$5003,mCrit,'Internal Audits'!$G$4:$G$5003,dCrit)</f>
        <v>0</v>
      </c>
      <c r="K275" s="11" t="s">
        <v>1727</v>
      </c>
      <c r="L275" s="20">
        <f>SUMIFS('Internal Audits'!$L$4:$L$5003,'Internal Audits'!$D$4:$D$5003,mCrit,'Internal Audits'!$G$4:$G$5003,dCrit)+SUMIFS('Internal Audits'!$M$4:$M$5003,'Internal Audits'!$D$4:$D$5003,mCrit,'Internal Audits'!$G$4:$G$5003,dCrit)</f>
        <v>0</v>
      </c>
    </row>
    <row r="276" spans="2:12">
      <c r="B276" s="19" t="s">
        <v>60</v>
      </c>
      <c r="C276" s="20">
        <f>COUNTIFS('Internal Audits'!$D$4:$D$5003,"May",'Internal Audits'!$G$4:$G$5003,dCrit)</f>
        <v>0</v>
      </c>
      <c r="E276" s="11" t="s">
        <v>711</v>
      </c>
      <c r="F276" s="20">
        <f>COUNTIFS('Internal Audits'!$F$4:$F$5003,"Customer Audit",'Internal Audits'!$D$4:$D$5003,mCrit,'Internal Audits'!$G$4:$G$5003,dCrit)</f>
        <v>0</v>
      </c>
    </row>
    <row r="277" spans="2:12">
      <c r="B277" s="19" t="s">
        <v>73</v>
      </c>
      <c r="C277" s="20">
        <f>COUNTIFS('Internal Audits'!$D$4:$D$5003,"Jun",'Internal Audits'!$G$4:$G$5003,dCrit)</f>
        <v>0</v>
      </c>
      <c r="E277" s="11" t="s">
        <v>713</v>
      </c>
      <c r="F277" s="20">
        <f>COUNTIFS('Internal Audits'!$F$4:$F$5003,"Regulatory Inspection",'Internal Audits'!$D$4:$D$5003,mCrit,'Internal Audits'!$G$4:$G$5003,dCrit)</f>
        <v>0</v>
      </c>
    </row>
    <row r="278" spans="2:12">
      <c r="B278" s="19" t="s">
        <v>76</v>
      </c>
      <c r="C278" s="20">
        <f>COUNTIFS('Internal Audits'!$D$4:$D$5003,"Jul",'Internal Audits'!$G$4:$G$5003,dCrit)</f>
        <v>0</v>
      </c>
    </row>
    <row r="279" spans="2:12">
      <c r="B279" s="19" t="s">
        <v>86</v>
      </c>
      <c r="C279" s="20">
        <f>COUNTIFS('Internal Audits'!$D$4:$D$5003,"Aug",'Internal Audits'!$G$4:$G$5003,dCrit)</f>
        <v>0</v>
      </c>
    </row>
    <row r="280" spans="2:12">
      <c r="B280" s="19" t="s">
        <v>102</v>
      </c>
      <c r="C280" s="20">
        <f>COUNTIFS('Internal Audits'!$D$4:$D$5003,"Sep",'Internal Audits'!$G$4:$G$5003,dCrit)</f>
        <v>0</v>
      </c>
    </row>
    <row r="281" spans="2:12">
      <c r="B281" s="19" t="s">
        <v>106</v>
      </c>
      <c r="C281" s="20">
        <f>COUNTIFS('Internal Audits'!$D$4:$D$5003,"Oct",'Internal Audits'!$G$4:$G$5003,dCrit)</f>
        <v>0</v>
      </c>
    </row>
    <row r="282" spans="2:12">
      <c r="B282" s="19" t="s">
        <v>111</v>
      </c>
      <c r="C282" s="20">
        <f>COUNTIFS('Internal Audits'!$D$4:$D$5003,"Nov",'Internal Audits'!$G$4:$G$5003,dCrit)</f>
        <v>0</v>
      </c>
    </row>
    <row r="283" spans="2:12">
      <c r="B283" s="19" t="s">
        <v>122</v>
      </c>
      <c r="C283" s="20">
        <f>COUNTIFS('Internal Audits'!$D$4:$D$5003,"Dec",'Internal Audits'!$G$4:$G$5003,dCrit)</f>
        <v>0</v>
      </c>
    </row>
    <row r="287" spans="2:12">
      <c r="B287" s="17" t="s">
        <v>1728</v>
      </c>
    </row>
    <row r="288" spans="2:12">
      <c r="B288" s="10" t="s">
        <v>127</v>
      </c>
      <c r="C288" s="10" t="s">
        <v>1692</v>
      </c>
      <c r="E288" s="10" t="s">
        <v>766</v>
      </c>
      <c r="F288" s="10" t="s">
        <v>1692</v>
      </c>
      <c r="H288" s="10" t="s">
        <v>287</v>
      </c>
      <c r="I288" s="10" t="s">
        <v>1692</v>
      </c>
      <c r="K288" s="10" t="s">
        <v>1668</v>
      </c>
      <c r="L288" s="10" t="s">
        <v>1709</v>
      </c>
    </row>
    <row r="289" spans="2:12">
      <c r="B289" s="19" t="s">
        <v>3</v>
      </c>
      <c r="C289" s="20">
        <f>COUNTIFS('External Audits'!$D$4:$D$5003,"Jan",'External Audits'!$G$4:$G$5003,dCrit)</f>
        <v>0</v>
      </c>
      <c r="E289" s="11" t="s">
        <v>715</v>
      </c>
      <c r="F289" s="20">
        <f>COUNTIFS('External Audits'!$F$4:$F$5003,"System Audit",'External Audits'!$D$4:$D$5003,mCrit,'External Audits'!$G$4:$G$5003,dCrit)</f>
        <v>0</v>
      </c>
      <c r="H289" s="11" t="s">
        <v>293</v>
      </c>
      <c r="I289" s="20">
        <f>COUNTIFS('External Audits'!$P$4:$P$5003,"Closed",'External Audits'!$D$4:$D$5003,mCrit,'External Audits'!$G$4:$G$5003,dCrit)</f>
        <v>0</v>
      </c>
      <c r="K289" s="11" t="s">
        <v>1710</v>
      </c>
      <c r="L289" s="20">
        <f>COUNTIFS('External Audits'!$D$4:$D$5003,mCrit,'External Audits'!$G$4:$G$5003,dCrit)</f>
        <v>0</v>
      </c>
    </row>
    <row r="290" spans="2:12">
      <c r="B290" s="19" t="s">
        <v>19</v>
      </c>
      <c r="C290" s="20">
        <f>COUNTIFS('External Audits'!$D$4:$D$5003,"Feb",'External Audits'!$G$4:$G$5003,dCrit)</f>
        <v>0</v>
      </c>
      <c r="E290" s="11" t="s">
        <v>740</v>
      </c>
      <c r="F290" s="20">
        <f>COUNTIFS('External Audits'!$F$4:$F$5003,"Compliance Audit",'External Audits'!$D$4:$D$5003,mCrit,'External Audits'!$G$4:$G$5003,dCrit)</f>
        <v>0</v>
      </c>
      <c r="H290" s="11" t="s">
        <v>254</v>
      </c>
      <c r="I290" s="20">
        <f>COUNTIFS('External Audits'!$P$4:$P$5003,"In Progress",'External Audits'!$D$4:$D$5003,mCrit,'External Audits'!$G$4:$G$5003,dCrit)</f>
        <v>0</v>
      </c>
      <c r="K290" s="11" t="s">
        <v>1713</v>
      </c>
      <c r="L290" s="21">
        <f>IFERROR((COUNTIFS('External Audits'!$P$4:$P$5003,"Closed",'External Audits'!$D$4:$D$5003,mCrit,'External Audits'!$G$4:$G$5003,dCrit))/COUNTIFS('External Audits'!$D$4:$D$5003,mCrit,'External Audits'!$G$4:$G$5003,dCrit)*100,0)</f>
        <v>0</v>
      </c>
    </row>
    <row r="291" spans="2:12">
      <c r="B291" s="19" t="s">
        <v>44</v>
      </c>
      <c r="C291" s="20">
        <f>COUNTIFS('External Audits'!$D$4:$D$5003,"Mar",'External Audits'!$G$4:$G$5003,dCrit)</f>
        <v>0</v>
      </c>
      <c r="E291" s="11" t="s">
        <v>717</v>
      </c>
      <c r="F291" s="20">
        <f>COUNTIFS('External Audits'!$F$4:$F$5003,"Process Audit",'External Audits'!$D$4:$D$5003,mCrit,'External Audits'!$G$4:$G$5003,dCrit)</f>
        <v>0</v>
      </c>
      <c r="H291" s="11" t="s">
        <v>297</v>
      </c>
      <c r="I291" s="20">
        <f>COUNTIFS('External Audits'!$P$4:$P$5003,"Open",'External Audits'!$D$4:$D$5003,mCrit,'External Audits'!$G$4:$G$5003,dCrit)</f>
        <v>0</v>
      </c>
      <c r="K291" s="11" t="s">
        <v>1714</v>
      </c>
      <c r="L291" s="20">
        <f>COUNTIFS('External Audits'!$P$4:$P$5003,"Open",'External Audits'!$D$4:$D$5003,mCrit,'External Audits'!$G$4:$G$5003,dCrit)+COUNTIFS('External Audits'!$P$4:$P$5003,"In Progress",'External Audits'!$D$4:$D$5003,mCrit,'External Audits'!$G$4:$G$5003,dCrit)+COUNTIFS('External Audits'!$P$4:$P$5003,"Overdue",'External Audits'!$D$4:$D$5003,mCrit,'External Audits'!$G$4:$G$5003,dCrit)</f>
        <v>0</v>
      </c>
    </row>
    <row r="292" spans="2:12">
      <c r="B292" s="19" t="s">
        <v>53</v>
      </c>
      <c r="C292" s="20">
        <f>COUNTIFS('External Audits'!$D$4:$D$5003,"Apr",'External Audits'!$G$4:$G$5003,dCrit)</f>
        <v>0</v>
      </c>
      <c r="E292" s="11" t="s">
        <v>722</v>
      </c>
      <c r="F292" s="20">
        <f>COUNTIFS('External Audits'!$F$4:$F$5003,"Surveillance",'External Audits'!$D$4:$D$5003,mCrit,'External Audits'!$G$4:$G$5003,dCrit)</f>
        <v>0</v>
      </c>
      <c r="H292" s="11" t="s">
        <v>238</v>
      </c>
      <c r="I292" s="20">
        <f>COUNTIFS('External Audits'!$P$4:$P$5003,"Overdue",'External Audits'!$D$4:$D$5003,mCrit,'External Audits'!$G$4:$G$5003,dCrit)</f>
        <v>0</v>
      </c>
      <c r="K292" s="11" t="s">
        <v>1727</v>
      </c>
      <c r="L292" s="20">
        <f>SUMIFS('External Audits'!$L$4:$L$5003,'External Audits'!$D$4:$D$5003,mCrit,'External Audits'!$G$4:$G$5003,dCrit)+SUMIFS('External Audits'!$M$4:$M$5003,'External Audits'!$D$4:$D$5003,mCrit,'External Audits'!$G$4:$G$5003,dCrit)</f>
        <v>0</v>
      </c>
    </row>
    <row r="293" spans="2:12">
      <c r="B293" s="19" t="s">
        <v>60</v>
      </c>
      <c r="C293" s="20">
        <f>COUNTIFS('External Audits'!$D$4:$D$5003,"May",'External Audits'!$G$4:$G$5003,dCrit)</f>
        <v>0</v>
      </c>
      <c r="E293" s="11" t="s">
        <v>711</v>
      </c>
      <c r="F293" s="20">
        <f>COUNTIFS('External Audits'!$F$4:$F$5003,"Customer Audit",'External Audits'!$D$4:$D$5003,mCrit,'External Audits'!$G$4:$G$5003,dCrit)</f>
        <v>0</v>
      </c>
    </row>
    <row r="294" spans="2:12">
      <c r="B294" s="19" t="s">
        <v>73</v>
      </c>
      <c r="C294" s="20">
        <f>COUNTIFS('External Audits'!$D$4:$D$5003,"Jun",'External Audits'!$G$4:$G$5003,dCrit)</f>
        <v>0</v>
      </c>
      <c r="E294" s="11" t="s">
        <v>713</v>
      </c>
      <c r="F294" s="20">
        <f>COUNTIFS('External Audits'!$F$4:$F$5003,"Regulatory Inspection",'External Audits'!$D$4:$D$5003,mCrit,'External Audits'!$G$4:$G$5003,dCrit)</f>
        <v>0</v>
      </c>
    </row>
    <row r="295" spans="2:12">
      <c r="B295" s="19" t="s">
        <v>76</v>
      </c>
      <c r="C295" s="20">
        <f>COUNTIFS('External Audits'!$D$4:$D$5003,"Jul",'External Audits'!$G$4:$G$5003,dCrit)</f>
        <v>0</v>
      </c>
    </row>
    <row r="296" spans="2:12">
      <c r="B296" s="19" t="s">
        <v>86</v>
      </c>
      <c r="C296" s="20">
        <f>COUNTIFS('External Audits'!$D$4:$D$5003,"Aug",'External Audits'!$G$4:$G$5003,dCrit)</f>
        <v>0</v>
      </c>
    </row>
    <row r="297" spans="2:12">
      <c r="B297" s="19" t="s">
        <v>102</v>
      </c>
      <c r="C297" s="20">
        <f>COUNTIFS('External Audits'!$D$4:$D$5003,"Sep",'External Audits'!$G$4:$G$5003,dCrit)</f>
        <v>0</v>
      </c>
    </row>
    <row r="298" spans="2:12">
      <c r="B298" s="19" t="s">
        <v>106</v>
      </c>
      <c r="C298" s="20">
        <f>COUNTIFS('External Audits'!$D$4:$D$5003,"Oct",'External Audits'!$G$4:$G$5003,dCrit)</f>
        <v>0</v>
      </c>
    </row>
    <row r="299" spans="2:12">
      <c r="B299" s="19" t="s">
        <v>111</v>
      </c>
      <c r="C299" s="20">
        <f>COUNTIFS('External Audits'!$D$4:$D$5003,"Nov",'External Audits'!$G$4:$G$5003,dCrit)</f>
        <v>0</v>
      </c>
    </row>
    <row r="300" spans="2:12">
      <c r="B300" s="19" t="s">
        <v>122</v>
      </c>
      <c r="C300" s="20">
        <f>COUNTIFS('External Audits'!$D$4:$D$5003,"Dec",'External Audits'!$G$4:$G$5003,dCrit)</f>
        <v>0</v>
      </c>
    </row>
    <row r="304" spans="2:12">
      <c r="B304" s="17" t="s">
        <v>1729</v>
      </c>
    </row>
    <row r="305" spans="2:12">
      <c r="B305" s="10" t="s">
        <v>127</v>
      </c>
      <c r="C305" s="10" t="s">
        <v>1692</v>
      </c>
      <c r="E305" s="10" t="s">
        <v>876</v>
      </c>
      <c r="F305" s="10" t="s">
        <v>1692</v>
      </c>
      <c r="H305" s="10" t="s">
        <v>287</v>
      </c>
      <c r="I305" s="10" t="s">
        <v>1692</v>
      </c>
      <c r="K305" s="10" t="s">
        <v>1668</v>
      </c>
      <c r="L305" s="10" t="s">
        <v>1709</v>
      </c>
    </row>
    <row r="306" spans="2:12">
      <c r="B306" s="19" t="s">
        <v>3</v>
      </c>
      <c r="C306" s="20">
        <f>COUNTIFS('Management Visits'!$D$4:$D$5003,"Jan",'Management Visits'!$F$4:$F$5003,dCrit)</f>
        <v>0</v>
      </c>
      <c r="E306" s="11" t="s">
        <v>824</v>
      </c>
      <c r="F306" s="20">
        <f>COUNTIFS('Management Visits'!$E$4:$E$5003,"Site Walk",'Management Visits'!$D$4:$D$5003,mCrit,'Management Visits'!$F$4:$F$5003,dCrit)</f>
        <v>0</v>
      </c>
      <c r="H306" s="11" t="s">
        <v>254</v>
      </c>
      <c r="I306" s="20">
        <f>COUNTIFS('Management Visits'!$N$4:$N$5003,"In Progress",'Management Visits'!$D$4:$D$5003,mCrit,'Management Visits'!$F$4:$F$5003,dCrit)</f>
        <v>0</v>
      </c>
      <c r="K306" s="11" t="s">
        <v>1710</v>
      </c>
      <c r="L306" s="20">
        <f>COUNTIFS('Management Visits'!$D$4:$D$5003,mCrit,'Management Visits'!$F$4:$F$5003,dCrit)</f>
        <v>0</v>
      </c>
    </row>
    <row r="307" spans="2:12">
      <c r="B307" s="19" t="s">
        <v>19</v>
      </c>
      <c r="C307" s="20">
        <f>COUNTIFS('Management Visits'!$D$4:$D$5003,"Feb",'Management Visits'!$F$4:$F$5003,dCrit)</f>
        <v>0</v>
      </c>
      <c r="E307" s="11" t="s">
        <v>831</v>
      </c>
      <c r="F307" s="20">
        <f>COUNTIFS('Management Visits'!$E$4:$E$5003,"Plant Visit",'Management Visits'!$D$4:$D$5003,mCrit,'Management Visits'!$F$4:$F$5003,dCrit)</f>
        <v>0</v>
      </c>
      <c r="H307" s="11" t="s">
        <v>293</v>
      </c>
      <c r="I307" s="20">
        <f>COUNTIFS('Management Visits'!$N$4:$N$5003,"Closed",'Management Visits'!$D$4:$D$5003,mCrit,'Management Visits'!$F$4:$F$5003,dCrit)</f>
        <v>0</v>
      </c>
      <c r="K307" s="11" t="s">
        <v>1713</v>
      </c>
      <c r="L307" s="21">
        <f>IFERROR((COUNTIFS('Management Visits'!$N$4:$N$5003,"Closed",'Management Visits'!$D$4:$D$5003,mCrit,'Management Visits'!$F$4:$F$5003,dCrit))/COUNTIFS('Management Visits'!$D$4:$D$5003,mCrit,'Management Visits'!$F$4:$F$5003,dCrit)*100,0)</f>
        <v>0</v>
      </c>
    </row>
    <row r="308" spans="2:12">
      <c r="B308" s="19" t="s">
        <v>44</v>
      </c>
      <c r="C308" s="20">
        <f>COUNTIFS('Management Visits'!$D$4:$D$5003,"Mar",'Management Visits'!$F$4:$F$5003,dCrit)</f>
        <v>0</v>
      </c>
      <c r="E308" s="11" t="s">
        <v>826</v>
      </c>
      <c r="F308" s="20">
        <f>COUNTIFS('Management Visits'!$E$4:$E$5003,"Safety Observation",'Management Visits'!$D$4:$D$5003,mCrit,'Management Visits'!$F$4:$F$5003,dCrit)</f>
        <v>0</v>
      </c>
      <c r="H308" s="11" t="s">
        <v>238</v>
      </c>
      <c r="I308" s="20">
        <f>COUNTIFS('Management Visits'!$N$4:$N$5003,"Overdue",'Management Visits'!$D$4:$D$5003,mCrit,'Management Visits'!$F$4:$F$5003,dCrit)</f>
        <v>0</v>
      </c>
      <c r="K308" s="11" t="s">
        <v>1714</v>
      </c>
      <c r="L308" s="20">
        <f>COUNTIFS('Management Visits'!$N$4:$N$5003,"Open",'Management Visits'!$D$4:$D$5003,mCrit,'Management Visits'!$F$4:$F$5003,dCrit)+COUNTIFS('Management Visits'!$N$4:$N$5003,"In Progress",'Management Visits'!$D$4:$D$5003,mCrit,'Management Visits'!$F$4:$F$5003,dCrit)+COUNTIFS('Management Visits'!$N$4:$N$5003,"Overdue",'Management Visits'!$D$4:$D$5003,mCrit,'Management Visits'!$F$4:$F$5003,dCrit)</f>
        <v>0</v>
      </c>
    </row>
    <row r="309" spans="2:12">
      <c r="B309" s="19" t="s">
        <v>53</v>
      </c>
      <c r="C309" s="20">
        <f>COUNTIFS('Management Visits'!$D$4:$D$5003,"Apr",'Management Visits'!$F$4:$F$5003,dCrit)</f>
        <v>0</v>
      </c>
      <c r="E309" s="11" t="s">
        <v>836</v>
      </c>
      <c r="F309" s="20">
        <f>COUNTIFS('Management Visits'!$E$4:$E$5003,"Project Visit",'Management Visits'!$D$4:$D$5003,mCrit,'Management Visits'!$F$4:$F$5003,dCrit)</f>
        <v>0</v>
      </c>
      <c r="H309" s="11" t="s">
        <v>297</v>
      </c>
      <c r="I309" s="20">
        <f>COUNTIFS('Management Visits'!$N$4:$N$5003,"Open",'Management Visits'!$D$4:$D$5003,mCrit,'Management Visits'!$F$4:$F$5003,dCrit)</f>
        <v>0</v>
      </c>
      <c r="K309" s="11" t="s">
        <v>1730</v>
      </c>
      <c r="L309" s="21">
        <f>IFERROR(AVERAGEIFS('Management Visits'!$M$4:$M$5003,'Management Visits'!$D$4:$D$5003,mCrit,'Management Visits'!$F$4:$F$5003,dCrit),0)</f>
        <v>0</v>
      </c>
    </row>
    <row r="310" spans="2:12">
      <c r="B310" s="19" t="s">
        <v>60</v>
      </c>
      <c r="C310" s="20">
        <f>COUNTIFS('Management Visits'!$D$4:$D$5003,"May",'Management Visits'!$F$4:$F$5003,dCrit)</f>
        <v>0</v>
      </c>
    </row>
    <row r="311" spans="2:12">
      <c r="B311" s="19" t="s">
        <v>73</v>
      </c>
      <c r="C311" s="20">
        <f>COUNTIFS('Management Visits'!$D$4:$D$5003,"Jun",'Management Visits'!$F$4:$F$5003,dCrit)</f>
        <v>0</v>
      </c>
    </row>
    <row r="312" spans="2:12">
      <c r="B312" s="19" t="s">
        <v>76</v>
      </c>
      <c r="C312" s="20">
        <f>COUNTIFS('Management Visits'!$D$4:$D$5003,"Jul",'Management Visits'!$F$4:$F$5003,dCrit)</f>
        <v>0</v>
      </c>
    </row>
    <row r="313" spans="2:12">
      <c r="B313" s="19" t="s">
        <v>86</v>
      </c>
      <c r="C313" s="20">
        <f>COUNTIFS('Management Visits'!$D$4:$D$5003,"Aug",'Management Visits'!$F$4:$F$5003,dCrit)</f>
        <v>0</v>
      </c>
    </row>
    <row r="314" spans="2:12">
      <c r="B314" s="19" t="s">
        <v>102</v>
      </c>
      <c r="C314" s="20">
        <f>COUNTIFS('Management Visits'!$D$4:$D$5003,"Sep",'Management Visits'!$F$4:$F$5003,dCrit)</f>
        <v>0</v>
      </c>
    </row>
    <row r="315" spans="2:12">
      <c r="B315" s="19" t="s">
        <v>106</v>
      </c>
      <c r="C315" s="20">
        <f>COUNTIFS('Management Visits'!$D$4:$D$5003,"Oct",'Management Visits'!$F$4:$F$5003,dCrit)</f>
        <v>0</v>
      </c>
    </row>
    <row r="316" spans="2:12">
      <c r="B316" s="19" t="s">
        <v>111</v>
      </c>
      <c r="C316" s="20">
        <f>COUNTIFS('Management Visits'!$D$4:$D$5003,"Nov",'Management Visits'!$F$4:$F$5003,dCrit)</f>
        <v>0</v>
      </c>
    </row>
    <row r="317" spans="2:12">
      <c r="B317" s="19" t="s">
        <v>122</v>
      </c>
      <c r="C317" s="20">
        <f>COUNTIFS('Management Visits'!$D$4:$D$5003,"Dec",'Management Visits'!$F$4:$F$5003,dCrit)</f>
        <v>0</v>
      </c>
    </row>
    <row r="321" spans="2:12">
      <c r="B321" s="17" t="s">
        <v>1731</v>
      </c>
    </row>
    <row r="322" spans="2:12">
      <c r="B322" s="10" t="s">
        <v>127</v>
      </c>
      <c r="C322" s="10" t="s">
        <v>1692</v>
      </c>
      <c r="H322" s="10" t="s">
        <v>287</v>
      </c>
      <c r="I322" s="10" t="s">
        <v>1692</v>
      </c>
      <c r="K322" s="10" t="s">
        <v>1668</v>
      </c>
      <c r="L322" s="10" t="s">
        <v>1709</v>
      </c>
    </row>
    <row r="323" spans="2:12">
      <c r="B323" s="19" t="s">
        <v>3</v>
      </c>
      <c r="C323" s="20">
        <f>COUNTIFS('Management Reviews'!$D$4:$D$5003,"Jan")</f>
        <v>0</v>
      </c>
      <c r="H323" s="11" t="s">
        <v>238</v>
      </c>
      <c r="I323" s="20">
        <f>COUNTIFS('Management Reviews'!$O$4:$O$5003,"Overdue",'Management Reviews'!$D$4:$D$5003,mCrit)</f>
        <v>0</v>
      </c>
      <c r="K323" s="11" t="s">
        <v>1710</v>
      </c>
      <c r="L323" s="20">
        <f>COUNTIFS('Management Reviews'!$D$4:$D$5003,mCrit)</f>
        <v>0</v>
      </c>
    </row>
    <row r="324" spans="2:12">
      <c r="B324" s="19" t="s">
        <v>19</v>
      </c>
      <c r="C324" s="20">
        <f>COUNTIFS('Management Reviews'!$D$4:$D$5003,"Feb")</f>
        <v>0</v>
      </c>
      <c r="H324" s="11" t="s">
        <v>254</v>
      </c>
      <c r="I324" s="20">
        <f>COUNTIFS('Management Reviews'!$O$4:$O$5003,"In Progress",'Management Reviews'!$D$4:$D$5003,mCrit)</f>
        <v>0</v>
      </c>
      <c r="K324" s="11" t="s">
        <v>1713</v>
      </c>
      <c r="L324" s="21">
        <f>IFERROR((COUNTIFS('Management Reviews'!$O$4:$O$5003,"Closed",'Management Reviews'!$D$4:$D$5003,mCrit))/COUNTIFS('Management Reviews'!$D$4:$D$5003,mCrit)*100,0)</f>
        <v>0</v>
      </c>
    </row>
    <row r="325" spans="2:12">
      <c r="B325" s="19" t="s">
        <v>44</v>
      </c>
      <c r="C325" s="20">
        <f>COUNTIFS('Management Reviews'!$D$4:$D$5003,"Mar")</f>
        <v>0</v>
      </c>
      <c r="H325" s="11" t="s">
        <v>293</v>
      </c>
      <c r="I325" s="20">
        <f>COUNTIFS('Management Reviews'!$O$4:$O$5003,"Closed",'Management Reviews'!$D$4:$D$5003,mCrit)</f>
        <v>0</v>
      </c>
      <c r="K325" s="11" t="s">
        <v>1714</v>
      </c>
      <c r="L325" s="20">
        <f>COUNTIFS('Management Reviews'!$O$4:$O$5003,"Open",'Management Reviews'!$D$4:$D$5003,mCrit)+COUNTIFS('Management Reviews'!$O$4:$O$5003,"In Progress",'Management Reviews'!$D$4:$D$5003,mCrit)+COUNTIFS('Management Reviews'!$O$4:$O$5003,"Overdue",'Management Reviews'!$D$4:$D$5003,mCrit)</f>
        <v>0</v>
      </c>
    </row>
    <row r="326" spans="2:12">
      <c r="B326" s="19" t="s">
        <v>53</v>
      </c>
      <c r="C326" s="20">
        <f>COUNTIFS('Management Reviews'!$D$4:$D$5003,"Apr")</f>
        <v>0</v>
      </c>
      <c r="H326" s="11" t="s">
        <v>297</v>
      </c>
      <c r="I326" s="20">
        <f>COUNTIFS('Management Reviews'!$O$4:$O$5003,"Open",'Management Reviews'!$D$4:$D$5003,mCrit)</f>
        <v>0</v>
      </c>
      <c r="K326" s="11" t="s">
        <v>1711</v>
      </c>
      <c r="L326" s="21">
        <f>IFERROR(AVERAGEIFS('Management Reviews'!$I$4:$I$5003,'Management Reviews'!$D$4:$D$5003,mCrit),0)</f>
        <v>0</v>
      </c>
    </row>
    <row r="327" spans="2:12">
      <c r="B327" s="19" t="s">
        <v>60</v>
      </c>
      <c r="C327" s="20">
        <f>COUNTIFS('Management Reviews'!$D$4:$D$5003,"May")</f>
        <v>0</v>
      </c>
    </row>
    <row r="328" spans="2:12">
      <c r="B328" s="19" t="s">
        <v>73</v>
      </c>
      <c r="C328" s="20">
        <f>COUNTIFS('Management Reviews'!$D$4:$D$5003,"Jun")</f>
        <v>0</v>
      </c>
    </row>
    <row r="329" spans="2:12">
      <c r="B329" s="19" t="s">
        <v>76</v>
      </c>
      <c r="C329" s="20">
        <f>COUNTIFS('Management Reviews'!$D$4:$D$5003,"Jul")</f>
        <v>0</v>
      </c>
    </row>
    <row r="330" spans="2:12">
      <c r="B330" s="19" t="s">
        <v>86</v>
      </c>
      <c r="C330" s="20">
        <f>COUNTIFS('Management Reviews'!$D$4:$D$5003,"Aug")</f>
        <v>0</v>
      </c>
    </row>
    <row r="331" spans="2:12">
      <c r="B331" s="19" t="s">
        <v>102</v>
      </c>
      <c r="C331" s="20">
        <f>COUNTIFS('Management Reviews'!$D$4:$D$5003,"Sep")</f>
        <v>0</v>
      </c>
    </row>
    <row r="332" spans="2:12">
      <c r="B332" s="19" t="s">
        <v>106</v>
      </c>
      <c r="C332" s="20">
        <f>COUNTIFS('Management Reviews'!$D$4:$D$5003,"Oct")</f>
        <v>0</v>
      </c>
    </row>
    <row r="333" spans="2:12">
      <c r="B333" s="19" t="s">
        <v>111</v>
      </c>
      <c r="C333" s="20">
        <f>COUNTIFS('Management Reviews'!$D$4:$D$5003,"Nov")</f>
        <v>0</v>
      </c>
    </row>
    <row r="334" spans="2:12">
      <c r="B334" s="19" t="s">
        <v>122</v>
      </c>
      <c r="C334" s="20">
        <f>COUNTIFS('Management Reviews'!$D$4:$D$5003,"Dec")</f>
        <v>0</v>
      </c>
    </row>
    <row r="338" spans="2:12">
      <c r="B338" s="17" t="s">
        <v>1732</v>
      </c>
    </row>
    <row r="339" spans="2:12">
      <c r="B339" s="10" t="s">
        <v>127</v>
      </c>
      <c r="C339" s="10" t="s">
        <v>1692</v>
      </c>
      <c r="E339" s="10" t="s">
        <v>995</v>
      </c>
      <c r="F339" s="10" t="s">
        <v>1692</v>
      </c>
      <c r="H339" s="10" t="s">
        <v>287</v>
      </c>
      <c r="I339" s="10" t="s">
        <v>1692</v>
      </c>
      <c r="K339" s="10" t="s">
        <v>1668</v>
      </c>
      <c r="L339" s="10" t="s">
        <v>1709</v>
      </c>
    </row>
    <row r="340" spans="2:12">
      <c r="B340" s="19" t="s">
        <v>3</v>
      </c>
      <c r="C340" s="20">
        <f>COUNTIFS('Disciplinary Actions'!$D$4:$D$5003,"Jan",'Disciplinary Actions'!$F$4:$F$5003,dCrit)</f>
        <v>0</v>
      </c>
      <c r="E340" s="11" t="s">
        <v>942</v>
      </c>
      <c r="F340" s="20">
        <f>COUNTIFS('Disciplinary Actions'!$E$4:$E$5003,"PPE Violation",'Disciplinary Actions'!$D$4:$D$5003,mCrit,'Disciplinary Actions'!$F$4:$F$5003,dCrit)</f>
        <v>0</v>
      </c>
      <c r="H340" s="11" t="s">
        <v>297</v>
      </c>
      <c r="I340" s="20">
        <f>COUNTIFS('Disciplinary Actions'!$K$4:$K$5003,"Open",'Disciplinary Actions'!$D$4:$D$5003,mCrit,'Disciplinary Actions'!$F$4:$F$5003,dCrit)</f>
        <v>0</v>
      </c>
      <c r="K340" s="11" t="s">
        <v>1710</v>
      </c>
      <c r="L340" s="20">
        <f>COUNTIFS('Disciplinary Actions'!$D$4:$D$5003,mCrit,'Disciplinary Actions'!$F$4:$F$5003,dCrit)</f>
        <v>0</v>
      </c>
    </row>
    <row r="341" spans="2:12">
      <c r="B341" s="19" t="s">
        <v>19</v>
      </c>
      <c r="C341" s="20">
        <f>COUNTIFS('Disciplinary Actions'!$D$4:$D$5003,"Feb",'Disciplinary Actions'!$F$4:$F$5003,dCrit)</f>
        <v>0</v>
      </c>
      <c r="E341" s="11" t="s">
        <v>951</v>
      </c>
      <c r="F341" s="20">
        <f>COUNTIFS('Disciplinary Actions'!$E$4:$E$5003,"Safety Rule Breach",'Disciplinary Actions'!$D$4:$D$5003,mCrit,'Disciplinary Actions'!$F$4:$F$5003,dCrit)</f>
        <v>0</v>
      </c>
      <c r="H341" s="11" t="s">
        <v>293</v>
      </c>
      <c r="I341" s="20">
        <f>COUNTIFS('Disciplinary Actions'!$K$4:$K$5003,"Closed",'Disciplinary Actions'!$D$4:$D$5003,mCrit,'Disciplinary Actions'!$F$4:$F$5003,dCrit)</f>
        <v>0</v>
      </c>
      <c r="K341" s="11" t="s">
        <v>1713</v>
      </c>
      <c r="L341" s="21">
        <f>IFERROR((COUNTIFS('Disciplinary Actions'!$K$4:$K$5003,"Closed",'Disciplinary Actions'!$D$4:$D$5003,mCrit,'Disciplinary Actions'!$F$4:$F$5003,dCrit))/COUNTIFS('Disciplinary Actions'!$D$4:$D$5003,mCrit,'Disciplinary Actions'!$F$4:$F$5003,dCrit)*100,0)</f>
        <v>0</v>
      </c>
    </row>
    <row r="342" spans="2:12">
      <c r="B342" s="19" t="s">
        <v>44</v>
      </c>
      <c r="C342" s="20">
        <f>COUNTIFS('Disciplinary Actions'!$D$4:$D$5003,"Mar",'Disciplinary Actions'!$F$4:$F$5003,dCrit)</f>
        <v>0</v>
      </c>
      <c r="E342" s="11" t="s">
        <v>938</v>
      </c>
      <c r="F342" s="20">
        <f>COUNTIFS('Disciplinary Actions'!$E$4:$E$5003,"Permit Violation",'Disciplinary Actions'!$D$4:$D$5003,mCrit,'Disciplinary Actions'!$F$4:$F$5003,dCrit)</f>
        <v>0</v>
      </c>
      <c r="H342" s="11" t="s">
        <v>254</v>
      </c>
      <c r="I342" s="20">
        <f>COUNTIFS('Disciplinary Actions'!$K$4:$K$5003,"In Progress",'Disciplinary Actions'!$D$4:$D$5003,mCrit,'Disciplinary Actions'!$F$4:$F$5003,dCrit)</f>
        <v>0</v>
      </c>
      <c r="K342" s="11" t="s">
        <v>1714</v>
      </c>
      <c r="L342" s="20">
        <f>COUNTIFS('Disciplinary Actions'!$K$4:$K$5003,"Open",'Disciplinary Actions'!$D$4:$D$5003,mCrit,'Disciplinary Actions'!$F$4:$F$5003,dCrit)+COUNTIFS('Disciplinary Actions'!$K$4:$K$5003,"In Progress",'Disciplinary Actions'!$D$4:$D$5003,mCrit,'Disciplinary Actions'!$F$4:$F$5003,dCrit)+COUNTIFS('Disciplinary Actions'!$K$4:$K$5003,"Overdue",'Disciplinary Actions'!$D$4:$D$5003,mCrit,'Disciplinary Actions'!$F$4:$F$5003,dCrit)</f>
        <v>0</v>
      </c>
    </row>
    <row r="343" spans="2:12">
      <c r="B343" s="19" t="s">
        <v>53</v>
      </c>
      <c r="C343" s="20">
        <f>COUNTIFS('Disciplinary Actions'!$D$4:$D$5003,"Apr",'Disciplinary Actions'!$F$4:$F$5003,dCrit)</f>
        <v>0</v>
      </c>
      <c r="E343" s="11" t="s">
        <v>958</v>
      </c>
      <c r="F343" s="20">
        <f>COUNTIFS('Disciplinary Actions'!$E$4:$E$5003,"Unauthorized Work",'Disciplinary Actions'!$D$4:$D$5003,mCrit,'Disciplinary Actions'!$F$4:$F$5003,dCrit)</f>
        <v>0</v>
      </c>
      <c r="H343" s="11" t="s">
        <v>238</v>
      </c>
      <c r="I343" s="20">
        <f>COUNTIFS('Disciplinary Actions'!$K$4:$K$5003,"Overdue",'Disciplinary Actions'!$D$4:$D$5003,mCrit,'Disciplinary Actions'!$F$4:$F$5003,dCrit)</f>
        <v>0</v>
      </c>
    </row>
    <row r="344" spans="2:12">
      <c r="B344" s="19" t="s">
        <v>60</v>
      </c>
      <c r="C344" s="20">
        <f>COUNTIFS('Disciplinary Actions'!$D$4:$D$5003,"May",'Disciplinary Actions'!$F$4:$F$5003,dCrit)</f>
        <v>0</v>
      </c>
      <c r="E344" s="11" t="s">
        <v>946</v>
      </c>
      <c r="F344" s="20">
        <f>COUNTIFS('Disciplinary Actions'!$E$4:$E$5003,"Reckless Behavior",'Disciplinary Actions'!$D$4:$D$5003,mCrit,'Disciplinary Actions'!$F$4:$F$5003,dCrit)</f>
        <v>0</v>
      </c>
    </row>
    <row r="345" spans="2:12">
      <c r="B345" s="19" t="s">
        <v>73</v>
      </c>
      <c r="C345" s="20">
        <f>COUNTIFS('Disciplinary Actions'!$D$4:$D$5003,"Jun",'Disciplinary Actions'!$F$4:$F$5003,dCrit)</f>
        <v>0</v>
      </c>
      <c r="E345" s="11" t="s">
        <v>954</v>
      </c>
      <c r="F345" s="20">
        <f>COUNTIFS('Disciplinary Actions'!$E$4:$E$5003,"Substance Abuse",'Disciplinary Actions'!$D$4:$D$5003,mCrit,'Disciplinary Actions'!$F$4:$F$5003,dCrit)</f>
        <v>0</v>
      </c>
    </row>
    <row r="346" spans="2:12">
      <c r="B346" s="19" t="s">
        <v>76</v>
      </c>
      <c r="C346" s="20">
        <f>COUNTIFS('Disciplinary Actions'!$D$4:$D$5003,"Jul",'Disciplinary Actions'!$F$4:$F$5003,dCrit)</f>
        <v>0</v>
      </c>
    </row>
    <row r="347" spans="2:12">
      <c r="B347" s="19" t="s">
        <v>86</v>
      </c>
      <c r="C347" s="20">
        <f>COUNTIFS('Disciplinary Actions'!$D$4:$D$5003,"Aug",'Disciplinary Actions'!$F$4:$F$5003,dCrit)</f>
        <v>0</v>
      </c>
    </row>
    <row r="348" spans="2:12">
      <c r="B348" s="19" t="s">
        <v>102</v>
      </c>
      <c r="C348" s="20">
        <f>COUNTIFS('Disciplinary Actions'!$D$4:$D$5003,"Sep",'Disciplinary Actions'!$F$4:$F$5003,dCrit)</f>
        <v>0</v>
      </c>
    </row>
    <row r="349" spans="2:12">
      <c r="B349" s="19" t="s">
        <v>106</v>
      </c>
      <c r="C349" s="20">
        <f>COUNTIFS('Disciplinary Actions'!$D$4:$D$5003,"Oct",'Disciplinary Actions'!$F$4:$F$5003,dCrit)</f>
        <v>0</v>
      </c>
    </row>
    <row r="350" spans="2:12">
      <c r="B350" s="19" t="s">
        <v>111</v>
      </c>
      <c r="C350" s="20">
        <f>COUNTIFS('Disciplinary Actions'!$D$4:$D$5003,"Nov",'Disciplinary Actions'!$F$4:$F$5003,dCrit)</f>
        <v>0</v>
      </c>
    </row>
    <row r="351" spans="2:12">
      <c r="B351" s="19" t="s">
        <v>122</v>
      </c>
      <c r="C351" s="20">
        <f>COUNTIFS('Disciplinary Actions'!$D$4:$D$5003,"Dec",'Disciplinary Actions'!$F$4:$F$5003,dCrit)</f>
        <v>0</v>
      </c>
    </row>
    <row r="355" spans="2:12">
      <c r="B355" s="17" t="s">
        <v>1733</v>
      </c>
    </row>
    <row r="356" spans="2:12">
      <c r="B356" s="10" t="s">
        <v>127</v>
      </c>
      <c r="C356" s="10" t="s">
        <v>1692</v>
      </c>
      <c r="E356" s="10" t="s">
        <v>1059</v>
      </c>
      <c r="F356" s="10" t="s">
        <v>1692</v>
      </c>
      <c r="H356" s="10" t="s">
        <v>287</v>
      </c>
      <c r="I356" s="10" t="s">
        <v>1692</v>
      </c>
      <c r="K356" s="10" t="s">
        <v>1668</v>
      </c>
      <c r="L356" s="10" t="s">
        <v>1709</v>
      </c>
    </row>
    <row r="357" spans="2:12">
      <c r="B357" s="19" t="s">
        <v>3</v>
      </c>
      <c r="C357" s="20">
        <f>COUNTIFS('Safety Awards'!$D$4:$D$5003,"Jan",'Safety Awards'!$F$4:$F$5003,dCrit)</f>
        <v>0</v>
      </c>
      <c r="E357" s="11" t="s">
        <v>1006</v>
      </c>
      <c r="F357" s="20">
        <f>COUNTIFS('Safety Awards'!$E$4:$E$5003,"Safe Worker of Month",'Safety Awards'!$D$4:$D$5003,mCrit,'Safety Awards'!$F$4:$F$5003,dCrit)</f>
        <v>0</v>
      </c>
      <c r="H357" s="11" t="s">
        <v>254</v>
      </c>
      <c r="I357" s="20">
        <f>COUNTIFS('Safety Awards'!$J$4:$J$5003,"In Progress",'Safety Awards'!$D$4:$D$5003,mCrit,'Safety Awards'!$F$4:$F$5003,dCrit)</f>
        <v>0</v>
      </c>
      <c r="K357" s="11" t="s">
        <v>1710</v>
      </c>
      <c r="L357" s="20">
        <f>COUNTIFS('Safety Awards'!$D$4:$D$5003,mCrit,'Safety Awards'!$F$4:$F$5003,dCrit)</f>
        <v>0</v>
      </c>
    </row>
    <row r="358" spans="2:12">
      <c r="B358" s="19" t="s">
        <v>19</v>
      </c>
      <c r="C358" s="20">
        <f>COUNTIFS('Safety Awards'!$D$4:$D$5003,"Feb",'Safety Awards'!$F$4:$F$5003,dCrit)</f>
        <v>0</v>
      </c>
      <c r="E358" s="11" t="s">
        <v>1019</v>
      </c>
      <c r="F358" s="20">
        <f>COUNTIFS('Safety Awards'!$E$4:$E$5003,"Best Safety Suggestion",'Safety Awards'!$D$4:$D$5003,mCrit,'Safety Awards'!$F$4:$F$5003,dCrit)</f>
        <v>0</v>
      </c>
      <c r="H358" s="11" t="s">
        <v>293</v>
      </c>
      <c r="I358" s="20">
        <f>COUNTIFS('Safety Awards'!$J$4:$J$5003,"Closed",'Safety Awards'!$D$4:$D$5003,mCrit,'Safety Awards'!$F$4:$F$5003,dCrit)</f>
        <v>0</v>
      </c>
      <c r="K358" s="11" t="s">
        <v>1713</v>
      </c>
      <c r="L358" s="21">
        <f>IFERROR((COUNTIFS('Safety Awards'!$J$4:$J$5003,"Closed",'Safety Awards'!$D$4:$D$5003,mCrit,'Safety Awards'!$F$4:$F$5003,dCrit))/COUNTIFS('Safety Awards'!$D$4:$D$5003,mCrit,'Safety Awards'!$F$4:$F$5003,dCrit)*100,0)</f>
        <v>0</v>
      </c>
    </row>
    <row r="359" spans="2:12">
      <c r="B359" s="19" t="s">
        <v>44</v>
      </c>
      <c r="C359" s="20">
        <f>COUNTIFS('Safety Awards'!$D$4:$D$5003,"Mar",'Safety Awards'!$F$4:$F$5003,dCrit)</f>
        <v>0</v>
      </c>
      <c r="E359" s="11" t="s">
        <v>1003</v>
      </c>
      <c r="F359" s="20">
        <f>COUNTIFS('Safety Awards'!$E$4:$E$5003,"Zero Incident Award",'Safety Awards'!$D$4:$D$5003,mCrit,'Safety Awards'!$F$4:$F$5003,dCrit)</f>
        <v>0</v>
      </c>
      <c r="H359" s="11" t="s">
        <v>238</v>
      </c>
      <c r="I359" s="20">
        <f>COUNTIFS('Safety Awards'!$J$4:$J$5003,"Overdue",'Safety Awards'!$D$4:$D$5003,mCrit,'Safety Awards'!$F$4:$F$5003,dCrit)</f>
        <v>0</v>
      </c>
      <c r="K359" s="11" t="s">
        <v>1714</v>
      </c>
      <c r="L359" s="20">
        <f>COUNTIFS('Safety Awards'!$J$4:$J$5003,"Open",'Safety Awards'!$D$4:$D$5003,mCrit,'Safety Awards'!$F$4:$F$5003,dCrit)+COUNTIFS('Safety Awards'!$J$4:$J$5003,"In Progress",'Safety Awards'!$D$4:$D$5003,mCrit,'Safety Awards'!$F$4:$F$5003,dCrit)+COUNTIFS('Safety Awards'!$J$4:$J$5003,"Overdue",'Safety Awards'!$D$4:$D$5003,mCrit,'Safety Awards'!$F$4:$F$5003,dCrit)</f>
        <v>0</v>
      </c>
    </row>
    <row r="360" spans="2:12">
      <c r="B360" s="19" t="s">
        <v>53</v>
      </c>
      <c r="C360" s="20">
        <f>COUNTIFS('Safety Awards'!$D$4:$D$5003,"Apr",'Safety Awards'!$F$4:$F$5003,dCrit)</f>
        <v>0</v>
      </c>
      <c r="E360" s="11" t="s">
        <v>1009</v>
      </c>
      <c r="F360" s="20">
        <f>COUNTIFS('Safety Awards'!$E$4:$E$5003,"HSE Champion",'Safety Awards'!$D$4:$D$5003,mCrit,'Safety Awards'!$F$4:$F$5003,dCrit)</f>
        <v>0</v>
      </c>
      <c r="H360" s="11" t="s">
        <v>297</v>
      </c>
      <c r="I360" s="20">
        <f>COUNTIFS('Safety Awards'!$J$4:$J$5003,"Open",'Safety Awards'!$D$4:$D$5003,mCrit,'Safety Awards'!$F$4:$F$5003,dCrit)</f>
        <v>0</v>
      </c>
    </row>
    <row r="361" spans="2:12">
      <c r="B361" s="19" t="s">
        <v>60</v>
      </c>
      <c r="C361" s="20">
        <f>COUNTIFS('Safety Awards'!$D$4:$D$5003,"May",'Safety Awards'!$F$4:$F$5003,dCrit)</f>
        <v>0</v>
      </c>
      <c r="E361" s="11" t="s">
        <v>1000</v>
      </c>
      <c r="F361" s="20">
        <f>COUNTIFS('Safety Awards'!$E$4:$E$5003,"Safety Innovation",'Safety Awards'!$D$4:$D$5003,mCrit,'Safety Awards'!$F$4:$F$5003,dCrit)</f>
        <v>0</v>
      </c>
    </row>
    <row r="362" spans="2:12">
      <c r="B362" s="19" t="s">
        <v>73</v>
      </c>
      <c r="C362" s="20">
        <f>COUNTIFS('Safety Awards'!$D$4:$D$5003,"Jun",'Safety Awards'!$F$4:$F$5003,dCrit)</f>
        <v>0</v>
      </c>
      <c r="E362" s="11" t="s">
        <v>1015</v>
      </c>
      <c r="F362" s="20">
        <f>COUNTIFS('Safety Awards'!$E$4:$E$5003,"Best Department",'Safety Awards'!$D$4:$D$5003,mCrit,'Safety Awards'!$F$4:$F$5003,dCrit)</f>
        <v>0</v>
      </c>
    </row>
    <row r="363" spans="2:12">
      <c r="B363" s="19" t="s">
        <v>76</v>
      </c>
      <c r="C363" s="20">
        <f>COUNTIFS('Safety Awards'!$D$4:$D$5003,"Jul",'Safety Awards'!$F$4:$F$5003,dCrit)</f>
        <v>0</v>
      </c>
    </row>
    <row r="364" spans="2:12">
      <c r="B364" s="19" t="s">
        <v>86</v>
      </c>
      <c r="C364" s="20">
        <f>COUNTIFS('Safety Awards'!$D$4:$D$5003,"Aug",'Safety Awards'!$F$4:$F$5003,dCrit)</f>
        <v>0</v>
      </c>
    </row>
    <row r="365" spans="2:12">
      <c r="B365" s="19" t="s">
        <v>102</v>
      </c>
      <c r="C365" s="20">
        <f>COUNTIFS('Safety Awards'!$D$4:$D$5003,"Sep",'Safety Awards'!$F$4:$F$5003,dCrit)</f>
        <v>0</v>
      </c>
    </row>
    <row r="366" spans="2:12">
      <c r="B366" s="19" t="s">
        <v>106</v>
      </c>
      <c r="C366" s="20">
        <f>COUNTIFS('Safety Awards'!$D$4:$D$5003,"Oct",'Safety Awards'!$F$4:$F$5003,dCrit)</f>
        <v>0</v>
      </c>
    </row>
    <row r="367" spans="2:12">
      <c r="B367" s="19" t="s">
        <v>111</v>
      </c>
      <c r="C367" s="20">
        <f>COUNTIFS('Safety Awards'!$D$4:$D$5003,"Nov",'Safety Awards'!$F$4:$F$5003,dCrit)</f>
        <v>0</v>
      </c>
    </row>
    <row r="368" spans="2:12">
      <c r="B368" s="19" t="s">
        <v>122</v>
      </c>
      <c r="C368" s="20">
        <f>COUNTIFS('Safety Awards'!$D$4:$D$5003,"Dec",'Safety Awards'!$F$4:$F$5003,dCrit)</f>
        <v>0</v>
      </c>
    </row>
    <row r="372" spans="2:12">
      <c r="B372" s="17" t="s">
        <v>1734</v>
      </c>
    </row>
    <row r="373" spans="2:12">
      <c r="B373" s="10" t="s">
        <v>127</v>
      </c>
      <c r="C373" s="10" t="s">
        <v>1692</v>
      </c>
      <c r="E373" s="10" t="s">
        <v>1120</v>
      </c>
      <c r="F373" s="10" t="s">
        <v>1692</v>
      </c>
      <c r="K373" s="10" t="s">
        <v>1668</v>
      </c>
      <c r="L373" s="10" t="s">
        <v>1709</v>
      </c>
    </row>
    <row r="374" spans="2:12">
      <c r="B374" s="19" t="s">
        <v>3</v>
      </c>
      <c r="C374" s="20">
        <f>COUNTIFS('Stop Work Authority'!$D$4:$D$5003,"Jan",'Stop Work Authority'!$F$4:$F$5003,dCrit)</f>
        <v>0</v>
      </c>
      <c r="E374" s="11" t="s">
        <v>162</v>
      </c>
      <c r="F374" s="20">
        <f>COUNTIFS('Stop Work Authority'!$K$4:$K$5003,"Critical",'Stop Work Authority'!$D$4:$D$5003,mCrit,'Stop Work Authority'!$F$4:$F$5003,dCrit)</f>
        <v>0</v>
      </c>
      <c r="K374" s="11" t="s">
        <v>1710</v>
      </c>
      <c r="L374" s="20">
        <f>COUNTIFS('Stop Work Authority'!$D$4:$D$5003,mCrit,'Stop Work Authority'!$F$4:$F$5003,dCrit)</f>
        <v>0</v>
      </c>
    </row>
    <row r="375" spans="2:12">
      <c r="B375" s="19" t="s">
        <v>19</v>
      </c>
      <c r="C375" s="20">
        <f>COUNTIFS('Stop Work Authority'!$D$4:$D$5003,"Feb",'Stop Work Authority'!$F$4:$F$5003,dCrit)</f>
        <v>0</v>
      </c>
      <c r="E375" s="11" t="s">
        <v>159</v>
      </c>
      <c r="F375" s="20">
        <f>COUNTIFS('Stop Work Authority'!$K$4:$K$5003,"High",'Stop Work Authority'!$D$4:$D$5003,mCrit,'Stop Work Authority'!$F$4:$F$5003,dCrit)</f>
        <v>0</v>
      </c>
    </row>
    <row r="376" spans="2:12">
      <c r="B376" s="19" t="s">
        <v>44</v>
      </c>
      <c r="C376" s="20">
        <f>COUNTIFS('Stop Work Authority'!$D$4:$D$5003,"Mar",'Stop Work Authority'!$F$4:$F$5003,dCrit)</f>
        <v>0</v>
      </c>
      <c r="E376" s="11" t="s">
        <v>142</v>
      </c>
      <c r="F376" s="20">
        <f>COUNTIFS('Stop Work Authority'!$K$4:$K$5003,"Medium",'Stop Work Authority'!$D$4:$D$5003,mCrit,'Stop Work Authority'!$F$4:$F$5003,dCrit)</f>
        <v>0</v>
      </c>
    </row>
    <row r="377" spans="2:12">
      <c r="B377" s="19" t="s">
        <v>53</v>
      </c>
      <c r="C377" s="20">
        <f>COUNTIFS('Stop Work Authority'!$D$4:$D$5003,"Apr",'Stop Work Authority'!$F$4:$F$5003,dCrit)</f>
        <v>0</v>
      </c>
      <c r="E377" s="11" t="s">
        <v>154</v>
      </c>
      <c r="F377" s="20">
        <f>COUNTIFS('Stop Work Authority'!$K$4:$K$5003,"Low",'Stop Work Authority'!$D$4:$D$5003,mCrit,'Stop Work Authority'!$F$4:$F$5003,dCrit)</f>
        <v>0</v>
      </c>
    </row>
    <row r="378" spans="2:12">
      <c r="B378" s="19" t="s">
        <v>60</v>
      </c>
      <c r="C378" s="20">
        <f>COUNTIFS('Stop Work Authority'!$D$4:$D$5003,"May",'Stop Work Authority'!$F$4:$F$5003,dCrit)</f>
        <v>0</v>
      </c>
    </row>
    <row r="379" spans="2:12">
      <c r="B379" s="19" t="s">
        <v>73</v>
      </c>
      <c r="C379" s="20">
        <f>COUNTIFS('Stop Work Authority'!$D$4:$D$5003,"Jun",'Stop Work Authority'!$F$4:$F$5003,dCrit)</f>
        <v>0</v>
      </c>
    </row>
    <row r="380" spans="2:12">
      <c r="B380" s="19" t="s">
        <v>76</v>
      </c>
      <c r="C380" s="20">
        <f>COUNTIFS('Stop Work Authority'!$D$4:$D$5003,"Jul",'Stop Work Authority'!$F$4:$F$5003,dCrit)</f>
        <v>0</v>
      </c>
    </row>
    <row r="381" spans="2:12">
      <c r="B381" s="19" t="s">
        <v>86</v>
      </c>
      <c r="C381" s="20">
        <f>COUNTIFS('Stop Work Authority'!$D$4:$D$5003,"Aug",'Stop Work Authority'!$F$4:$F$5003,dCrit)</f>
        <v>0</v>
      </c>
    </row>
    <row r="382" spans="2:12">
      <c r="B382" s="19" t="s">
        <v>102</v>
      </c>
      <c r="C382" s="20">
        <f>COUNTIFS('Stop Work Authority'!$D$4:$D$5003,"Sep",'Stop Work Authority'!$F$4:$F$5003,dCrit)</f>
        <v>0</v>
      </c>
    </row>
    <row r="383" spans="2:12">
      <c r="B383" s="19" t="s">
        <v>106</v>
      </c>
      <c r="C383" s="20">
        <f>COUNTIFS('Stop Work Authority'!$D$4:$D$5003,"Oct",'Stop Work Authority'!$F$4:$F$5003,dCrit)</f>
        <v>0</v>
      </c>
    </row>
    <row r="384" spans="2:12">
      <c r="B384" s="19" t="s">
        <v>111</v>
      </c>
      <c r="C384" s="20">
        <f>COUNTIFS('Stop Work Authority'!$D$4:$D$5003,"Nov",'Stop Work Authority'!$F$4:$F$5003,dCrit)</f>
        <v>0</v>
      </c>
    </row>
    <row r="385" spans="2:12">
      <c r="B385" s="19" t="s">
        <v>122</v>
      </c>
      <c r="C385" s="20">
        <f>COUNTIFS('Stop Work Authority'!$D$4:$D$5003,"Dec",'Stop Work Authority'!$F$4:$F$5003,dCrit)</f>
        <v>0</v>
      </c>
    </row>
    <row r="389" spans="2:12">
      <c r="B389" s="17" t="s">
        <v>1735</v>
      </c>
    </row>
    <row r="390" spans="2:12">
      <c r="B390" s="10" t="s">
        <v>127</v>
      </c>
      <c r="C390" s="10" t="s">
        <v>1692</v>
      </c>
      <c r="E390" s="10" t="s">
        <v>1180</v>
      </c>
      <c r="F390" s="10" t="s">
        <v>1692</v>
      </c>
      <c r="H390" s="10" t="s">
        <v>287</v>
      </c>
      <c r="I390" s="10" t="s">
        <v>1692</v>
      </c>
      <c r="K390" s="10" t="s">
        <v>1668</v>
      </c>
      <c r="L390" s="10" t="s">
        <v>1709</v>
      </c>
    </row>
    <row r="391" spans="2:12">
      <c r="B391" s="19" t="s">
        <v>3</v>
      </c>
      <c r="C391" s="20">
        <f>COUNTIFS('Alcohol Tests'!$D$4:$D$5003,"Jan",'Alcohol Tests'!$E$4:$E$5003,dCrit)</f>
        <v>0</v>
      </c>
      <c r="E391" s="11" t="s">
        <v>1135</v>
      </c>
      <c r="F391" s="20">
        <f>COUNTIFS('Alcohol Tests'!$G$4:$G$5003,"Pre-Shift",'Alcohol Tests'!$D$4:$D$5003,mCrit,'Alcohol Tests'!$E$4:$E$5003,dCrit)</f>
        <v>0</v>
      </c>
      <c r="H391" s="11" t="s">
        <v>254</v>
      </c>
      <c r="I391" s="20">
        <f>COUNTIFS('Alcohol Tests'!$J$4:$J$5003,"In Progress",'Alcohol Tests'!$D$4:$D$5003,mCrit,'Alcohol Tests'!$E$4:$E$5003,dCrit)</f>
        <v>0</v>
      </c>
      <c r="K391" s="11" t="s">
        <v>1710</v>
      </c>
      <c r="L391" s="20">
        <f>COUNTIFS('Alcohol Tests'!$D$4:$D$5003,mCrit,'Alcohol Tests'!$E$4:$E$5003,dCrit)</f>
        <v>0</v>
      </c>
    </row>
    <row r="392" spans="2:12">
      <c r="B392" s="19" t="s">
        <v>19</v>
      </c>
      <c r="C392" s="20">
        <f>COUNTIFS('Alcohol Tests'!$D$4:$D$5003,"Feb",'Alcohol Tests'!$E$4:$E$5003,dCrit)</f>
        <v>0</v>
      </c>
      <c r="E392" s="11" t="s">
        <v>1130</v>
      </c>
      <c r="F392" s="20">
        <f>COUNTIFS('Alcohol Tests'!$G$4:$G$5003,"Random",'Alcohol Tests'!$D$4:$D$5003,mCrit,'Alcohol Tests'!$E$4:$E$5003,dCrit)</f>
        <v>0</v>
      </c>
      <c r="H392" s="11" t="s">
        <v>293</v>
      </c>
      <c r="I392" s="20">
        <f>COUNTIFS('Alcohol Tests'!$J$4:$J$5003,"Closed",'Alcohol Tests'!$D$4:$D$5003,mCrit,'Alcohol Tests'!$E$4:$E$5003,dCrit)</f>
        <v>0</v>
      </c>
      <c r="K392" s="11" t="s">
        <v>1713</v>
      </c>
      <c r="L392" s="21">
        <f>IFERROR((COUNTIFS('Alcohol Tests'!$J$4:$J$5003,"Closed",'Alcohol Tests'!$D$4:$D$5003,mCrit,'Alcohol Tests'!$E$4:$E$5003,dCrit))/COUNTIFS('Alcohol Tests'!$D$4:$D$5003,mCrit,'Alcohol Tests'!$E$4:$E$5003,dCrit)*100,0)</f>
        <v>0</v>
      </c>
    </row>
    <row r="393" spans="2:12">
      <c r="B393" s="19" t="s">
        <v>44</v>
      </c>
      <c r="C393" s="20">
        <f>COUNTIFS('Alcohol Tests'!$D$4:$D$5003,"Mar",'Alcohol Tests'!$E$4:$E$5003,dCrit)</f>
        <v>0</v>
      </c>
      <c r="E393" s="11" t="s">
        <v>1133</v>
      </c>
      <c r="F393" s="20">
        <f>COUNTIFS('Alcohol Tests'!$G$4:$G$5003,"Post-Incident",'Alcohol Tests'!$D$4:$D$5003,mCrit,'Alcohol Tests'!$E$4:$E$5003,dCrit)</f>
        <v>0</v>
      </c>
      <c r="H393" s="11" t="s">
        <v>297</v>
      </c>
      <c r="I393" s="20">
        <f>COUNTIFS('Alcohol Tests'!$J$4:$J$5003,"Open",'Alcohol Tests'!$D$4:$D$5003,mCrit,'Alcohol Tests'!$E$4:$E$5003,dCrit)</f>
        <v>0</v>
      </c>
      <c r="K393" s="11" t="s">
        <v>1714</v>
      </c>
      <c r="L393" s="20">
        <f>COUNTIFS('Alcohol Tests'!$J$4:$J$5003,"Open",'Alcohol Tests'!$D$4:$D$5003,mCrit,'Alcohol Tests'!$E$4:$E$5003,dCrit)+COUNTIFS('Alcohol Tests'!$J$4:$J$5003,"In Progress",'Alcohol Tests'!$D$4:$D$5003,mCrit,'Alcohol Tests'!$E$4:$E$5003,dCrit)+COUNTIFS('Alcohol Tests'!$J$4:$J$5003,"Overdue",'Alcohol Tests'!$D$4:$D$5003,mCrit,'Alcohol Tests'!$E$4:$E$5003,dCrit)</f>
        <v>0</v>
      </c>
    </row>
    <row r="394" spans="2:12">
      <c r="B394" s="19" t="s">
        <v>53</v>
      </c>
      <c r="C394" s="20">
        <f>COUNTIFS('Alcohol Tests'!$D$4:$D$5003,"Apr",'Alcohol Tests'!$E$4:$E$5003,dCrit)</f>
        <v>0</v>
      </c>
      <c r="E394" s="11" t="s">
        <v>1125</v>
      </c>
      <c r="F394" s="20">
        <f>COUNTIFS('Alcohol Tests'!$G$4:$G$5003,"Reasonable Suspicion",'Alcohol Tests'!$D$4:$D$5003,mCrit,'Alcohol Tests'!$E$4:$E$5003,dCrit)</f>
        <v>0</v>
      </c>
      <c r="H394" s="11" t="s">
        <v>238</v>
      </c>
      <c r="I394" s="20">
        <f>COUNTIFS('Alcohol Tests'!$J$4:$J$5003,"Overdue",'Alcohol Tests'!$D$4:$D$5003,mCrit,'Alcohol Tests'!$E$4:$E$5003,dCrit)</f>
        <v>0</v>
      </c>
    </row>
    <row r="395" spans="2:12">
      <c r="B395" s="19" t="s">
        <v>60</v>
      </c>
      <c r="C395" s="20">
        <f>COUNTIFS('Alcohol Tests'!$D$4:$D$5003,"May",'Alcohol Tests'!$E$4:$E$5003,dCrit)</f>
        <v>0</v>
      </c>
    </row>
    <row r="396" spans="2:12">
      <c r="B396" s="19" t="s">
        <v>73</v>
      </c>
      <c r="C396" s="20">
        <f>COUNTIFS('Alcohol Tests'!$D$4:$D$5003,"Jun",'Alcohol Tests'!$E$4:$E$5003,dCrit)</f>
        <v>0</v>
      </c>
    </row>
    <row r="397" spans="2:12">
      <c r="B397" s="19" t="s">
        <v>76</v>
      </c>
      <c r="C397" s="20">
        <f>COUNTIFS('Alcohol Tests'!$D$4:$D$5003,"Jul",'Alcohol Tests'!$E$4:$E$5003,dCrit)</f>
        <v>0</v>
      </c>
    </row>
    <row r="398" spans="2:12">
      <c r="B398" s="19" t="s">
        <v>86</v>
      </c>
      <c r="C398" s="20">
        <f>COUNTIFS('Alcohol Tests'!$D$4:$D$5003,"Aug",'Alcohol Tests'!$E$4:$E$5003,dCrit)</f>
        <v>0</v>
      </c>
    </row>
    <row r="399" spans="2:12">
      <c r="B399" s="19" t="s">
        <v>102</v>
      </c>
      <c r="C399" s="20">
        <f>COUNTIFS('Alcohol Tests'!$D$4:$D$5003,"Sep",'Alcohol Tests'!$E$4:$E$5003,dCrit)</f>
        <v>0</v>
      </c>
    </row>
    <row r="400" spans="2:12">
      <c r="B400" s="19" t="s">
        <v>106</v>
      </c>
      <c r="C400" s="20">
        <f>COUNTIFS('Alcohol Tests'!$D$4:$D$5003,"Oct",'Alcohol Tests'!$E$4:$E$5003,dCrit)</f>
        <v>0</v>
      </c>
    </row>
    <row r="401" spans="2:12">
      <c r="B401" s="19" t="s">
        <v>111</v>
      </c>
      <c r="C401" s="20">
        <f>COUNTIFS('Alcohol Tests'!$D$4:$D$5003,"Nov",'Alcohol Tests'!$E$4:$E$5003,dCrit)</f>
        <v>0</v>
      </c>
    </row>
    <row r="402" spans="2:12">
      <c r="B402" s="19" t="s">
        <v>122</v>
      </c>
      <c r="C402" s="20">
        <f>COUNTIFS('Alcohol Tests'!$D$4:$D$5003,"Dec",'Alcohol Tests'!$E$4:$E$5003,dCrit)</f>
        <v>0</v>
      </c>
    </row>
    <row r="406" spans="2:12">
      <c r="B406" s="17" t="s">
        <v>1736</v>
      </c>
    </row>
    <row r="407" spans="2:12">
      <c r="B407" s="10" t="s">
        <v>127</v>
      </c>
      <c r="C407" s="10" t="s">
        <v>1692</v>
      </c>
      <c r="E407" s="10" t="s">
        <v>1237</v>
      </c>
      <c r="F407" s="10" t="s">
        <v>1692</v>
      </c>
      <c r="H407" s="10" t="s">
        <v>1243</v>
      </c>
      <c r="I407" s="10" t="s">
        <v>1692</v>
      </c>
      <c r="K407" s="10" t="s">
        <v>1668</v>
      </c>
      <c r="L407" s="10" t="s">
        <v>1709</v>
      </c>
    </row>
    <row r="408" spans="2:12">
      <c r="B408" s="19" t="s">
        <v>3</v>
      </c>
      <c r="C408" s="20">
        <f>COUNTIFS('PTW Audits'!$D$4:$D$5003,"Jan",'PTW Audits'!$F$4:$F$5003,dCrit)</f>
        <v>0</v>
      </c>
      <c r="E408" s="11" t="s">
        <v>30</v>
      </c>
      <c r="F408" s="20">
        <f>COUNTIFS('PTW Audits'!$E$4:$E$5003,"Hot Work",'PTW Audits'!$D$4:$D$5003,mCrit,'PTW Audits'!$F$4:$F$5003,dCrit)</f>
        <v>0</v>
      </c>
      <c r="H408" s="11" t="s">
        <v>165</v>
      </c>
      <c r="I408" s="20">
        <f>COUNTIFS('PTW Audits'!$M$4:$M$5003,"Compliant",'PTW Audits'!$D$4:$D$5003,mCrit,'PTW Audits'!$F$4:$F$5003,dCrit)</f>
        <v>0</v>
      </c>
      <c r="K408" s="11" t="s">
        <v>1710</v>
      </c>
      <c r="L408" s="20">
        <f>COUNTIFS('PTW Audits'!$D$4:$D$5003,mCrit,'PTW Audits'!$F$4:$F$5003,dCrit)</f>
        <v>0</v>
      </c>
    </row>
    <row r="409" spans="2:12">
      <c r="B409" s="19" t="s">
        <v>19</v>
      </c>
      <c r="C409" s="20">
        <f>COUNTIFS('PTW Audits'!$D$4:$D$5003,"Feb",'PTW Audits'!$F$4:$F$5003,dCrit)</f>
        <v>0</v>
      </c>
      <c r="E409" s="11" t="s">
        <v>61</v>
      </c>
      <c r="F409" s="20">
        <f>COUNTIFS('PTW Audits'!$E$4:$E$5003,"Confined Space",'PTW Audits'!$D$4:$D$5003,mCrit,'PTW Audits'!$F$4:$F$5003,dCrit)</f>
        <v>0</v>
      </c>
      <c r="H409" s="11" t="s">
        <v>145</v>
      </c>
      <c r="I409" s="20">
        <f>COUNTIFS('PTW Audits'!$M$4:$M$5003,"Non-Compliant",'PTW Audits'!$D$4:$D$5003,mCrit,'PTW Audits'!$F$4:$F$5003,dCrit)</f>
        <v>0</v>
      </c>
      <c r="K409" s="11" t="s">
        <v>1713</v>
      </c>
      <c r="L409" s="21">
        <f>IFERROR((COUNTIFS('PTW Audits'!$M$4:$M$5003,"Compliant",'PTW Audits'!$D$4:$D$5003,mCrit,'PTW Audits'!$F$4:$F$5003,dCrit))/COUNTIFS('PTW Audits'!$D$4:$D$5003,mCrit,'PTW Audits'!$F$4:$F$5003,dCrit)*100,0)</f>
        <v>0</v>
      </c>
    </row>
    <row r="410" spans="2:12">
      <c r="B410" s="19" t="s">
        <v>44</v>
      </c>
      <c r="C410" s="20">
        <f>COUNTIFS('PTW Audits'!$D$4:$D$5003,"Mar",'PTW Audits'!$F$4:$F$5003,dCrit)</f>
        <v>0</v>
      </c>
      <c r="E410" s="11" t="s">
        <v>1196</v>
      </c>
      <c r="F410" s="20">
        <f>COUNTIFS('PTW Audits'!$E$4:$E$5003,"Working at Height",'PTW Audits'!$D$4:$D$5003,mCrit,'PTW Audits'!$F$4:$F$5003,dCrit)</f>
        <v>0</v>
      </c>
      <c r="H410" s="11" t="s">
        <v>148</v>
      </c>
      <c r="I410" s="20">
        <f>COUNTIFS('PTW Audits'!$M$4:$M$5003,"Partially Compliant",'PTW Audits'!$D$4:$D$5003,mCrit,'PTW Audits'!$F$4:$F$5003,dCrit)</f>
        <v>0</v>
      </c>
      <c r="K410" s="11" t="s">
        <v>1737</v>
      </c>
      <c r="L410" s="21">
        <f>IFERROR(AVERAGEIFS('PTW Audits'!$L$4:$L$5003,'PTW Audits'!$D$4:$D$5003,mCrit,'PTW Audits'!$F$4:$F$5003,dCrit),0)</f>
        <v>0</v>
      </c>
    </row>
    <row r="411" spans="2:12">
      <c r="B411" s="19" t="s">
        <v>53</v>
      </c>
      <c r="C411" s="20">
        <f>COUNTIFS('PTW Audits'!$D$4:$D$5003,"Apr",'PTW Audits'!$F$4:$F$5003,dCrit)</f>
        <v>0</v>
      </c>
      <c r="E411" s="11" t="s">
        <v>1202</v>
      </c>
      <c r="F411" s="20">
        <f>COUNTIFS('PTW Audits'!$E$4:$E$5003,"Electrical",'PTW Audits'!$D$4:$D$5003,mCrit,'PTW Audits'!$F$4:$F$5003,dCrit)</f>
        <v>0</v>
      </c>
    </row>
    <row r="412" spans="2:12">
      <c r="B412" s="19" t="s">
        <v>60</v>
      </c>
      <c r="C412" s="20">
        <f>COUNTIFS('PTW Audits'!$D$4:$D$5003,"May",'PTW Audits'!$F$4:$F$5003,dCrit)</f>
        <v>0</v>
      </c>
      <c r="E412" s="11" t="s">
        <v>1185</v>
      </c>
      <c r="F412" s="20">
        <f>COUNTIFS('PTW Audits'!$E$4:$E$5003,"Cold Work",'PTW Audits'!$D$4:$D$5003,mCrit,'PTW Audits'!$F$4:$F$5003,dCrit)</f>
        <v>0</v>
      </c>
    </row>
    <row r="413" spans="2:12">
      <c r="B413" s="19" t="s">
        <v>73</v>
      </c>
      <c r="C413" s="20">
        <f>COUNTIFS('PTW Audits'!$D$4:$D$5003,"Jun",'PTW Audits'!$F$4:$F$5003,dCrit)</f>
        <v>0</v>
      </c>
      <c r="E413" s="11" t="s">
        <v>1187</v>
      </c>
      <c r="F413" s="20">
        <f>COUNTIFS('PTW Audits'!$E$4:$E$5003,"Lifting",'PTW Audits'!$D$4:$D$5003,mCrit,'PTW Audits'!$F$4:$F$5003,dCrit)</f>
        <v>0</v>
      </c>
    </row>
    <row r="414" spans="2:12">
      <c r="B414" s="19" t="s">
        <v>76</v>
      </c>
      <c r="C414" s="20">
        <f>COUNTIFS('PTW Audits'!$D$4:$D$5003,"Jul",'PTW Audits'!$F$4:$F$5003,dCrit)</f>
        <v>0</v>
      </c>
      <c r="E414" s="11" t="s">
        <v>1205</v>
      </c>
      <c r="F414" s="20">
        <f>COUNTIFS('PTW Audits'!$E$4:$E$5003,"Excavation",'PTW Audits'!$D$4:$D$5003,mCrit,'PTW Audits'!$F$4:$F$5003,dCrit)</f>
        <v>0</v>
      </c>
    </row>
    <row r="415" spans="2:12">
      <c r="B415" s="19" t="s">
        <v>86</v>
      </c>
      <c r="C415" s="20">
        <f>COUNTIFS('PTW Audits'!$D$4:$D$5003,"Aug",'PTW Audits'!$F$4:$F$5003,dCrit)</f>
        <v>0</v>
      </c>
    </row>
    <row r="416" spans="2:12">
      <c r="B416" s="19" t="s">
        <v>102</v>
      </c>
      <c r="C416" s="20">
        <f>COUNTIFS('PTW Audits'!$D$4:$D$5003,"Sep",'PTW Audits'!$F$4:$F$5003,dCrit)</f>
        <v>0</v>
      </c>
    </row>
    <row r="417" spans="2:12">
      <c r="B417" s="19" t="s">
        <v>106</v>
      </c>
      <c r="C417" s="20">
        <f>COUNTIFS('PTW Audits'!$D$4:$D$5003,"Oct",'PTW Audits'!$F$4:$F$5003,dCrit)</f>
        <v>0</v>
      </c>
    </row>
    <row r="418" spans="2:12">
      <c r="B418" s="19" t="s">
        <v>111</v>
      </c>
      <c r="C418" s="20">
        <f>COUNTIFS('PTW Audits'!$D$4:$D$5003,"Nov",'PTW Audits'!$F$4:$F$5003,dCrit)</f>
        <v>0</v>
      </c>
    </row>
    <row r="419" spans="2:12">
      <c r="B419" s="19" t="s">
        <v>122</v>
      </c>
      <c r="C419" s="20">
        <f>COUNTIFS('PTW Audits'!$D$4:$D$5003,"Dec",'PTW Audits'!$F$4:$F$5003,dCrit)</f>
        <v>0</v>
      </c>
    </row>
    <row r="423" spans="2:12">
      <c r="B423" s="17" t="s">
        <v>1738</v>
      </c>
    </row>
    <row r="424" spans="2:12">
      <c r="B424" s="10" t="s">
        <v>127</v>
      </c>
      <c r="C424" s="10" t="s">
        <v>1692</v>
      </c>
      <c r="E424" s="10" t="s">
        <v>1301</v>
      </c>
      <c r="F424" s="10" t="s">
        <v>1692</v>
      </c>
      <c r="H424" s="10" t="s">
        <v>287</v>
      </c>
      <c r="I424" s="10" t="s">
        <v>1692</v>
      </c>
      <c r="K424" s="10" t="s">
        <v>1668</v>
      </c>
      <c r="L424" s="10" t="s">
        <v>1709</v>
      </c>
    </row>
    <row r="425" spans="2:12">
      <c r="B425" s="19" t="s">
        <v>3</v>
      </c>
      <c r="C425" s="20">
        <f>COUNTIFS('Corrective Actions'!$D$4:$D$5003,"Jan",'Corrective Actions'!$F$4:$F$5003,dCrit)</f>
        <v>0</v>
      </c>
      <c r="E425" s="11" t="s">
        <v>1252</v>
      </c>
      <c r="F425" s="20">
        <f>COUNTIFS('Corrective Actions'!$E$4:$E$5003,"Audit Finding",'Corrective Actions'!$D$4:$D$5003,mCrit,'Corrective Actions'!$F$4:$F$5003,dCrit)</f>
        <v>0</v>
      </c>
      <c r="H425" s="11" t="s">
        <v>293</v>
      </c>
      <c r="I425" s="20">
        <f>COUNTIFS('Corrective Actions'!$N$4:$N$5003,"Closed",'Corrective Actions'!$D$4:$D$5003,mCrit,'Corrective Actions'!$F$4:$F$5003,dCrit)</f>
        <v>0</v>
      </c>
      <c r="K425" s="11" t="s">
        <v>1710</v>
      </c>
      <c r="L425" s="20">
        <f>COUNTIFS('Corrective Actions'!$D$4:$D$5003,mCrit,'Corrective Actions'!$F$4:$F$5003,dCrit)</f>
        <v>0</v>
      </c>
    </row>
    <row r="426" spans="2:12">
      <c r="B426" s="19" t="s">
        <v>19</v>
      </c>
      <c r="C426" s="20">
        <f>COUNTIFS('Corrective Actions'!$D$4:$D$5003,"Feb",'Corrective Actions'!$F$4:$F$5003,dCrit)</f>
        <v>0</v>
      </c>
      <c r="E426" s="11" t="s">
        <v>1254</v>
      </c>
      <c r="F426" s="20">
        <f>COUNTIFS('Corrective Actions'!$E$4:$E$5003,"Inspection Finding",'Corrective Actions'!$D$4:$D$5003,mCrit,'Corrective Actions'!$F$4:$F$5003,dCrit)</f>
        <v>0</v>
      </c>
      <c r="H426" s="11" t="s">
        <v>254</v>
      </c>
      <c r="I426" s="20">
        <f>COUNTIFS('Corrective Actions'!$N$4:$N$5003,"In Progress",'Corrective Actions'!$D$4:$D$5003,mCrit,'Corrective Actions'!$F$4:$F$5003,dCrit)</f>
        <v>0</v>
      </c>
      <c r="K426" s="11" t="s">
        <v>1713</v>
      </c>
      <c r="L426" s="21">
        <f>IFERROR((COUNTIFS('Corrective Actions'!$N$4:$N$5003,"Closed",'Corrective Actions'!$D$4:$D$5003,mCrit,'Corrective Actions'!$F$4:$F$5003,dCrit))/COUNTIFS('Corrective Actions'!$D$4:$D$5003,mCrit,'Corrective Actions'!$F$4:$F$5003,dCrit)*100,0)</f>
        <v>0</v>
      </c>
    </row>
    <row r="427" spans="2:12">
      <c r="B427" s="19" t="s">
        <v>44</v>
      </c>
      <c r="C427" s="20">
        <f>COUNTIFS('Corrective Actions'!$D$4:$D$5003,"Mar",'Corrective Actions'!$F$4:$F$5003,dCrit)</f>
        <v>0</v>
      </c>
      <c r="E427" s="11" t="s">
        <v>1257</v>
      </c>
      <c r="F427" s="20">
        <f>COUNTIFS('Corrective Actions'!$E$4:$E$5003,"Incident Follow-up",'Corrective Actions'!$D$4:$D$5003,mCrit,'Corrective Actions'!$F$4:$F$5003,dCrit)</f>
        <v>0</v>
      </c>
      <c r="H427" s="11" t="s">
        <v>238</v>
      </c>
      <c r="I427" s="20">
        <f>COUNTIFS('Corrective Actions'!$N$4:$N$5003,"Overdue",'Corrective Actions'!$D$4:$D$5003,mCrit,'Corrective Actions'!$F$4:$F$5003,dCrit)</f>
        <v>0</v>
      </c>
      <c r="K427" s="11" t="s">
        <v>1714</v>
      </c>
      <c r="L427" s="20">
        <f>COUNTIFS('Corrective Actions'!$N$4:$N$5003,"Open",'Corrective Actions'!$D$4:$D$5003,mCrit,'Corrective Actions'!$F$4:$F$5003,dCrit)+COUNTIFS('Corrective Actions'!$N$4:$N$5003,"In Progress",'Corrective Actions'!$D$4:$D$5003,mCrit,'Corrective Actions'!$F$4:$F$5003,dCrit)+COUNTIFS('Corrective Actions'!$N$4:$N$5003,"Overdue",'Corrective Actions'!$D$4:$D$5003,mCrit,'Corrective Actions'!$F$4:$F$5003,dCrit)</f>
        <v>0</v>
      </c>
    </row>
    <row r="428" spans="2:12">
      <c r="B428" s="19" t="s">
        <v>53</v>
      </c>
      <c r="C428" s="20">
        <f>COUNTIFS('Corrective Actions'!$D$4:$D$5003,"Apr",'Corrective Actions'!$F$4:$F$5003,dCrit)</f>
        <v>0</v>
      </c>
      <c r="E428" s="11" t="s">
        <v>1246</v>
      </c>
      <c r="F428" s="20">
        <f>COUNTIFS('Corrective Actions'!$E$4:$E$5003,"Observation",'Corrective Actions'!$D$4:$D$5003,mCrit,'Corrective Actions'!$F$4:$F$5003,dCrit)</f>
        <v>0</v>
      </c>
      <c r="H428" s="11" t="s">
        <v>297</v>
      </c>
      <c r="I428" s="20">
        <f>COUNTIFS('Corrective Actions'!$N$4:$N$5003,"Open",'Corrective Actions'!$D$4:$D$5003,mCrit,'Corrective Actions'!$F$4:$F$5003,dCrit)</f>
        <v>0</v>
      </c>
    </row>
    <row r="429" spans="2:12">
      <c r="B429" s="19" t="s">
        <v>60</v>
      </c>
      <c r="C429" s="20">
        <f>COUNTIFS('Corrective Actions'!$D$4:$D$5003,"May",'Corrective Actions'!$F$4:$F$5003,dCrit)</f>
        <v>0</v>
      </c>
      <c r="E429" s="11" t="s">
        <v>1248</v>
      </c>
      <c r="F429" s="20">
        <f>COUNTIFS('Corrective Actions'!$E$4:$E$5003,"Drill Finding",'Corrective Actions'!$D$4:$D$5003,mCrit,'Corrective Actions'!$F$4:$F$5003,dCrit)</f>
        <v>0</v>
      </c>
    </row>
    <row r="430" spans="2:12">
      <c r="B430" s="19" t="s">
        <v>73</v>
      </c>
      <c r="C430" s="20">
        <f>COUNTIFS('Corrective Actions'!$D$4:$D$5003,"Jun",'Corrective Actions'!$F$4:$F$5003,dCrit)</f>
        <v>0</v>
      </c>
      <c r="E430" s="11" t="s">
        <v>1250</v>
      </c>
      <c r="F430" s="20">
        <f>COUNTIFS('Corrective Actions'!$E$4:$E$5003,"Management Review",'Corrective Actions'!$D$4:$D$5003,mCrit,'Corrective Actions'!$F$4:$F$5003,dCrit)</f>
        <v>0</v>
      </c>
    </row>
    <row r="431" spans="2:12">
      <c r="B431" s="19" t="s">
        <v>76</v>
      </c>
      <c r="C431" s="20">
        <f>COUNTIFS('Corrective Actions'!$D$4:$D$5003,"Jul",'Corrective Actions'!$F$4:$F$5003,dCrit)</f>
        <v>0</v>
      </c>
    </row>
    <row r="432" spans="2:12">
      <c r="B432" s="19" t="s">
        <v>86</v>
      </c>
      <c r="C432" s="20">
        <f>COUNTIFS('Corrective Actions'!$D$4:$D$5003,"Aug",'Corrective Actions'!$F$4:$F$5003,dCrit)</f>
        <v>0</v>
      </c>
    </row>
    <row r="433" spans="2:12">
      <c r="B433" s="19" t="s">
        <v>102</v>
      </c>
      <c r="C433" s="20">
        <f>COUNTIFS('Corrective Actions'!$D$4:$D$5003,"Sep",'Corrective Actions'!$F$4:$F$5003,dCrit)</f>
        <v>0</v>
      </c>
    </row>
    <row r="434" spans="2:12">
      <c r="B434" s="19" t="s">
        <v>106</v>
      </c>
      <c r="C434" s="20">
        <f>COUNTIFS('Corrective Actions'!$D$4:$D$5003,"Oct",'Corrective Actions'!$F$4:$F$5003,dCrit)</f>
        <v>0</v>
      </c>
    </row>
    <row r="435" spans="2:12">
      <c r="B435" s="19" t="s">
        <v>111</v>
      </c>
      <c r="C435" s="20">
        <f>COUNTIFS('Corrective Actions'!$D$4:$D$5003,"Nov",'Corrective Actions'!$F$4:$F$5003,dCrit)</f>
        <v>0</v>
      </c>
    </row>
    <row r="436" spans="2:12">
      <c r="B436" s="19" t="s">
        <v>122</v>
      </c>
      <c r="C436" s="20">
        <f>COUNTIFS('Corrective Actions'!$D$4:$D$5003,"Dec",'Corrective Actions'!$F$4:$F$5003,dCrit)</f>
        <v>0</v>
      </c>
    </row>
    <row r="440" spans="2:12">
      <c r="B440" s="17" t="s">
        <v>1739</v>
      </c>
    </row>
    <row r="441" spans="2:12">
      <c r="B441" s="10" t="s">
        <v>127</v>
      </c>
      <c r="C441" s="10" t="s">
        <v>1692</v>
      </c>
      <c r="E441" s="10" t="s">
        <v>1120</v>
      </c>
      <c r="F441" s="10" t="s">
        <v>1692</v>
      </c>
      <c r="H441" s="10" t="s">
        <v>287</v>
      </c>
      <c r="I441" s="10" t="s">
        <v>1692</v>
      </c>
      <c r="K441" s="10" t="s">
        <v>1668</v>
      </c>
      <c r="L441" s="10" t="s">
        <v>1709</v>
      </c>
    </row>
    <row r="442" spans="2:12">
      <c r="B442" s="19" t="s">
        <v>3</v>
      </c>
      <c r="C442" s="20">
        <f>COUNTIFS('NC Management'!$D$4:$D$5003,"Jan",'NC Management'!$G$4:$G$5003,dCrit)</f>
        <v>0</v>
      </c>
      <c r="E442" s="11" t="s">
        <v>162</v>
      </c>
      <c r="F442" s="20">
        <f>COUNTIFS('NC Management'!$F$4:$F$5003,"Critical",'NC Management'!$D$4:$D$5003,mCrit,'NC Management'!$G$4:$G$5003,dCrit)</f>
        <v>0</v>
      </c>
      <c r="H442" s="11" t="s">
        <v>293</v>
      </c>
      <c r="I442" s="20">
        <f>COUNTIFS('NC Management'!$M$4:$M$5003,"Closed",'NC Management'!$D$4:$D$5003,mCrit,'NC Management'!$G$4:$G$5003,dCrit)</f>
        <v>0</v>
      </c>
      <c r="K442" s="11" t="s">
        <v>1710</v>
      </c>
      <c r="L442" s="20">
        <f>COUNTIFS('NC Management'!$D$4:$D$5003,mCrit,'NC Management'!$G$4:$G$5003,dCrit)</f>
        <v>0</v>
      </c>
    </row>
    <row r="443" spans="2:12">
      <c r="B443" s="19" t="s">
        <v>19</v>
      </c>
      <c r="C443" s="20">
        <f>COUNTIFS('NC Management'!$D$4:$D$5003,"Feb",'NC Management'!$G$4:$G$5003,dCrit)</f>
        <v>0</v>
      </c>
      <c r="E443" s="11" t="s">
        <v>159</v>
      </c>
      <c r="F443" s="20">
        <f>COUNTIFS('NC Management'!$F$4:$F$5003,"High",'NC Management'!$D$4:$D$5003,mCrit,'NC Management'!$G$4:$G$5003,dCrit)</f>
        <v>0</v>
      </c>
      <c r="H443" s="11" t="s">
        <v>254</v>
      </c>
      <c r="I443" s="20">
        <f>COUNTIFS('NC Management'!$M$4:$M$5003,"In Progress",'NC Management'!$D$4:$D$5003,mCrit,'NC Management'!$G$4:$G$5003,dCrit)</f>
        <v>0</v>
      </c>
      <c r="K443" s="11" t="s">
        <v>1713</v>
      </c>
      <c r="L443" s="21">
        <f>IFERROR((COUNTIFS('NC Management'!$M$4:$M$5003,"Closed",'NC Management'!$D$4:$D$5003,mCrit,'NC Management'!$G$4:$G$5003,dCrit))/COUNTIFS('NC Management'!$D$4:$D$5003,mCrit,'NC Management'!$G$4:$G$5003,dCrit)*100,0)</f>
        <v>0</v>
      </c>
    </row>
    <row r="444" spans="2:12">
      <c r="B444" s="19" t="s">
        <v>44</v>
      </c>
      <c r="C444" s="20">
        <f>COUNTIFS('NC Management'!$D$4:$D$5003,"Mar",'NC Management'!$G$4:$G$5003,dCrit)</f>
        <v>0</v>
      </c>
      <c r="E444" s="11" t="s">
        <v>142</v>
      </c>
      <c r="F444" s="20">
        <f>COUNTIFS('NC Management'!$F$4:$F$5003,"Medium",'NC Management'!$D$4:$D$5003,mCrit,'NC Management'!$G$4:$G$5003,dCrit)</f>
        <v>0</v>
      </c>
      <c r="H444" s="11" t="s">
        <v>297</v>
      </c>
      <c r="I444" s="20">
        <f>COUNTIFS('NC Management'!$M$4:$M$5003,"Open",'NC Management'!$D$4:$D$5003,mCrit,'NC Management'!$G$4:$G$5003,dCrit)</f>
        <v>0</v>
      </c>
      <c r="K444" s="11" t="s">
        <v>1714</v>
      </c>
      <c r="L444" s="20">
        <f>COUNTIFS('NC Management'!$M$4:$M$5003,"Open",'NC Management'!$D$4:$D$5003,mCrit,'NC Management'!$G$4:$G$5003,dCrit)+COUNTIFS('NC Management'!$M$4:$M$5003,"In Progress",'NC Management'!$D$4:$D$5003,mCrit,'NC Management'!$G$4:$G$5003,dCrit)+COUNTIFS('NC Management'!$M$4:$M$5003,"Overdue",'NC Management'!$D$4:$D$5003,mCrit,'NC Management'!$G$4:$G$5003,dCrit)</f>
        <v>0</v>
      </c>
    </row>
    <row r="445" spans="2:12">
      <c r="B445" s="19" t="s">
        <v>53</v>
      </c>
      <c r="C445" s="20">
        <f>COUNTIFS('NC Management'!$D$4:$D$5003,"Apr",'NC Management'!$G$4:$G$5003,dCrit)</f>
        <v>0</v>
      </c>
      <c r="E445" s="11" t="s">
        <v>154</v>
      </c>
      <c r="F445" s="20">
        <f>COUNTIFS('NC Management'!$F$4:$F$5003,"Low",'NC Management'!$D$4:$D$5003,mCrit,'NC Management'!$G$4:$G$5003,dCrit)</f>
        <v>0</v>
      </c>
      <c r="H445" s="11" t="s">
        <v>238</v>
      </c>
      <c r="I445" s="20">
        <f>COUNTIFS('NC Management'!$M$4:$M$5003,"Overdue",'NC Management'!$D$4:$D$5003,mCrit,'NC Management'!$G$4:$G$5003,dCrit)</f>
        <v>0</v>
      </c>
    </row>
    <row r="446" spans="2:12">
      <c r="B446" s="19" t="s">
        <v>60</v>
      </c>
      <c r="C446" s="20">
        <f>COUNTIFS('NC Management'!$D$4:$D$5003,"May",'NC Management'!$G$4:$G$5003,dCrit)</f>
        <v>0</v>
      </c>
    </row>
    <row r="447" spans="2:12">
      <c r="B447" s="19" t="s">
        <v>73</v>
      </c>
      <c r="C447" s="20">
        <f>COUNTIFS('NC Management'!$D$4:$D$5003,"Jun",'NC Management'!$G$4:$G$5003,dCrit)</f>
        <v>0</v>
      </c>
    </row>
    <row r="448" spans="2:12">
      <c r="B448" s="19" t="s">
        <v>76</v>
      </c>
      <c r="C448" s="20">
        <f>COUNTIFS('NC Management'!$D$4:$D$5003,"Jul",'NC Management'!$G$4:$G$5003,dCrit)</f>
        <v>0</v>
      </c>
    </row>
    <row r="449" spans="2:12">
      <c r="B449" s="19" t="s">
        <v>86</v>
      </c>
      <c r="C449" s="20">
        <f>COUNTIFS('NC Management'!$D$4:$D$5003,"Aug",'NC Management'!$G$4:$G$5003,dCrit)</f>
        <v>0</v>
      </c>
    </row>
    <row r="450" spans="2:12">
      <c r="B450" s="19" t="s">
        <v>102</v>
      </c>
      <c r="C450" s="20">
        <f>COUNTIFS('NC Management'!$D$4:$D$5003,"Sep",'NC Management'!$G$4:$G$5003,dCrit)</f>
        <v>0</v>
      </c>
    </row>
    <row r="451" spans="2:12">
      <c r="B451" s="19" t="s">
        <v>106</v>
      </c>
      <c r="C451" s="20">
        <f>COUNTIFS('NC Management'!$D$4:$D$5003,"Oct",'NC Management'!$G$4:$G$5003,dCrit)</f>
        <v>0</v>
      </c>
    </row>
    <row r="452" spans="2:12">
      <c r="B452" s="19" t="s">
        <v>111</v>
      </c>
      <c r="C452" s="20">
        <f>COUNTIFS('NC Management'!$D$4:$D$5003,"Nov",'NC Management'!$G$4:$G$5003,dCrit)</f>
        <v>0</v>
      </c>
    </row>
    <row r="453" spans="2:12">
      <c r="B453" s="19" t="s">
        <v>122</v>
      </c>
      <c r="C453" s="20">
        <f>COUNTIFS('NC Management'!$D$4:$D$5003,"Dec",'NC Management'!$G$4:$G$5003,dCrit)</f>
        <v>0</v>
      </c>
    </row>
    <row r="457" spans="2:12">
      <c r="B457" s="17" t="s">
        <v>1740</v>
      </c>
    </row>
    <row r="458" spans="2:12">
      <c r="B458" s="10" t="s">
        <v>127</v>
      </c>
      <c r="C458" s="10" t="s">
        <v>1692</v>
      </c>
      <c r="E458" s="10" t="s">
        <v>210</v>
      </c>
      <c r="F458" s="10" t="s">
        <v>1692</v>
      </c>
      <c r="H458" s="10" t="s">
        <v>287</v>
      </c>
      <c r="I458" s="10" t="s">
        <v>1692</v>
      </c>
      <c r="K458" s="10" t="s">
        <v>1668</v>
      </c>
      <c r="L458" s="10" t="s">
        <v>1709</v>
      </c>
    </row>
    <row r="459" spans="2:12">
      <c r="B459" s="19" t="s">
        <v>3</v>
      </c>
      <c r="C459" s="20">
        <f>COUNTIFS('Unsafe Acts'!$D$4:$D$5003,"Jan",'Unsafe Acts'!$F$4:$F$5003,dCrit)</f>
        <v>0</v>
      </c>
      <c r="E459" s="11" t="s">
        <v>162</v>
      </c>
      <c r="F459" s="20">
        <f>COUNTIFS('Unsafe Acts'!$I$4:$I$5003,"Critical",'Unsafe Acts'!$D$4:$D$5003,mCrit,'Unsafe Acts'!$F$4:$F$5003,dCrit)</f>
        <v>0</v>
      </c>
      <c r="H459" s="11" t="s">
        <v>254</v>
      </c>
      <c r="I459" s="20">
        <f>COUNTIFS('Unsafe Acts'!$M$4:$M$5003,"In Progress",'Unsafe Acts'!$D$4:$D$5003,mCrit,'Unsafe Acts'!$F$4:$F$5003,dCrit)</f>
        <v>0</v>
      </c>
      <c r="K459" s="11" t="s">
        <v>1710</v>
      </c>
      <c r="L459" s="20">
        <f>COUNTIFS('Unsafe Acts'!$D$4:$D$5003,mCrit,'Unsafe Acts'!$F$4:$F$5003,dCrit)</f>
        <v>0</v>
      </c>
    </row>
    <row r="460" spans="2:12">
      <c r="B460" s="19" t="s">
        <v>19</v>
      </c>
      <c r="C460" s="20">
        <f>COUNTIFS('Unsafe Acts'!$D$4:$D$5003,"Feb",'Unsafe Acts'!$F$4:$F$5003,dCrit)</f>
        <v>0</v>
      </c>
      <c r="E460" s="11" t="s">
        <v>159</v>
      </c>
      <c r="F460" s="20">
        <f>COUNTIFS('Unsafe Acts'!$I$4:$I$5003,"High",'Unsafe Acts'!$D$4:$D$5003,mCrit,'Unsafe Acts'!$F$4:$F$5003,dCrit)</f>
        <v>0</v>
      </c>
      <c r="H460" s="11" t="s">
        <v>293</v>
      </c>
      <c r="I460" s="20">
        <f>COUNTIFS('Unsafe Acts'!$M$4:$M$5003,"Closed",'Unsafe Acts'!$D$4:$D$5003,mCrit,'Unsafe Acts'!$F$4:$F$5003,dCrit)</f>
        <v>0</v>
      </c>
      <c r="K460" s="11" t="s">
        <v>1713</v>
      </c>
      <c r="L460" s="21">
        <f>IFERROR((COUNTIFS('Unsafe Acts'!$M$4:$M$5003,"Closed",'Unsafe Acts'!$D$4:$D$5003,mCrit,'Unsafe Acts'!$F$4:$F$5003,dCrit))/COUNTIFS('Unsafe Acts'!$D$4:$D$5003,mCrit,'Unsafe Acts'!$F$4:$F$5003,dCrit)*100,0)</f>
        <v>0</v>
      </c>
    </row>
    <row r="461" spans="2:12">
      <c r="B461" s="19" t="s">
        <v>44</v>
      </c>
      <c r="C461" s="20">
        <f>COUNTIFS('Unsafe Acts'!$D$4:$D$5003,"Mar",'Unsafe Acts'!$F$4:$F$5003,dCrit)</f>
        <v>0</v>
      </c>
      <c r="E461" s="11" t="s">
        <v>142</v>
      </c>
      <c r="F461" s="20">
        <f>COUNTIFS('Unsafe Acts'!$I$4:$I$5003,"Medium",'Unsafe Acts'!$D$4:$D$5003,mCrit,'Unsafe Acts'!$F$4:$F$5003,dCrit)</f>
        <v>0</v>
      </c>
      <c r="H461" s="11" t="s">
        <v>238</v>
      </c>
      <c r="I461" s="20">
        <f>COUNTIFS('Unsafe Acts'!$M$4:$M$5003,"Overdue",'Unsafe Acts'!$D$4:$D$5003,mCrit,'Unsafe Acts'!$F$4:$F$5003,dCrit)</f>
        <v>0</v>
      </c>
      <c r="K461" s="11" t="s">
        <v>1714</v>
      </c>
      <c r="L461" s="20">
        <f>COUNTIFS('Unsafe Acts'!$M$4:$M$5003,"Open",'Unsafe Acts'!$D$4:$D$5003,mCrit,'Unsafe Acts'!$F$4:$F$5003,dCrit)+COUNTIFS('Unsafe Acts'!$M$4:$M$5003,"In Progress",'Unsafe Acts'!$D$4:$D$5003,mCrit,'Unsafe Acts'!$F$4:$F$5003,dCrit)+COUNTIFS('Unsafe Acts'!$M$4:$M$5003,"Overdue",'Unsafe Acts'!$D$4:$D$5003,mCrit,'Unsafe Acts'!$F$4:$F$5003,dCrit)</f>
        <v>0</v>
      </c>
    </row>
    <row r="462" spans="2:12">
      <c r="B462" s="19" t="s">
        <v>53</v>
      </c>
      <c r="C462" s="20">
        <f>COUNTIFS('Unsafe Acts'!$D$4:$D$5003,"Apr",'Unsafe Acts'!$F$4:$F$5003,dCrit)</f>
        <v>0</v>
      </c>
      <c r="E462" s="11" t="s">
        <v>154</v>
      </c>
      <c r="F462" s="20">
        <f>COUNTIFS('Unsafe Acts'!$I$4:$I$5003,"Low",'Unsafe Acts'!$D$4:$D$5003,mCrit,'Unsafe Acts'!$F$4:$F$5003,dCrit)</f>
        <v>0</v>
      </c>
      <c r="H462" s="11" t="s">
        <v>297</v>
      </c>
      <c r="I462" s="20">
        <f>COUNTIFS('Unsafe Acts'!$M$4:$M$5003,"Open",'Unsafe Acts'!$D$4:$D$5003,mCrit,'Unsafe Acts'!$F$4:$F$5003,dCrit)</f>
        <v>0</v>
      </c>
    </row>
    <row r="463" spans="2:12">
      <c r="B463" s="19" t="s">
        <v>60</v>
      </c>
      <c r="C463" s="20">
        <f>COUNTIFS('Unsafe Acts'!$D$4:$D$5003,"May",'Unsafe Acts'!$F$4:$F$5003,dCrit)</f>
        <v>0</v>
      </c>
    </row>
    <row r="464" spans="2:12">
      <c r="B464" s="19" t="s">
        <v>73</v>
      </c>
      <c r="C464" s="20">
        <f>COUNTIFS('Unsafe Acts'!$D$4:$D$5003,"Jun",'Unsafe Acts'!$F$4:$F$5003,dCrit)</f>
        <v>0</v>
      </c>
    </row>
    <row r="465" spans="2:12">
      <c r="B465" s="19" t="s">
        <v>76</v>
      </c>
      <c r="C465" s="20">
        <f>COUNTIFS('Unsafe Acts'!$D$4:$D$5003,"Jul",'Unsafe Acts'!$F$4:$F$5003,dCrit)</f>
        <v>0</v>
      </c>
    </row>
    <row r="466" spans="2:12">
      <c r="B466" s="19" t="s">
        <v>86</v>
      </c>
      <c r="C466" s="20">
        <f>COUNTIFS('Unsafe Acts'!$D$4:$D$5003,"Aug",'Unsafe Acts'!$F$4:$F$5003,dCrit)</f>
        <v>0</v>
      </c>
    </row>
    <row r="467" spans="2:12">
      <c r="B467" s="19" t="s">
        <v>102</v>
      </c>
      <c r="C467" s="20">
        <f>COUNTIFS('Unsafe Acts'!$D$4:$D$5003,"Sep",'Unsafe Acts'!$F$4:$F$5003,dCrit)</f>
        <v>0</v>
      </c>
    </row>
    <row r="468" spans="2:12">
      <c r="B468" s="19" t="s">
        <v>106</v>
      </c>
      <c r="C468" s="20">
        <f>COUNTIFS('Unsafe Acts'!$D$4:$D$5003,"Oct",'Unsafe Acts'!$F$4:$F$5003,dCrit)</f>
        <v>0</v>
      </c>
    </row>
    <row r="469" spans="2:12">
      <c r="B469" s="19" t="s">
        <v>111</v>
      </c>
      <c r="C469" s="20">
        <f>COUNTIFS('Unsafe Acts'!$D$4:$D$5003,"Nov",'Unsafe Acts'!$F$4:$F$5003,dCrit)</f>
        <v>0</v>
      </c>
    </row>
    <row r="470" spans="2:12">
      <c r="B470" s="19" t="s">
        <v>122</v>
      </c>
      <c r="C470" s="20">
        <f>COUNTIFS('Unsafe Acts'!$D$4:$D$5003,"Dec",'Unsafe Acts'!$F$4:$F$5003,dCrit)</f>
        <v>0</v>
      </c>
    </row>
    <row r="474" spans="2:12">
      <c r="B474" s="17" t="s">
        <v>1741</v>
      </c>
    </row>
    <row r="475" spans="2:12">
      <c r="B475" s="10" t="s">
        <v>127</v>
      </c>
      <c r="C475" s="10" t="s">
        <v>1692</v>
      </c>
      <c r="E475" s="10" t="s">
        <v>210</v>
      </c>
      <c r="F475" s="10" t="s">
        <v>1692</v>
      </c>
      <c r="H475" s="10" t="s">
        <v>287</v>
      </c>
      <c r="I475" s="10" t="s">
        <v>1692</v>
      </c>
      <c r="K475" s="10" t="s">
        <v>1668</v>
      </c>
      <c r="L475" s="10" t="s">
        <v>1709</v>
      </c>
    </row>
    <row r="476" spans="2:12">
      <c r="B476" s="19" t="s">
        <v>3</v>
      </c>
      <c r="C476" s="20">
        <f>COUNTIFS('Unsafe Conditions'!$D$4:$D$5003,"Jan",'Unsafe Conditions'!$F$4:$F$5003,dCrit)</f>
        <v>0</v>
      </c>
      <c r="E476" s="11" t="s">
        <v>162</v>
      </c>
      <c r="F476" s="20">
        <f>COUNTIFS('Unsafe Conditions'!$I$4:$I$5003,"Critical",'Unsafe Conditions'!$D$4:$D$5003,mCrit,'Unsafe Conditions'!$F$4:$F$5003,dCrit)</f>
        <v>0</v>
      </c>
      <c r="H476" s="11" t="s">
        <v>254</v>
      </c>
      <c r="I476" s="20">
        <f>COUNTIFS('Unsafe Conditions'!$M$4:$M$5003,"In Progress",'Unsafe Conditions'!$D$4:$D$5003,mCrit,'Unsafe Conditions'!$F$4:$F$5003,dCrit)</f>
        <v>0</v>
      </c>
      <c r="K476" s="11" t="s">
        <v>1710</v>
      </c>
      <c r="L476" s="20">
        <f>COUNTIFS('Unsafe Conditions'!$D$4:$D$5003,mCrit,'Unsafe Conditions'!$F$4:$F$5003,dCrit)</f>
        <v>0</v>
      </c>
    </row>
    <row r="477" spans="2:12">
      <c r="B477" s="19" t="s">
        <v>19</v>
      </c>
      <c r="C477" s="20">
        <f>COUNTIFS('Unsafe Conditions'!$D$4:$D$5003,"Feb",'Unsafe Conditions'!$F$4:$F$5003,dCrit)</f>
        <v>0</v>
      </c>
      <c r="E477" s="11" t="s">
        <v>159</v>
      </c>
      <c r="F477" s="20">
        <f>COUNTIFS('Unsafe Conditions'!$I$4:$I$5003,"High",'Unsafe Conditions'!$D$4:$D$5003,mCrit,'Unsafe Conditions'!$F$4:$F$5003,dCrit)</f>
        <v>0</v>
      </c>
      <c r="H477" s="11" t="s">
        <v>293</v>
      </c>
      <c r="I477" s="20">
        <f>COUNTIFS('Unsafe Conditions'!$M$4:$M$5003,"Closed",'Unsafe Conditions'!$D$4:$D$5003,mCrit,'Unsafe Conditions'!$F$4:$F$5003,dCrit)</f>
        <v>0</v>
      </c>
      <c r="K477" s="11" t="s">
        <v>1713</v>
      </c>
      <c r="L477" s="21">
        <f>IFERROR((COUNTIFS('Unsafe Conditions'!$M$4:$M$5003,"Closed",'Unsafe Conditions'!$D$4:$D$5003,mCrit,'Unsafe Conditions'!$F$4:$F$5003,dCrit))/COUNTIFS('Unsafe Conditions'!$D$4:$D$5003,mCrit,'Unsafe Conditions'!$F$4:$F$5003,dCrit)*100,0)</f>
        <v>0</v>
      </c>
    </row>
    <row r="478" spans="2:12">
      <c r="B478" s="19" t="s">
        <v>44</v>
      </c>
      <c r="C478" s="20">
        <f>COUNTIFS('Unsafe Conditions'!$D$4:$D$5003,"Mar",'Unsafe Conditions'!$F$4:$F$5003,dCrit)</f>
        <v>0</v>
      </c>
      <c r="E478" s="11" t="s">
        <v>142</v>
      </c>
      <c r="F478" s="20">
        <f>COUNTIFS('Unsafe Conditions'!$I$4:$I$5003,"Medium",'Unsafe Conditions'!$D$4:$D$5003,mCrit,'Unsafe Conditions'!$F$4:$F$5003,dCrit)</f>
        <v>0</v>
      </c>
      <c r="H478" s="11" t="s">
        <v>238</v>
      </c>
      <c r="I478" s="20">
        <f>COUNTIFS('Unsafe Conditions'!$M$4:$M$5003,"Overdue",'Unsafe Conditions'!$D$4:$D$5003,mCrit,'Unsafe Conditions'!$F$4:$F$5003,dCrit)</f>
        <v>0</v>
      </c>
      <c r="K478" s="11" t="s">
        <v>1714</v>
      </c>
      <c r="L478" s="20">
        <f>COUNTIFS('Unsafe Conditions'!$M$4:$M$5003,"Open",'Unsafe Conditions'!$D$4:$D$5003,mCrit,'Unsafe Conditions'!$F$4:$F$5003,dCrit)+COUNTIFS('Unsafe Conditions'!$M$4:$M$5003,"In Progress",'Unsafe Conditions'!$D$4:$D$5003,mCrit,'Unsafe Conditions'!$F$4:$F$5003,dCrit)+COUNTIFS('Unsafe Conditions'!$M$4:$M$5003,"Overdue",'Unsafe Conditions'!$D$4:$D$5003,mCrit,'Unsafe Conditions'!$F$4:$F$5003,dCrit)</f>
        <v>0</v>
      </c>
    </row>
    <row r="479" spans="2:12">
      <c r="B479" s="19" t="s">
        <v>53</v>
      </c>
      <c r="C479" s="20">
        <f>COUNTIFS('Unsafe Conditions'!$D$4:$D$5003,"Apr",'Unsafe Conditions'!$F$4:$F$5003,dCrit)</f>
        <v>0</v>
      </c>
      <c r="E479" s="11" t="s">
        <v>154</v>
      </c>
      <c r="F479" s="20">
        <f>COUNTIFS('Unsafe Conditions'!$I$4:$I$5003,"Low",'Unsafe Conditions'!$D$4:$D$5003,mCrit,'Unsafe Conditions'!$F$4:$F$5003,dCrit)</f>
        <v>0</v>
      </c>
      <c r="H479" s="11" t="s">
        <v>297</v>
      </c>
      <c r="I479" s="20">
        <f>COUNTIFS('Unsafe Conditions'!$M$4:$M$5003,"Open",'Unsafe Conditions'!$D$4:$D$5003,mCrit,'Unsafe Conditions'!$F$4:$F$5003,dCrit)</f>
        <v>0</v>
      </c>
    </row>
    <row r="480" spans="2:12">
      <c r="B480" s="19" t="s">
        <v>60</v>
      </c>
      <c r="C480" s="20">
        <f>COUNTIFS('Unsafe Conditions'!$D$4:$D$5003,"May",'Unsafe Conditions'!$F$4:$F$5003,dCrit)</f>
        <v>0</v>
      </c>
    </row>
    <row r="481" spans="2:12">
      <c r="B481" s="19" t="s">
        <v>73</v>
      </c>
      <c r="C481" s="20">
        <f>COUNTIFS('Unsafe Conditions'!$D$4:$D$5003,"Jun",'Unsafe Conditions'!$F$4:$F$5003,dCrit)</f>
        <v>0</v>
      </c>
    </row>
    <row r="482" spans="2:12">
      <c r="B482" s="19" t="s">
        <v>76</v>
      </c>
      <c r="C482" s="20">
        <f>COUNTIFS('Unsafe Conditions'!$D$4:$D$5003,"Jul",'Unsafe Conditions'!$F$4:$F$5003,dCrit)</f>
        <v>0</v>
      </c>
    </row>
    <row r="483" spans="2:12">
      <c r="B483" s="19" t="s">
        <v>86</v>
      </c>
      <c r="C483" s="20">
        <f>COUNTIFS('Unsafe Conditions'!$D$4:$D$5003,"Aug",'Unsafe Conditions'!$F$4:$F$5003,dCrit)</f>
        <v>0</v>
      </c>
    </row>
    <row r="484" spans="2:12">
      <c r="B484" s="19" t="s">
        <v>102</v>
      </c>
      <c r="C484" s="20">
        <f>COUNTIFS('Unsafe Conditions'!$D$4:$D$5003,"Sep",'Unsafe Conditions'!$F$4:$F$5003,dCrit)</f>
        <v>0</v>
      </c>
    </row>
    <row r="485" spans="2:12">
      <c r="B485" s="19" t="s">
        <v>106</v>
      </c>
      <c r="C485" s="20">
        <f>COUNTIFS('Unsafe Conditions'!$D$4:$D$5003,"Oct",'Unsafe Conditions'!$F$4:$F$5003,dCrit)</f>
        <v>0</v>
      </c>
    </row>
    <row r="486" spans="2:12">
      <c r="B486" s="19" t="s">
        <v>111</v>
      </c>
      <c r="C486" s="20">
        <f>COUNTIFS('Unsafe Conditions'!$D$4:$D$5003,"Nov",'Unsafe Conditions'!$F$4:$F$5003,dCrit)</f>
        <v>0</v>
      </c>
    </row>
    <row r="487" spans="2:12">
      <c r="B487" s="19" t="s">
        <v>122</v>
      </c>
      <c r="C487" s="20">
        <f>COUNTIFS('Unsafe Conditions'!$D$4:$D$5003,"Dec",'Unsafe Conditions'!$F$4:$F$5003,dCrit)</f>
        <v>0</v>
      </c>
    </row>
    <row r="491" spans="2:12">
      <c r="B491" s="17" t="s">
        <v>1742</v>
      </c>
    </row>
    <row r="492" spans="2:12">
      <c r="B492" s="10" t="s">
        <v>127</v>
      </c>
      <c r="C492" s="10" t="s">
        <v>1692</v>
      </c>
      <c r="E492" s="10" t="s">
        <v>1564</v>
      </c>
      <c r="F492" s="10" t="s">
        <v>1692</v>
      </c>
      <c r="H492" s="10" t="s">
        <v>287</v>
      </c>
      <c r="I492" s="10" t="s">
        <v>1692</v>
      </c>
      <c r="K492" s="10" t="s">
        <v>1668</v>
      </c>
      <c r="L492" s="10" t="s">
        <v>1709</v>
      </c>
    </row>
    <row r="493" spans="2:12">
      <c r="B493" s="19" t="s">
        <v>3</v>
      </c>
      <c r="C493" s="20">
        <f>COUNTIFS('Incident'!$D$4:$D$5003,"Jan",'Incident'!$H$4:$H$5003,dCrit)</f>
        <v>0</v>
      </c>
      <c r="E493" s="11" t="s">
        <v>1475</v>
      </c>
      <c r="F493" s="20">
        <f>COUNTIFS('Incident'!$N$4:$N$5003,"Near Miss",'Incident'!$D$4:$D$5003,mCrit,'Incident'!$H$4:$H$5003,dCrit)</f>
        <v>0</v>
      </c>
      <c r="H493" s="11" t="s">
        <v>293</v>
      </c>
      <c r="I493" s="20">
        <f>COUNTIFS('Incident'!$AB$4:$AB$5003,"Closed",'Incident'!$D$4:$D$5003,mCrit,'Incident'!$H$4:$H$5003,dCrit)</f>
        <v>0</v>
      </c>
      <c r="K493" s="11" t="s">
        <v>1710</v>
      </c>
      <c r="L493" s="20">
        <f>COUNTIFS('Incident'!$D$4:$D$5003,mCrit,'Incident'!$H$4:$H$5003,dCrit)</f>
        <v>0</v>
      </c>
    </row>
    <row r="494" spans="2:12">
      <c r="B494" s="19" t="s">
        <v>19</v>
      </c>
      <c r="C494" s="20">
        <f>COUNTIFS('Incident'!$D$4:$D$5003,"Feb",'Incident'!$H$4:$H$5003,dCrit)</f>
        <v>0</v>
      </c>
      <c r="E494" s="11" t="s">
        <v>1488</v>
      </c>
      <c r="F494" s="20">
        <f>COUNTIFS('Incident'!$N$4:$N$5003,"First Aid",'Incident'!$D$4:$D$5003,mCrit,'Incident'!$H$4:$H$5003,dCrit)</f>
        <v>0</v>
      </c>
      <c r="H494" s="11" t="s">
        <v>297</v>
      </c>
      <c r="I494" s="20">
        <f>COUNTIFS('Incident'!$AB$4:$AB$5003,"Open",'Incident'!$D$4:$D$5003,mCrit,'Incident'!$H$4:$H$5003,dCrit)</f>
        <v>0</v>
      </c>
      <c r="K494" s="11" t="s">
        <v>1713</v>
      </c>
      <c r="L494" s="21">
        <f>IFERROR((COUNTIFS('Incident'!$AB$4:$AB$5003,"Closed",'Incident'!$D$4:$D$5003,mCrit,'Incident'!$H$4:$H$5003,dCrit))/COUNTIFS('Incident'!$D$4:$D$5003,mCrit,'Incident'!$H$4:$H$5003,dCrit)*100,0)</f>
        <v>0</v>
      </c>
    </row>
    <row r="495" spans="2:12">
      <c r="B495" s="19" t="s">
        <v>44</v>
      </c>
      <c r="C495" s="20">
        <f>COUNTIFS('Incident'!$D$4:$D$5003,"Mar",'Incident'!$H$4:$H$5003,dCrit)</f>
        <v>0</v>
      </c>
      <c r="E495" s="11" t="s">
        <v>1511</v>
      </c>
      <c r="F495" s="20">
        <f>COUNTIFS('Incident'!$N$4:$N$5003,"Medical Treatment",'Incident'!$D$4:$D$5003,mCrit,'Incident'!$H$4:$H$5003,dCrit)</f>
        <v>0</v>
      </c>
      <c r="H495" s="11" t="s">
        <v>254</v>
      </c>
      <c r="I495" s="20">
        <f>COUNTIFS('Incident'!$AB$4:$AB$5003,"In Progress",'Incident'!$D$4:$D$5003,mCrit,'Incident'!$H$4:$H$5003,dCrit)</f>
        <v>0</v>
      </c>
      <c r="K495" s="11" t="s">
        <v>1714</v>
      </c>
      <c r="L495" s="20">
        <f>COUNTIFS('Incident'!$AB$4:$AB$5003,"Open",'Incident'!$D$4:$D$5003,mCrit,'Incident'!$H$4:$H$5003,dCrit)+COUNTIFS('Incident'!$AB$4:$AB$5003,"In Progress",'Incident'!$D$4:$D$5003,mCrit,'Incident'!$H$4:$H$5003,dCrit)+COUNTIFS('Incident'!$AB$4:$AB$5003,"Overdue",'Incident'!$D$4:$D$5003,mCrit,'Incident'!$H$4:$H$5003,dCrit)</f>
        <v>0</v>
      </c>
    </row>
    <row r="496" spans="2:12">
      <c r="B496" s="19" t="s">
        <v>53</v>
      </c>
      <c r="C496" s="20">
        <f>COUNTIFS('Incident'!$D$4:$D$5003,"Apr",'Incident'!$H$4:$H$5003,dCrit)</f>
        <v>0</v>
      </c>
      <c r="E496" s="11" t="s">
        <v>1516</v>
      </c>
      <c r="F496" s="20">
        <f>COUNTIFS('Incident'!$N$4:$N$5003,"Restricted Work",'Incident'!$D$4:$D$5003,mCrit,'Incident'!$H$4:$H$5003,dCrit)</f>
        <v>0</v>
      </c>
      <c r="H496" s="11" t="s">
        <v>238</v>
      </c>
      <c r="I496" s="20">
        <f>COUNTIFS('Incident'!$AB$4:$AB$5003,"Overdue",'Incident'!$D$4:$D$5003,mCrit,'Incident'!$H$4:$H$5003,dCrit)</f>
        <v>0</v>
      </c>
      <c r="K496" s="11" t="s">
        <v>1743</v>
      </c>
      <c r="L496" s="20">
        <f>SUMIFS('Incident'!$V$4:$V$5003,'Incident'!$D$4:$D$5003,mCrit,'Incident'!$H$4:$H$5003,dCrit)</f>
        <v>0</v>
      </c>
    </row>
    <row r="497" spans="2:6">
      <c r="B497" s="19" t="s">
        <v>60</v>
      </c>
      <c r="C497" s="20">
        <f>COUNTIFS('Incident'!$D$4:$D$5003,"May",'Incident'!$H$4:$H$5003,dCrit)</f>
        <v>0</v>
      </c>
      <c r="E497" s="11" t="s">
        <v>1554</v>
      </c>
      <c r="F497" s="20">
        <f>COUNTIFS('Incident'!$N$4:$N$5003,"Lost Time Injury",'Incident'!$D$4:$D$5003,mCrit,'Incident'!$H$4:$H$5003,dCrit)</f>
        <v>0</v>
      </c>
    </row>
    <row r="498" spans="2:6">
      <c r="B498" s="19" t="s">
        <v>73</v>
      </c>
      <c r="C498" s="20">
        <f>COUNTIFS('Incident'!$D$4:$D$5003,"Jun",'Incident'!$H$4:$H$5003,dCrit)</f>
        <v>0</v>
      </c>
      <c r="E498" s="11" t="s">
        <v>1524</v>
      </c>
      <c r="F498" s="20">
        <f>COUNTIFS('Incident'!$N$4:$N$5003,"Fatality",'Incident'!$D$4:$D$5003,mCrit,'Incident'!$H$4:$H$5003,dCrit)</f>
        <v>0</v>
      </c>
    </row>
    <row r="499" spans="2:6">
      <c r="B499" s="19" t="s">
        <v>76</v>
      </c>
      <c r="C499" s="20">
        <f>COUNTIFS('Incident'!$D$4:$D$5003,"Jul",'Incident'!$H$4:$H$5003,dCrit)</f>
        <v>0</v>
      </c>
    </row>
    <row r="500" spans="2:6">
      <c r="B500" s="19" t="s">
        <v>86</v>
      </c>
      <c r="C500" s="20">
        <f>COUNTIFS('Incident'!$D$4:$D$5003,"Aug",'Incident'!$H$4:$H$5003,dCrit)</f>
        <v>0</v>
      </c>
    </row>
    <row r="501" spans="2:6">
      <c r="B501" s="19" t="s">
        <v>102</v>
      </c>
      <c r="C501" s="20">
        <f>COUNTIFS('Incident'!$D$4:$D$5003,"Sep",'Incident'!$H$4:$H$5003,dCrit)</f>
        <v>0</v>
      </c>
    </row>
    <row r="502" spans="2:6">
      <c r="B502" s="19" t="s">
        <v>106</v>
      </c>
      <c r="C502" s="20">
        <f>COUNTIFS('Incident'!$D$4:$D$5003,"Oct",'Incident'!$H$4:$H$5003,dCrit)</f>
        <v>0</v>
      </c>
    </row>
    <row r="503" spans="2:6">
      <c r="B503" s="19" t="s">
        <v>111</v>
      </c>
      <c r="C503" s="20">
        <f>COUNTIFS('Incident'!$D$4:$D$5003,"Nov",'Incident'!$H$4:$H$5003,dCrit)</f>
        <v>0</v>
      </c>
    </row>
    <row r="504" spans="2:6">
      <c r="B504" s="19" t="s">
        <v>122</v>
      </c>
      <c r="C504" s="20">
        <f>COUNTIFS('Incident'!$D$4:$D$5003,"Dec",'Incident'!$H$4:$H$5003,dCrit)</f>
        <v>0</v>
      </c>
    </row>
  </sheetData>
  <mergeCells count="1">
    <mergeCell ref="B2:H2"/>
  </mergeCells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</sheetPr>
  <dimension ref="A2:M32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22" t="s">
        <v>1744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3"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2:13"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2:13">
      <c r="B6" s="23" t="s">
        <v>1745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</row>
    <row r="7" spans="2:13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2:13" ht="4" customHeight="1"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</row>
    <row r="10" spans="2:13">
      <c r="I10" s="25" t="s">
        <v>1746</v>
      </c>
      <c r="K10" s="26">
        <v>46215.26173603455</v>
      </c>
    </row>
    <row r="11" spans="2:13">
      <c r="B11" s="9" t="s">
        <v>1747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spans="2:13">
      <c r="B12" s="27" t="s">
        <v>1748</v>
      </c>
      <c r="C12" s="27"/>
      <c r="D12" s="27"/>
      <c r="E12" s="27"/>
      <c r="F12" s="27"/>
      <c r="H12" s="28" t="s">
        <v>1749</v>
      </c>
      <c r="I12" s="28"/>
      <c r="J12" s="28"/>
      <c r="K12" s="28"/>
      <c r="L12" s="28"/>
      <c r="M12" s="28"/>
    </row>
    <row r="13" spans="2:13">
      <c r="B13" s="27"/>
      <c r="C13" s="27"/>
      <c r="D13" s="27"/>
      <c r="E13" s="27"/>
      <c r="F13" s="27"/>
      <c r="H13" s="28"/>
      <c r="I13" s="28"/>
      <c r="J13" s="28"/>
      <c r="K13" s="28"/>
      <c r="L13" s="28"/>
      <c r="M13" s="28"/>
    </row>
    <row r="15" spans="2:13">
      <c r="B15" s="9" t="s">
        <v>1750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</row>
    <row r="17" spans="2:13">
      <c r="B17" s="29" t="s">
        <v>1751</v>
      </c>
      <c r="C17" s="29"/>
      <c r="D17" s="29"/>
      <c r="E17" s="29"/>
      <c r="F17" s="29" t="s">
        <v>1752</v>
      </c>
      <c r="G17" s="29"/>
      <c r="H17" s="29"/>
      <c r="I17" s="29"/>
      <c r="J17" s="29" t="s">
        <v>1753</v>
      </c>
      <c r="K17" s="29"/>
      <c r="L17" s="29"/>
      <c r="M17" s="29"/>
    </row>
    <row r="18" spans="2:13">
      <c r="B18" s="29" t="s">
        <v>1754</v>
      </c>
      <c r="C18" s="29"/>
      <c r="D18" s="29"/>
      <c r="E18" s="29"/>
      <c r="F18" s="29" t="s">
        <v>1755</v>
      </c>
      <c r="G18" s="29"/>
      <c r="H18" s="29"/>
      <c r="I18" s="29"/>
      <c r="J18" s="29" t="s">
        <v>1756</v>
      </c>
      <c r="K18" s="29"/>
      <c r="L18" s="29"/>
      <c r="M18" s="29"/>
    </row>
    <row r="19" spans="2:13">
      <c r="B19" s="29" t="s">
        <v>1757</v>
      </c>
      <c r="C19" s="29"/>
      <c r="D19" s="29"/>
      <c r="E19" s="29"/>
      <c r="F19" s="29" t="s">
        <v>1758</v>
      </c>
      <c r="G19" s="29"/>
      <c r="H19" s="29"/>
      <c r="I19" s="29"/>
      <c r="J19" s="29" t="s">
        <v>1759</v>
      </c>
      <c r="K19" s="29"/>
      <c r="L19" s="29"/>
      <c r="M19" s="29"/>
    </row>
    <row r="20" spans="2:13">
      <c r="B20" s="29" t="s">
        <v>1760</v>
      </c>
      <c r="C20" s="29"/>
      <c r="D20" s="29"/>
      <c r="E20" s="29"/>
      <c r="F20" s="29" t="s">
        <v>1761</v>
      </c>
      <c r="G20" s="29"/>
      <c r="H20" s="29"/>
      <c r="I20" s="29"/>
      <c r="J20" s="29" t="s">
        <v>1762</v>
      </c>
      <c r="K20" s="29"/>
      <c r="L20" s="29"/>
      <c r="M20" s="29"/>
    </row>
    <row r="21" spans="2:13">
      <c r="B21" s="29" t="s">
        <v>1763</v>
      </c>
      <c r="C21" s="29"/>
      <c r="D21" s="29"/>
      <c r="E21" s="29"/>
      <c r="F21" s="29" t="s">
        <v>1764</v>
      </c>
      <c r="G21" s="29"/>
      <c r="H21" s="29"/>
      <c r="I21" s="29"/>
      <c r="J21" s="29" t="s">
        <v>1765</v>
      </c>
      <c r="K21" s="29"/>
      <c r="L21" s="29"/>
      <c r="M21" s="29"/>
    </row>
    <row r="22" spans="2:13">
      <c r="B22" s="29" t="s">
        <v>1766</v>
      </c>
      <c r="C22" s="29"/>
      <c r="D22" s="29"/>
      <c r="E22" s="29"/>
      <c r="F22" s="29" t="s">
        <v>1767</v>
      </c>
      <c r="G22" s="29"/>
      <c r="H22" s="29"/>
      <c r="I22" s="29"/>
      <c r="J22" s="29" t="s">
        <v>1768</v>
      </c>
      <c r="K22" s="29"/>
      <c r="L22" s="29"/>
      <c r="M22" s="29"/>
    </row>
    <row r="23" spans="2:13">
      <c r="B23" s="29" t="s">
        <v>1769</v>
      </c>
      <c r="C23" s="29"/>
      <c r="D23" s="29"/>
      <c r="E23" s="29"/>
      <c r="F23" s="29" t="s">
        <v>1770</v>
      </c>
      <c r="G23" s="29"/>
      <c r="H23" s="29"/>
      <c r="I23" s="29"/>
      <c r="J23" s="29" t="s">
        <v>1771</v>
      </c>
      <c r="K23" s="29"/>
      <c r="L23" s="29"/>
      <c r="M23" s="29"/>
    </row>
    <row r="24" spans="2:13">
      <c r="B24" s="29" t="s">
        <v>1772</v>
      </c>
      <c r="C24" s="29"/>
      <c r="D24" s="29"/>
      <c r="E24" s="29"/>
      <c r="F24" s="29" t="s">
        <v>1773</v>
      </c>
      <c r="G24" s="29"/>
      <c r="H24" s="29"/>
      <c r="I24" s="29"/>
      <c r="J24" s="29" t="s">
        <v>1774</v>
      </c>
      <c r="K24" s="29"/>
      <c r="L24" s="29"/>
      <c r="M24" s="29"/>
    </row>
    <row r="26" spans="2:13">
      <c r="B26" s="9" t="s">
        <v>1775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</row>
    <row r="27" spans="2:13">
      <c r="B27" s="30" t="s">
        <v>1776</v>
      </c>
      <c r="C27" s="30"/>
      <c r="D27" s="30"/>
      <c r="E27" s="30"/>
      <c r="F27" s="30" t="s">
        <v>1777</v>
      </c>
      <c r="G27" s="30"/>
      <c r="H27" s="30"/>
      <c r="I27" s="30"/>
      <c r="J27" s="30" t="s">
        <v>1778</v>
      </c>
      <c r="K27" s="30"/>
      <c r="L27" s="30"/>
      <c r="M27" s="30"/>
    </row>
    <row r="28" spans="2:13">
      <c r="B28" s="30" t="s">
        <v>1779</v>
      </c>
      <c r="C28" s="30"/>
      <c r="D28" s="30"/>
      <c r="E28" s="30"/>
      <c r="F28" s="30" t="s">
        <v>1780</v>
      </c>
      <c r="G28" s="30"/>
      <c r="H28" s="30"/>
      <c r="I28" s="30"/>
      <c r="J28" s="30" t="s">
        <v>1781</v>
      </c>
      <c r="K28" s="30"/>
      <c r="L28" s="30"/>
      <c r="M28" s="30"/>
    </row>
    <row r="30" spans="2:13">
      <c r="B30" s="8" t="s">
        <v>1782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</sheetData>
  <mergeCells count="39">
    <mergeCell ref="B3:M5"/>
    <mergeCell ref="B6:M7"/>
    <mergeCell ref="B8:M8"/>
    <mergeCell ref="B11:M11"/>
    <mergeCell ref="B12:F13"/>
    <mergeCell ref="H12:M13"/>
    <mergeCell ref="B15:M15"/>
    <mergeCell ref="B17:E17"/>
    <mergeCell ref="F17:I17"/>
    <mergeCell ref="J17:M17"/>
    <mergeCell ref="B18:E18"/>
    <mergeCell ref="F18:I18"/>
    <mergeCell ref="J18:M18"/>
    <mergeCell ref="B19:E19"/>
    <mergeCell ref="F19:I19"/>
    <mergeCell ref="J19:M19"/>
    <mergeCell ref="B20:E20"/>
    <mergeCell ref="F20:I20"/>
    <mergeCell ref="J20:M20"/>
    <mergeCell ref="B21:E21"/>
    <mergeCell ref="F21:I21"/>
    <mergeCell ref="J21:M21"/>
    <mergeCell ref="B22:E22"/>
    <mergeCell ref="F22:I22"/>
    <mergeCell ref="J22:M22"/>
    <mergeCell ref="B23:E23"/>
    <mergeCell ref="F23:I23"/>
    <mergeCell ref="J23:M23"/>
    <mergeCell ref="B24:E24"/>
    <mergeCell ref="F24:I24"/>
    <mergeCell ref="J24:M24"/>
    <mergeCell ref="B26:M26"/>
    <mergeCell ref="B27:E27"/>
    <mergeCell ref="F27:I27"/>
    <mergeCell ref="J27:M27"/>
    <mergeCell ref="B28:E28"/>
    <mergeCell ref="F28:I28"/>
    <mergeCell ref="J28:M28"/>
    <mergeCell ref="B30:M32"/>
  </mergeCells>
  <hyperlinks>
    <hyperlink ref="B12" location="'Executive Dashboard'!A1" display="🏆  EXECUTIVE DASHBOARD"/>
    <hyperlink ref="H12" location="'Leadership Review'!A1" display="🧭  LEADERSHIP REVIEW"/>
    <hyperlink ref="B17" location="'Dash · Toolbox Talks'!A1" display="🗣️  Toolbox Talks"/>
    <hyperlink ref="F17" location="'Dash · JSA Risk Assessment'!A1" display="⚠️  JSA Risk Assessment"/>
    <hyperlink ref="J17" location="'Dash · Training'!A1" display="🎓  Training"/>
    <hyperlink ref="B18" location="'Dash · HSE Observations'!A1" display="👁️  HSE Observations"/>
    <hyperlink ref="F18" location="'Dash · Workplace Inspections'!A1" display="🔍  Workplace Inspections"/>
    <hyperlink ref="J18" location="'Dash · Equipment Inspections'!A1" display="🛠️  Equipment Inspections"/>
    <hyperlink ref="B19" location="'Dash · Safety Walkthroughs'!A1" display="🚶  Safety Walkthroughs"/>
    <hyperlink ref="F19" location="'Dash · Safety Meetings'!A1" display="👥  Safety Meetings"/>
    <hyperlink ref="J19" location="'Dash · Safety Bulletins'!A1" display="📢  Safety Bulletins"/>
    <hyperlink ref="B20" location="'Dash · Emergency Drills'!A1" display="🚨  Emergency Drills"/>
    <hyperlink ref="F20" location="'Dash · Internal Audits'!A1" display="📋  Internal Audits"/>
    <hyperlink ref="J20" location="'Dash · External Audits'!A1" display="🏛️  External Audits"/>
    <hyperlink ref="B21" location="'Dash · Management Visits'!A1" display="🤝  Management Visits"/>
    <hyperlink ref="F21" location="'Dash · Management Reviews'!A1" display="🧭  Management Reviews"/>
    <hyperlink ref="J21" location="'Dash · Disciplinary Actions'!A1" display="⚖️  Disciplinary Actions"/>
    <hyperlink ref="B22" location="'Dash · Safety Awards'!A1" display="🏆  Safety Awards"/>
    <hyperlink ref="F22" location="'Dash · Stop Work Authority'!A1" display="✋  Stop Work Authority"/>
    <hyperlink ref="J22" location="'Dash · Alcohol Tests'!A1" display="🧪  Alcohol Tests"/>
    <hyperlink ref="B23" location="'Dash · PTW Audits'!A1" display="📝  PTW Audits"/>
    <hyperlink ref="F23" location="'Dash · Corrective Actions'!A1" display="🔧  Corrective Actions"/>
    <hyperlink ref="J23" location="'Dash · NC Management'!A1" display="🚩  NC Management"/>
    <hyperlink ref="B24" location="'Dash · Unsafe Acts'!A1" display="🚫  Unsafe Acts"/>
    <hyperlink ref="F24" location="'Dash · Unsafe Conditions'!A1" display="⛔  Unsafe Conditions"/>
    <hyperlink ref="J24" location="'Dash · Incident'!A1" display="🔥  Incident"/>
    <hyperlink ref="B27" location="'Master Data'!A1" display="Master Data"/>
    <hyperlink ref="F27" location="'Settings'!A1" display="Settings"/>
    <hyperlink ref="J27" location="'Help'!A1" display="Help"/>
    <hyperlink ref="B28" location="'Calculations'!A1" display="Calculations"/>
    <hyperlink ref="F28" location="'Incident'!A1" display="Incident Register"/>
    <hyperlink ref="J28" location="'Corrective Actions'!A1" display="Corrective Actions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</sheetPr>
  <dimension ref="A1:U79"/>
  <sheetViews>
    <sheetView showGridLines="0" zoomScale="80" zoomScaleNormal="80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1783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1784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</row>
    <row r="11" spans="2:19">
      <c r="B11" s="9" t="s">
        <v>1789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>
      <c r="B12" s="10" t="s">
        <v>1790</v>
      </c>
      <c r="C12" s="14" t="s">
        <v>73</v>
      </c>
      <c r="D12" s="14"/>
      <c r="F12" s="10" t="s">
        <v>129</v>
      </c>
      <c r="G12" s="14" t="s">
        <v>1581</v>
      </c>
      <c r="H12" s="14"/>
      <c r="J12" s="10" t="s">
        <v>1791</v>
      </c>
      <c r="K12" s="14" t="s">
        <v>1581</v>
      </c>
      <c r="L12" s="14"/>
      <c r="N12" s="8" t="s">
        <v>1792</v>
      </c>
      <c r="O12" s="8"/>
      <c r="P12" s="8"/>
      <c r="Q12" s="8"/>
      <c r="R12" s="8"/>
      <c r="S12" s="8"/>
    </row>
    <row r="14" spans="2:19" ht="20" customHeight="1">
      <c r="B14" s="35" t="s">
        <v>1793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</row>
    <row r="15" spans="2:19" ht="4" customHeight="1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</row>
    <row r="16" spans="2:19">
      <c r="B16" s="37" t="s">
        <v>1620</v>
      </c>
      <c r="C16" s="37"/>
      <c r="D16" s="37"/>
      <c r="E16" s="37" t="s">
        <v>1622</v>
      </c>
      <c r="F16" s="37"/>
      <c r="G16" s="37"/>
      <c r="H16" s="37" t="s">
        <v>1794</v>
      </c>
      <c r="I16" s="37"/>
      <c r="J16" s="37"/>
      <c r="K16" s="37" t="s">
        <v>1795</v>
      </c>
      <c r="L16" s="37"/>
      <c r="M16" s="37"/>
      <c r="N16" s="37" t="s">
        <v>1796</v>
      </c>
      <c r="O16" s="37"/>
      <c r="P16" s="37"/>
    </row>
    <row r="17" spans="2:19">
      <c r="B17" s="38">
        <f>Calculations!$AH$12</f>
        <v>0</v>
      </c>
      <c r="C17" s="38"/>
      <c r="D17" s="39">
        <f>Calculations!$AI$12</f>
        <v>0</v>
      </c>
      <c r="E17" s="38">
        <f>Calculations!$AH$13</f>
        <v>0</v>
      </c>
      <c r="F17" s="38"/>
      <c r="G17" s="39">
        <f>Calculations!$AI$13</f>
        <v>0</v>
      </c>
      <c r="H17" s="40">
        <f>Calculations!$AH$14</f>
        <v>0</v>
      </c>
      <c r="I17" s="40"/>
      <c r="J17" s="41">
        <f>Calculations!$AI$14</f>
        <v>0</v>
      </c>
      <c r="K17" s="40">
        <f>Calculations!$AH$15</f>
        <v>0</v>
      </c>
      <c r="L17" s="40"/>
      <c r="M17" s="41">
        <f>Calculations!$AI$15</f>
        <v>0</v>
      </c>
      <c r="N17" s="40">
        <f>Calculations!$AH$16</f>
        <v>0</v>
      </c>
      <c r="O17" s="40"/>
      <c r="P17" s="41">
        <f>Calculations!$AI$16</f>
        <v>0</v>
      </c>
    </row>
    <row r="18" spans="2:19">
      <c r="B18" s="38"/>
      <c r="C18" s="38"/>
      <c r="D18" s="39"/>
      <c r="E18" s="38"/>
      <c r="F18" s="38"/>
      <c r="G18" s="39"/>
      <c r="H18" s="40"/>
      <c r="I18" s="40"/>
      <c r="J18" s="41"/>
      <c r="K18" s="40"/>
      <c r="L18" s="40"/>
      <c r="M18" s="41"/>
      <c r="N18" s="40"/>
      <c r="O18" s="40"/>
      <c r="P18" s="41"/>
    </row>
    <row r="19" spans="2:19">
      <c r="B19" s="42">
        <f>IF(Calculations!$AI$12=0,IF(Calculations!$AH$12&gt;0,"▲ new vs prior","● no data"),IF(Calculations!$AH$12=Calculations!$AI$12,"● 0.0% vs prior",(IF(Calculations!$AH$12&gt;Calculations!$AI$12,"▲ ","▼ "))&amp;TEXT(ABS(Calculations!$AJ$12),"0.0%")&amp;" vs prior ("&amp;TEXT(Calculations!$AI$12,"General")&amp;")"))</f>
        <v>0</v>
      </c>
      <c r="C19" s="42"/>
      <c r="D19" s="42"/>
      <c r="E19" s="42">
        <f>IF(Calculations!$AI$13=0,IF(Calculations!$AH$13&gt;0,"▲ new vs prior","● no data"),IF(Calculations!$AH$13=Calculations!$AI$13,"● 0.0% vs prior",(IF(Calculations!$AH$13&gt;Calculations!$AI$13,"▲ ","▼ "))&amp;TEXT(ABS(Calculations!$AJ$13),"0.0%")&amp;" vs prior ("&amp;TEXT(Calculations!$AI$13,"General")&amp;")"))</f>
        <v>0</v>
      </c>
      <c r="F19" s="42"/>
      <c r="G19" s="42"/>
      <c r="H19" s="42">
        <f>IF(Calculations!$AI$14=0,IF(Calculations!$AH$14&gt;0,"▲ new vs prior","● no data"),IF(Calculations!$AH$14=Calculations!$AI$14,"● 0.0% vs prior",(IF(Calculations!$AH$14&gt;Calculations!$AI$14,"▲ ","▼ "))&amp;TEXT(ABS(Calculations!$AJ$14),"0.0%")&amp;" vs prior ("&amp;TEXT(Calculations!$AI$14,"General")&amp;")"))</f>
        <v>0</v>
      </c>
      <c r="I19" s="42"/>
      <c r="J19" s="42"/>
      <c r="K19" s="42">
        <f>IF(Calculations!$AI$15=0,IF(Calculations!$AH$15&gt;0,"▲ new vs prior","● no data"),IF(Calculations!$AH$15=Calculations!$AI$15,"● 0.0% vs prior",(IF(Calculations!$AH$15&gt;Calculations!$AI$15,"▲ ","▼ "))&amp;TEXT(ABS(Calculations!$AJ$15),"0.0%")&amp;" vs prior ("&amp;TEXT(Calculations!$AI$15,"General")&amp;")"))</f>
        <v>0</v>
      </c>
      <c r="L19" s="42"/>
      <c r="M19" s="42"/>
      <c r="N19" s="42">
        <f>IF(Calculations!$AI$16=0,IF(Calculations!$AH$16&gt;0,"▲ new vs prior","● no data"),IF(Calculations!$AH$16=Calculations!$AI$16,"● 0.0% vs prior",(IF(Calculations!$AH$16&gt;Calculations!$AI$16,"▲ ","▼ "))&amp;TEXT(ABS(Calculations!$AJ$16),"0.0%")&amp;" vs prior ("&amp;TEXT(Calculations!$AI$16,"General")&amp;")"))</f>
        <v>0</v>
      </c>
      <c r="O19" s="42"/>
      <c r="P19" s="42"/>
    </row>
    <row r="21" spans="2:19" ht="4" customHeight="1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</row>
    <row r="22" spans="2:19">
      <c r="B22" s="37" t="s">
        <v>1797</v>
      </c>
      <c r="C22" s="37"/>
      <c r="D22" s="37"/>
      <c r="E22" s="37" t="s">
        <v>1798</v>
      </c>
      <c r="F22" s="37"/>
      <c r="G22" s="37"/>
      <c r="H22" s="37" t="s">
        <v>1799</v>
      </c>
      <c r="I22" s="37"/>
      <c r="J22" s="37"/>
      <c r="K22" s="37" t="s">
        <v>1800</v>
      </c>
      <c r="L22" s="37"/>
      <c r="M22" s="37"/>
      <c r="N22" s="37" t="s">
        <v>1801</v>
      </c>
      <c r="O22" s="37"/>
      <c r="P22" s="37"/>
    </row>
    <row r="23" spans="2:19">
      <c r="B23" s="40">
        <f>Calculations!$AH$17</f>
        <v>0</v>
      </c>
      <c r="C23" s="40"/>
      <c r="D23" s="41">
        <f>Calculations!$AI$17</f>
        <v>0</v>
      </c>
      <c r="E23" s="40">
        <f>Calculations!$AH$18</f>
        <v>0</v>
      </c>
      <c r="F23" s="40"/>
      <c r="G23" s="41">
        <f>Calculations!$AI$18</f>
        <v>0</v>
      </c>
      <c r="H23" s="40">
        <f>Calculations!$AH$19</f>
        <v>0</v>
      </c>
      <c r="I23" s="40"/>
      <c r="J23" s="41">
        <f>Calculations!$AI$19</f>
        <v>0</v>
      </c>
      <c r="K23" s="40">
        <f>Calculations!$AH$20</f>
        <v>0</v>
      </c>
      <c r="L23" s="40"/>
      <c r="M23" s="41">
        <f>Calculations!$AI$20</f>
        <v>0</v>
      </c>
      <c r="N23" s="40">
        <f>Calculations!$AH$21</f>
        <v>0</v>
      </c>
      <c r="O23" s="40"/>
      <c r="P23" s="41">
        <f>Calculations!$AI$21</f>
        <v>0</v>
      </c>
    </row>
    <row r="24" spans="2:19">
      <c r="B24" s="40"/>
      <c r="C24" s="40"/>
      <c r="D24" s="41"/>
      <c r="E24" s="40"/>
      <c r="F24" s="40"/>
      <c r="G24" s="41"/>
      <c r="H24" s="40"/>
      <c r="I24" s="40"/>
      <c r="J24" s="41"/>
      <c r="K24" s="40"/>
      <c r="L24" s="40"/>
      <c r="M24" s="41"/>
      <c r="N24" s="40"/>
      <c r="O24" s="40"/>
      <c r="P24" s="41"/>
    </row>
    <row r="25" spans="2:19">
      <c r="B25" s="42">
        <f>IF(Calculations!$AI$17=0,IF(Calculations!$AH$17&gt;0,"▲ new vs prior","● no data"),IF(Calculations!$AH$17=Calculations!$AI$17,"● 0.0% vs prior",(IF(Calculations!$AH$17&gt;Calculations!$AI$17,"▲ ","▼ "))&amp;TEXT(ABS(Calculations!$AJ$17),"0.0%")&amp;" vs prior ("&amp;TEXT(Calculations!$AI$17,"General")&amp;")"))</f>
        <v>0</v>
      </c>
      <c r="C25" s="42"/>
      <c r="D25" s="42"/>
      <c r="E25" s="42">
        <f>IF(Calculations!$AI$18=0,IF(Calculations!$AH$18&gt;0,"▲ new vs prior","● no data"),IF(Calculations!$AH$18=Calculations!$AI$18,"● 0.0% vs prior",(IF(Calculations!$AH$18&gt;Calculations!$AI$18,"▲ ","▼ "))&amp;TEXT(ABS(Calculations!$AJ$18),"0.0%")&amp;" vs prior ("&amp;TEXT(Calculations!$AI$18,"General")&amp;")"))</f>
        <v>0</v>
      </c>
      <c r="F25" s="42"/>
      <c r="G25" s="42"/>
      <c r="H25" s="42">
        <f>IF(Calculations!$AI$19=0,IF(Calculations!$AH$19&gt;0,"▲ new vs prior","● no data"),IF(Calculations!$AH$19=Calculations!$AI$19,"● 0.0% vs prior",(IF(Calculations!$AH$19&gt;Calculations!$AI$19,"▲ ","▼ "))&amp;TEXT(ABS(Calculations!$AJ$19),"0.0%")&amp;" vs prior ("&amp;TEXT(Calculations!$AI$19,"General")&amp;")"))</f>
        <v>0</v>
      </c>
      <c r="I25" s="42"/>
      <c r="J25" s="42"/>
      <c r="K25" s="42">
        <f>IF(Calculations!$AI$20=0,IF(Calculations!$AH$20&gt;0,"▲ new vs prior","● no data"),IF(Calculations!$AH$20=Calculations!$AI$20,"● 0.0% vs prior",(IF(Calculations!$AH$20&gt;Calculations!$AI$20,"▲ ","▼ "))&amp;TEXT(ABS(Calculations!$AJ$20),"0.0%")&amp;" vs prior ("&amp;TEXT(Calculations!$AI$20,"General")&amp;")"))</f>
        <v>0</v>
      </c>
      <c r="L25" s="42"/>
      <c r="M25" s="42"/>
      <c r="N25" s="42">
        <f>IF(Calculations!$AI$21=0,IF(Calculations!$AH$21&gt;0,"▲ new vs prior","● no data"),IF(Calculations!$AH$21=Calculations!$AI$21,"● 0.0% vs prior",(IF(Calculations!$AH$21&gt;Calculations!$AI$21,"▲ ","▼ "))&amp;TEXT(ABS(Calculations!$AJ$21),"0.0%")&amp;" vs prior ("&amp;TEXT(Calculations!$AI$21,"General")&amp;")"))</f>
        <v>0</v>
      </c>
      <c r="O25" s="42"/>
      <c r="P25" s="42"/>
    </row>
    <row r="27" spans="2:19" ht="20" customHeight="1">
      <c r="B27" s="43" t="s">
        <v>1802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</row>
    <row r="28" spans="2:19" ht="4" customHeight="1"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</row>
    <row r="29" spans="2:19">
      <c r="B29" s="37" t="s">
        <v>1803</v>
      </c>
      <c r="C29" s="37"/>
      <c r="D29" s="37"/>
      <c r="E29" s="37" t="s">
        <v>1804</v>
      </c>
      <c r="F29" s="37"/>
      <c r="G29" s="37"/>
      <c r="H29" s="37" t="s">
        <v>1805</v>
      </c>
      <c r="I29" s="37"/>
      <c r="J29" s="37"/>
      <c r="K29" s="37" t="s">
        <v>1806</v>
      </c>
      <c r="L29" s="37"/>
      <c r="M29" s="37"/>
      <c r="N29" s="37" t="s">
        <v>1807</v>
      </c>
      <c r="O29" s="37"/>
      <c r="P29" s="37"/>
    </row>
    <row r="30" spans="2:19">
      <c r="B30" s="40">
        <f>Calculations!$AH$22</f>
        <v>0</v>
      </c>
      <c r="C30" s="40"/>
      <c r="D30" s="41">
        <f>Calculations!$AI$22</f>
        <v>0</v>
      </c>
      <c r="E30" s="45">
        <f>Calculations!$AH$23</f>
        <v>0</v>
      </c>
      <c r="F30" s="45"/>
      <c r="G30" s="46">
        <f>Calculations!$AI$23</f>
        <v>0</v>
      </c>
      <c r="H30" s="40">
        <f>Calculations!$AH$24</f>
        <v>0</v>
      </c>
      <c r="I30" s="40"/>
      <c r="J30" s="41">
        <f>Calculations!$AI$24</f>
        <v>0</v>
      </c>
      <c r="K30" s="45">
        <f>Calculations!$AH$25</f>
        <v>0</v>
      </c>
      <c r="L30" s="45"/>
      <c r="M30" s="46">
        <f>Calculations!$AI$25</f>
        <v>0</v>
      </c>
      <c r="N30" s="40">
        <f>Calculations!$AH$26</f>
        <v>0</v>
      </c>
      <c r="O30" s="40"/>
      <c r="P30" s="41">
        <f>Calculations!$AI$26</f>
        <v>0</v>
      </c>
    </row>
    <row r="31" spans="2:19">
      <c r="B31" s="40"/>
      <c r="C31" s="40"/>
      <c r="D31" s="41"/>
      <c r="E31" s="45"/>
      <c r="F31" s="45"/>
      <c r="G31" s="46"/>
      <c r="H31" s="40"/>
      <c r="I31" s="40"/>
      <c r="J31" s="41"/>
      <c r="K31" s="45"/>
      <c r="L31" s="45"/>
      <c r="M31" s="46"/>
      <c r="N31" s="40"/>
      <c r="O31" s="40"/>
      <c r="P31" s="41"/>
    </row>
    <row r="32" spans="2:19">
      <c r="B32" s="42">
        <f>IF(Calculations!$AI$22=0,IF(Calculations!$AH$22&gt;0,"▲ new vs prior","● no data"),IF(Calculations!$AH$22=Calculations!$AI$22,"● 0.0% vs prior",(IF(Calculations!$AH$22&gt;Calculations!$AI$22,"▲ ","▼ "))&amp;TEXT(ABS(Calculations!$AJ$22),"0.0%")&amp;" vs prior ("&amp;TEXT(Calculations!$AI$22,"General")&amp;")"))</f>
        <v>0</v>
      </c>
      <c r="C32" s="42"/>
      <c r="D32" s="42"/>
      <c r="E32" s="42">
        <f>IF(Calculations!$AI$23=0,IF(Calculations!$AH$23&gt;0,"▲ new vs prior","● no data"),IF(Calculations!$AH$23=Calculations!$AI$23,"● 0.0% vs prior",(IF(Calculations!$AH$23&gt;Calculations!$AI$23,"▲ ","▼ "))&amp;TEXT(ABS(Calculations!$AJ$23),"0.0%")&amp;" vs prior ("&amp;TEXT(Calculations!$AI$23,"General")&amp;")"))</f>
        <v>0</v>
      </c>
      <c r="F32" s="42"/>
      <c r="G32" s="42"/>
      <c r="H32" s="42">
        <f>IF(Calculations!$AI$24=0,IF(Calculations!$AH$24&gt;0,"▲ new vs prior","● no data"),IF(Calculations!$AH$24=Calculations!$AI$24,"● 0.0% vs prior",(IF(Calculations!$AH$24&gt;Calculations!$AI$24,"▲ ","▼ "))&amp;TEXT(ABS(Calculations!$AJ$24),"0.0%")&amp;" vs prior ("&amp;TEXT(Calculations!$AI$24,"General")&amp;")"))</f>
        <v>0</v>
      </c>
      <c r="I32" s="42"/>
      <c r="J32" s="42"/>
      <c r="K32" s="42">
        <f>IF(Calculations!$AI$25=0,IF(Calculations!$AH$25&gt;0,"▲ new vs prior","● no data"),IF(Calculations!$AH$25=Calculations!$AI$25,"● 0.0% vs prior",(IF(Calculations!$AH$25&gt;Calculations!$AI$25,"▲ ","▼ "))&amp;TEXT(ABS(Calculations!$AJ$25),"0.0%")&amp;" vs prior ("&amp;TEXT(Calculations!$AI$25,"General")&amp;")"))</f>
        <v>0</v>
      </c>
      <c r="L32" s="42"/>
      <c r="M32" s="42"/>
      <c r="N32" s="42">
        <f>IF(Calculations!$AI$26=0,IF(Calculations!$AH$26&gt;0,"▲ new vs prior","● no data"),IF(Calculations!$AH$26=Calculations!$AI$26,"● 0.0% vs prior",(IF(Calculations!$AH$26&gt;Calculations!$AI$26,"▲ ","▼ "))&amp;TEXT(ABS(Calculations!$AJ$26),"0.0%")&amp;" vs prior ("&amp;TEXT(Calculations!$AI$26,"General")&amp;")"))</f>
        <v>0</v>
      </c>
      <c r="O32" s="42"/>
      <c r="P32" s="42"/>
    </row>
    <row r="34" spans="2:19" ht="4" customHeight="1"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</row>
    <row r="35" spans="2:19">
      <c r="B35" s="37" t="s">
        <v>1808</v>
      </c>
      <c r="C35" s="37"/>
      <c r="D35" s="37"/>
      <c r="E35" s="37" t="s">
        <v>1809</v>
      </c>
      <c r="F35" s="37"/>
      <c r="G35" s="37"/>
      <c r="H35" s="37" t="s">
        <v>1810</v>
      </c>
      <c r="I35" s="37"/>
      <c r="J35" s="37"/>
      <c r="K35" s="37" t="s">
        <v>1811</v>
      </c>
      <c r="L35" s="37"/>
      <c r="M35" s="37"/>
      <c r="N35" s="37" t="s">
        <v>1812</v>
      </c>
      <c r="O35" s="37"/>
      <c r="P35" s="37"/>
    </row>
    <row r="36" spans="2:19">
      <c r="B36" s="40">
        <f>Calculations!$AH$27</f>
        <v>0</v>
      </c>
      <c r="C36" s="40"/>
      <c r="D36" s="41">
        <f>Calculations!$AI$27</f>
        <v>0</v>
      </c>
      <c r="E36" s="40">
        <f>Calculations!$AH$28</f>
        <v>0</v>
      </c>
      <c r="F36" s="40"/>
      <c r="G36" s="41">
        <f>Calculations!$AI$28</f>
        <v>0</v>
      </c>
      <c r="H36" s="45">
        <f>Calculations!$AH$29</f>
        <v>0</v>
      </c>
      <c r="I36" s="45"/>
      <c r="J36" s="46">
        <f>Calculations!$AI$29</f>
        <v>0</v>
      </c>
      <c r="K36" s="40">
        <f>Calculations!$AH$30</f>
        <v>0</v>
      </c>
      <c r="L36" s="40"/>
      <c r="M36" s="41">
        <f>Calculations!$AI$30</f>
        <v>0</v>
      </c>
      <c r="N36" s="45">
        <f>Calculations!$AH$31</f>
        <v>0</v>
      </c>
      <c r="O36" s="45"/>
      <c r="P36" s="46">
        <f>Calculations!$AI$31</f>
        <v>0</v>
      </c>
    </row>
    <row r="37" spans="2:19">
      <c r="B37" s="40"/>
      <c r="C37" s="40"/>
      <c r="D37" s="41"/>
      <c r="E37" s="40"/>
      <c r="F37" s="40"/>
      <c r="G37" s="41"/>
      <c r="H37" s="45"/>
      <c r="I37" s="45"/>
      <c r="J37" s="46"/>
      <c r="K37" s="40"/>
      <c r="L37" s="40"/>
      <c r="M37" s="41"/>
      <c r="N37" s="45"/>
      <c r="O37" s="45"/>
      <c r="P37" s="46"/>
    </row>
    <row r="38" spans="2:19">
      <c r="B38" s="42">
        <f>IF(Calculations!$AI$27=0,IF(Calculations!$AH$27&gt;0,"▲ new vs prior","● no data"),IF(Calculations!$AH$27=Calculations!$AI$27,"● 0.0% vs prior",(IF(Calculations!$AH$27&gt;Calculations!$AI$27,"▲ ","▼ "))&amp;TEXT(ABS(Calculations!$AJ$27),"0.0%")&amp;" vs prior ("&amp;TEXT(Calculations!$AI$27,"General")&amp;")"))</f>
        <v>0</v>
      </c>
      <c r="C38" s="42"/>
      <c r="D38" s="42"/>
      <c r="E38" s="42">
        <f>IF(Calculations!$AI$28=0,IF(Calculations!$AH$28&gt;0,"▲ new vs prior","● no data"),IF(Calculations!$AH$28=Calculations!$AI$28,"● 0.0% vs prior",(IF(Calculations!$AH$28&gt;Calculations!$AI$28,"▲ ","▼ "))&amp;TEXT(ABS(Calculations!$AJ$28),"0.0%")&amp;" vs prior ("&amp;TEXT(Calculations!$AI$28,"General")&amp;")"))</f>
        <v>0</v>
      </c>
      <c r="F38" s="42"/>
      <c r="G38" s="42"/>
      <c r="H38" s="42">
        <f>IF(Calculations!$AI$29=0,IF(Calculations!$AH$29&gt;0,"▲ new vs prior","● no data"),IF(Calculations!$AH$29=Calculations!$AI$29,"● 0.0% vs prior",(IF(Calculations!$AH$29&gt;Calculations!$AI$29,"▲ ","▼ "))&amp;TEXT(ABS(Calculations!$AJ$29),"0.0%")&amp;" vs prior ("&amp;TEXT(Calculations!$AI$29,"General")&amp;")"))</f>
        <v>0</v>
      </c>
      <c r="I38" s="42"/>
      <c r="J38" s="42"/>
      <c r="K38" s="42">
        <f>IF(Calculations!$AI$30=0,IF(Calculations!$AH$30&gt;0,"▲ new vs prior","● no data"),IF(Calculations!$AH$30=Calculations!$AI$30,"● 0.0% vs prior",(IF(Calculations!$AH$30&gt;Calculations!$AI$30,"▲ ","▼ "))&amp;TEXT(ABS(Calculations!$AJ$30),"0.0%")&amp;" vs prior ("&amp;TEXT(Calculations!$AI$30,"General")&amp;")"))</f>
        <v>0</v>
      </c>
      <c r="L38" s="42"/>
      <c r="M38" s="42"/>
      <c r="N38" s="42">
        <f>IF(Calculations!$AI$31=0,IF(Calculations!$AH$31&gt;0,"▲ new vs prior","● no data"),IF(Calculations!$AH$31=Calculations!$AI$31,"● 0.0% vs prior",(IF(Calculations!$AH$31&gt;Calculations!$AI$31,"▲ ","▼ "))&amp;TEXT(ABS(Calculations!$AJ$31),"0.0%")&amp;" vs prior ("&amp;TEXT(Calculations!$AI$31,"General")&amp;")"))</f>
        <v>0</v>
      </c>
      <c r="O38" s="42"/>
      <c r="P38" s="42"/>
    </row>
    <row r="40" spans="2:19">
      <c r="B40" s="9" t="s">
        <v>1813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</row>
    <row r="57" spans="2:19">
      <c r="B57" s="9" t="s">
        <v>1814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</row>
    <row r="66" spans="2:21">
      <c r="J66" s="47">
        <f>Calculations!$AH$23</f>
        <v>0</v>
      </c>
      <c r="K66" s="47"/>
      <c r="L66" s="47"/>
      <c r="M66" s="47">
        <f>Calculations!$AH$29</f>
        <v>0</v>
      </c>
      <c r="N66" s="47"/>
      <c r="O66" s="47"/>
      <c r="P66" s="47">
        <f>Calculations!$AH$25</f>
        <v>0</v>
      </c>
      <c r="Q66" s="47"/>
      <c r="R66" s="47"/>
      <c r="S66" s="47">
        <f>Calculations!$AH$31</f>
        <v>0</v>
      </c>
      <c r="T66" s="47"/>
      <c r="U66" s="47"/>
    </row>
    <row r="74" spans="2:21">
      <c r="B74" s="9" t="s">
        <v>1815</v>
      </c>
      <c r="C74" s="9"/>
      <c r="D74" s="9"/>
      <c r="E74" s="9"/>
      <c r="F74" s="9"/>
      <c r="G74" s="9"/>
      <c r="H74" s="9"/>
      <c r="I74" s="9"/>
    </row>
    <row r="75" spans="2:21">
      <c r="B75" s="10" t="s">
        <v>1816</v>
      </c>
      <c r="C75" s="10"/>
      <c r="D75" s="10" t="s">
        <v>1817</v>
      </c>
      <c r="E75" s="10"/>
      <c r="F75" s="10" t="s">
        <v>1818</v>
      </c>
      <c r="G75" s="10"/>
      <c r="H75" s="10" t="s">
        <v>287</v>
      </c>
      <c r="I75" s="10"/>
    </row>
    <row r="76" spans="2:21">
      <c r="B76" s="11">
        <f>Calculations!$AM$41</f>
        <v>0</v>
      </c>
      <c r="C76" s="11"/>
      <c r="D76" s="19">
        <f>Calculations!$AN$41</f>
        <v>0</v>
      </c>
      <c r="E76" s="19"/>
      <c r="F76" s="19">
        <f>Calculations!$AO$41</f>
        <v>0</v>
      </c>
      <c r="G76" s="19"/>
      <c r="H76" s="11">
        <f>Calculations!$AP$41</f>
        <v>0</v>
      </c>
      <c r="I76" s="11"/>
    </row>
    <row r="77" spans="2:21">
      <c r="B77" s="11">
        <f>Calculations!$AM$42</f>
        <v>0</v>
      </c>
      <c r="C77" s="11"/>
      <c r="D77" s="19">
        <f>Calculations!$AN$42</f>
        <v>0</v>
      </c>
      <c r="E77" s="19"/>
      <c r="F77" s="19">
        <f>Calculations!$AO$42</f>
        <v>0</v>
      </c>
      <c r="G77" s="19"/>
      <c r="H77" s="11">
        <f>Calculations!$AP$42</f>
        <v>0</v>
      </c>
      <c r="I77" s="11"/>
    </row>
    <row r="78" spans="2:21">
      <c r="B78" s="11">
        <f>Calculations!$AM$43</f>
        <v>0</v>
      </c>
      <c r="C78" s="11"/>
      <c r="D78" s="19">
        <f>Calculations!$AN$43</f>
        <v>0</v>
      </c>
      <c r="E78" s="19"/>
      <c r="F78" s="19">
        <f>Calculations!$AO$43</f>
        <v>0</v>
      </c>
      <c r="G78" s="19"/>
      <c r="H78" s="11">
        <f>Calculations!$AP$43</f>
        <v>0</v>
      </c>
      <c r="I78" s="11"/>
    </row>
    <row r="79" spans="2:21">
      <c r="B79" s="11">
        <f>Calculations!$AM$44</f>
        <v>0</v>
      </c>
      <c r="C79" s="11"/>
      <c r="D79" s="19">
        <f>Calculations!$AN$44</f>
        <v>0</v>
      </c>
      <c r="E79" s="19"/>
      <c r="F79" s="19">
        <f>Calculations!$AO$44</f>
        <v>0</v>
      </c>
      <c r="G79" s="19"/>
      <c r="H79" s="11">
        <f>Calculations!$AP$44</f>
        <v>0</v>
      </c>
      <c r="I79" s="11"/>
    </row>
  </sheetData>
  <mergeCells count="139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D17:D18"/>
    <mergeCell ref="B19:D19"/>
    <mergeCell ref="E15:G15"/>
    <mergeCell ref="E16:G16"/>
    <mergeCell ref="E17:F18"/>
    <mergeCell ref="G17:G18"/>
    <mergeCell ref="E19:G19"/>
    <mergeCell ref="H15:J15"/>
    <mergeCell ref="H16:J16"/>
    <mergeCell ref="H17:I18"/>
    <mergeCell ref="J17:J18"/>
    <mergeCell ref="H19:J19"/>
    <mergeCell ref="K15:M15"/>
    <mergeCell ref="K16:M16"/>
    <mergeCell ref="K17:L18"/>
    <mergeCell ref="M17:M18"/>
    <mergeCell ref="K19:M19"/>
    <mergeCell ref="N15:P15"/>
    <mergeCell ref="N16:P16"/>
    <mergeCell ref="N17:O18"/>
    <mergeCell ref="P17:P18"/>
    <mergeCell ref="N19:P19"/>
    <mergeCell ref="B21:D21"/>
    <mergeCell ref="B22:D22"/>
    <mergeCell ref="B23:C24"/>
    <mergeCell ref="D23:D24"/>
    <mergeCell ref="B25:D25"/>
    <mergeCell ref="E21:G21"/>
    <mergeCell ref="E22:G22"/>
    <mergeCell ref="E23:F24"/>
    <mergeCell ref="G23:G24"/>
    <mergeCell ref="E25:G25"/>
    <mergeCell ref="H21:J21"/>
    <mergeCell ref="H22:J22"/>
    <mergeCell ref="H23:I24"/>
    <mergeCell ref="J23:J24"/>
    <mergeCell ref="H25:J25"/>
    <mergeCell ref="K21:M21"/>
    <mergeCell ref="K22:M22"/>
    <mergeCell ref="K23:L24"/>
    <mergeCell ref="M23:M24"/>
    <mergeCell ref="K25:M25"/>
    <mergeCell ref="N21:P21"/>
    <mergeCell ref="N22:P22"/>
    <mergeCell ref="N23:O24"/>
    <mergeCell ref="P23:P24"/>
    <mergeCell ref="N25:P25"/>
    <mergeCell ref="B27:S27"/>
    <mergeCell ref="B28:D28"/>
    <mergeCell ref="B29:D29"/>
    <mergeCell ref="B30:C31"/>
    <mergeCell ref="D30:D31"/>
    <mergeCell ref="B32:D32"/>
    <mergeCell ref="E28:G28"/>
    <mergeCell ref="E29:G29"/>
    <mergeCell ref="E30:F31"/>
    <mergeCell ref="G30:G31"/>
    <mergeCell ref="E32:G32"/>
    <mergeCell ref="H28:J28"/>
    <mergeCell ref="H29:J29"/>
    <mergeCell ref="H30:I31"/>
    <mergeCell ref="J30:J31"/>
    <mergeCell ref="H32:J32"/>
    <mergeCell ref="K28:M28"/>
    <mergeCell ref="K29:M29"/>
    <mergeCell ref="K30:L31"/>
    <mergeCell ref="M30:M31"/>
    <mergeCell ref="K32:M32"/>
    <mergeCell ref="N28:P28"/>
    <mergeCell ref="N29:P29"/>
    <mergeCell ref="N30:O31"/>
    <mergeCell ref="P30:P31"/>
    <mergeCell ref="N32:P32"/>
    <mergeCell ref="B34:D34"/>
    <mergeCell ref="B35:D35"/>
    <mergeCell ref="B36:C37"/>
    <mergeCell ref="D36:D37"/>
    <mergeCell ref="B38:D38"/>
    <mergeCell ref="E34:G34"/>
    <mergeCell ref="E35:G35"/>
    <mergeCell ref="E36:F37"/>
    <mergeCell ref="G36:G37"/>
    <mergeCell ref="E38:G38"/>
    <mergeCell ref="H34:J34"/>
    <mergeCell ref="H35:J35"/>
    <mergeCell ref="H36:I37"/>
    <mergeCell ref="J36:J37"/>
    <mergeCell ref="H38:J38"/>
    <mergeCell ref="K34:M34"/>
    <mergeCell ref="K35:M35"/>
    <mergeCell ref="K36:L37"/>
    <mergeCell ref="M36:M37"/>
    <mergeCell ref="K38:M38"/>
    <mergeCell ref="N34:P34"/>
    <mergeCell ref="N35:P35"/>
    <mergeCell ref="N36:O37"/>
    <mergeCell ref="P36:P37"/>
    <mergeCell ref="N38:P38"/>
    <mergeCell ref="B40:S40"/>
    <mergeCell ref="B57:S57"/>
    <mergeCell ref="J66:L66"/>
    <mergeCell ref="M66:O66"/>
    <mergeCell ref="P66:R66"/>
    <mergeCell ref="S66:U66"/>
    <mergeCell ref="B74:I74"/>
    <mergeCell ref="B75:C75"/>
    <mergeCell ref="D75:E75"/>
    <mergeCell ref="F75:G75"/>
    <mergeCell ref="H75:I75"/>
    <mergeCell ref="B76:C76"/>
    <mergeCell ref="D76:E76"/>
    <mergeCell ref="F76:G76"/>
    <mergeCell ref="H76:I76"/>
    <mergeCell ref="B77:C77"/>
    <mergeCell ref="D77:E77"/>
    <mergeCell ref="F77:G77"/>
    <mergeCell ref="H77:I77"/>
    <mergeCell ref="B78:C78"/>
    <mergeCell ref="D78:E78"/>
    <mergeCell ref="F78:G78"/>
    <mergeCell ref="H78:I78"/>
    <mergeCell ref="B79:C79"/>
    <mergeCell ref="D79:E79"/>
    <mergeCell ref="F79:G79"/>
    <mergeCell ref="H79:I79"/>
  </mergeCells>
  <conditionalFormatting sqref="B19:D19">
    <cfRule type="expression" dxfId="0" priority="1">
      <formula>gdTRIR&lt;0</formula>
    </cfRule>
  </conditionalFormatting>
  <conditionalFormatting sqref="B25:D25">
    <cfRule type="expression" dxfId="0" priority="6">
      <formula>gdNearMiss&lt;0</formula>
    </cfRule>
  </conditionalFormatting>
  <conditionalFormatting sqref="B32:D32">
    <cfRule type="expression" dxfId="0" priority="11">
      <formula>gdTrainings&lt;0</formula>
    </cfRule>
  </conditionalFormatting>
  <conditionalFormatting sqref="B38:D38">
    <cfRule type="expression" dxfId="0" priority="16">
      <formula>gdInspections&lt;0</formula>
    </cfRule>
  </conditionalFormatting>
  <conditionalFormatting sqref="E19:G19">
    <cfRule type="expression" dxfId="0" priority="2">
      <formula>gdLTIFR&lt;0</formula>
    </cfRule>
  </conditionalFormatting>
  <conditionalFormatting sqref="E25:G25">
    <cfRule type="expression" dxfId="0" priority="7">
      <formula>gdFirstAid&lt;0</formula>
    </cfRule>
  </conditionalFormatting>
  <conditionalFormatting sqref="E32:G32">
    <cfRule type="expression" dxfId="0" priority="12">
      <formula>gdTrainingCompliance&lt;0</formula>
    </cfRule>
  </conditionalFormatting>
  <conditionalFormatting sqref="E38:G38">
    <cfRule type="expression" dxfId="0" priority="17">
      <formula>gdAudits&lt;0</formula>
    </cfRule>
  </conditionalFormatting>
  <conditionalFormatting sqref="H19:J19">
    <cfRule type="expression" dxfId="0" priority="3">
      <formula>gdTotalIncidents&lt;0</formula>
    </cfRule>
  </conditionalFormatting>
  <conditionalFormatting sqref="H25:J25">
    <cfRule type="expression" dxfId="0" priority="8">
      <formula>gdLostDays&lt;0</formula>
    </cfRule>
  </conditionalFormatting>
  <conditionalFormatting sqref="H32:J32">
    <cfRule type="expression" dxfId="0" priority="13">
      <formula>gdHSEObservations&lt;0</formula>
    </cfRule>
  </conditionalFormatting>
  <conditionalFormatting sqref="H38:J38">
    <cfRule type="expression" dxfId="0" priority="18">
      <formula>gdPTWCompliance&lt;0</formula>
    </cfRule>
  </conditionalFormatting>
  <conditionalFormatting sqref="K19:M19">
    <cfRule type="expression" dxfId="0" priority="4">
      <formula>gdRecordable&lt;0</formula>
    </cfRule>
  </conditionalFormatting>
  <conditionalFormatting sqref="K25:M25">
    <cfRule type="expression" dxfId="0" priority="9">
      <formula>gdDisciplinary&lt;0</formula>
    </cfRule>
  </conditionalFormatting>
  <conditionalFormatting sqref="K32:M32">
    <cfRule type="expression" dxfId="0" priority="14">
      <formula>gdObsClosure&lt;0</formula>
    </cfRule>
  </conditionalFormatting>
  <conditionalFormatting sqref="K38:M38">
    <cfRule type="expression" dxfId="0" priority="19">
      <formula>gdEmergencyDrills&lt;0</formula>
    </cfRule>
  </conditionalFormatting>
  <conditionalFormatting sqref="N19:P19">
    <cfRule type="expression" dxfId="0" priority="5">
      <formula>gdLTIFatality&lt;0</formula>
    </cfRule>
  </conditionalFormatting>
  <conditionalFormatting sqref="N25:P25">
    <cfRule type="expression" dxfId="0" priority="10">
      <formula>gdOpenNCs&lt;0</formula>
    </cfRule>
  </conditionalFormatting>
  <conditionalFormatting sqref="N32:P32">
    <cfRule type="expression" dxfId="0" priority="15">
      <formula>gdToolboxTalks&lt;0</formula>
    </cfRule>
  </conditionalFormatting>
  <conditionalFormatting sqref="N38:P38">
    <cfRule type="expression" dxfId="0" priority="20">
      <formula>gdCAClosure&lt;0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7" right="0.7" top="0.75" bottom="0.75" header="0.3" footer="0.3"/>
  <drawing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D71920"/>
  </sheetPr>
  <dimension ref="A1:S24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1819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1820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</row>
    <row r="11" spans="2:19">
      <c r="B11" s="9" t="s">
        <v>1821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36"/>
      <c r="C12" s="36"/>
      <c r="D12" s="36"/>
      <c r="E12" s="36"/>
      <c r="F12" s="36"/>
      <c r="G12" s="36"/>
      <c r="H12" s="36"/>
      <c r="I12" s="36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1620</v>
      </c>
      <c r="C13" s="37"/>
      <c r="D13" s="37"/>
      <c r="E13" s="37"/>
      <c r="F13" s="37" t="s">
        <v>1622</v>
      </c>
      <c r="G13" s="37"/>
      <c r="H13" s="37"/>
      <c r="I13" s="37"/>
      <c r="J13" s="37" t="s">
        <v>1795</v>
      </c>
      <c r="K13" s="37"/>
      <c r="L13" s="37"/>
      <c r="M13" s="37"/>
      <c r="N13" s="37" t="s">
        <v>1799</v>
      </c>
      <c r="O13" s="37"/>
      <c r="P13" s="37"/>
      <c r="Q13" s="37"/>
    </row>
    <row r="14" spans="2:19">
      <c r="B14" s="38">
        <f>TRIR</f>
        <v>0</v>
      </c>
      <c r="C14" s="38"/>
      <c r="D14" s="38"/>
      <c r="E14" s="38"/>
      <c r="F14" s="38">
        <f>LTIFR</f>
        <v>0</v>
      </c>
      <c r="G14" s="38"/>
      <c r="H14" s="38"/>
      <c r="I14" s="38"/>
      <c r="J14" s="40">
        <f>Recordable</f>
        <v>0</v>
      </c>
      <c r="K14" s="40"/>
      <c r="L14" s="40"/>
      <c r="M14" s="40"/>
      <c r="N14" s="40">
        <f>LostDays</f>
        <v>0</v>
      </c>
      <c r="O14" s="40"/>
      <c r="P14" s="40"/>
      <c r="Q14" s="40"/>
    </row>
    <row r="15" spans="2:19">
      <c r="B15" s="38"/>
      <c r="C15" s="38"/>
      <c r="D15" s="38"/>
      <c r="E15" s="38"/>
      <c r="F15" s="38"/>
      <c r="G15" s="38"/>
      <c r="H15" s="38"/>
      <c r="I15" s="38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 ht="4" customHeight="1"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50"/>
      <c r="O18" s="50"/>
      <c r="P18" s="50"/>
      <c r="Q18" s="50"/>
    </row>
    <row r="19" spans="2:19">
      <c r="B19" s="37" t="s">
        <v>1823</v>
      </c>
      <c r="C19" s="37"/>
      <c r="D19" s="37"/>
      <c r="E19" s="37"/>
      <c r="F19" s="37" t="s">
        <v>1824</v>
      </c>
      <c r="G19" s="37"/>
      <c r="H19" s="37"/>
      <c r="I19" s="37"/>
      <c r="J19" s="37" t="s">
        <v>1825</v>
      </c>
      <c r="K19" s="37"/>
      <c r="L19" s="37"/>
      <c r="M19" s="37"/>
      <c r="N19" s="37" t="s">
        <v>1797</v>
      </c>
      <c r="O19" s="37"/>
      <c r="P19" s="37"/>
      <c r="Q19" s="37"/>
    </row>
    <row r="20" spans="2:19">
      <c r="B20" s="45">
        <f>ObsClosure</f>
        <v>0</v>
      </c>
      <c r="C20" s="45"/>
      <c r="D20" s="45"/>
      <c r="E20" s="45"/>
      <c r="F20" s="45">
        <f>TrainCompliance</f>
        <v>0</v>
      </c>
      <c r="G20" s="45"/>
      <c r="H20" s="45"/>
      <c r="I20" s="45"/>
      <c r="J20" s="45">
        <f>CAClosure</f>
        <v>0</v>
      </c>
      <c r="K20" s="45"/>
      <c r="L20" s="45"/>
      <c r="M20" s="45"/>
      <c r="N20" s="40">
        <f>NearMiss</f>
        <v>0</v>
      </c>
      <c r="O20" s="40"/>
      <c r="P20" s="40"/>
      <c r="Q20" s="40"/>
    </row>
    <row r="21" spans="2:19"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0"/>
      <c r="O21" s="40"/>
      <c r="P21" s="40"/>
      <c r="Q21" s="40"/>
    </row>
    <row r="22" spans="2:19">
      <c r="B22" s="49" t="s">
        <v>1822</v>
      </c>
      <c r="C22" s="49"/>
      <c r="D22" s="49"/>
      <c r="E22" s="49"/>
      <c r="F22" s="49" t="s">
        <v>1822</v>
      </c>
      <c r="G22" s="49"/>
      <c r="H22" s="49"/>
      <c r="I22" s="49"/>
      <c r="J22" s="49" t="s">
        <v>1822</v>
      </c>
      <c r="K22" s="49"/>
      <c r="L22" s="49"/>
      <c r="M22" s="49"/>
      <c r="N22" s="49" t="s">
        <v>1822</v>
      </c>
      <c r="O22" s="49"/>
      <c r="P22" s="49"/>
      <c r="Q22" s="49"/>
    </row>
    <row r="24" spans="2:19">
      <c r="B24" s="9" t="s">
        <v>1826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</sheetData>
  <mergeCells count="39">
    <mergeCell ref="B2:M4"/>
    <mergeCell ref="B5:M5"/>
    <mergeCell ref="N2:S5"/>
    <mergeCell ref="B6:S6"/>
    <mergeCell ref="D9:E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</mergeCells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7" right="0.7" top="0.75" bottom="0.75" header="0.3" footer="0.3"/>
  <drawing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1827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1828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</row>
    <row r="13" spans="2:19">
      <c r="B13" s="37" t="s">
        <v>1831</v>
      </c>
      <c r="C13" s="37"/>
      <c r="D13" s="37"/>
      <c r="E13" s="37"/>
      <c r="F13" s="37" t="s">
        <v>1832</v>
      </c>
      <c r="G13" s="37"/>
      <c r="H13" s="37"/>
      <c r="I13" s="37"/>
    </row>
    <row r="14" spans="2:19">
      <c r="B14" s="40">
        <f>Calculations!$L$102</f>
        <v>0</v>
      </c>
      <c r="C14" s="40"/>
      <c r="D14" s="40"/>
      <c r="E14" s="40"/>
      <c r="F14" s="45">
        <f>Calculations!$L$103</f>
        <v>0</v>
      </c>
      <c r="G14" s="45"/>
      <c r="H14" s="45"/>
      <c r="I14" s="45"/>
    </row>
    <row r="15" spans="2:19">
      <c r="B15" s="40"/>
      <c r="C15" s="40"/>
      <c r="D15" s="40"/>
      <c r="E15" s="40"/>
      <c r="F15" s="45"/>
      <c r="G15" s="45"/>
      <c r="H15" s="45"/>
      <c r="I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1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1834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1835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Calculations!$L$119</f>
        <v>0</v>
      </c>
      <c r="C14" s="40"/>
      <c r="D14" s="40"/>
      <c r="E14" s="40"/>
      <c r="F14" s="45">
        <f>Calculations!$L$120</f>
        <v>0</v>
      </c>
      <c r="G14" s="45"/>
      <c r="H14" s="45"/>
      <c r="I14" s="45"/>
      <c r="J14" s="40">
        <f>Calculations!$L$121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7" right="0.7" top="0.75" bottom="0.75" header="0.3" footer="0.3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1838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1839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1832</v>
      </c>
      <c r="O13" s="37"/>
      <c r="P13" s="37"/>
      <c r="Q13" s="37"/>
    </row>
    <row r="14" spans="2:19">
      <c r="B14" s="40">
        <f>Calculations!$L$136</f>
        <v>0</v>
      </c>
      <c r="C14" s="40"/>
      <c r="D14" s="40"/>
      <c r="E14" s="40"/>
      <c r="F14" s="45">
        <f>Calculations!$L$137</f>
        <v>0</v>
      </c>
      <c r="G14" s="45"/>
      <c r="H14" s="45"/>
      <c r="I14" s="45"/>
      <c r="J14" s="40">
        <f>Calculations!$L$138</f>
        <v>0</v>
      </c>
      <c r="K14" s="40"/>
      <c r="L14" s="40"/>
      <c r="M14" s="40"/>
      <c r="N14" s="45">
        <f>Calculations!$L$139</f>
        <v>0</v>
      </c>
      <c r="O14" s="45"/>
      <c r="P14" s="45"/>
      <c r="Q14" s="45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5"/>
      <c r="O15" s="45"/>
      <c r="P15" s="45"/>
      <c r="Q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7" right="0.7" top="0.75" bottom="0.75" header="0.3" footer="0.3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1840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1841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Calculations!$L$153</f>
        <v>0</v>
      </c>
      <c r="C14" s="40"/>
      <c r="D14" s="40"/>
      <c r="E14" s="40"/>
      <c r="F14" s="45">
        <f>Calculations!$L$154</f>
        <v>0</v>
      </c>
      <c r="G14" s="45"/>
      <c r="H14" s="45"/>
      <c r="I14" s="45"/>
      <c r="J14" s="40">
        <f>Calculations!$L$155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7" right="0.7" top="0.75" bottom="0.75" header="0.3" footer="0.3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1842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1843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1844</v>
      </c>
      <c r="O13" s="37"/>
      <c r="P13" s="37"/>
      <c r="Q13" s="37"/>
    </row>
    <row r="14" spans="2:19">
      <c r="B14" s="40">
        <f>Calculations!$L$170</f>
        <v>0</v>
      </c>
      <c r="C14" s="40"/>
      <c r="D14" s="40"/>
      <c r="E14" s="40"/>
      <c r="F14" s="45">
        <f>Calculations!$L$171</f>
        <v>0</v>
      </c>
      <c r="G14" s="45"/>
      <c r="H14" s="45"/>
      <c r="I14" s="45"/>
      <c r="J14" s="40">
        <f>Calculations!$L$172</f>
        <v>0</v>
      </c>
      <c r="K14" s="40"/>
      <c r="L14" s="40"/>
      <c r="M14" s="40"/>
      <c r="N14" s="40">
        <f>Calculations!$L$173</f>
        <v>0</v>
      </c>
      <c r="O14" s="40"/>
      <c r="P14" s="40"/>
      <c r="Q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7" right="0.7" top="0.75" bottom="0.75" header="0.3" footer="0.3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1845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1846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1844</v>
      </c>
      <c r="O13" s="37"/>
      <c r="P13" s="37"/>
      <c r="Q13" s="37"/>
    </row>
    <row r="14" spans="2:19">
      <c r="B14" s="40">
        <f>Calculations!$L$187</f>
        <v>0</v>
      </c>
      <c r="C14" s="40"/>
      <c r="D14" s="40"/>
      <c r="E14" s="40"/>
      <c r="F14" s="45">
        <f>Calculations!$L$188</f>
        <v>0</v>
      </c>
      <c r="G14" s="45"/>
      <c r="H14" s="45"/>
      <c r="I14" s="45"/>
      <c r="J14" s="40">
        <f>Calculations!$L$189</f>
        <v>0</v>
      </c>
      <c r="K14" s="40"/>
      <c r="L14" s="40"/>
      <c r="M14" s="40"/>
      <c r="N14" s="40">
        <f>Calculations!$L$190</f>
        <v>0</v>
      </c>
      <c r="O14" s="40"/>
      <c r="P14" s="40"/>
      <c r="Q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7" right="0.7" top="0.75" bottom="0.75" header="0.3" footer="0.3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1847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1848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1844</v>
      </c>
      <c r="O13" s="37"/>
      <c r="P13" s="37"/>
      <c r="Q13" s="37"/>
    </row>
    <row r="14" spans="2:19">
      <c r="B14" s="40">
        <f>Calculations!$L$204</f>
        <v>0</v>
      </c>
      <c r="C14" s="40"/>
      <c r="D14" s="40"/>
      <c r="E14" s="40"/>
      <c r="F14" s="45">
        <f>Calculations!$L$205</f>
        <v>0</v>
      </c>
      <c r="G14" s="45"/>
      <c r="H14" s="45"/>
      <c r="I14" s="45"/>
      <c r="J14" s="40">
        <f>Calculations!$L$206</f>
        <v>0</v>
      </c>
      <c r="K14" s="40"/>
      <c r="L14" s="40"/>
      <c r="M14" s="40"/>
      <c r="N14" s="40">
        <f>Calculations!$L$207</f>
        <v>0</v>
      </c>
      <c r="O14" s="40"/>
      <c r="P14" s="40"/>
      <c r="Q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7" right="0.7" top="0.75" bottom="0.75" header="0.3" footer="0.3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1849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1850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</row>
    <row r="13" spans="2:19">
      <c r="B13" s="37" t="s">
        <v>1831</v>
      </c>
      <c r="C13" s="37"/>
      <c r="D13" s="37"/>
      <c r="E13" s="37"/>
      <c r="F13" s="37" t="s">
        <v>1832</v>
      </c>
      <c r="G13" s="37"/>
      <c r="H13" s="37"/>
      <c r="I13" s="37"/>
    </row>
    <row r="14" spans="2:19">
      <c r="B14" s="40">
        <f>Calculations!$L$221</f>
        <v>0</v>
      </c>
      <c r="C14" s="40"/>
      <c r="D14" s="40"/>
      <c r="E14" s="40"/>
      <c r="F14" s="45">
        <f>Calculations!$L$222</f>
        <v>0</v>
      </c>
      <c r="G14" s="45"/>
      <c r="H14" s="45"/>
      <c r="I14" s="45"/>
    </row>
    <row r="15" spans="2:19">
      <c r="B15" s="40"/>
      <c r="C15" s="40"/>
      <c r="D15" s="40"/>
      <c r="E15" s="40"/>
      <c r="F15" s="45"/>
      <c r="G15" s="45"/>
      <c r="H15" s="45"/>
      <c r="I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1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7" right="0.7" top="0.75" bottom="0.75" header="0.3" footer="0.3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1851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1852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1853</v>
      </c>
      <c r="O13" s="37"/>
      <c r="P13" s="37"/>
      <c r="Q13" s="37"/>
    </row>
    <row r="14" spans="2:19">
      <c r="B14" s="40">
        <f>Calculations!$L$238</f>
        <v>0</v>
      </c>
      <c r="C14" s="40"/>
      <c r="D14" s="40"/>
      <c r="E14" s="40"/>
      <c r="F14" s="45">
        <f>Calculations!$L$239</f>
        <v>0</v>
      </c>
      <c r="G14" s="45"/>
      <c r="H14" s="45"/>
      <c r="I14" s="45"/>
      <c r="J14" s="40">
        <f>Calculations!$L$240</f>
        <v>0</v>
      </c>
      <c r="K14" s="40"/>
      <c r="L14" s="40"/>
      <c r="M14" s="40"/>
      <c r="N14" s="45">
        <f>Calculations!$L$241</f>
        <v>0</v>
      </c>
      <c r="O14" s="45"/>
      <c r="P14" s="45"/>
      <c r="Q14" s="45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5"/>
      <c r="O15" s="45"/>
      <c r="P15" s="45"/>
      <c r="Q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7" right="0.7" top="0.75" bottom="0.75" header="0.3" footer="0.3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1854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1855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1856</v>
      </c>
      <c r="O13" s="37"/>
      <c r="P13" s="37"/>
      <c r="Q13" s="37"/>
    </row>
    <row r="14" spans="2:19">
      <c r="B14" s="40">
        <f>Calculations!$L$255</f>
        <v>0</v>
      </c>
      <c r="C14" s="40"/>
      <c r="D14" s="40"/>
      <c r="E14" s="40"/>
      <c r="F14" s="45">
        <f>Calculations!$L$256</f>
        <v>0</v>
      </c>
      <c r="G14" s="45"/>
      <c r="H14" s="45"/>
      <c r="I14" s="45"/>
      <c r="J14" s="40">
        <f>Calculations!$L$257</f>
        <v>0</v>
      </c>
      <c r="K14" s="40"/>
      <c r="L14" s="40"/>
      <c r="M14" s="40"/>
      <c r="N14" s="45">
        <f>Calculations!$L$258</f>
        <v>0</v>
      </c>
      <c r="O14" s="45"/>
      <c r="P14" s="45"/>
      <c r="Q14" s="45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5"/>
      <c r="O15" s="45"/>
      <c r="P15" s="45"/>
      <c r="Q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7" right="0.7" top="0.75" bottom="0.75" header="0.3" footer="0.3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1857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1858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1859</v>
      </c>
      <c r="O13" s="37"/>
      <c r="P13" s="37"/>
      <c r="Q13" s="37"/>
    </row>
    <row r="14" spans="2:19">
      <c r="B14" s="40">
        <f>Calculations!$L$272</f>
        <v>0</v>
      </c>
      <c r="C14" s="40"/>
      <c r="D14" s="40"/>
      <c r="E14" s="40"/>
      <c r="F14" s="45">
        <f>Calculations!$L$273</f>
        <v>0</v>
      </c>
      <c r="G14" s="45"/>
      <c r="H14" s="45"/>
      <c r="I14" s="45"/>
      <c r="J14" s="40">
        <f>Calculations!$L$274</f>
        <v>0</v>
      </c>
      <c r="K14" s="40"/>
      <c r="L14" s="40"/>
      <c r="M14" s="40"/>
      <c r="N14" s="40">
        <f>Calculations!$L$275</f>
        <v>0</v>
      </c>
      <c r="O14" s="40"/>
      <c r="P14" s="40"/>
      <c r="Q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7" right="0.7" top="0.75" bottom="0.75" header="0.3" footer="0.3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1860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1861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1859</v>
      </c>
      <c r="O13" s="37"/>
      <c r="P13" s="37"/>
      <c r="Q13" s="37"/>
    </row>
    <row r="14" spans="2:19">
      <c r="B14" s="40">
        <f>Calculations!$L$289</f>
        <v>0</v>
      </c>
      <c r="C14" s="40"/>
      <c r="D14" s="40"/>
      <c r="E14" s="40"/>
      <c r="F14" s="45">
        <f>Calculations!$L$290</f>
        <v>0</v>
      </c>
      <c r="G14" s="45"/>
      <c r="H14" s="45"/>
      <c r="I14" s="45"/>
      <c r="J14" s="40">
        <f>Calculations!$L$291</f>
        <v>0</v>
      </c>
      <c r="K14" s="40"/>
      <c r="L14" s="40"/>
      <c r="M14" s="40"/>
      <c r="N14" s="40">
        <f>Calculations!$L$292</f>
        <v>0</v>
      </c>
      <c r="O14" s="40"/>
      <c r="P14" s="40"/>
      <c r="Q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7" right="0.7" top="0.75" bottom="0.75" header="0.3" footer="0.3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1862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1863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1864</v>
      </c>
      <c r="O13" s="37"/>
      <c r="P13" s="37"/>
      <c r="Q13" s="37"/>
    </row>
    <row r="14" spans="2:19">
      <c r="B14" s="40">
        <f>Calculations!$L$306</f>
        <v>0</v>
      </c>
      <c r="C14" s="40"/>
      <c r="D14" s="40"/>
      <c r="E14" s="40"/>
      <c r="F14" s="45">
        <f>Calculations!$L$307</f>
        <v>0</v>
      </c>
      <c r="G14" s="45"/>
      <c r="H14" s="45"/>
      <c r="I14" s="45"/>
      <c r="J14" s="40">
        <f>Calculations!$L$308</f>
        <v>0</v>
      </c>
      <c r="K14" s="40"/>
      <c r="L14" s="40"/>
      <c r="M14" s="40"/>
      <c r="N14" s="45">
        <f>Calculations!$L$309</f>
        <v>0</v>
      </c>
      <c r="O14" s="45"/>
      <c r="P14" s="45"/>
      <c r="Q14" s="45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5"/>
      <c r="O15" s="45"/>
      <c r="P15" s="45"/>
      <c r="Q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7" right="0.7" top="0.75" bottom="0.75" header="0.3" footer="0.3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1865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1866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1832</v>
      </c>
      <c r="O13" s="37"/>
      <c r="P13" s="37"/>
      <c r="Q13" s="37"/>
    </row>
    <row r="14" spans="2:19">
      <c r="B14" s="40">
        <f>Calculations!$L$323</f>
        <v>0</v>
      </c>
      <c r="C14" s="40"/>
      <c r="D14" s="40"/>
      <c r="E14" s="40"/>
      <c r="F14" s="45">
        <f>Calculations!$L$324</f>
        <v>0</v>
      </c>
      <c r="G14" s="45"/>
      <c r="H14" s="45"/>
      <c r="I14" s="45"/>
      <c r="J14" s="40">
        <f>Calculations!$L$325</f>
        <v>0</v>
      </c>
      <c r="K14" s="40"/>
      <c r="L14" s="40"/>
      <c r="M14" s="40"/>
      <c r="N14" s="45">
        <f>Calculations!$L$326</f>
        <v>0</v>
      </c>
      <c r="O14" s="45"/>
      <c r="P14" s="45"/>
      <c r="Q14" s="45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5"/>
      <c r="O15" s="45"/>
      <c r="P15" s="45"/>
      <c r="Q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7" right="0.7" top="0.75" bottom="0.75" header="0.3" footer="0.3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1867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1868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Calculations!$L$340</f>
        <v>0</v>
      </c>
      <c r="C14" s="40"/>
      <c r="D14" s="40"/>
      <c r="E14" s="40"/>
      <c r="F14" s="45">
        <f>Calculations!$L$341</f>
        <v>0</v>
      </c>
      <c r="G14" s="45"/>
      <c r="H14" s="45"/>
      <c r="I14" s="45"/>
      <c r="J14" s="40">
        <f>Calculations!$L$342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7" right="0.7" top="0.75" bottom="0.75" header="0.3" footer="0.3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1869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1870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Calculations!$L$357</f>
        <v>0</v>
      </c>
      <c r="C14" s="40"/>
      <c r="D14" s="40"/>
      <c r="E14" s="40"/>
      <c r="F14" s="45">
        <f>Calculations!$L$358</f>
        <v>0</v>
      </c>
      <c r="G14" s="45"/>
      <c r="H14" s="45"/>
      <c r="I14" s="45"/>
      <c r="J14" s="40">
        <f>Calculations!$L$359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7" right="0.7" top="0.75" bottom="0.75" header="0.3" footer="0.3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1871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1872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</row>
    <row r="13" spans="2:19">
      <c r="B13" s="37" t="s">
        <v>1831</v>
      </c>
      <c r="C13" s="37"/>
      <c r="D13" s="37"/>
      <c r="E13" s="37"/>
    </row>
    <row r="14" spans="2:19">
      <c r="B14" s="40">
        <f>Calculations!$L$374</f>
        <v>0</v>
      </c>
      <c r="C14" s="40"/>
      <c r="D14" s="40"/>
      <c r="E14" s="40"/>
    </row>
    <row r="15" spans="2:19">
      <c r="B15" s="40"/>
      <c r="C15" s="40"/>
      <c r="D15" s="40"/>
      <c r="E15" s="40"/>
    </row>
    <row r="16" spans="2:19">
      <c r="B16" s="49" t="s">
        <v>1822</v>
      </c>
      <c r="C16" s="49"/>
      <c r="D16" s="49"/>
      <c r="E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1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7" right="0.7" top="0.75" bottom="0.75" header="0.3" footer="0.3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1873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1874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Calculations!$L$391</f>
        <v>0</v>
      </c>
      <c r="C14" s="40"/>
      <c r="D14" s="40"/>
      <c r="E14" s="40"/>
      <c r="F14" s="45">
        <f>Calculations!$L$392</f>
        <v>0</v>
      </c>
      <c r="G14" s="45"/>
      <c r="H14" s="45"/>
      <c r="I14" s="45"/>
      <c r="J14" s="40">
        <f>Calculations!$L$393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7" right="0.7" top="0.75" bottom="0.75" header="0.3" footer="0.3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1875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1876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1877</v>
      </c>
      <c r="K13" s="37"/>
      <c r="L13" s="37"/>
      <c r="M13" s="37"/>
    </row>
    <row r="14" spans="2:19">
      <c r="B14" s="40">
        <f>Calculations!$L$408</f>
        <v>0</v>
      </c>
      <c r="C14" s="40"/>
      <c r="D14" s="40"/>
      <c r="E14" s="40"/>
      <c r="F14" s="45">
        <f>Calculations!$L$409</f>
        <v>0</v>
      </c>
      <c r="G14" s="45"/>
      <c r="H14" s="45"/>
      <c r="I14" s="45"/>
      <c r="J14" s="45">
        <f>Calculations!$L$410</f>
        <v>0</v>
      </c>
      <c r="K14" s="45"/>
      <c r="L14" s="45"/>
      <c r="M14" s="45"/>
    </row>
    <row r="15" spans="2:19">
      <c r="B15" s="40"/>
      <c r="C15" s="40"/>
      <c r="D15" s="40"/>
      <c r="E15" s="40"/>
      <c r="F15" s="45"/>
      <c r="G15" s="45"/>
      <c r="H15" s="45"/>
      <c r="I15" s="45"/>
      <c r="J15" s="45"/>
      <c r="K15" s="45"/>
      <c r="L15" s="45"/>
      <c r="M15" s="45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7" right="0.7" top="0.75" bottom="0.75" header="0.3" footer="0.3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1878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1879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Calculations!$L$425</f>
        <v>0</v>
      </c>
      <c r="C14" s="40"/>
      <c r="D14" s="40"/>
      <c r="E14" s="40"/>
      <c r="F14" s="45">
        <f>Calculations!$L$426</f>
        <v>0</v>
      </c>
      <c r="G14" s="45"/>
      <c r="H14" s="45"/>
      <c r="I14" s="45"/>
      <c r="J14" s="40">
        <f>Calculations!$L$427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7" right="0.7" top="0.75" bottom="0.75" header="0.3" footer="0.3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1880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1881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Calculations!$L$442</f>
        <v>0</v>
      </c>
      <c r="C14" s="40"/>
      <c r="D14" s="40"/>
      <c r="E14" s="40"/>
      <c r="F14" s="45">
        <f>Calculations!$L$443</f>
        <v>0</v>
      </c>
      <c r="G14" s="45"/>
      <c r="H14" s="45"/>
      <c r="I14" s="45"/>
      <c r="J14" s="40">
        <f>Calculations!$L$444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7" right="0.7" top="0.75" bottom="0.75" header="0.3" footer="0.3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1882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1883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Calculations!$L$459</f>
        <v>0</v>
      </c>
      <c r="C14" s="40"/>
      <c r="D14" s="40"/>
      <c r="E14" s="40"/>
      <c r="F14" s="45">
        <f>Calculations!$L$460</f>
        <v>0</v>
      </c>
      <c r="G14" s="45"/>
      <c r="H14" s="45"/>
      <c r="I14" s="45"/>
      <c r="J14" s="40">
        <f>Calculations!$L$461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7" right="0.7" top="0.75" bottom="0.75" header="0.3" footer="0.3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1884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1885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</row>
    <row r="14" spans="2:19">
      <c r="B14" s="40">
        <f>Calculations!$L$476</f>
        <v>0</v>
      </c>
      <c r="C14" s="40"/>
      <c r="D14" s="40"/>
      <c r="E14" s="40"/>
      <c r="F14" s="45">
        <f>Calculations!$L$477</f>
        <v>0</v>
      </c>
      <c r="G14" s="45"/>
      <c r="H14" s="45"/>
      <c r="I14" s="45"/>
      <c r="J14" s="40">
        <f>Calculations!$L$478</f>
        <v>0</v>
      </c>
      <c r="K14" s="40"/>
      <c r="L14" s="40"/>
      <c r="M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7" right="0.7" top="0.75" bottom="0.75" header="0.3" footer="0.3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</sheetPr>
  <dimension ref="A1:S18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31" t="s">
        <v>1886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2" t="s">
        <v>1785</v>
      </c>
      <c r="O2" s="32"/>
      <c r="P2" s="32"/>
      <c r="Q2" s="32"/>
      <c r="R2" s="32"/>
      <c r="S2" s="32"/>
    </row>
    <row r="3" spans="2:19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2"/>
      <c r="O3" s="32"/>
      <c r="P3" s="32"/>
      <c r="Q3" s="32"/>
      <c r="R3" s="32"/>
      <c r="S3" s="32"/>
    </row>
    <row r="4" spans="2:19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2"/>
      <c r="O4" s="32"/>
      <c r="P4" s="32"/>
      <c r="Q4" s="32"/>
      <c r="R4" s="32"/>
      <c r="S4" s="32"/>
    </row>
    <row r="5" spans="2:19">
      <c r="B5" s="33" t="s">
        <v>1887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2"/>
      <c r="O5" s="32"/>
      <c r="P5" s="32"/>
      <c r="Q5" s="32"/>
      <c r="R5" s="32"/>
      <c r="S5" s="32"/>
    </row>
    <row r="6" spans="2:19" ht="3" customHeight="1"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19">
      <c r="O7" s="25" t="s">
        <v>1746</v>
      </c>
      <c r="Q7" s="26">
        <f>LastRefresh</f>
        <v>0</v>
      </c>
    </row>
    <row r="9" spans="2:19">
      <c r="B9" s="34" t="s">
        <v>1786</v>
      </c>
      <c r="C9" s="34" t="s">
        <v>1787</v>
      </c>
      <c r="D9" s="34" t="s">
        <v>1788</v>
      </c>
      <c r="E9" s="34"/>
      <c r="F9" s="34" t="s">
        <v>1829</v>
      </c>
      <c r="G9" s="34"/>
      <c r="H9" s="34"/>
    </row>
    <row r="11" spans="2:19">
      <c r="B11" s="9" t="s">
        <v>1830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2:19" ht="4" customHeight="1">
      <c r="B12" s="50"/>
      <c r="C12" s="50"/>
      <c r="D12" s="50"/>
      <c r="E12" s="50"/>
      <c r="F12" s="44"/>
      <c r="G12" s="44"/>
      <c r="H12" s="44"/>
      <c r="I12" s="44"/>
      <c r="J12" s="48"/>
      <c r="K12" s="48"/>
      <c r="L12" s="48"/>
      <c r="M12" s="48"/>
      <c r="N12" s="36"/>
      <c r="O12" s="36"/>
      <c r="P12" s="36"/>
      <c r="Q12" s="36"/>
    </row>
    <row r="13" spans="2:19">
      <c r="B13" s="37" t="s">
        <v>1831</v>
      </c>
      <c r="C13" s="37"/>
      <c r="D13" s="37"/>
      <c r="E13" s="37"/>
      <c r="F13" s="37" t="s">
        <v>1836</v>
      </c>
      <c r="G13" s="37"/>
      <c r="H13" s="37"/>
      <c r="I13" s="37"/>
      <c r="J13" s="37" t="s">
        <v>1837</v>
      </c>
      <c r="K13" s="37"/>
      <c r="L13" s="37"/>
      <c r="M13" s="37"/>
      <c r="N13" s="37" t="s">
        <v>1888</v>
      </c>
      <c r="O13" s="37"/>
      <c r="P13" s="37"/>
      <c r="Q13" s="37"/>
    </row>
    <row r="14" spans="2:19">
      <c r="B14" s="40">
        <f>Calculations!$L$493</f>
        <v>0</v>
      </c>
      <c r="C14" s="40"/>
      <c r="D14" s="40"/>
      <c r="E14" s="40"/>
      <c r="F14" s="45">
        <f>Calculations!$L$494</f>
        <v>0</v>
      </c>
      <c r="G14" s="45"/>
      <c r="H14" s="45"/>
      <c r="I14" s="45"/>
      <c r="J14" s="40">
        <f>Calculations!$L$495</f>
        <v>0</v>
      </c>
      <c r="K14" s="40"/>
      <c r="L14" s="40"/>
      <c r="M14" s="40"/>
      <c r="N14" s="40">
        <f>Calculations!$L$496</f>
        <v>0</v>
      </c>
      <c r="O14" s="40"/>
      <c r="P14" s="40"/>
      <c r="Q14" s="40"/>
    </row>
    <row r="15" spans="2:19">
      <c r="B15" s="40"/>
      <c r="C15" s="40"/>
      <c r="D15" s="40"/>
      <c r="E15" s="40"/>
      <c r="F15" s="45"/>
      <c r="G15" s="45"/>
      <c r="H15" s="45"/>
      <c r="I15" s="45"/>
      <c r="J15" s="40"/>
      <c r="K15" s="40"/>
      <c r="L15" s="40"/>
      <c r="M15" s="40"/>
      <c r="N15" s="40"/>
      <c r="O15" s="40"/>
      <c r="P15" s="40"/>
      <c r="Q15" s="40"/>
    </row>
    <row r="16" spans="2:19">
      <c r="B16" s="49" t="s">
        <v>1822</v>
      </c>
      <c r="C16" s="49"/>
      <c r="D16" s="49"/>
      <c r="E16" s="49"/>
      <c r="F16" s="49" t="s">
        <v>1822</v>
      </c>
      <c r="G16" s="49"/>
      <c r="H16" s="49"/>
      <c r="I16" s="49"/>
      <c r="J16" s="49" t="s">
        <v>1822</v>
      </c>
      <c r="K16" s="49"/>
      <c r="L16" s="49"/>
      <c r="M16" s="49"/>
      <c r="N16" s="49" t="s">
        <v>1822</v>
      </c>
      <c r="O16" s="49"/>
      <c r="P16" s="49"/>
      <c r="Q16" s="49"/>
    </row>
    <row r="18" spans="2:19">
      <c r="B18" s="9" t="s">
        <v>1833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</sheetData>
  <mergeCells count="2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</mergeCells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55</vt:i4>
      </vt:variant>
    </vt:vector>
  </HeadingPairs>
  <TitlesOfParts>
    <vt:vector size="110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F_Period</vt:lpstr>
      <vt:lpstr>gdAudits</vt:lpstr>
      <vt:lpstr>gdCAClosure</vt:lpstr>
      <vt:lpstr>gdDisciplinary</vt:lpstr>
      <vt:lpstr>gdEmergencyDrills</vt:lpstr>
      <vt:lpstr>gdFirstAid</vt:lpstr>
      <vt:lpstr>gdHSEObservations</vt:lpstr>
      <vt:lpstr>gdInspections</vt:lpstr>
      <vt:lpstr>gdLostDays</vt:lpstr>
      <vt:lpstr>gdLTIFatality</vt:lpstr>
      <vt:lpstr>gdLTIFR</vt:lpstr>
      <vt:lpstr>gdNearMiss</vt:lpstr>
      <vt:lpstr>gdObsClosure</vt:lpstr>
      <vt:lpstr>gdOpenNCs</vt:lpstr>
      <vt:lpstr>gdPTWCompliance</vt:lpstr>
      <vt:lpstr>gdRecordable</vt:lpstr>
      <vt:lpstr>gdToolboxTalks</vt:lpstr>
      <vt:lpstr>gdTotalIncidents</vt:lpstr>
      <vt:lpstr>gdTrainingCompliance</vt:lpstr>
      <vt:lpstr>gdTrainings</vt:lpstr>
      <vt:lpstr>gdTRIR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mCrit</vt:lpstr>
      <vt:lpstr>NearMiss</vt:lpstr>
      <vt:lpstr>ObsClosure</vt:lpstr>
      <vt:lpstr>PTWauditComp</vt:lpstr>
      <vt:lpstr>Recordable</vt:lpstr>
      <vt:lpstr>SelDept</vt:lpstr>
      <vt:lpstr>SelMonth</vt:lpstr>
      <vt:lpstr>SelPeriod</vt:lpstr>
      <vt:lpstr>TgtCA</vt:lpstr>
      <vt:lpstr>TgtObs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2026-07-12T06:16:54Z</dcterms:created>
  <dcterms:modified xsi:type="dcterms:W3CDTF">2026-07-12T06:16:54Z</dcterms:modified>
</cp:coreProperties>
</file>